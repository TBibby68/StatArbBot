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bibb\Downloads\"/>
    </mc:Choice>
  </mc:AlternateContent>
  <xr:revisionPtr revIDLastSave="0" documentId="13_ncr:1_{91ED0DE4-4DE9-448F-9DD9-7CB6219409A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nergy" sheetId="1" r:id="rId1"/>
    <sheet name="Banks" sheetId="2" r:id="rId2"/>
    <sheet name="combined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3" l="1"/>
  <c r="M9" i="3"/>
  <c r="L10" i="3"/>
  <c r="L9" i="3"/>
  <c r="M5" i="2"/>
  <c r="M5" i="1"/>
  <c r="L3" i="2"/>
  <c r="M3" i="1"/>
  <c r="Q6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2" i="3"/>
  <c r="L2" i="3"/>
  <c r="M5" i="3"/>
  <c r="L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D72" i="3" s="1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D180" i="3" s="1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D228" i="3" s="1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D564" i="3" s="1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D672" i="3" s="1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D720" i="3" s="1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D756" i="3" s="1"/>
  <c r="C757" i="3"/>
  <c r="C758" i="3"/>
  <c r="C759" i="3"/>
  <c r="C760" i="3"/>
  <c r="C761" i="3"/>
  <c r="C762" i="3"/>
  <c r="C763" i="3"/>
  <c r="C764" i="3"/>
  <c r="C765" i="3"/>
  <c r="C766" i="3"/>
  <c r="C767" i="3"/>
  <c r="C768" i="3"/>
  <c r="D768" i="3" s="1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D804" i="3" s="1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D876" i="3" s="1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D900" i="3" s="1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D972" i="3" s="1"/>
  <c r="C973" i="3"/>
  <c r="C974" i="3"/>
  <c r="C975" i="3"/>
  <c r="C976" i="3"/>
  <c r="C977" i="3"/>
  <c r="C978" i="3"/>
  <c r="C979" i="3"/>
  <c r="C980" i="3"/>
  <c r="C981" i="3"/>
  <c r="C982" i="3"/>
  <c r="C983" i="3"/>
  <c r="C984" i="3"/>
  <c r="D984" i="3" s="1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D1008" i="3" s="1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D1020" i="3" s="1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D1044" i="3" s="1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D1104" i="3" s="1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D1140" i="3" s="1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D1152" i="3" s="1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D1164" i="3" s="1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D1176" i="3" s="1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D1200" i="3" s="1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D1224" i="3" s="1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D1260" i="3" s="1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D1284" i="3" s="1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D1368" i="3" s="1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D1380" i="3" s="1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D1428" i="3" s="1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D1440" i="3" s="1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D1476" i="3" s="1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D1488" i="3" s="1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D1500" i="3" s="1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D1584" i="3" s="1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D1596" i="3" s="1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D1608" i="3" s="1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D1668" i="3" s="1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D1680" i="3" s="1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D1728" i="3" s="1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D1740" i="3" s="1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D1752" i="3" s="1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D1788" i="3" s="1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D1800" i="3" s="1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D1812" i="3" s="1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D1836" i="3" s="1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D1860" i="3" s="1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D1872" i="3" s="1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D1884" i="3" s="1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D1896" i="3" s="1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D1920" i="3" s="1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D1980" i="3" s="1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D1992" i="3" s="1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D2004" i="3" s="1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D2064" i="3" s="1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D2124" i="3" s="1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D2136" i="3" s="1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D2148" i="3" s="1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D2172" i="3" s="1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D2184" i="3" s="1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D2208" i="3" s="1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D2220" i="3" s="1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D2232" i="3" s="1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D2244" i="3" s="1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D2256" i="3" s="1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D2268" i="3" s="1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D2280" i="3" s="1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D2292" i="3" s="1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D2304" i="3" s="1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D2316" i="3" s="1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D2340" i="3" s="1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D2388" i="3" s="1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D2400" i="3" s="1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D2424" i="3" s="1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D2448" i="3" s="1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D2472" i="3" s="1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D2508" i="3" s="1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D2520" i="3" s="1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D2532" i="3" s="1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D2544" i="3" s="1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D2556" i="3" s="1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D2568" i="3" s="1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D2580" i="3" s="1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D2592" i="3" s="1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D2628" i="3" s="1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D2640" i="3" s="1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D2664" i="3" s="1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D2676" i="3" s="1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D2688" i="3" s="1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D2700" i="3" s="1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D2712" i="3" s="1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D2748" i="3" s="1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D2784" i="3" s="1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D2844" i="3" s="1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D2856" i="3" s="1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D2880" i="3" s="1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D2892" i="3" s="1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D2904" i="3" s="1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D2928" i="3" s="1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D2988" i="3" s="1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D3000" i="3" s="1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D3012" i="3" s="1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D3036" i="3" s="1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D3072" i="3" s="1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D3096" i="3" s="1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D3120" i="3" s="1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D3144" i="3" s="1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D3156" i="3" s="1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D3168" i="3" s="1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D3204" i="3" s="1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D3228" i="3" s="1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D3240" i="3" s="1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D3300" i="3" s="1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D3324" i="3" s="1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D90" i="3" s="1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D234" i="3" s="1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D294" i="3" s="1"/>
  <c r="B295" i="3"/>
  <c r="B296" i="3"/>
  <c r="B297" i="3"/>
  <c r="B298" i="3"/>
  <c r="B299" i="3"/>
  <c r="B300" i="3"/>
  <c r="B301" i="3"/>
  <c r="B302" i="3"/>
  <c r="B303" i="3"/>
  <c r="B304" i="3"/>
  <c r="B305" i="3"/>
  <c r="B306" i="3"/>
  <c r="D306" i="3" s="1"/>
  <c r="B307" i="3"/>
  <c r="B308" i="3"/>
  <c r="B309" i="3"/>
  <c r="B310" i="3"/>
  <c r="B311" i="3"/>
  <c r="B312" i="3"/>
  <c r="B313" i="3"/>
  <c r="B314" i="3"/>
  <c r="B315" i="3"/>
  <c r="B316" i="3"/>
  <c r="B317" i="3"/>
  <c r="B318" i="3"/>
  <c r="D318" i="3" s="1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D390" i="3" s="1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D414" i="3" s="1"/>
  <c r="B415" i="3"/>
  <c r="B416" i="3"/>
  <c r="B417" i="3"/>
  <c r="B418" i="3"/>
  <c r="B419" i="3"/>
  <c r="B420" i="3"/>
  <c r="B421" i="3"/>
  <c r="B422" i="3"/>
  <c r="B423" i="3"/>
  <c r="B424" i="3"/>
  <c r="B425" i="3"/>
  <c r="B426" i="3"/>
  <c r="D426" i="3" s="1"/>
  <c r="B427" i="3"/>
  <c r="D427" i="3" s="1"/>
  <c r="B428" i="3"/>
  <c r="B429" i="3"/>
  <c r="B430" i="3"/>
  <c r="B431" i="3"/>
  <c r="B432" i="3"/>
  <c r="B433" i="3"/>
  <c r="B434" i="3"/>
  <c r="B435" i="3"/>
  <c r="B436" i="3"/>
  <c r="B437" i="3"/>
  <c r="B438" i="3"/>
  <c r="B439" i="3"/>
  <c r="D439" i="3" s="1"/>
  <c r="B440" i="3"/>
  <c r="B441" i="3"/>
  <c r="B442" i="3"/>
  <c r="B443" i="3"/>
  <c r="B444" i="3"/>
  <c r="B445" i="3"/>
  <c r="B446" i="3"/>
  <c r="B447" i="3"/>
  <c r="B448" i="3"/>
  <c r="B449" i="3"/>
  <c r="B450" i="3"/>
  <c r="B451" i="3"/>
  <c r="D451" i="3" s="1"/>
  <c r="B452" i="3"/>
  <c r="B453" i="3"/>
  <c r="B454" i="3"/>
  <c r="B455" i="3"/>
  <c r="B456" i="3"/>
  <c r="B457" i="3"/>
  <c r="B458" i="3"/>
  <c r="B459" i="3"/>
  <c r="B460" i="3"/>
  <c r="B461" i="3"/>
  <c r="B462" i="3"/>
  <c r="B463" i="3"/>
  <c r="D463" i="3" s="1"/>
  <c r="B464" i="3"/>
  <c r="B465" i="3"/>
  <c r="B466" i="3"/>
  <c r="B467" i="3"/>
  <c r="B468" i="3"/>
  <c r="B469" i="3"/>
  <c r="B470" i="3"/>
  <c r="B471" i="3"/>
  <c r="B472" i="3"/>
  <c r="B473" i="3"/>
  <c r="B474" i="3"/>
  <c r="D474" i="3" s="1"/>
  <c r="B475" i="3"/>
  <c r="D475" i="3" s="1"/>
  <c r="B476" i="3"/>
  <c r="B477" i="3"/>
  <c r="B478" i="3"/>
  <c r="B479" i="3"/>
  <c r="B480" i="3"/>
  <c r="B481" i="3"/>
  <c r="B482" i="3"/>
  <c r="B483" i="3"/>
  <c r="B484" i="3"/>
  <c r="B485" i="3"/>
  <c r="B486" i="3"/>
  <c r="D486" i="3" s="1"/>
  <c r="B487" i="3"/>
  <c r="D487" i="3" s="1"/>
  <c r="B488" i="3"/>
  <c r="B489" i="3"/>
  <c r="B490" i="3"/>
  <c r="B491" i="3"/>
  <c r="B492" i="3"/>
  <c r="B493" i="3"/>
  <c r="B494" i="3"/>
  <c r="B495" i="3"/>
  <c r="B496" i="3"/>
  <c r="B497" i="3"/>
  <c r="B498" i="3"/>
  <c r="B499" i="3"/>
  <c r="D499" i="3" s="1"/>
  <c r="B500" i="3"/>
  <c r="B501" i="3"/>
  <c r="B502" i="3"/>
  <c r="B503" i="3"/>
  <c r="B504" i="3"/>
  <c r="B505" i="3"/>
  <c r="B506" i="3"/>
  <c r="B507" i="3"/>
  <c r="B508" i="3"/>
  <c r="B509" i="3"/>
  <c r="B510" i="3"/>
  <c r="B511" i="3"/>
  <c r="D511" i="3" s="1"/>
  <c r="B512" i="3"/>
  <c r="B513" i="3"/>
  <c r="B514" i="3"/>
  <c r="B515" i="3"/>
  <c r="B516" i="3"/>
  <c r="B517" i="3"/>
  <c r="B518" i="3"/>
  <c r="B519" i="3"/>
  <c r="B520" i="3"/>
  <c r="B521" i="3"/>
  <c r="B522" i="3"/>
  <c r="D522" i="3" s="1"/>
  <c r="B523" i="3"/>
  <c r="D523" i="3" s="1"/>
  <c r="B524" i="3"/>
  <c r="B525" i="3"/>
  <c r="B526" i="3"/>
  <c r="B527" i="3"/>
  <c r="B528" i="3"/>
  <c r="B529" i="3"/>
  <c r="B530" i="3"/>
  <c r="B531" i="3"/>
  <c r="B532" i="3"/>
  <c r="B533" i="3"/>
  <c r="B534" i="3"/>
  <c r="D534" i="3" s="1"/>
  <c r="B535" i="3"/>
  <c r="D535" i="3" s="1"/>
  <c r="B536" i="3"/>
  <c r="B537" i="3"/>
  <c r="B538" i="3"/>
  <c r="B539" i="3"/>
  <c r="B540" i="3"/>
  <c r="B541" i="3"/>
  <c r="B542" i="3"/>
  <c r="B543" i="3"/>
  <c r="B544" i="3"/>
  <c r="B545" i="3"/>
  <c r="B546" i="3"/>
  <c r="B547" i="3"/>
  <c r="D547" i="3" s="1"/>
  <c r="B548" i="3"/>
  <c r="B549" i="3"/>
  <c r="B550" i="3"/>
  <c r="B551" i="3"/>
  <c r="B552" i="3"/>
  <c r="B553" i="3"/>
  <c r="B554" i="3"/>
  <c r="B555" i="3"/>
  <c r="B556" i="3"/>
  <c r="B557" i="3"/>
  <c r="B558" i="3"/>
  <c r="B559" i="3"/>
  <c r="D559" i="3" s="1"/>
  <c r="B560" i="3"/>
  <c r="B561" i="3"/>
  <c r="B562" i="3"/>
  <c r="B563" i="3"/>
  <c r="B564" i="3"/>
  <c r="B565" i="3"/>
  <c r="B566" i="3"/>
  <c r="B567" i="3"/>
  <c r="B568" i="3"/>
  <c r="B569" i="3"/>
  <c r="B570" i="3"/>
  <c r="B571" i="3"/>
  <c r="D571" i="3" s="1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D594" i="3" s="1"/>
  <c r="B595" i="3"/>
  <c r="B596" i="3"/>
  <c r="B597" i="3"/>
  <c r="B598" i="3"/>
  <c r="B599" i="3"/>
  <c r="B600" i="3"/>
  <c r="B601" i="3"/>
  <c r="B602" i="3"/>
  <c r="B603" i="3"/>
  <c r="B604" i="3"/>
  <c r="D604" i="3" s="1"/>
  <c r="B605" i="3"/>
  <c r="B606" i="3"/>
  <c r="B607" i="3"/>
  <c r="D607" i="3" s="1"/>
  <c r="B608" i="3"/>
  <c r="B609" i="3"/>
  <c r="B610" i="3"/>
  <c r="B611" i="3"/>
  <c r="B612" i="3"/>
  <c r="B613" i="3"/>
  <c r="B614" i="3"/>
  <c r="B615" i="3"/>
  <c r="B616" i="3"/>
  <c r="B617" i="3"/>
  <c r="B618" i="3"/>
  <c r="B619" i="3"/>
  <c r="D619" i="3" s="1"/>
  <c r="B620" i="3"/>
  <c r="B621" i="3"/>
  <c r="B622" i="3"/>
  <c r="B623" i="3"/>
  <c r="B624" i="3"/>
  <c r="B625" i="3"/>
  <c r="B626" i="3"/>
  <c r="B627" i="3"/>
  <c r="B628" i="3"/>
  <c r="B629" i="3"/>
  <c r="B630" i="3"/>
  <c r="D630" i="3" s="1"/>
  <c r="B631" i="3"/>
  <c r="D631" i="3" s="1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D664" i="3" s="1"/>
  <c r="B665" i="3"/>
  <c r="B666" i="3"/>
  <c r="D666" i="3" s="1"/>
  <c r="B667" i="3"/>
  <c r="D667" i="3" s="1"/>
  <c r="B668" i="3"/>
  <c r="B669" i="3"/>
  <c r="B670" i="3"/>
  <c r="B671" i="3"/>
  <c r="B672" i="3"/>
  <c r="B673" i="3"/>
  <c r="B674" i="3"/>
  <c r="B675" i="3"/>
  <c r="B676" i="3"/>
  <c r="B677" i="3"/>
  <c r="B678" i="3"/>
  <c r="D678" i="3" s="1"/>
  <c r="B679" i="3"/>
  <c r="D679" i="3" s="1"/>
  <c r="B680" i="3"/>
  <c r="B681" i="3"/>
  <c r="B682" i="3"/>
  <c r="B683" i="3"/>
  <c r="B684" i="3"/>
  <c r="B685" i="3"/>
  <c r="B686" i="3"/>
  <c r="B687" i="3"/>
  <c r="B688" i="3"/>
  <c r="B689" i="3"/>
  <c r="B690" i="3"/>
  <c r="B691" i="3"/>
  <c r="D691" i="3" s="1"/>
  <c r="B692" i="3"/>
  <c r="B693" i="3"/>
  <c r="B694" i="3"/>
  <c r="B695" i="3"/>
  <c r="B696" i="3"/>
  <c r="B697" i="3"/>
  <c r="B698" i="3"/>
  <c r="B699" i="3"/>
  <c r="B700" i="3"/>
  <c r="D700" i="3" s="1"/>
  <c r="B701" i="3"/>
  <c r="B702" i="3"/>
  <c r="D702" i="3" s="1"/>
  <c r="B703" i="3"/>
  <c r="D703" i="3" s="1"/>
  <c r="B704" i="3"/>
  <c r="B705" i="3"/>
  <c r="B706" i="3"/>
  <c r="B707" i="3"/>
  <c r="B708" i="3"/>
  <c r="B709" i="3"/>
  <c r="B710" i="3"/>
  <c r="B711" i="3"/>
  <c r="B712" i="3"/>
  <c r="B713" i="3"/>
  <c r="B714" i="3"/>
  <c r="D714" i="3" s="1"/>
  <c r="B715" i="3"/>
  <c r="D715" i="3" s="1"/>
  <c r="B716" i="3"/>
  <c r="B717" i="3"/>
  <c r="B718" i="3"/>
  <c r="B719" i="3"/>
  <c r="B720" i="3"/>
  <c r="B721" i="3"/>
  <c r="B722" i="3"/>
  <c r="B723" i="3"/>
  <c r="B724" i="3"/>
  <c r="B725" i="3"/>
  <c r="B726" i="3"/>
  <c r="B727" i="3"/>
  <c r="D727" i="3" s="1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D774" i="3" s="1"/>
  <c r="B775" i="3"/>
  <c r="D775" i="3" s="1"/>
  <c r="B776" i="3"/>
  <c r="B777" i="3"/>
  <c r="B778" i="3"/>
  <c r="B779" i="3"/>
  <c r="B780" i="3"/>
  <c r="B781" i="3"/>
  <c r="B782" i="3"/>
  <c r="B783" i="3"/>
  <c r="B784" i="3"/>
  <c r="B785" i="3"/>
  <c r="B786" i="3"/>
  <c r="D786" i="3" s="1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D799" i="3" s="1"/>
  <c r="B800" i="3"/>
  <c r="B801" i="3"/>
  <c r="B802" i="3"/>
  <c r="B803" i="3"/>
  <c r="B804" i="3"/>
  <c r="B805" i="3"/>
  <c r="B806" i="3"/>
  <c r="B807" i="3"/>
  <c r="B808" i="3"/>
  <c r="B809" i="3"/>
  <c r="B810" i="3"/>
  <c r="D810" i="3" s="1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D823" i="3" s="1"/>
  <c r="B824" i="3"/>
  <c r="B825" i="3"/>
  <c r="B826" i="3"/>
  <c r="B827" i="3"/>
  <c r="B828" i="3"/>
  <c r="B829" i="3"/>
  <c r="B830" i="3"/>
  <c r="B831" i="3"/>
  <c r="B832" i="3"/>
  <c r="B833" i="3"/>
  <c r="B834" i="3"/>
  <c r="B835" i="3"/>
  <c r="D835" i="3" s="1"/>
  <c r="B836" i="3"/>
  <c r="B837" i="3"/>
  <c r="B838" i="3"/>
  <c r="B839" i="3"/>
  <c r="B840" i="3"/>
  <c r="B841" i="3"/>
  <c r="B842" i="3"/>
  <c r="B843" i="3"/>
  <c r="B844" i="3"/>
  <c r="D844" i="3" s="1"/>
  <c r="B845" i="3"/>
  <c r="B846" i="3"/>
  <c r="D846" i="3" s="1"/>
  <c r="B847" i="3"/>
  <c r="D847" i="3" s="1"/>
  <c r="B848" i="3"/>
  <c r="B849" i="3"/>
  <c r="B850" i="3"/>
  <c r="B851" i="3"/>
  <c r="B852" i="3"/>
  <c r="B853" i="3"/>
  <c r="B854" i="3"/>
  <c r="B855" i="3"/>
  <c r="B856" i="3"/>
  <c r="B857" i="3"/>
  <c r="B858" i="3"/>
  <c r="B859" i="3"/>
  <c r="D859" i="3" s="1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D880" i="3" s="1"/>
  <c r="B881" i="3"/>
  <c r="B882" i="3"/>
  <c r="B883" i="3"/>
  <c r="B884" i="3"/>
  <c r="B885" i="3"/>
  <c r="B886" i="3"/>
  <c r="B887" i="3"/>
  <c r="B888" i="3"/>
  <c r="B889" i="3"/>
  <c r="B890" i="3"/>
  <c r="B891" i="3"/>
  <c r="B892" i="3"/>
  <c r="D892" i="3" s="1"/>
  <c r="B893" i="3"/>
  <c r="B894" i="3"/>
  <c r="D894" i="3" s="1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D916" i="3" s="1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D931" i="3" s="1"/>
  <c r="B932" i="3"/>
  <c r="B933" i="3"/>
  <c r="B934" i="3"/>
  <c r="B935" i="3"/>
  <c r="B936" i="3"/>
  <c r="B937" i="3"/>
  <c r="B938" i="3"/>
  <c r="B939" i="3"/>
  <c r="B940" i="3"/>
  <c r="B941" i="3"/>
  <c r="B942" i="3"/>
  <c r="B943" i="3"/>
  <c r="D943" i="3" s="1"/>
  <c r="B944" i="3"/>
  <c r="B945" i="3"/>
  <c r="B946" i="3"/>
  <c r="B947" i="3"/>
  <c r="B948" i="3"/>
  <c r="B949" i="3"/>
  <c r="B950" i="3"/>
  <c r="B951" i="3"/>
  <c r="B952" i="3"/>
  <c r="B953" i="3"/>
  <c r="B954" i="3"/>
  <c r="B955" i="3"/>
  <c r="D955" i="3" s="1"/>
  <c r="B956" i="3"/>
  <c r="B957" i="3"/>
  <c r="B958" i="3"/>
  <c r="B959" i="3"/>
  <c r="B960" i="3"/>
  <c r="B961" i="3"/>
  <c r="B962" i="3"/>
  <c r="B963" i="3"/>
  <c r="B964" i="3"/>
  <c r="D964" i="3" s="1"/>
  <c r="B965" i="3"/>
  <c r="B966" i="3"/>
  <c r="B967" i="3"/>
  <c r="D967" i="3" s="1"/>
  <c r="B968" i="3"/>
  <c r="B969" i="3"/>
  <c r="B970" i="3"/>
  <c r="B971" i="3"/>
  <c r="B972" i="3"/>
  <c r="B973" i="3"/>
  <c r="B974" i="3"/>
  <c r="B975" i="3"/>
  <c r="B976" i="3"/>
  <c r="B977" i="3"/>
  <c r="B978" i="3"/>
  <c r="D978" i="3" s="1"/>
  <c r="B979" i="3"/>
  <c r="D979" i="3" s="1"/>
  <c r="B980" i="3"/>
  <c r="B981" i="3"/>
  <c r="B982" i="3"/>
  <c r="B983" i="3"/>
  <c r="B984" i="3"/>
  <c r="B985" i="3"/>
  <c r="B986" i="3"/>
  <c r="B987" i="3"/>
  <c r="B988" i="3"/>
  <c r="B989" i="3"/>
  <c r="B990" i="3"/>
  <c r="D990" i="3" s="1"/>
  <c r="B991" i="3"/>
  <c r="D991" i="3" s="1"/>
  <c r="B992" i="3"/>
  <c r="B993" i="3"/>
  <c r="B994" i="3"/>
  <c r="B995" i="3"/>
  <c r="B996" i="3"/>
  <c r="B997" i="3"/>
  <c r="B998" i="3"/>
  <c r="B999" i="3"/>
  <c r="B1000" i="3"/>
  <c r="D1000" i="3" s="1"/>
  <c r="B1001" i="3"/>
  <c r="B1002" i="3"/>
  <c r="B1003" i="3"/>
  <c r="D1003" i="3" s="1"/>
  <c r="B1004" i="3"/>
  <c r="B1005" i="3"/>
  <c r="B1006" i="3"/>
  <c r="B1007" i="3"/>
  <c r="B1008" i="3"/>
  <c r="B1009" i="3"/>
  <c r="B1010" i="3"/>
  <c r="B1011" i="3"/>
  <c r="B1012" i="3"/>
  <c r="B1013" i="3"/>
  <c r="B1014" i="3"/>
  <c r="D1014" i="3" s="1"/>
  <c r="B1015" i="3"/>
  <c r="D1015" i="3" s="1"/>
  <c r="B1016" i="3"/>
  <c r="B1017" i="3"/>
  <c r="B1018" i="3"/>
  <c r="B1019" i="3"/>
  <c r="B1020" i="3"/>
  <c r="B1021" i="3"/>
  <c r="B1022" i="3"/>
  <c r="B1023" i="3"/>
  <c r="B1024" i="3"/>
  <c r="B1025" i="3"/>
  <c r="B1026" i="3"/>
  <c r="D1026" i="3" s="1"/>
  <c r="B1027" i="3"/>
  <c r="B1028" i="3"/>
  <c r="B1029" i="3"/>
  <c r="B1030" i="3"/>
  <c r="B1031" i="3"/>
  <c r="D1031" i="3" s="1"/>
  <c r="B1032" i="3"/>
  <c r="B1033" i="3"/>
  <c r="B1034" i="3"/>
  <c r="B1035" i="3"/>
  <c r="B1036" i="3"/>
  <c r="D1036" i="3" s="1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D1048" i="3" s="1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D1060" i="3" s="1"/>
  <c r="B1061" i="3"/>
  <c r="B1062" i="3"/>
  <c r="B1063" i="3"/>
  <c r="D1063" i="3" s="1"/>
  <c r="B1064" i="3"/>
  <c r="B1065" i="3"/>
  <c r="B1066" i="3"/>
  <c r="B1067" i="3"/>
  <c r="B1068" i="3"/>
  <c r="B1069" i="3"/>
  <c r="B1070" i="3"/>
  <c r="B1071" i="3"/>
  <c r="B1072" i="3"/>
  <c r="B1073" i="3"/>
  <c r="B1074" i="3"/>
  <c r="D1074" i="3" s="1"/>
  <c r="B1075" i="3"/>
  <c r="D1075" i="3" s="1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D1087" i="3" s="1"/>
  <c r="B1088" i="3"/>
  <c r="B1089" i="3"/>
  <c r="B1090" i="3"/>
  <c r="B1091" i="3"/>
  <c r="D1091" i="3" s="1"/>
  <c r="B1092" i="3"/>
  <c r="B1093" i="3"/>
  <c r="B1094" i="3"/>
  <c r="B1095" i="3"/>
  <c r="B1096" i="3"/>
  <c r="B1097" i="3"/>
  <c r="B1098" i="3"/>
  <c r="D1098" i="3" s="1"/>
  <c r="B1099" i="3"/>
  <c r="D1099" i="3" s="1"/>
  <c r="B1100" i="3"/>
  <c r="B1101" i="3"/>
  <c r="B1102" i="3"/>
  <c r="B1103" i="3"/>
  <c r="B1104" i="3"/>
  <c r="B1105" i="3"/>
  <c r="B1106" i="3"/>
  <c r="B1107" i="3"/>
  <c r="B1108" i="3"/>
  <c r="D1108" i="3" s="1"/>
  <c r="B1109" i="3"/>
  <c r="D1109" i="3" s="1"/>
  <c r="B1110" i="3"/>
  <c r="B1111" i="3"/>
  <c r="D1111" i="3" s="1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D1123" i="3" s="1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D1135" i="3" s="1"/>
  <c r="B1136" i="3"/>
  <c r="B1137" i="3"/>
  <c r="B1138" i="3"/>
  <c r="B1139" i="3"/>
  <c r="B1140" i="3"/>
  <c r="B1141" i="3"/>
  <c r="B1142" i="3"/>
  <c r="B1143" i="3"/>
  <c r="B1144" i="3"/>
  <c r="D1144" i="3" s="1"/>
  <c r="B1145" i="3"/>
  <c r="B1146" i="3"/>
  <c r="B1147" i="3"/>
  <c r="D1147" i="3" s="1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D1168" i="3" s="1"/>
  <c r="B1169" i="3"/>
  <c r="B1170" i="3"/>
  <c r="D1170" i="3" s="1"/>
  <c r="B1171" i="3"/>
  <c r="B1172" i="3"/>
  <c r="B1173" i="3"/>
  <c r="B1174" i="3"/>
  <c r="B1175" i="3"/>
  <c r="B1176" i="3"/>
  <c r="B1177" i="3"/>
  <c r="B1178" i="3"/>
  <c r="B1179" i="3"/>
  <c r="B1180" i="3"/>
  <c r="D1180" i="3" s="1"/>
  <c r="B1181" i="3"/>
  <c r="B1182" i="3"/>
  <c r="D1182" i="3" s="1"/>
  <c r="B1183" i="3"/>
  <c r="B1184" i="3"/>
  <c r="B1185" i="3"/>
  <c r="B1186" i="3"/>
  <c r="B1187" i="3"/>
  <c r="B1188" i="3"/>
  <c r="B1189" i="3"/>
  <c r="B1190" i="3"/>
  <c r="B1191" i="3"/>
  <c r="B1192" i="3"/>
  <c r="D1192" i="3" s="1"/>
  <c r="B1193" i="3"/>
  <c r="B1194" i="3"/>
  <c r="D1194" i="3" s="1"/>
  <c r="B1195" i="3"/>
  <c r="D1195" i="3" s="1"/>
  <c r="B1196" i="3"/>
  <c r="B1197" i="3"/>
  <c r="B1198" i="3"/>
  <c r="B1199" i="3"/>
  <c r="D1199" i="3" s="1"/>
  <c r="B1200" i="3"/>
  <c r="B1201" i="3"/>
  <c r="B1202" i="3"/>
  <c r="B1203" i="3"/>
  <c r="B1204" i="3"/>
  <c r="D1204" i="3" s="1"/>
  <c r="B1205" i="3"/>
  <c r="B1206" i="3"/>
  <c r="B1207" i="3"/>
  <c r="D1207" i="3" s="1"/>
  <c r="B1208" i="3"/>
  <c r="B1209" i="3"/>
  <c r="B1210" i="3"/>
  <c r="B1211" i="3"/>
  <c r="B1212" i="3"/>
  <c r="B1213" i="3"/>
  <c r="B1214" i="3"/>
  <c r="B1215" i="3"/>
  <c r="B1216" i="3"/>
  <c r="D1216" i="3" s="1"/>
  <c r="B1217" i="3"/>
  <c r="D1217" i="3" s="1"/>
  <c r="B1218" i="3"/>
  <c r="B1219" i="3"/>
  <c r="D1219" i="3" s="1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D1231" i="3" s="1"/>
  <c r="B1232" i="3"/>
  <c r="B1233" i="3"/>
  <c r="B1234" i="3"/>
  <c r="B1235" i="3"/>
  <c r="B1236" i="3"/>
  <c r="B1237" i="3"/>
  <c r="B1238" i="3"/>
  <c r="D1238" i="3" s="1"/>
  <c r="B1239" i="3"/>
  <c r="B1240" i="3"/>
  <c r="B1241" i="3"/>
  <c r="B1242" i="3"/>
  <c r="D1242" i="3" s="1"/>
  <c r="B1243" i="3"/>
  <c r="D1243" i="3" s="1"/>
  <c r="B1244" i="3"/>
  <c r="B1245" i="3"/>
  <c r="D1245" i="3" s="1"/>
  <c r="B1246" i="3"/>
  <c r="B1247" i="3"/>
  <c r="B1248" i="3"/>
  <c r="B1249" i="3"/>
  <c r="B1250" i="3"/>
  <c r="B1251" i="3"/>
  <c r="B1252" i="3"/>
  <c r="B1253" i="3"/>
  <c r="B1254" i="3"/>
  <c r="D1254" i="3" s="1"/>
  <c r="B1255" i="3"/>
  <c r="B1256" i="3"/>
  <c r="B1257" i="3"/>
  <c r="B1258" i="3"/>
  <c r="B1259" i="3"/>
  <c r="B1260" i="3"/>
  <c r="B1261" i="3"/>
  <c r="B1262" i="3"/>
  <c r="B1263" i="3"/>
  <c r="B1264" i="3"/>
  <c r="D1264" i="3" s="1"/>
  <c r="B1265" i="3"/>
  <c r="B1266" i="3"/>
  <c r="D1266" i="3" s="1"/>
  <c r="B1267" i="3"/>
  <c r="D1267" i="3" s="1"/>
  <c r="B1268" i="3"/>
  <c r="B1269" i="3"/>
  <c r="B1270" i="3"/>
  <c r="B1271" i="3"/>
  <c r="D1271" i="3" s="1"/>
  <c r="B1272" i="3"/>
  <c r="B1273" i="3"/>
  <c r="B1274" i="3"/>
  <c r="B1275" i="3"/>
  <c r="B1276" i="3"/>
  <c r="D1276" i="3" s="1"/>
  <c r="B1277" i="3"/>
  <c r="B1278" i="3"/>
  <c r="D1278" i="3" s="1"/>
  <c r="B1279" i="3"/>
  <c r="D1279" i="3" s="1"/>
  <c r="B1280" i="3"/>
  <c r="B1281" i="3"/>
  <c r="B1282" i="3"/>
  <c r="B1283" i="3"/>
  <c r="B1284" i="3"/>
  <c r="B1285" i="3"/>
  <c r="B1286" i="3"/>
  <c r="B1287" i="3"/>
  <c r="B1288" i="3"/>
  <c r="B1289" i="3"/>
  <c r="B1290" i="3"/>
  <c r="D1290" i="3" s="1"/>
  <c r="B1291" i="3"/>
  <c r="D1291" i="3" s="1"/>
  <c r="B1292" i="3"/>
  <c r="B1293" i="3"/>
  <c r="B1294" i="3"/>
  <c r="B1295" i="3"/>
  <c r="B1296" i="3"/>
  <c r="B1297" i="3"/>
  <c r="B1298" i="3"/>
  <c r="D1298" i="3" s="1"/>
  <c r="B1299" i="3"/>
  <c r="D1299" i="3" s="1"/>
  <c r="B1300" i="3"/>
  <c r="D1300" i="3" s="1"/>
  <c r="B1301" i="3"/>
  <c r="B1302" i="3"/>
  <c r="B1303" i="3"/>
  <c r="D1303" i="3" s="1"/>
  <c r="B1304" i="3"/>
  <c r="B1305" i="3"/>
  <c r="B1306" i="3"/>
  <c r="B1307" i="3"/>
  <c r="B1308" i="3"/>
  <c r="B1309" i="3"/>
  <c r="B1310" i="3"/>
  <c r="B1311" i="3"/>
  <c r="B1312" i="3"/>
  <c r="D1312" i="3" s="1"/>
  <c r="B1313" i="3"/>
  <c r="D1313" i="3" s="1"/>
  <c r="B1314" i="3"/>
  <c r="D1314" i="3" s="1"/>
  <c r="B1315" i="3"/>
  <c r="D1315" i="3" s="1"/>
  <c r="B1316" i="3"/>
  <c r="B1317" i="3"/>
  <c r="B1318" i="3"/>
  <c r="B1319" i="3"/>
  <c r="D1319" i="3" s="1"/>
  <c r="B1320" i="3"/>
  <c r="B1321" i="3"/>
  <c r="B1322" i="3"/>
  <c r="B1323" i="3"/>
  <c r="B1324" i="3"/>
  <c r="D1324" i="3" s="1"/>
  <c r="B1325" i="3"/>
  <c r="B1326" i="3"/>
  <c r="D1326" i="3" s="1"/>
  <c r="B1327" i="3"/>
  <c r="B1328" i="3"/>
  <c r="B1329" i="3"/>
  <c r="B1330" i="3"/>
  <c r="B1331" i="3"/>
  <c r="D1331" i="3" s="1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D1343" i="3" s="1"/>
  <c r="B1344" i="3"/>
  <c r="B1345" i="3"/>
  <c r="B1346" i="3"/>
  <c r="B1347" i="3"/>
  <c r="B1348" i="3"/>
  <c r="D1348" i="3" s="1"/>
  <c r="B1349" i="3"/>
  <c r="B1350" i="3"/>
  <c r="D1350" i="3" s="1"/>
  <c r="B1351" i="3"/>
  <c r="D1351" i="3" s="1"/>
  <c r="B1352" i="3"/>
  <c r="B1353" i="3"/>
  <c r="B1354" i="3"/>
  <c r="B1355" i="3"/>
  <c r="B1356" i="3"/>
  <c r="B1357" i="3"/>
  <c r="B1358" i="3"/>
  <c r="B1359" i="3"/>
  <c r="B1360" i="3"/>
  <c r="D1360" i="3" s="1"/>
  <c r="B1361" i="3"/>
  <c r="D1361" i="3" s="1"/>
  <c r="B1362" i="3"/>
  <c r="B1363" i="3"/>
  <c r="D1363" i="3" s="1"/>
  <c r="B1364" i="3"/>
  <c r="D1364" i="3" s="1"/>
  <c r="B1365" i="3"/>
  <c r="B1366" i="3"/>
  <c r="B1367" i="3"/>
  <c r="D1367" i="3" s="1"/>
  <c r="B1368" i="3"/>
  <c r="B1369" i="3"/>
  <c r="B1370" i="3"/>
  <c r="B1371" i="3"/>
  <c r="B1372" i="3"/>
  <c r="B1373" i="3"/>
  <c r="B1374" i="3"/>
  <c r="B1375" i="3"/>
  <c r="D1375" i="3" s="1"/>
  <c r="B1376" i="3"/>
  <c r="B1377" i="3"/>
  <c r="D1377" i="3" s="1"/>
  <c r="B1378" i="3"/>
  <c r="B1379" i="3"/>
  <c r="B1380" i="3"/>
  <c r="B1381" i="3"/>
  <c r="B1382" i="3"/>
  <c r="B1383" i="3"/>
  <c r="B1384" i="3"/>
  <c r="B1385" i="3"/>
  <c r="B1386" i="3"/>
  <c r="D1386" i="3" s="1"/>
  <c r="B1387" i="3"/>
  <c r="B1388" i="3"/>
  <c r="B1389" i="3"/>
  <c r="B1390" i="3"/>
  <c r="B1391" i="3"/>
  <c r="B1392" i="3"/>
  <c r="B1393" i="3"/>
  <c r="B1394" i="3"/>
  <c r="B1395" i="3"/>
  <c r="B1396" i="3"/>
  <c r="D1396" i="3" s="1"/>
  <c r="B1397" i="3"/>
  <c r="B1398" i="3"/>
  <c r="D1398" i="3" s="1"/>
  <c r="B1399" i="3"/>
  <c r="B1400" i="3"/>
  <c r="B1401" i="3"/>
  <c r="B1402" i="3"/>
  <c r="B1403" i="3"/>
  <c r="B1404" i="3"/>
  <c r="B1405" i="3"/>
  <c r="D1405" i="3" s="1"/>
  <c r="B1406" i="3"/>
  <c r="B1407" i="3"/>
  <c r="D1407" i="3" s="1"/>
  <c r="B1408" i="3"/>
  <c r="D1408" i="3" s="1"/>
  <c r="B1409" i="3"/>
  <c r="B1410" i="3"/>
  <c r="D1410" i="3" s="1"/>
  <c r="B1411" i="3"/>
  <c r="B1412" i="3"/>
  <c r="B1413" i="3"/>
  <c r="B1414" i="3"/>
  <c r="B1415" i="3"/>
  <c r="B1416" i="3"/>
  <c r="B1417" i="3"/>
  <c r="B1418" i="3"/>
  <c r="D1418" i="3" s="1"/>
  <c r="B1419" i="3"/>
  <c r="B1420" i="3"/>
  <c r="B1421" i="3"/>
  <c r="B1422" i="3"/>
  <c r="D1422" i="3" s="1"/>
  <c r="B1423" i="3"/>
  <c r="D1423" i="3" s="1"/>
  <c r="B1424" i="3"/>
  <c r="D1424" i="3" s="1"/>
  <c r="B1425" i="3"/>
  <c r="B1426" i="3"/>
  <c r="B1427" i="3"/>
  <c r="B1428" i="3"/>
  <c r="B1429" i="3"/>
  <c r="B1430" i="3"/>
  <c r="B1431" i="3"/>
  <c r="B1432" i="3"/>
  <c r="B1433" i="3"/>
  <c r="B1434" i="3"/>
  <c r="D1434" i="3" s="1"/>
  <c r="B1435" i="3"/>
  <c r="D1435" i="3" s="1"/>
  <c r="B1436" i="3"/>
  <c r="B1437" i="3"/>
  <c r="B1438" i="3"/>
  <c r="B1439" i="3"/>
  <c r="B1440" i="3"/>
  <c r="B1441" i="3"/>
  <c r="B1442" i="3"/>
  <c r="B1443" i="3"/>
  <c r="B1444" i="3"/>
  <c r="B1445" i="3"/>
  <c r="D1445" i="3" s="1"/>
  <c r="B1446" i="3"/>
  <c r="D1446" i="3" s="1"/>
  <c r="B1447" i="3"/>
  <c r="D1447" i="3" s="1"/>
  <c r="B1448" i="3"/>
  <c r="B1449" i="3"/>
  <c r="B1450" i="3"/>
  <c r="B1451" i="3"/>
  <c r="B1452" i="3"/>
  <c r="D1452" i="3" s="1"/>
  <c r="B1453" i="3"/>
  <c r="B1454" i="3"/>
  <c r="B1455" i="3"/>
  <c r="B1456" i="3"/>
  <c r="D1456" i="3" s="1"/>
  <c r="B1457" i="3"/>
  <c r="D1457" i="3" s="1"/>
  <c r="B1458" i="3"/>
  <c r="D1458" i="3" s="1"/>
  <c r="B1459" i="3"/>
  <c r="B1460" i="3"/>
  <c r="B1461" i="3"/>
  <c r="B1462" i="3"/>
  <c r="B1463" i="3"/>
  <c r="D1463" i="3" s="1"/>
  <c r="B1464" i="3"/>
  <c r="B1465" i="3"/>
  <c r="B1466" i="3"/>
  <c r="B1467" i="3"/>
  <c r="B1468" i="3"/>
  <c r="D1468" i="3" s="1"/>
  <c r="B1469" i="3"/>
  <c r="D1469" i="3" s="1"/>
  <c r="B1470" i="3"/>
  <c r="B1471" i="3"/>
  <c r="D1471" i="3" s="1"/>
  <c r="B1472" i="3"/>
  <c r="B1473" i="3"/>
  <c r="B1474" i="3"/>
  <c r="B1475" i="3"/>
  <c r="B1476" i="3"/>
  <c r="B1477" i="3"/>
  <c r="B1478" i="3"/>
  <c r="B1479" i="3"/>
  <c r="B1480" i="3"/>
  <c r="B1481" i="3"/>
  <c r="B1482" i="3"/>
  <c r="D1482" i="3" s="1"/>
  <c r="B1483" i="3"/>
  <c r="B1484" i="3"/>
  <c r="B1485" i="3"/>
  <c r="B1486" i="3"/>
  <c r="B1487" i="3"/>
  <c r="B1488" i="3"/>
  <c r="B1489" i="3"/>
  <c r="B1490" i="3"/>
  <c r="B1491" i="3"/>
  <c r="B1492" i="3"/>
  <c r="D1492" i="3" s="1"/>
  <c r="B1493" i="3"/>
  <c r="B1494" i="3"/>
  <c r="B1495" i="3"/>
  <c r="D1495" i="3" s="1"/>
  <c r="B1496" i="3"/>
  <c r="B1497" i="3"/>
  <c r="B1498" i="3"/>
  <c r="B1499" i="3"/>
  <c r="D1499" i="3" s="1"/>
  <c r="B1500" i="3"/>
  <c r="B1501" i="3"/>
  <c r="B1502" i="3"/>
  <c r="B1503" i="3"/>
  <c r="B1504" i="3"/>
  <c r="D1504" i="3" s="1"/>
  <c r="B1505" i="3"/>
  <c r="D1505" i="3" s="1"/>
  <c r="B1506" i="3"/>
  <c r="D1506" i="3" s="1"/>
  <c r="B1507" i="3"/>
  <c r="B1508" i="3"/>
  <c r="B1509" i="3"/>
  <c r="B1510" i="3"/>
  <c r="B1511" i="3"/>
  <c r="B1512" i="3"/>
  <c r="B1513" i="3"/>
  <c r="B1514" i="3"/>
  <c r="B1515" i="3"/>
  <c r="B1516" i="3"/>
  <c r="B1517" i="3"/>
  <c r="D1517" i="3" s="1"/>
  <c r="B1518" i="3"/>
  <c r="D1518" i="3" s="1"/>
  <c r="B1519" i="3"/>
  <c r="B1520" i="3"/>
  <c r="B1521" i="3"/>
  <c r="B1522" i="3"/>
  <c r="B1523" i="3"/>
  <c r="B1524" i="3"/>
  <c r="B1525" i="3"/>
  <c r="B1526" i="3"/>
  <c r="B1527" i="3"/>
  <c r="B1528" i="3"/>
  <c r="D1528" i="3" s="1"/>
  <c r="B1529" i="3"/>
  <c r="B1530" i="3"/>
  <c r="D1530" i="3" s="1"/>
  <c r="B1531" i="3"/>
  <c r="D1531" i="3" s="1"/>
  <c r="B1532" i="3"/>
  <c r="B1533" i="3"/>
  <c r="B1534" i="3"/>
  <c r="B1535" i="3"/>
  <c r="B1536" i="3"/>
  <c r="B1537" i="3"/>
  <c r="B1538" i="3"/>
  <c r="B1539" i="3"/>
  <c r="B1540" i="3"/>
  <c r="D1540" i="3" s="1"/>
  <c r="B1541" i="3"/>
  <c r="B1542" i="3"/>
  <c r="D1542" i="3" s="1"/>
  <c r="B1543" i="3"/>
  <c r="B1544" i="3"/>
  <c r="B1545" i="3"/>
  <c r="B1546" i="3"/>
  <c r="B1547" i="3"/>
  <c r="D1547" i="3" s="1"/>
  <c r="B1548" i="3"/>
  <c r="B1549" i="3"/>
  <c r="B1550" i="3"/>
  <c r="D1550" i="3" s="1"/>
  <c r="B1551" i="3"/>
  <c r="B1552" i="3"/>
  <c r="B1553" i="3"/>
  <c r="B1554" i="3"/>
  <c r="D1554" i="3" s="1"/>
  <c r="B1555" i="3"/>
  <c r="D1555" i="3" s="1"/>
  <c r="B1556" i="3"/>
  <c r="B1557" i="3"/>
  <c r="B1558" i="3"/>
  <c r="B1559" i="3"/>
  <c r="D1559" i="3" s="1"/>
  <c r="B1560" i="3"/>
  <c r="B1561" i="3"/>
  <c r="B1562" i="3"/>
  <c r="B1563" i="3"/>
  <c r="B1564" i="3"/>
  <c r="D1564" i="3" s="1"/>
  <c r="B1565" i="3"/>
  <c r="D1565" i="3" s="1"/>
  <c r="B1566" i="3"/>
  <c r="D1566" i="3" s="1"/>
  <c r="B1567" i="3"/>
  <c r="D1567" i="3" s="1"/>
  <c r="B1568" i="3"/>
  <c r="D1568" i="3" s="1"/>
  <c r="B1569" i="3"/>
  <c r="B1570" i="3"/>
  <c r="B1571" i="3"/>
  <c r="B1572" i="3"/>
  <c r="B1573" i="3"/>
  <c r="B1574" i="3"/>
  <c r="B1575" i="3"/>
  <c r="D1575" i="3" s="1"/>
  <c r="B1576" i="3"/>
  <c r="D1576" i="3" s="1"/>
  <c r="B1577" i="3"/>
  <c r="B1578" i="3"/>
  <c r="B1579" i="3"/>
  <c r="D1579" i="3" s="1"/>
  <c r="B1580" i="3"/>
  <c r="B1581" i="3"/>
  <c r="B1582" i="3"/>
  <c r="B1583" i="3"/>
  <c r="B1584" i="3"/>
  <c r="B1585" i="3"/>
  <c r="B1586" i="3"/>
  <c r="B1587" i="3"/>
  <c r="B1588" i="3"/>
  <c r="D1588" i="3" s="1"/>
  <c r="B1589" i="3"/>
  <c r="B1590" i="3"/>
  <c r="D1590" i="3" s="1"/>
  <c r="B1591" i="3"/>
  <c r="B1592" i="3"/>
  <c r="D1592" i="3" s="1"/>
  <c r="B1593" i="3"/>
  <c r="B1594" i="3"/>
  <c r="B1595" i="3"/>
  <c r="B1596" i="3"/>
  <c r="B1597" i="3"/>
  <c r="B1598" i="3"/>
  <c r="B1599" i="3"/>
  <c r="B1600" i="3"/>
  <c r="D1600" i="3" s="1"/>
  <c r="B1601" i="3"/>
  <c r="B1602" i="3"/>
  <c r="D1602" i="3" s="1"/>
  <c r="B1603" i="3"/>
  <c r="B1604" i="3"/>
  <c r="D1604" i="3" s="1"/>
  <c r="B1605" i="3"/>
  <c r="B1606" i="3"/>
  <c r="B1607" i="3"/>
  <c r="B1608" i="3"/>
  <c r="B1609" i="3"/>
  <c r="B1610" i="3"/>
  <c r="B1611" i="3"/>
  <c r="B1612" i="3"/>
  <c r="D1612" i="3" s="1"/>
  <c r="B1613" i="3"/>
  <c r="D1613" i="3" s="1"/>
  <c r="B1614" i="3"/>
  <c r="D1614" i="3" s="1"/>
  <c r="B1615" i="3"/>
  <c r="B1616" i="3"/>
  <c r="D1616" i="3" s="1"/>
  <c r="B1617" i="3"/>
  <c r="B1618" i="3"/>
  <c r="B1619" i="3"/>
  <c r="D1619" i="3" s="1"/>
  <c r="B1620" i="3"/>
  <c r="B1621" i="3"/>
  <c r="B1622" i="3"/>
  <c r="B1623" i="3"/>
  <c r="B1624" i="3"/>
  <c r="D1624" i="3" s="1"/>
  <c r="B1625" i="3"/>
  <c r="B1626" i="3"/>
  <c r="D1626" i="3" s="1"/>
  <c r="B1627" i="3"/>
  <c r="B1628" i="3"/>
  <c r="B1629" i="3"/>
  <c r="B1630" i="3"/>
  <c r="B1631" i="3"/>
  <c r="D1631" i="3" s="1"/>
  <c r="B1632" i="3"/>
  <c r="B1633" i="3"/>
  <c r="B1634" i="3"/>
  <c r="B1635" i="3"/>
  <c r="B1636" i="3"/>
  <c r="B1637" i="3"/>
  <c r="D1637" i="3" s="1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D1650" i="3" s="1"/>
  <c r="B1651" i="3"/>
  <c r="B1652" i="3"/>
  <c r="B1653" i="3"/>
  <c r="B1654" i="3"/>
  <c r="B1655" i="3"/>
  <c r="B1656" i="3"/>
  <c r="B1657" i="3"/>
  <c r="B1658" i="3"/>
  <c r="B1659" i="3"/>
  <c r="B1660" i="3"/>
  <c r="D1660" i="3" s="1"/>
  <c r="B1661" i="3"/>
  <c r="B1662" i="3"/>
  <c r="B1663" i="3"/>
  <c r="D1663" i="3" s="1"/>
  <c r="B1664" i="3"/>
  <c r="B1665" i="3"/>
  <c r="B1666" i="3"/>
  <c r="B1667" i="3"/>
  <c r="D1667" i="3" s="1"/>
  <c r="B1668" i="3"/>
  <c r="B1669" i="3"/>
  <c r="B1670" i="3"/>
  <c r="B1671" i="3"/>
  <c r="B1672" i="3"/>
  <c r="D1672" i="3" s="1"/>
  <c r="B1673" i="3"/>
  <c r="B1674" i="3"/>
  <c r="D1674" i="3" s="1"/>
  <c r="B1675" i="3"/>
  <c r="D1675" i="3" s="1"/>
  <c r="B1676" i="3"/>
  <c r="B1677" i="3"/>
  <c r="B1678" i="3"/>
  <c r="B1679" i="3"/>
  <c r="D1679" i="3" s="1"/>
  <c r="B1680" i="3"/>
  <c r="B1681" i="3"/>
  <c r="B1682" i="3"/>
  <c r="B1683" i="3"/>
  <c r="B1684" i="3"/>
  <c r="D1684" i="3" s="1"/>
  <c r="B1685" i="3"/>
  <c r="B1686" i="3"/>
  <c r="B1687" i="3"/>
  <c r="B1688" i="3"/>
  <c r="D1688" i="3" s="1"/>
  <c r="B1689" i="3"/>
  <c r="B1690" i="3"/>
  <c r="B1691" i="3"/>
  <c r="D1691" i="3" s="1"/>
  <c r="B1692" i="3"/>
  <c r="B1693" i="3"/>
  <c r="B1694" i="3"/>
  <c r="B1695" i="3"/>
  <c r="B1696" i="3"/>
  <c r="B1697" i="3"/>
  <c r="B1698" i="3"/>
  <c r="D1698" i="3" s="1"/>
  <c r="B1699" i="3"/>
  <c r="B1700" i="3"/>
  <c r="B1701" i="3"/>
  <c r="B1702" i="3"/>
  <c r="B1703" i="3"/>
  <c r="B1704" i="3"/>
  <c r="B1705" i="3"/>
  <c r="B1706" i="3"/>
  <c r="B1707" i="3"/>
  <c r="B1708" i="3"/>
  <c r="D1708" i="3" s="1"/>
  <c r="B1709" i="3"/>
  <c r="B1710" i="3"/>
  <c r="B1711" i="3"/>
  <c r="D1711" i="3" s="1"/>
  <c r="B1712" i="3"/>
  <c r="B1713" i="3"/>
  <c r="B1714" i="3"/>
  <c r="B1715" i="3"/>
  <c r="D1715" i="3" s="1"/>
  <c r="B1716" i="3"/>
  <c r="B1717" i="3"/>
  <c r="B1718" i="3"/>
  <c r="B1719" i="3"/>
  <c r="B1720" i="3"/>
  <c r="D1720" i="3" s="1"/>
  <c r="B1721" i="3"/>
  <c r="D1721" i="3" s="1"/>
  <c r="B1722" i="3"/>
  <c r="B1723" i="3"/>
  <c r="B1724" i="3"/>
  <c r="B1725" i="3"/>
  <c r="B1726" i="3"/>
  <c r="B1727" i="3"/>
  <c r="B1728" i="3"/>
  <c r="B1729" i="3"/>
  <c r="B1730" i="3"/>
  <c r="D1730" i="3" s="1"/>
  <c r="B1731" i="3"/>
  <c r="B1732" i="3"/>
  <c r="D1732" i="3" s="1"/>
  <c r="B1733" i="3"/>
  <c r="B1734" i="3"/>
  <c r="D1734" i="3" s="1"/>
  <c r="B1735" i="3"/>
  <c r="B1736" i="3"/>
  <c r="B1737" i="3"/>
  <c r="B1738" i="3"/>
  <c r="B1739" i="3"/>
  <c r="D1739" i="3" s="1"/>
  <c r="B1740" i="3"/>
  <c r="B1741" i="3"/>
  <c r="B1742" i="3"/>
  <c r="B1743" i="3"/>
  <c r="B1744" i="3"/>
  <c r="D1744" i="3" s="1"/>
  <c r="B1745" i="3"/>
  <c r="D1745" i="3" s="1"/>
  <c r="B1746" i="3"/>
  <c r="D1746" i="3" s="1"/>
  <c r="B1747" i="3"/>
  <c r="B1748" i="3"/>
  <c r="B1749" i="3"/>
  <c r="B1750" i="3"/>
  <c r="B1751" i="3"/>
  <c r="B1752" i="3"/>
  <c r="B1753" i="3"/>
  <c r="B1754" i="3"/>
  <c r="B1755" i="3"/>
  <c r="B1756" i="3"/>
  <c r="B1757" i="3"/>
  <c r="D1757" i="3" s="1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D1770" i="3" s="1"/>
  <c r="B1771" i="3"/>
  <c r="D1771" i="3" s="1"/>
  <c r="B1772" i="3"/>
  <c r="B1773" i="3"/>
  <c r="B1774" i="3"/>
  <c r="B1775" i="3"/>
  <c r="D1775" i="3" s="1"/>
  <c r="B1776" i="3"/>
  <c r="B1777" i="3"/>
  <c r="B1778" i="3"/>
  <c r="B1779" i="3"/>
  <c r="B1780" i="3"/>
  <c r="D1780" i="3" s="1"/>
  <c r="B1781" i="3"/>
  <c r="B1782" i="3"/>
  <c r="D1782" i="3" s="1"/>
  <c r="B1783" i="3"/>
  <c r="D1783" i="3" s="1"/>
  <c r="B1784" i="3"/>
  <c r="D1784" i="3" s="1"/>
  <c r="B1785" i="3"/>
  <c r="B1786" i="3"/>
  <c r="B1787" i="3"/>
  <c r="B1788" i="3"/>
  <c r="B1789" i="3"/>
  <c r="B1790" i="3"/>
  <c r="B1791" i="3"/>
  <c r="B1792" i="3"/>
  <c r="D1792" i="3" s="1"/>
  <c r="B1793" i="3"/>
  <c r="B1794" i="3"/>
  <c r="D1794" i="3" s="1"/>
  <c r="B1795" i="3"/>
  <c r="B1796" i="3"/>
  <c r="B1797" i="3"/>
  <c r="B1798" i="3"/>
  <c r="B1799" i="3"/>
  <c r="B1800" i="3"/>
  <c r="B1801" i="3"/>
  <c r="B1802" i="3"/>
  <c r="B1803" i="3"/>
  <c r="B1804" i="3"/>
  <c r="D1804" i="3" s="1"/>
  <c r="B1805" i="3"/>
  <c r="B1806" i="3"/>
  <c r="D1806" i="3" s="1"/>
  <c r="B1807" i="3"/>
  <c r="B1808" i="3"/>
  <c r="B1809" i="3"/>
  <c r="B1810" i="3"/>
  <c r="B1811" i="3"/>
  <c r="D1811" i="3" s="1"/>
  <c r="B1812" i="3"/>
  <c r="B1813" i="3"/>
  <c r="B1814" i="3"/>
  <c r="B1815" i="3"/>
  <c r="D1815" i="3" s="1"/>
  <c r="B1816" i="3"/>
  <c r="D1816" i="3" s="1"/>
  <c r="B1817" i="3"/>
  <c r="D1817" i="3" s="1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D1835" i="3" s="1"/>
  <c r="B1836" i="3"/>
  <c r="B1837" i="3"/>
  <c r="B1838" i="3"/>
  <c r="B1839" i="3"/>
  <c r="B1840" i="3"/>
  <c r="D1840" i="3" s="1"/>
  <c r="B1841" i="3"/>
  <c r="D1841" i="3" s="1"/>
  <c r="B1842" i="3"/>
  <c r="D1842" i="3" s="1"/>
  <c r="B1843" i="3"/>
  <c r="D1843" i="3" s="1"/>
  <c r="B1844" i="3"/>
  <c r="B1845" i="3"/>
  <c r="B1846" i="3"/>
  <c r="B1847" i="3"/>
  <c r="B1848" i="3"/>
  <c r="B1849" i="3"/>
  <c r="B1850" i="3"/>
  <c r="B1851" i="3"/>
  <c r="D1851" i="3" s="1"/>
  <c r="B1852" i="3"/>
  <c r="B1853" i="3"/>
  <c r="D1853" i="3" s="1"/>
  <c r="B1854" i="3"/>
  <c r="B1855" i="3"/>
  <c r="D1855" i="3" s="1"/>
  <c r="B1856" i="3"/>
  <c r="B1857" i="3"/>
  <c r="B1858" i="3"/>
  <c r="B1859" i="3"/>
  <c r="B1860" i="3"/>
  <c r="B1861" i="3"/>
  <c r="B1862" i="3"/>
  <c r="B1863" i="3"/>
  <c r="B1864" i="3"/>
  <c r="D1864" i="3" s="1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D1876" i="3" s="1"/>
  <c r="B1877" i="3"/>
  <c r="D1877" i="3" s="1"/>
  <c r="B1878" i="3"/>
  <c r="D1878" i="3" s="1"/>
  <c r="B1879" i="3"/>
  <c r="B1880" i="3"/>
  <c r="B1881" i="3"/>
  <c r="B1882" i="3"/>
  <c r="B1883" i="3"/>
  <c r="B1884" i="3"/>
  <c r="B1885" i="3"/>
  <c r="B1886" i="3"/>
  <c r="B1887" i="3"/>
  <c r="B1888" i="3"/>
  <c r="D1888" i="3" s="1"/>
  <c r="B1889" i="3"/>
  <c r="D1889" i="3" s="1"/>
  <c r="B1890" i="3"/>
  <c r="D1890" i="3" s="1"/>
  <c r="B1891" i="3"/>
  <c r="D1891" i="3" s="1"/>
  <c r="B1892" i="3"/>
  <c r="D1892" i="3" s="1"/>
  <c r="B1893" i="3"/>
  <c r="B1894" i="3"/>
  <c r="B1895" i="3"/>
  <c r="B1896" i="3"/>
  <c r="B1897" i="3"/>
  <c r="B1898" i="3"/>
  <c r="B1899" i="3"/>
  <c r="B1900" i="3"/>
  <c r="D1900" i="3" s="1"/>
  <c r="B1901" i="3"/>
  <c r="D1901" i="3" s="1"/>
  <c r="B1902" i="3"/>
  <c r="B1903" i="3"/>
  <c r="D1903" i="3" s="1"/>
  <c r="B1904" i="3"/>
  <c r="B1905" i="3"/>
  <c r="D1905" i="3" s="1"/>
  <c r="B1906" i="3"/>
  <c r="B1907" i="3"/>
  <c r="B1908" i="3"/>
  <c r="B1909" i="3"/>
  <c r="B1910" i="3"/>
  <c r="B1911" i="3"/>
  <c r="B1912" i="3"/>
  <c r="D1912" i="3" s="1"/>
  <c r="B1913" i="3"/>
  <c r="D1913" i="3" s="1"/>
  <c r="B1914" i="3"/>
  <c r="B1915" i="3"/>
  <c r="B1916" i="3"/>
  <c r="B1917" i="3"/>
  <c r="B1918" i="3"/>
  <c r="B1919" i="3"/>
  <c r="D1919" i="3" s="1"/>
  <c r="B1920" i="3"/>
  <c r="B1921" i="3"/>
  <c r="B1922" i="3"/>
  <c r="B1923" i="3"/>
  <c r="B1924" i="3"/>
  <c r="B1925" i="3"/>
  <c r="D1925" i="3" s="1"/>
  <c r="B1926" i="3"/>
  <c r="D1926" i="3" s="1"/>
  <c r="B1927" i="3"/>
  <c r="D1927" i="3" s="1"/>
  <c r="B1928" i="3"/>
  <c r="B1929" i="3"/>
  <c r="B1930" i="3"/>
  <c r="B1931" i="3"/>
  <c r="B1932" i="3"/>
  <c r="B1933" i="3"/>
  <c r="B1934" i="3"/>
  <c r="B1935" i="3"/>
  <c r="D1935" i="3" s="1"/>
  <c r="B1936" i="3"/>
  <c r="D1936" i="3" s="1"/>
  <c r="B1937" i="3"/>
  <c r="D1937" i="3" s="1"/>
  <c r="B1938" i="3"/>
  <c r="D1938" i="3" s="1"/>
  <c r="B1939" i="3"/>
  <c r="D1939" i="3" s="1"/>
  <c r="B1940" i="3"/>
  <c r="B1941" i="3"/>
  <c r="D1941" i="3" s="1"/>
  <c r="B1942" i="3"/>
  <c r="B1943" i="3"/>
  <c r="D1943" i="3" s="1"/>
  <c r="B1944" i="3"/>
  <c r="B1945" i="3"/>
  <c r="B1946" i="3"/>
  <c r="B1947" i="3"/>
  <c r="B1948" i="3"/>
  <c r="D1948" i="3" s="1"/>
  <c r="B1949" i="3"/>
  <c r="D1949" i="3" s="1"/>
  <c r="B1950" i="3"/>
  <c r="B1951" i="3"/>
  <c r="B1952" i="3"/>
  <c r="B1953" i="3"/>
  <c r="B1954" i="3"/>
  <c r="B1955" i="3"/>
  <c r="D1955" i="3" s="1"/>
  <c r="B1956" i="3"/>
  <c r="B1957" i="3"/>
  <c r="B1958" i="3"/>
  <c r="B1959" i="3"/>
  <c r="B1960" i="3"/>
  <c r="D1960" i="3" s="1"/>
  <c r="B1961" i="3"/>
  <c r="B1962" i="3"/>
  <c r="B1963" i="3"/>
  <c r="D1963" i="3" s="1"/>
  <c r="B1964" i="3"/>
  <c r="D1964" i="3" s="1"/>
  <c r="B1965" i="3"/>
  <c r="D1965" i="3" s="1"/>
  <c r="B1966" i="3"/>
  <c r="B1967" i="3"/>
  <c r="B1968" i="3"/>
  <c r="B1969" i="3"/>
  <c r="B1970" i="3"/>
  <c r="B1971" i="3"/>
  <c r="B1972" i="3"/>
  <c r="B1973" i="3"/>
  <c r="D1973" i="3" s="1"/>
  <c r="B1974" i="3"/>
  <c r="D1974" i="3" s="1"/>
  <c r="B1975" i="3"/>
  <c r="B1976" i="3"/>
  <c r="B1977" i="3"/>
  <c r="B1978" i="3"/>
  <c r="B1979" i="3"/>
  <c r="B1980" i="3"/>
  <c r="B1981" i="3"/>
  <c r="B1982" i="3"/>
  <c r="B1983" i="3"/>
  <c r="B1984" i="3"/>
  <c r="D1984" i="3" s="1"/>
  <c r="B1985" i="3"/>
  <c r="B1986" i="3"/>
  <c r="D1986" i="3" s="1"/>
  <c r="B1987" i="3"/>
  <c r="B1988" i="3"/>
  <c r="B1989" i="3"/>
  <c r="B1990" i="3"/>
  <c r="B1991" i="3"/>
  <c r="D1991" i="3" s="1"/>
  <c r="B1992" i="3"/>
  <c r="B1993" i="3"/>
  <c r="B1994" i="3"/>
  <c r="B1995" i="3"/>
  <c r="B1996" i="3"/>
  <c r="D1996" i="3" s="1"/>
  <c r="B1997" i="3"/>
  <c r="D1997" i="3" s="1"/>
  <c r="B1998" i="3"/>
  <c r="D1998" i="3" s="1"/>
  <c r="B1999" i="3"/>
  <c r="B2000" i="3"/>
  <c r="B2001" i="3"/>
  <c r="B2002" i="3"/>
  <c r="B2003" i="3"/>
  <c r="D2003" i="3" s="1"/>
  <c r="B2004" i="3"/>
  <c r="B2005" i="3"/>
  <c r="B2006" i="3"/>
  <c r="D2006" i="3" s="1"/>
  <c r="B2007" i="3"/>
  <c r="B2008" i="3"/>
  <c r="D2008" i="3" s="1"/>
  <c r="B2009" i="3"/>
  <c r="B2010" i="3"/>
  <c r="B2011" i="3"/>
  <c r="D2011" i="3" s="1"/>
  <c r="B2012" i="3"/>
  <c r="B2013" i="3"/>
  <c r="B2014" i="3"/>
  <c r="B2015" i="3"/>
  <c r="B2016" i="3"/>
  <c r="B2017" i="3"/>
  <c r="B2018" i="3"/>
  <c r="D2018" i="3" s="1"/>
  <c r="B2019" i="3"/>
  <c r="B2020" i="3"/>
  <c r="D2020" i="3" s="1"/>
  <c r="B2021" i="3"/>
  <c r="B2022" i="3"/>
  <c r="D2022" i="3" s="1"/>
  <c r="B2023" i="3"/>
  <c r="B2024" i="3"/>
  <c r="B2025" i="3"/>
  <c r="B2026" i="3"/>
  <c r="B2027" i="3"/>
  <c r="D2027" i="3" s="1"/>
  <c r="B2028" i="3"/>
  <c r="B2029" i="3"/>
  <c r="B2030" i="3"/>
  <c r="B2031" i="3"/>
  <c r="B2032" i="3"/>
  <c r="D2032" i="3" s="1"/>
  <c r="B2033" i="3"/>
  <c r="D2033" i="3" s="1"/>
  <c r="B2034" i="3"/>
  <c r="B2035" i="3"/>
  <c r="D2035" i="3" s="1"/>
  <c r="B2036" i="3"/>
  <c r="B2037" i="3"/>
  <c r="B2038" i="3"/>
  <c r="B2039" i="3"/>
  <c r="D2039" i="3" s="1"/>
  <c r="B2040" i="3"/>
  <c r="B2041" i="3"/>
  <c r="B2042" i="3"/>
  <c r="B2043" i="3"/>
  <c r="B2044" i="3"/>
  <c r="D2044" i="3" s="1"/>
  <c r="B2045" i="3"/>
  <c r="B2046" i="3"/>
  <c r="D2046" i="3" s="1"/>
  <c r="B2047" i="3"/>
  <c r="D2047" i="3" s="1"/>
  <c r="B2048" i="3"/>
  <c r="B2049" i="3"/>
  <c r="B2050" i="3"/>
  <c r="B2051" i="3"/>
  <c r="D2051" i="3" s="1"/>
  <c r="B2052" i="3"/>
  <c r="B2053" i="3"/>
  <c r="B2054" i="3"/>
  <c r="B2055" i="3"/>
  <c r="B2056" i="3"/>
  <c r="B2057" i="3"/>
  <c r="B2058" i="3"/>
  <c r="B2059" i="3"/>
  <c r="B2060" i="3"/>
  <c r="B2061" i="3"/>
  <c r="B2062" i="3"/>
  <c r="D2062" i="3" s="1"/>
  <c r="B2063" i="3"/>
  <c r="B2064" i="3"/>
  <c r="B2065" i="3"/>
  <c r="B2066" i="3"/>
  <c r="B2067" i="3"/>
  <c r="B2068" i="3"/>
  <c r="B2069" i="3"/>
  <c r="D2069" i="3" s="1"/>
  <c r="B2070" i="3"/>
  <c r="B2071" i="3"/>
  <c r="B2072" i="3"/>
  <c r="B2073" i="3"/>
  <c r="B2074" i="3"/>
  <c r="B2075" i="3"/>
  <c r="D2075" i="3" s="1"/>
  <c r="B2076" i="3"/>
  <c r="B2077" i="3"/>
  <c r="B2078" i="3"/>
  <c r="B2079" i="3"/>
  <c r="B2080" i="3"/>
  <c r="D2080" i="3" s="1"/>
  <c r="B2081" i="3"/>
  <c r="D2081" i="3" s="1"/>
  <c r="B2082" i="3"/>
  <c r="D2082" i="3" s="1"/>
  <c r="B2083" i="3"/>
  <c r="B2084" i="3"/>
  <c r="B2085" i="3"/>
  <c r="B2086" i="3"/>
  <c r="B2087" i="3"/>
  <c r="B2088" i="3"/>
  <c r="B2089" i="3"/>
  <c r="B2090" i="3"/>
  <c r="B2091" i="3"/>
  <c r="D2091" i="3" s="1"/>
  <c r="B2092" i="3"/>
  <c r="D2092" i="3" s="1"/>
  <c r="B2093" i="3"/>
  <c r="D2093" i="3" s="1"/>
  <c r="B2094" i="3"/>
  <c r="D2094" i="3" s="1"/>
  <c r="B2095" i="3"/>
  <c r="D2095" i="3" s="1"/>
  <c r="B2096" i="3"/>
  <c r="B2097" i="3"/>
  <c r="B2098" i="3"/>
  <c r="D2098" i="3" s="1"/>
  <c r="B2099" i="3"/>
  <c r="D2099" i="3" s="1"/>
  <c r="B2100" i="3"/>
  <c r="B2101" i="3"/>
  <c r="B2102" i="3"/>
  <c r="B2103" i="3"/>
  <c r="D2103" i="3" s="1"/>
  <c r="B2104" i="3"/>
  <c r="D2104" i="3" s="1"/>
  <c r="B2105" i="3"/>
  <c r="D2105" i="3" s="1"/>
  <c r="B2106" i="3"/>
  <c r="D2106" i="3" s="1"/>
  <c r="B2107" i="3"/>
  <c r="B2108" i="3"/>
  <c r="B2109" i="3"/>
  <c r="B2110" i="3"/>
  <c r="B2111" i="3"/>
  <c r="D2111" i="3" s="1"/>
  <c r="B2112" i="3"/>
  <c r="B2113" i="3"/>
  <c r="B2114" i="3"/>
  <c r="B2115" i="3"/>
  <c r="B2116" i="3"/>
  <c r="D2116" i="3" s="1"/>
  <c r="B2117" i="3"/>
  <c r="B2118" i="3"/>
  <c r="B2119" i="3"/>
  <c r="D2119" i="3" s="1"/>
  <c r="B2120" i="3"/>
  <c r="B2121" i="3"/>
  <c r="B2122" i="3"/>
  <c r="B2123" i="3"/>
  <c r="D2123" i="3" s="1"/>
  <c r="B2124" i="3"/>
  <c r="B2125" i="3"/>
  <c r="B2126" i="3"/>
  <c r="B2127" i="3"/>
  <c r="B2128" i="3"/>
  <c r="B2129" i="3"/>
  <c r="D2129" i="3" s="1"/>
  <c r="B2130" i="3"/>
  <c r="B2131" i="3"/>
  <c r="B2132" i="3"/>
  <c r="B2133" i="3"/>
  <c r="B2134" i="3"/>
  <c r="B2135" i="3"/>
  <c r="D2135" i="3" s="1"/>
  <c r="B2136" i="3"/>
  <c r="B2137" i="3"/>
  <c r="B2138" i="3"/>
  <c r="B2139" i="3"/>
  <c r="B2140" i="3"/>
  <c r="B2141" i="3"/>
  <c r="D2141" i="3" s="1"/>
  <c r="B2142" i="3"/>
  <c r="D2142" i="3" s="1"/>
  <c r="B2143" i="3"/>
  <c r="D2143" i="3" s="1"/>
  <c r="B2144" i="3"/>
  <c r="B2145" i="3"/>
  <c r="B2146" i="3"/>
  <c r="B2147" i="3"/>
  <c r="B2148" i="3"/>
  <c r="B2149" i="3"/>
  <c r="B2150" i="3"/>
  <c r="B2151" i="3"/>
  <c r="D2151" i="3" s="1"/>
  <c r="B2152" i="3"/>
  <c r="B2153" i="3"/>
  <c r="D2153" i="3" s="1"/>
  <c r="B2154" i="3"/>
  <c r="B2155" i="3"/>
  <c r="D2155" i="3" s="1"/>
  <c r="B2156" i="3"/>
  <c r="B2157" i="3"/>
  <c r="B2158" i="3"/>
  <c r="B2159" i="3"/>
  <c r="B2160" i="3"/>
  <c r="B2161" i="3"/>
  <c r="B2162" i="3"/>
  <c r="B2163" i="3"/>
  <c r="B2164" i="3"/>
  <c r="D2164" i="3" s="1"/>
  <c r="B2165" i="3"/>
  <c r="D2165" i="3" s="1"/>
  <c r="B2166" i="3"/>
  <c r="B2167" i="3"/>
  <c r="D2167" i="3" s="1"/>
  <c r="B2168" i="3"/>
  <c r="B2169" i="3"/>
  <c r="B2170" i="3"/>
  <c r="B2171" i="3"/>
  <c r="B2172" i="3"/>
  <c r="B2173" i="3"/>
  <c r="B2174" i="3"/>
  <c r="B2175" i="3"/>
  <c r="B2176" i="3"/>
  <c r="D2176" i="3" s="1"/>
  <c r="B2177" i="3"/>
  <c r="D2177" i="3" s="1"/>
  <c r="B2178" i="3"/>
  <c r="B2179" i="3"/>
  <c r="B2180" i="3"/>
  <c r="B2181" i="3"/>
  <c r="B2182" i="3"/>
  <c r="B2183" i="3"/>
  <c r="D2183" i="3" s="1"/>
  <c r="B2184" i="3"/>
  <c r="B2185" i="3"/>
  <c r="B2186" i="3"/>
  <c r="B2187" i="3"/>
  <c r="B2188" i="3"/>
  <c r="D2188" i="3" s="1"/>
  <c r="B2189" i="3"/>
  <c r="D2189" i="3" s="1"/>
  <c r="B2190" i="3"/>
  <c r="B2191" i="3"/>
  <c r="D2191" i="3" s="1"/>
  <c r="B2192" i="3"/>
  <c r="B2193" i="3"/>
  <c r="B2194" i="3"/>
  <c r="D2194" i="3" s="1"/>
  <c r="B2195" i="3"/>
  <c r="D2195" i="3" s="1"/>
  <c r="B2196" i="3"/>
  <c r="B2197" i="3"/>
  <c r="B2198" i="3"/>
  <c r="B2199" i="3"/>
  <c r="B2200" i="3"/>
  <c r="D2200" i="3" s="1"/>
  <c r="B2201" i="3"/>
  <c r="D2201" i="3" s="1"/>
  <c r="B2202" i="3"/>
  <c r="D2202" i="3" s="1"/>
  <c r="B2203" i="3"/>
  <c r="B2204" i="3"/>
  <c r="B2205" i="3"/>
  <c r="B2206" i="3"/>
  <c r="B2207" i="3"/>
  <c r="D2207" i="3" s="1"/>
  <c r="B2208" i="3"/>
  <c r="B2209" i="3"/>
  <c r="B2210" i="3"/>
  <c r="B2211" i="3"/>
  <c r="B2212" i="3"/>
  <c r="D2212" i="3" s="1"/>
  <c r="B2213" i="3"/>
  <c r="D2213" i="3" s="1"/>
  <c r="B2214" i="3"/>
  <c r="D2214" i="3" s="1"/>
  <c r="B2215" i="3"/>
  <c r="B2216" i="3"/>
  <c r="B2217" i="3"/>
  <c r="B2218" i="3"/>
  <c r="B2219" i="3"/>
  <c r="D2219" i="3" s="1"/>
  <c r="B2220" i="3"/>
  <c r="B2221" i="3"/>
  <c r="B2222" i="3"/>
  <c r="B2223" i="3"/>
  <c r="B2224" i="3"/>
  <c r="D2224" i="3" s="1"/>
  <c r="B2225" i="3"/>
  <c r="D2225" i="3" s="1"/>
  <c r="B2226" i="3"/>
  <c r="B2227" i="3"/>
  <c r="B2228" i="3"/>
  <c r="B2229" i="3"/>
  <c r="B2230" i="3"/>
  <c r="B2231" i="3"/>
  <c r="B2232" i="3"/>
  <c r="B2233" i="3"/>
  <c r="B2234" i="3"/>
  <c r="D2234" i="3" s="1"/>
  <c r="B2235" i="3"/>
  <c r="B2236" i="3"/>
  <c r="D2236" i="3" s="1"/>
  <c r="B2237" i="3"/>
  <c r="B2238" i="3"/>
  <c r="D2238" i="3" s="1"/>
  <c r="B2239" i="3"/>
  <c r="B2240" i="3"/>
  <c r="B2241" i="3"/>
  <c r="B2242" i="3"/>
  <c r="B2243" i="3"/>
  <c r="B2244" i="3"/>
  <c r="B2245" i="3"/>
  <c r="B2246" i="3"/>
  <c r="B2247" i="3"/>
  <c r="B2248" i="3"/>
  <c r="D2248" i="3" s="1"/>
  <c r="B2249" i="3"/>
  <c r="D2249" i="3" s="1"/>
  <c r="B2250" i="3"/>
  <c r="D2250" i="3" s="1"/>
  <c r="B2251" i="3"/>
  <c r="D2251" i="3" s="1"/>
  <c r="B2252" i="3"/>
  <c r="B2253" i="3"/>
  <c r="B2254" i="3"/>
  <c r="B2255" i="3"/>
  <c r="D2255" i="3" s="1"/>
  <c r="B2256" i="3"/>
  <c r="B2257" i="3"/>
  <c r="B2258" i="3"/>
  <c r="B2259" i="3"/>
  <c r="B2260" i="3"/>
  <c r="D2260" i="3" s="1"/>
  <c r="B2261" i="3"/>
  <c r="D2261" i="3" s="1"/>
  <c r="B2262" i="3"/>
  <c r="B2263" i="3"/>
  <c r="B2264" i="3"/>
  <c r="B2265" i="3"/>
  <c r="B2266" i="3"/>
  <c r="B2267" i="3"/>
  <c r="D2267" i="3" s="1"/>
  <c r="B2268" i="3"/>
  <c r="B2269" i="3"/>
  <c r="B2270" i="3"/>
  <c r="B2271" i="3"/>
  <c r="B2272" i="3"/>
  <c r="D2272" i="3" s="1"/>
  <c r="B2273" i="3"/>
  <c r="B2274" i="3"/>
  <c r="D2274" i="3" s="1"/>
  <c r="B2275" i="3"/>
  <c r="B2276" i="3"/>
  <c r="B2277" i="3"/>
  <c r="B2278" i="3"/>
  <c r="B2279" i="3"/>
  <c r="D2279" i="3" s="1"/>
  <c r="B2280" i="3"/>
  <c r="B2281" i="3"/>
  <c r="B2282" i="3"/>
  <c r="B2283" i="3"/>
  <c r="B2284" i="3"/>
  <c r="D2284" i="3" s="1"/>
  <c r="B2285" i="3"/>
  <c r="D2285" i="3" s="1"/>
  <c r="B2286" i="3"/>
  <c r="B2287" i="3"/>
  <c r="B2288" i="3"/>
  <c r="B2289" i="3"/>
  <c r="B2290" i="3"/>
  <c r="B2291" i="3"/>
  <c r="D2291" i="3" s="1"/>
  <c r="B2292" i="3"/>
  <c r="B2293" i="3"/>
  <c r="B2294" i="3"/>
  <c r="B2295" i="3"/>
  <c r="B2296" i="3"/>
  <c r="D2296" i="3" s="1"/>
  <c r="B2297" i="3"/>
  <c r="D2297" i="3" s="1"/>
  <c r="B2298" i="3"/>
  <c r="B2299" i="3"/>
  <c r="B2300" i="3"/>
  <c r="B2301" i="3"/>
  <c r="B2302" i="3"/>
  <c r="B2303" i="3"/>
  <c r="D2303" i="3" s="1"/>
  <c r="B2304" i="3"/>
  <c r="B2305" i="3"/>
  <c r="B2306" i="3"/>
  <c r="B2307" i="3"/>
  <c r="B2308" i="3"/>
  <c r="B2309" i="3"/>
  <c r="B2310" i="3"/>
  <c r="D2310" i="3" s="1"/>
  <c r="B2311" i="3"/>
  <c r="B2312" i="3"/>
  <c r="B2313" i="3"/>
  <c r="B2314" i="3"/>
  <c r="B2315" i="3"/>
  <c r="D2315" i="3" s="1"/>
  <c r="B2316" i="3"/>
  <c r="B2317" i="3"/>
  <c r="B2318" i="3"/>
  <c r="B2319" i="3"/>
  <c r="D2319" i="3" s="1"/>
  <c r="B2320" i="3"/>
  <c r="D2320" i="3" s="1"/>
  <c r="B2321" i="3"/>
  <c r="D2321" i="3" s="1"/>
  <c r="B2322" i="3"/>
  <c r="D2322" i="3" s="1"/>
  <c r="B2323" i="3"/>
  <c r="D2323" i="3" s="1"/>
  <c r="B2324" i="3"/>
  <c r="B2325" i="3"/>
  <c r="B2326" i="3"/>
  <c r="B2327" i="3"/>
  <c r="B2328" i="3"/>
  <c r="B2329" i="3"/>
  <c r="B2330" i="3"/>
  <c r="B2331" i="3"/>
  <c r="B2332" i="3"/>
  <c r="D2332" i="3" s="1"/>
  <c r="B2333" i="3"/>
  <c r="D2333" i="3" s="1"/>
  <c r="B2334" i="3"/>
  <c r="B2335" i="3"/>
  <c r="B2336" i="3"/>
  <c r="B2337" i="3"/>
  <c r="B2338" i="3"/>
  <c r="B2339" i="3"/>
  <c r="B2340" i="3"/>
  <c r="B2341" i="3"/>
  <c r="B2342" i="3"/>
  <c r="B2343" i="3"/>
  <c r="B2344" i="3"/>
  <c r="D2344" i="3" s="1"/>
  <c r="B2345" i="3"/>
  <c r="D2345" i="3" s="1"/>
  <c r="B2346" i="3"/>
  <c r="D2346" i="3" s="1"/>
  <c r="B2347" i="3"/>
  <c r="B2348" i="3"/>
  <c r="B2349" i="3"/>
  <c r="B2350" i="3"/>
  <c r="B2351" i="3"/>
  <c r="D2351" i="3" s="1"/>
  <c r="B2352" i="3"/>
  <c r="B2353" i="3"/>
  <c r="B2354" i="3"/>
  <c r="D2354" i="3" s="1"/>
  <c r="B2355" i="3"/>
  <c r="D2355" i="3" s="1"/>
  <c r="B2356" i="3"/>
  <c r="D2356" i="3" s="1"/>
  <c r="B2357" i="3"/>
  <c r="D2357" i="3" s="1"/>
  <c r="B2358" i="3"/>
  <c r="D2358" i="3" s="1"/>
  <c r="B2359" i="3"/>
  <c r="D2359" i="3" s="1"/>
  <c r="B2360" i="3"/>
  <c r="B2361" i="3"/>
  <c r="B2362" i="3"/>
  <c r="B2363" i="3"/>
  <c r="D2363" i="3" s="1"/>
  <c r="B2364" i="3"/>
  <c r="B2365" i="3"/>
  <c r="B2366" i="3"/>
  <c r="B2367" i="3"/>
  <c r="B2368" i="3"/>
  <c r="D2368" i="3" s="1"/>
  <c r="B2369" i="3"/>
  <c r="B2370" i="3"/>
  <c r="D2370" i="3" s="1"/>
  <c r="B2371" i="3"/>
  <c r="D2371" i="3" s="1"/>
  <c r="B2372" i="3"/>
  <c r="B2373" i="3"/>
  <c r="B2374" i="3"/>
  <c r="B2375" i="3"/>
  <c r="D2375" i="3" s="1"/>
  <c r="B2376" i="3"/>
  <c r="B2377" i="3"/>
  <c r="B2378" i="3"/>
  <c r="B2379" i="3"/>
  <c r="B2380" i="3"/>
  <c r="D2380" i="3" s="1"/>
  <c r="B2381" i="3"/>
  <c r="D2381" i="3" s="1"/>
  <c r="B2382" i="3"/>
  <c r="B2383" i="3"/>
  <c r="B2384" i="3"/>
  <c r="B2385" i="3"/>
  <c r="B2386" i="3"/>
  <c r="B2387" i="3"/>
  <c r="D2387" i="3" s="1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D2399" i="3" s="1"/>
  <c r="B2400" i="3"/>
  <c r="B2401" i="3"/>
  <c r="B2402" i="3"/>
  <c r="B2403" i="3"/>
  <c r="B2404" i="3"/>
  <c r="B2405" i="3"/>
  <c r="D2405" i="3" s="1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D2417" i="3" s="1"/>
  <c r="B2418" i="3"/>
  <c r="B2419" i="3"/>
  <c r="B2420" i="3"/>
  <c r="B2421" i="3"/>
  <c r="B2422" i="3"/>
  <c r="B2423" i="3"/>
  <c r="D2423" i="3" s="1"/>
  <c r="B2424" i="3"/>
  <c r="B2425" i="3"/>
  <c r="B2426" i="3"/>
  <c r="B2427" i="3"/>
  <c r="B2428" i="3"/>
  <c r="D2428" i="3" s="1"/>
  <c r="B2429" i="3"/>
  <c r="D2429" i="3" s="1"/>
  <c r="B2430" i="3"/>
  <c r="B2431" i="3"/>
  <c r="B2432" i="3"/>
  <c r="B2433" i="3"/>
  <c r="B2434" i="3"/>
  <c r="B2435" i="3"/>
  <c r="D2435" i="3" s="1"/>
  <c r="B2436" i="3"/>
  <c r="B2437" i="3"/>
  <c r="B2438" i="3"/>
  <c r="B2439" i="3"/>
  <c r="B2440" i="3"/>
  <c r="B2441" i="3"/>
  <c r="D2441" i="3" s="1"/>
  <c r="B2442" i="3"/>
  <c r="B2443" i="3"/>
  <c r="B2444" i="3"/>
  <c r="B2445" i="3"/>
  <c r="B2446" i="3"/>
  <c r="B2447" i="3"/>
  <c r="B2448" i="3"/>
  <c r="B2449" i="3"/>
  <c r="B2450" i="3"/>
  <c r="B2451" i="3"/>
  <c r="B2452" i="3"/>
  <c r="D2452" i="3" s="1"/>
  <c r="B2453" i="3"/>
  <c r="B2454" i="3"/>
  <c r="B2455" i="3"/>
  <c r="B2456" i="3"/>
  <c r="B2457" i="3"/>
  <c r="B2458" i="3"/>
  <c r="B2459" i="3"/>
  <c r="D2459" i="3" s="1"/>
  <c r="B2460" i="3"/>
  <c r="B2461" i="3"/>
  <c r="B2462" i="3"/>
  <c r="B2463" i="3"/>
  <c r="B2464" i="3"/>
  <c r="D2464" i="3" s="1"/>
  <c r="B2465" i="3"/>
  <c r="D2465" i="3" s="1"/>
  <c r="B2466" i="3"/>
  <c r="B2467" i="3"/>
  <c r="B2468" i="3"/>
  <c r="B2469" i="3"/>
  <c r="B2470" i="3"/>
  <c r="B2471" i="3"/>
  <c r="D2471" i="3" s="1"/>
  <c r="B2472" i="3"/>
  <c r="B2473" i="3"/>
  <c r="B2474" i="3"/>
  <c r="B2475" i="3"/>
  <c r="B2476" i="3"/>
  <c r="D2476" i="3" s="1"/>
  <c r="B2477" i="3"/>
  <c r="B2478" i="3"/>
  <c r="B2479" i="3"/>
  <c r="B2480" i="3"/>
  <c r="B2481" i="3"/>
  <c r="B2482" i="3"/>
  <c r="D2482" i="3" s="1"/>
  <c r="B2483" i="3"/>
  <c r="D2483" i="3" s="1"/>
  <c r="B2484" i="3"/>
  <c r="B2485" i="3"/>
  <c r="B2486" i="3"/>
  <c r="B2487" i="3"/>
  <c r="B2488" i="3"/>
  <c r="D2488" i="3" s="1"/>
  <c r="B2489" i="3"/>
  <c r="D2489" i="3" s="1"/>
  <c r="B2490" i="3"/>
  <c r="B2491" i="3"/>
  <c r="D2491" i="3" s="1"/>
  <c r="B2492" i="3"/>
  <c r="B2493" i="3"/>
  <c r="B2494" i="3"/>
  <c r="B2495" i="3"/>
  <c r="D2495" i="3" s="1"/>
  <c r="B2496" i="3"/>
  <c r="B2497" i="3"/>
  <c r="B2498" i="3"/>
  <c r="B2499" i="3"/>
  <c r="B2500" i="3"/>
  <c r="D2500" i="3" s="1"/>
  <c r="B2501" i="3"/>
  <c r="D2501" i="3" s="1"/>
  <c r="B2502" i="3"/>
  <c r="B2503" i="3"/>
  <c r="B2504" i="3"/>
  <c r="B2505" i="3"/>
  <c r="B2506" i="3"/>
  <c r="B2507" i="3"/>
  <c r="B2508" i="3"/>
  <c r="B2509" i="3"/>
  <c r="B2510" i="3"/>
  <c r="B2511" i="3"/>
  <c r="B2512" i="3"/>
  <c r="D2512" i="3" s="1"/>
  <c r="B2513" i="3"/>
  <c r="B2514" i="3"/>
  <c r="B2515" i="3"/>
  <c r="D2515" i="3" s="1"/>
  <c r="B2516" i="3"/>
  <c r="B2517" i="3"/>
  <c r="B2518" i="3"/>
  <c r="B2519" i="3"/>
  <c r="D2519" i="3" s="1"/>
  <c r="B2520" i="3"/>
  <c r="B2521" i="3"/>
  <c r="D2521" i="3" s="1"/>
  <c r="B2522" i="3"/>
  <c r="B2523" i="3"/>
  <c r="B2524" i="3"/>
  <c r="D2524" i="3" s="1"/>
  <c r="B2525" i="3"/>
  <c r="D2525" i="3" s="1"/>
  <c r="B2526" i="3"/>
  <c r="B2527" i="3"/>
  <c r="B2528" i="3"/>
  <c r="B2529" i="3"/>
  <c r="B2530" i="3"/>
  <c r="D2530" i="3" s="1"/>
  <c r="B2531" i="3"/>
  <c r="D2531" i="3" s="1"/>
  <c r="B2532" i="3"/>
  <c r="B2533" i="3"/>
  <c r="B2534" i="3"/>
  <c r="B2535" i="3"/>
  <c r="B2536" i="3"/>
  <c r="D2536" i="3" s="1"/>
  <c r="B2537" i="3"/>
  <c r="D2537" i="3" s="1"/>
  <c r="B2538" i="3"/>
  <c r="B2539" i="3"/>
  <c r="B2540" i="3"/>
  <c r="B2541" i="3"/>
  <c r="B2542" i="3"/>
  <c r="B2543" i="3"/>
  <c r="D2543" i="3" s="1"/>
  <c r="B2544" i="3"/>
  <c r="B2545" i="3"/>
  <c r="B2546" i="3"/>
  <c r="B2547" i="3"/>
  <c r="B2548" i="3"/>
  <c r="D2548" i="3" s="1"/>
  <c r="B2549" i="3"/>
  <c r="D2549" i="3" s="1"/>
  <c r="B2550" i="3"/>
  <c r="B2551" i="3"/>
  <c r="B2552" i="3"/>
  <c r="B2553" i="3"/>
  <c r="B2554" i="3"/>
  <c r="B2555" i="3"/>
  <c r="D2555" i="3" s="1"/>
  <c r="B2556" i="3"/>
  <c r="B2557" i="3"/>
  <c r="B2558" i="3"/>
  <c r="D2558" i="3" s="1"/>
  <c r="B2559" i="3"/>
  <c r="B2560" i="3"/>
  <c r="D2560" i="3" s="1"/>
  <c r="B2561" i="3"/>
  <c r="D2561" i="3" s="1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D2596" i="3" s="1"/>
  <c r="B2597" i="3"/>
  <c r="D2597" i="3" s="1"/>
  <c r="B2598" i="3"/>
  <c r="B2599" i="3"/>
  <c r="B2600" i="3"/>
  <c r="B2601" i="3"/>
  <c r="B2602" i="3"/>
  <c r="B2603" i="3"/>
  <c r="D2603" i="3" s="1"/>
  <c r="B2604" i="3"/>
  <c r="B2605" i="3"/>
  <c r="D2605" i="3" s="1"/>
  <c r="B2606" i="3"/>
  <c r="B2607" i="3"/>
  <c r="B2608" i="3"/>
  <c r="B2609" i="3"/>
  <c r="D2609" i="3" s="1"/>
  <c r="B2610" i="3"/>
  <c r="B2611" i="3"/>
  <c r="D2611" i="3" s="1"/>
  <c r="B2612" i="3"/>
  <c r="B2613" i="3"/>
  <c r="B2614" i="3"/>
  <c r="B2615" i="3"/>
  <c r="D2615" i="3" s="1"/>
  <c r="B2616" i="3"/>
  <c r="B2617" i="3"/>
  <c r="B2618" i="3"/>
  <c r="B2619" i="3"/>
  <c r="B2620" i="3"/>
  <c r="D2620" i="3" s="1"/>
  <c r="B2621" i="3"/>
  <c r="B2622" i="3"/>
  <c r="B2623" i="3"/>
  <c r="B2624" i="3"/>
  <c r="B2625" i="3"/>
  <c r="B2626" i="3"/>
  <c r="B2627" i="3"/>
  <c r="D2627" i="3" s="1"/>
  <c r="B2628" i="3"/>
  <c r="B2629" i="3"/>
  <c r="B2630" i="3"/>
  <c r="B2631" i="3"/>
  <c r="B2632" i="3"/>
  <c r="D2632" i="3" s="1"/>
  <c r="B2633" i="3"/>
  <c r="D2633" i="3" s="1"/>
  <c r="B2634" i="3"/>
  <c r="B2635" i="3"/>
  <c r="D2635" i="3" s="1"/>
  <c r="B2636" i="3"/>
  <c r="B2637" i="3"/>
  <c r="B2638" i="3"/>
  <c r="B2639" i="3"/>
  <c r="D2639" i="3" s="1"/>
  <c r="B2640" i="3"/>
  <c r="B2641" i="3"/>
  <c r="B2642" i="3"/>
  <c r="B2643" i="3"/>
  <c r="B2644" i="3"/>
  <c r="D2644" i="3" s="1"/>
  <c r="B2645" i="3"/>
  <c r="D2645" i="3" s="1"/>
  <c r="B2646" i="3"/>
  <c r="B2647" i="3"/>
  <c r="B2648" i="3"/>
  <c r="B2649" i="3"/>
  <c r="B2650" i="3"/>
  <c r="B2651" i="3"/>
  <c r="D2651" i="3" s="1"/>
  <c r="B2652" i="3"/>
  <c r="B2653" i="3"/>
  <c r="B2654" i="3"/>
  <c r="B2655" i="3"/>
  <c r="B2656" i="3"/>
  <c r="D2656" i="3" s="1"/>
  <c r="B2657" i="3"/>
  <c r="D2657" i="3" s="1"/>
  <c r="B2658" i="3"/>
  <c r="B2659" i="3"/>
  <c r="B2660" i="3"/>
  <c r="B2661" i="3"/>
  <c r="B2662" i="3"/>
  <c r="D2662" i="3" s="1"/>
  <c r="B2663" i="3"/>
  <c r="D2663" i="3" s="1"/>
  <c r="B2664" i="3"/>
  <c r="B2665" i="3"/>
  <c r="B2666" i="3"/>
  <c r="B2667" i="3"/>
  <c r="B2668" i="3"/>
  <c r="D2668" i="3" s="1"/>
  <c r="B2669" i="3"/>
  <c r="D2669" i="3" s="1"/>
  <c r="B2670" i="3"/>
  <c r="B2671" i="3"/>
  <c r="B2672" i="3"/>
  <c r="B2673" i="3"/>
  <c r="B2674" i="3"/>
  <c r="D2674" i="3" s="1"/>
  <c r="B2675" i="3"/>
  <c r="B2676" i="3"/>
  <c r="B2677" i="3"/>
  <c r="B2678" i="3"/>
  <c r="B2679" i="3"/>
  <c r="B2680" i="3"/>
  <c r="B2681" i="3"/>
  <c r="D2681" i="3" s="1"/>
  <c r="B2682" i="3"/>
  <c r="B2683" i="3"/>
  <c r="B2684" i="3"/>
  <c r="B2685" i="3"/>
  <c r="B2686" i="3"/>
  <c r="B2687" i="3"/>
  <c r="B2688" i="3"/>
  <c r="B2689" i="3"/>
  <c r="B2690" i="3"/>
  <c r="B2691" i="3"/>
  <c r="B2692" i="3"/>
  <c r="D2692" i="3" s="1"/>
  <c r="B2693" i="3"/>
  <c r="D2693" i="3" s="1"/>
  <c r="B2694" i="3"/>
  <c r="B2695" i="3"/>
  <c r="B2696" i="3"/>
  <c r="B2697" i="3"/>
  <c r="B2698" i="3"/>
  <c r="B2699" i="3"/>
  <c r="B2700" i="3"/>
  <c r="B2701" i="3"/>
  <c r="B2702" i="3"/>
  <c r="B2703" i="3"/>
  <c r="B2704" i="3"/>
  <c r="D2704" i="3" s="1"/>
  <c r="B2705" i="3"/>
  <c r="D2705" i="3" s="1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D2717" i="3" s="1"/>
  <c r="B2718" i="3"/>
  <c r="B2719" i="3"/>
  <c r="B2720" i="3"/>
  <c r="B2721" i="3"/>
  <c r="B2722" i="3"/>
  <c r="B2723" i="3"/>
  <c r="B2724" i="3"/>
  <c r="B2725" i="3"/>
  <c r="B2726" i="3"/>
  <c r="B2727" i="3"/>
  <c r="D2727" i="3" s="1"/>
  <c r="B2728" i="3"/>
  <c r="B2729" i="3"/>
  <c r="D2729" i="3" s="1"/>
  <c r="B2730" i="3"/>
  <c r="B2731" i="3"/>
  <c r="B2732" i="3"/>
  <c r="B2733" i="3"/>
  <c r="B2734" i="3"/>
  <c r="B2735" i="3"/>
  <c r="B2736" i="3"/>
  <c r="B2737" i="3"/>
  <c r="B2738" i="3"/>
  <c r="B2739" i="3"/>
  <c r="D2739" i="3" s="1"/>
  <c r="B2740" i="3"/>
  <c r="D2740" i="3" s="1"/>
  <c r="B2741" i="3"/>
  <c r="D2741" i="3" s="1"/>
  <c r="B2742" i="3"/>
  <c r="B2743" i="3"/>
  <c r="B2744" i="3"/>
  <c r="B2745" i="3"/>
  <c r="B2746" i="3"/>
  <c r="B2747" i="3"/>
  <c r="D2747" i="3" s="1"/>
  <c r="B2748" i="3"/>
  <c r="B2749" i="3"/>
  <c r="B2750" i="3"/>
  <c r="B2751" i="3"/>
  <c r="B2752" i="3"/>
  <c r="D2752" i="3" s="1"/>
  <c r="B2753" i="3"/>
  <c r="B2754" i="3"/>
  <c r="B2755" i="3"/>
  <c r="B2756" i="3"/>
  <c r="B2757" i="3"/>
  <c r="B2758" i="3"/>
  <c r="B2759" i="3"/>
  <c r="D2759" i="3" s="1"/>
  <c r="B2760" i="3"/>
  <c r="B2761" i="3"/>
  <c r="B2762" i="3"/>
  <c r="B2763" i="3"/>
  <c r="B2764" i="3"/>
  <c r="D2764" i="3" s="1"/>
  <c r="B2765" i="3"/>
  <c r="D2765" i="3" s="1"/>
  <c r="B2766" i="3"/>
  <c r="B2767" i="3"/>
  <c r="B2768" i="3"/>
  <c r="B2769" i="3"/>
  <c r="B2770" i="3"/>
  <c r="B2771" i="3"/>
  <c r="D2771" i="3" s="1"/>
  <c r="B2772" i="3"/>
  <c r="B2773" i="3"/>
  <c r="B2774" i="3"/>
  <c r="B2775" i="3"/>
  <c r="D2775" i="3" s="1"/>
  <c r="B2776" i="3"/>
  <c r="D2776" i="3" s="1"/>
  <c r="B2777" i="3"/>
  <c r="B2778" i="3"/>
  <c r="B2779" i="3"/>
  <c r="B2780" i="3"/>
  <c r="B2781" i="3"/>
  <c r="B2782" i="3"/>
  <c r="B2783" i="3"/>
  <c r="D2783" i="3" s="1"/>
  <c r="B2784" i="3"/>
  <c r="B2785" i="3"/>
  <c r="B2786" i="3"/>
  <c r="B2787" i="3"/>
  <c r="D2787" i="3" s="1"/>
  <c r="B2788" i="3"/>
  <c r="D2788" i="3" s="1"/>
  <c r="B2789" i="3"/>
  <c r="B2790" i="3"/>
  <c r="B2791" i="3"/>
  <c r="B2792" i="3"/>
  <c r="B2793" i="3"/>
  <c r="B2794" i="3"/>
  <c r="B2795" i="3"/>
  <c r="D2795" i="3" s="1"/>
  <c r="B2796" i="3"/>
  <c r="B2797" i="3"/>
  <c r="B2798" i="3"/>
  <c r="B2799" i="3"/>
  <c r="D2799" i="3" s="1"/>
  <c r="B2800" i="3"/>
  <c r="D2800" i="3" s="1"/>
  <c r="B2801" i="3"/>
  <c r="B2802" i="3"/>
  <c r="B2803" i="3"/>
  <c r="B2804" i="3"/>
  <c r="B2805" i="3"/>
  <c r="B2806" i="3"/>
  <c r="B2807" i="3"/>
  <c r="D2807" i="3" s="1"/>
  <c r="B2808" i="3"/>
  <c r="B2809" i="3"/>
  <c r="B2810" i="3"/>
  <c r="B2811" i="3"/>
  <c r="B2812" i="3"/>
  <c r="D2812" i="3" s="1"/>
  <c r="B2813" i="3"/>
  <c r="D2813" i="3" s="1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D2825" i="3" s="1"/>
  <c r="B2826" i="3"/>
  <c r="B2827" i="3"/>
  <c r="B2828" i="3"/>
  <c r="B2829" i="3"/>
  <c r="B2830" i="3"/>
  <c r="D2830" i="3" s="1"/>
  <c r="B2831" i="3"/>
  <c r="B2832" i="3"/>
  <c r="B2833" i="3"/>
  <c r="B2834" i="3"/>
  <c r="B2835" i="3"/>
  <c r="D2835" i="3" s="1"/>
  <c r="B2836" i="3"/>
  <c r="D2836" i="3" s="1"/>
  <c r="B2837" i="3"/>
  <c r="D2837" i="3" s="1"/>
  <c r="B2838" i="3"/>
  <c r="B2839" i="3"/>
  <c r="B2840" i="3"/>
  <c r="B2841" i="3"/>
  <c r="B2842" i="3"/>
  <c r="B2843" i="3"/>
  <c r="B2844" i="3"/>
  <c r="B2845" i="3"/>
  <c r="B2846" i="3"/>
  <c r="B2847" i="3"/>
  <c r="B2848" i="3"/>
  <c r="D2848" i="3" s="1"/>
  <c r="B2849" i="3"/>
  <c r="D2849" i="3" s="1"/>
  <c r="B2850" i="3"/>
  <c r="B2851" i="3"/>
  <c r="B2852" i="3"/>
  <c r="B2853" i="3"/>
  <c r="B2854" i="3"/>
  <c r="B2855" i="3"/>
  <c r="B2856" i="3"/>
  <c r="B2857" i="3"/>
  <c r="B2858" i="3"/>
  <c r="B2859" i="3"/>
  <c r="B2860" i="3"/>
  <c r="D2860" i="3" s="1"/>
  <c r="B2861" i="3"/>
  <c r="D2861" i="3" s="1"/>
  <c r="B2862" i="3"/>
  <c r="B2863" i="3"/>
  <c r="B2864" i="3"/>
  <c r="B2865" i="3"/>
  <c r="B2866" i="3"/>
  <c r="B2867" i="3"/>
  <c r="B2868" i="3"/>
  <c r="B2869" i="3"/>
  <c r="D2869" i="3" s="1"/>
  <c r="B2870" i="3"/>
  <c r="B2871" i="3"/>
  <c r="D2871" i="3" s="1"/>
  <c r="B2872" i="3"/>
  <c r="D2872" i="3" s="1"/>
  <c r="B2873" i="3"/>
  <c r="D2873" i="3" s="1"/>
  <c r="B2874" i="3"/>
  <c r="B2875" i="3"/>
  <c r="B2876" i="3"/>
  <c r="B2877" i="3"/>
  <c r="B2878" i="3"/>
  <c r="B2879" i="3"/>
  <c r="B2880" i="3"/>
  <c r="B2881" i="3"/>
  <c r="B2882" i="3"/>
  <c r="B2883" i="3"/>
  <c r="B2884" i="3"/>
  <c r="D2884" i="3" s="1"/>
  <c r="B2885" i="3"/>
  <c r="D2885" i="3" s="1"/>
  <c r="B2886" i="3"/>
  <c r="B2887" i="3"/>
  <c r="B2888" i="3"/>
  <c r="B2889" i="3"/>
  <c r="B2890" i="3"/>
  <c r="B2891" i="3"/>
  <c r="D2891" i="3" s="1"/>
  <c r="B2892" i="3"/>
  <c r="B2893" i="3"/>
  <c r="B2894" i="3"/>
  <c r="B2895" i="3"/>
  <c r="B2896" i="3"/>
  <c r="D2896" i="3" s="1"/>
  <c r="B2897" i="3"/>
  <c r="D2897" i="3" s="1"/>
  <c r="B2898" i="3"/>
  <c r="B2899" i="3"/>
  <c r="B2900" i="3"/>
  <c r="B2901" i="3"/>
  <c r="B2902" i="3"/>
  <c r="D2902" i="3" s="1"/>
  <c r="B2903" i="3"/>
  <c r="D2903" i="3" s="1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D2915" i="3" s="1"/>
  <c r="B2916" i="3"/>
  <c r="B2917" i="3"/>
  <c r="B2918" i="3"/>
  <c r="B2919" i="3"/>
  <c r="D2919" i="3" s="1"/>
  <c r="B2920" i="3"/>
  <c r="B2921" i="3"/>
  <c r="B2922" i="3"/>
  <c r="B2923" i="3"/>
  <c r="B2924" i="3"/>
  <c r="B2925" i="3"/>
  <c r="B2926" i="3"/>
  <c r="B2927" i="3"/>
  <c r="D2927" i="3" s="1"/>
  <c r="B2928" i="3"/>
  <c r="B2929" i="3"/>
  <c r="B2930" i="3"/>
  <c r="B2931" i="3"/>
  <c r="D2931" i="3" s="1"/>
  <c r="B2932" i="3"/>
  <c r="D2932" i="3" s="1"/>
  <c r="B2933" i="3"/>
  <c r="B2934" i="3"/>
  <c r="B2935" i="3"/>
  <c r="B2936" i="3"/>
  <c r="B2937" i="3"/>
  <c r="B2938" i="3"/>
  <c r="D2938" i="3" s="1"/>
  <c r="B2939" i="3"/>
  <c r="B2940" i="3"/>
  <c r="B2941" i="3"/>
  <c r="D2941" i="3" s="1"/>
  <c r="B2942" i="3"/>
  <c r="B2943" i="3"/>
  <c r="B2944" i="3"/>
  <c r="D2944" i="3" s="1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D2956" i="3" s="1"/>
  <c r="B2957" i="3"/>
  <c r="D2957" i="3" s="1"/>
  <c r="B2958" i="3"/>
  <c r="B2959" i="3"/>
  <c r="B2960" i="3"/>
  <c r="B2961" i="3"/>
  <c r="B2962" i="3"/>
  <c r="B2963" i="3"/>
  <c r="B2964" i="3"/>
  <c r="B2965" i="3"/>
  <c r="B2966" i="3"/>
  <c r="B2967" i="3"/>
  <c r="B2968" i="3"/>
  <c r="D2968" i="3" s="1"/>
  <c r="B2969" i="3"/>
  <c r="D2969" i="3" s="1"/>
  <c r="B2970" i="3"/>
  <c r="B2971" i="3"/>
  <c r="B2972" i="3"/>
  <c r="B2973" i="3"/>
  <c r="B2974" i="3"/>
  <c r="B2975" i="3"/>
  <c r="D2975" i="3" s="1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D2992" i="3" s="1"/>
  <c r="B2993" i="3"/>
  <c r="D2993" i="3" s="1"/>
  <c r="B2994" i="3"/>
  <c r="B2995" i="3"/>
  <c r="B2996" i="3"/>
  <c r="B2997" i="3"/>
  <c r="B2998" i="3"/>
  <c r="D2998" i="3" s="1"/>
  <c r="B2999" i="3"/>
  <c r="D2999" i="3" s="1"/>
  <c r="B3000" i="3"/>
  <c r="B3001" i="3"/>
  <c r="B3002" i="3"/>
  <c r="B3003" i="3"/>
  <c r="B3004" i="3"/>
  <c r="D3004" i="3" s="1"/>
  <c r="B3005" i="3"/>
  <c r="D3005" i="3" s="1"/>
  <c r="B3006" i="3"/>
  <c r="B3007" i="3"/>
  <c r="B3008" i="3"/>
  <c r="B3009" i="3"/>
  <c r="B3010" i="3"/>
  <c r="B3011" i="3"/>
  <c r="D3011" i="3" s="1"/>
  <c r="B3012" i="3"/>
  <c r="B3013" i="3"/>
  <c r="B3014" i="3"/>
  <c r="B3015" i="3"/>
  <c r="B3016" i="3"/>
  <c r="D3016" i="3" s="1"/>
  <c r="B3017" i="3"/>
  <c r="D3017" i="3" s="1"/>
  <c r="B3018" i="3"/>
  <c r="B3019" i="3"/>
  <c r="B3020" i="3"/>
  <c r="B3021" i="3"/>
  <c r="B3022" i="3"/>
  <c r="D3022" i="3" s="1"/>
  <c r="B3023" i="3"/>
  <c r="D3023" i="3" s="1"/>
  <c r="B3024" i="3"/>
  <c r="B3025" i="3"/>
  <c r="B3026" i="3"/>
  <c r="B3027" i="3"/>
  <c r="B3028" i="3"/>
  <c r="D3028" i="3" s="1"/>
  <c r="B3029" i="3"/>
  <c r="D3029" i="3" s="1"/>
  <c r="B3030" i="3"/>
  <c r="B3031" i="3"/>
  <c r="B3032" i="3"/>
  <c r="B3033" i="3"/>
  <c r="B3034" i="3"/>
  <c r="B3035" i="3"/>
  <c r="B3036" i="3"/>
  <c r="B3037" i="3"/>
  <c r="B3038" i="3"/>
  <c r="B3039" i="3"/>
  <c r="B3040" i="3"/>
  <c r="D3040" i="3" s="1"/>
  <c r="B3041" i="3"/>
  <c r="D3041" i="3" s="1"/>
  <c r="B3042" i="3"/>
  <c r="B3043" i="3"/>
  <c r="B3044" i="3"/>
  <c r="B3045" i="3"/>
  <c r="B3046" i="3"/>
  <c r="B3047" i="3"/>
  <c r="B3048" i="3"/>
  <c r="B3049" i="3"/>
  <c r="B3050" i="3"/>
  <c r="B3051" i="3"/>
  <c r="B3052" i="3"/>
  <c r="D3052" i="3" s="1"/>
  <c r="B3053" i="3"/>
  <c r="D3053" i="3" s="1"/>
  <c r="B3054" i="3"/>
  <c r="B3055" i="3"/>
  <c r="B3056" i="3"/>
  <c r="B3057" i="3"/>
  <c r="B3058" i="3"/>
  <c r="B3059" i="3"/>
  <c r="B3060" i="3"/>
  <c r="B3061" i="3"/>
  <c r="B3062" i="3"/>
  <c r="B3063" i="3"/>
  <c r="B3064" i="3"/>
  <c r="D3064" i="3" s="1"/>
  <c r="B3065" i="3"/>
  <c r="B3066" i="3"/>
  <c r="B3067" i="3"/>
  <c r="B3068" i="3"/>
  <c r="B3069" i="3"/>
  <c r="B3070" i="3"/>
  <c r="D3070" i="3" s="1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D3087" i="3" s="1"/>
  <c r="B3088" i="3"/>
  <c r="B3089" i="3"/>
  <c r="D3089" i="3" s="1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D3101" i="3" s="1"/>
  <c r="B3102" i="3"/>
  <c r="B3103" i="3"/>
  <c r="B3104" i="3"/>
  <c r="B3105" i="3"/>
  <c r="B3106" i="3"/>
  <c r="B3107" i="3"/>
  <c r="B3108" i="3"/>
  <c r="B3109" i="3"/>
  <c r="B3110" i="3"/>
  <c r="B3111" i="3"/>
  <c r="B3112" i="3"/>
  <c r="D3112" i="3" s="1"/>
  <c r="B3113" i="3"/>
  <c r="D3113" i="3" s="1"/>
  <c r="B3114" i="3"/>
  <c r="B3115" i="3"/>
  <c r="B3116" i="3"/>
  <c r="B3117" i="3"/>
  <c r="B3118" i="3"/>
  <c r="B3119" i="3"/>
  <c r="D3119" i="3" s="1"/>
  <c r="B3120" i="3"/>
  <c r="B3121" i="3"/>
  <c r="B3122" i="3"/>
  <c r="B3123" i="3"/>
  <c r="B3124" i="3"/>
  <c r="D3124" i="3" s="1"/>
  <c r="B3125" i="3"/>
  <c r="D3125" i="3" s="1"/>
  <c r="B3126" i="3"/>
  <c r="B3127" i="3"/>
  <c r="B3128" i="3"/>
  <c r="B3129" i="3"/>
  <c r="B3130" i="3"/>
  <c r="D3130" i="3" s="1"/>
  <c r="B3131" i="3"/>
  <c r="B3132" i="3"/>
  <c r="B3133" i="3"/>
  <c r="B3134" i="3"/>
  <c r="B3135" i="3"/>
  <c r="B3136" i="3"/>
  <c r="D3136" i="3" s="1"/>
  <c r="B3137" i="3"/>
  <c r="D3137" i="3" s="1"/>
  <c r="B3138" i="3"/>
  <c r="B3139" i="3"/>
  <c r="B3140" i="3"/>
  <c r="B3141" i="3"/>
  <c r="B3142" i="3"/>
  <c r="B3143" i="3"/>
  <c r="D3143" i="3" s="1"/>
  <c r="B3144" i="3"/>
  <c r="B3145" i="3"/>
  <c r="B3146" i="3"/>
  <c r="B3147" i="3"/>
  <c r="B3148" i="3"/>
  <c r="B3149" i="3"/>
  <c r="D3149" i="3" s="1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D3161" i="3" s="1"/>
  <c r="B3162" i="3"/>
  <c r="B3163" i="3"/>
  <c r="B3164" i="3"/>
  <c r="B3165" i="3"/>
  <c r="B3166" i="3"/>
  <c r="D3166" i="3" s="1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D3178" i="3" s="1"/>
  <c r="B3179" i="3"/>
  <c r="D3179" i="3" s="1"/>
  <c r="B3180" i="3"/>
  <c r="B3181" i="3"/>
  <c r="B3182" i="3"/>
  <c r="B3183" i="3"/>
  <c r="B3184" i="3"/>
  <c r="D3184" i="3" s="1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D3196" i="3" s="1"/>
  <c r="B3197" i="3"/>
  <c r="D3197" i="3" s="1"/>
  <c r="B3198" i="3"/>
  <c r="B3199" i="3"/>
  <c r="B3200" i="3"/>
  <c r="B3201" i="3"/>
  <c r="B3202" i="3"/>
  <c r="D3202" i="3" s="1"/>
  <c r="B3203" i="3"/>
  <c r="B3204" i="3"/>
  <c r="B3205" i="3"/>
  <c r="B3206" i="3"/>
  <c r="B3207" i="3"/>
  <c r="D3207" i="3" s="1"/>
  <c r="B3208" i="3"/>
  <c r="D3208" i="3" s="1"/>
  <c r="B3209" i="3"/>
  <c r="D3209" i="3" s="1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D3233" i="3" s="1"/>
  <c r="B3234" i="3"/>
  <c r="B3235" i="3"/>
  <c r="B3236" i="3"/>
  <c r="B3237" i="3"/>
  <c r="B3238" i="3"/>
  <c r="B3239" i="3"/>
  <c r="B3240" i="3"/>
  <c r="B3241" i="3"/>
  <c r="B3242" i="3"/>
  <c r="B3243" i="3"/>
  <c r="D3243" i="3" s="1"/>
  <c r="B3244" i="3"/>
  <c r="D3244" i="3" s="1"/>
  <c r="B3245" i="3"/>
  <c r="D3245" i="3" s="1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D3257" i="3" s="1"/>
  <c r="B3258" i="3"/>
  <c r="B3259" i="3"/>
  <c r="B3260" i="3"/>
  <c r="B3261" i="3"/>
  <c r="B3262" i="3"/>
  <c r="D3262" i="3" s="1"/>
  <c r="B3263" i="3"/>
  <c r="D3263" i="3" s="1"/>
  <c r="B3264" i="3"/>
  <c r="B3265" i="3"/>
  <c r="B3266" i="3"/>
  <c r="B3267" i="3"/>
  <c r="B3268" i="3"/>
  <c r="B3269" i="3"/>
  <c r="D3269" i="3" s="1"/>
  <c r="B3270" i="3"/>
  <c r="B3271" i="3"/>
  <c r="B3272" i="3"/>
  <c r="B3273" i="3"/>
  <c r="B3274" i="3"/>
  <c r="D3274" i="3" s="1"/>
  <c r="B3275" i="3"/>
  <c r="D3275" i="3" s="1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D3287" i="3" s="1"/>
  <c r="B3288" i="3"/>
  <c r="B3289" i="3"/>
  <c r="B3290" i="3"/>
  <c r="B3291" i="3"/>
  <c r="B3292" i="3"/>
  <c r="B3293" i="3"/>
  <c r="B3294" i="3"/>
  <c r="B3295" i="3"/>
  <c r="B3296" i="3"/>
  <c r="B3297" i="3"/>
  <c r="B3298" i="3"/>
  <c r="D3298" i="3" s="1"/>
  <c r="B3299" i="3"/>
  <c r="D3299" i="3" s="1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D3328" i="3" s="1"/>
  <c r="B3329" i="3"/>
  <c r="B3330" i="3"/>
  <c r="B3331" i="3"/>
  <c r="B3332" i="3"/>
  <c r="B3333" i="3"/>
  <c r="B3334" i="3"/>
  <c r="B3335" i="3"/>
  <c r="D3335" i="3" s="1"/>
  <c r="B3336" i="3"/>
  <c r="B3337" i="3"/>
  <c r="B3338" i="3"/>
  <c r="B3339" i="3"/>
  <c r="B3340" i="3"/>
  <c r="B3341" i="3"/>
  <c r="B3342" i="3"/>
  <c r="B3343" i="3"/>
  <c r="D11" i="3"/>
  <c r="D12" i="3"/>
  <c r="D13" i="3"/>
  <c r="D14" i="3"/>
  <c r="D22" i="3"/>
  <c r="D23" i="3"/>
  <c r="D25" i="3"/>
  <c r="D26" i="3"/>
  <c r="D35" i="3"/>
  <c r="D36" i="3"/>
  <c r="D37" i="3"/>
  <c r="D47" i="3"/>
  <c r="D48" i="3"/>
  <c r="D59" i="3"/>
  <c r="D71" i="3"/>
  <c r="D73" i="3"/>
  <c r="D74" i="3"/>
  <c r="D83" i="3"/>
  <c r="D84" i="3"/>
  <c r="D86" i="3"/>
  <c r="D107" i="3"/>
  <c r="D108" i="3"/>
  <c r="D110" i="3"/>
  <c r="D118" i="3"/>
  <c r="D119" i="3"/>
  <c r="D120" i="3"/>
  <c r="D121" i="3"/>
  <c r="D122" i="3"/>
  <c r="D130" i="3"/>
  <c r="D131" i="3"/>
  <c r="D132" i="3"/>
  <c r="D146" i="3"/>
  <c r="D154" i="3"/>
  <c r="D155" i="3"/>
  <c r="D167" i="3"/>
  <c r="D168" i="3"/>
  <c r="D169" i="3"/>
  <c r="D179" i="3"/>
  <c r="D190" i="3"/>
  <c r="D191" i="3"/>
  <c r="D193" i="3"/>
  <c r="D202" i="3"/>
  <c r="D203" i="3"/>
  <c r="D204" i="3"/>
  <c r="D206" i="3"/>
  <c r="D214" i="3"/>
  <c r="D216" i="3"/>
  <c r="D218" i="3"/>
  <c r="D227" i="3"/>
  <c r="D229" i="3"/>
  <c r="D238" i="3"/>
  <c r="D239" i="3"/>
  <c r="D240" i="3"/>
  <c r="D250" i="3"/>
  <c r="D251" i="3"/>
  <c r="D252" i="3"/>
  <c r="D262" i="3"/>
  <c r="D263" i="3"/>
  <c r="D264" i="3"/>
  <c r="D274" i="3"/>
  <c r="D287" i="3"/>
  <c r="D288" i="3"/>
  <c r="D298" i="3"/>
  <c r="D299" i="3"/>
  <c r="D300" i="3"/>
  <c r="D311" i="3"/>
  <c r="D312" i="3"/>
  <c r="D323" i="3"/>
  <c r="D324" i="3"/>
  <c r="D325" i="3"/>
  <c r="D335" i="3"/>
  <c r="D338" i="3"/>
  <c r="D346" i="3"/>
  <c r="D347" i="3"/>
  <c r="D348" i="3"/>
  <c r="D359" i="3"/>
  <c r="D360" i="3"/>
  <c r="D370" i="3"/>
  <c r="D371" i="3"/>
  <c r="D372" i="3"/>
  <c r="D383" i="3"/>
  <c r="D384" i="3"/>
  <c r="D395" i="3"/>
  <c r="D396" i="3"/>
  <c r="D398" i="3"/>
  <c r="D407" i="3"/>
  <c r="D408" i="3"/>
  <c r="D418" i="3"/>
  <c r="D419" i="3"/>
  <c r="D420" i="3"/>
  <c r="D422" i="3"/>
  <c r="D430" i="3"/>
  <c r="D432" i="3"/>
  <c r="D442" i="3"/>
  <c r="D443" i="3"/>
  <c r="D444" i="3"/>
  <c r="D445" i="3"/>
  <c r="D455" i="3"/>
  <c r="D456" i="3"/>
  <c r="D467" i="3"/>
  <c r="D468" i="3"/>
  <c r="D470" i="3"/>
  <c r="D478" i="3"/>
  <c r="D480" i="3"/>
  <c r="D482" i="3"/>
  <c r="D491" i="3"/>
  <c r="D492" i="3"/>
  <c r="D502" i="3"/>
  <c r="D503" i="3"/>
  <c r="D504" i="3"/>
  <c r="D505" i="3"/>
  <c r="D515" i="3"/>
  <c r="D516" i="3"/>
  <c r="D518" i="3"/>
  <c r="D526" i="3"/>
  <c r="D527" i="3"/>
  <c r="D528" i="3"/>
  <c r="D542" i="3"/>
  <c r="D550" i="3"/>
  <c r="D552" i="3"/>
  <c r="D554" i="3"/>
  <c r="D562" i="3"/>
  <c r="D563" i="3"/>
  <c r="D575" i="3"/>
  <c r="D576" i="3"/>
  <c r="D577" i="3"/>
  <c r="D587" i="3"/>
  <c r="D588" i="3"/>
  <c r="D598" i="3"/>
  <c r="D602" i="3"/>
  <c r="D610" i="3"/>
  <c r="D611" i="3"/>
  <c r="D623" i="3"/>
  <c r="D624" i="3"/>
  <c r="D626" i="3"/>
  <c r="D634" i="3"/>
  <c r="D635" i="3"/>
  <c r="D636" i="3"/>
  <c r="D646" i="3"/>
  <c r="D647" i="3"/>
  <c r="D648" i="3"/>
  <c r="D649" i="3"/>
  <c r="D658" i="3"/>
  <c r="D659" i="3"/>
  <c r="D660" i="3"/>
  <c r="D670" i="3"/>
  <c r="D671" i="3"/>
  <c r="D673" i="3"/>
  <c r="D674" i="3"/>
  <c r="D683" i="3"/>
  <c r="D685" i="3"/>
  <c r="D695" i="3"/>
  <c r="D696" i="3"/>
  <c r="D706" i="3"/>
  <c r="D707" i="3"/>
  <c r="D708" i="3"/>
  <c r="D709" i="3"/>
  <c r="D710" i="3"/>
  <c r="D719" i="3"/>
  <c r="D722" i="3"/>
  <c r="D730" i="3"/>
  <c r="D731" i="3"/>
  <c r="D732" i="3"/>
  <c r="D743" i="3"/>
  <c r="D744" i="3"/>
  <c r="D746" i="3"/>
  <c r="D754" i="3"/>
  <c r="D755" i="3"/>
  <c r="D766" i="3"/>
  <c r="D767" i="3"/>
  <c r="D770" i="3"/>
  <c r="D778" i="3"/>
  <c r="D780" i="3"/>
  <c r="D782" i="3"/>
  <c r="D790" i="3"/>
  <c r="D791" i="3"/>
  <c r="D792" i="3"/>
  <c r="D794" i="3"/>
  <c r="D802" i="3"/>
  <c r="D803" i="3"/>
  <c r="D814" i="3"/>
  <c r="D815" i="3"/>
  <c r="D816" i="3"/>
  <c r="D826" i="3"/>
  <c r="D827" i="3"/>
  <c r="D828" i="3"/>
  <c r="D830" i="3"/>
  <c r="D839" i="3"/>
  <c r="D841" i="3"/>
  <c r="D851" i="3"/>
  <c r="D852" i="3"/>
  <c r="D863" i="3"/>
  <c r="D864" i="3"/>
  <c r="D866" i="3"/>
  <c r="D875" i="3"/>
  <c r="D877" i="3"/>
  <c r="D886" i="3"/>
  <c r="D887" i="3"/>
  <c r="D888" i="3"/>
  <c r="D899" i="3"/>
  <c r="D901" i="3"/>
  <c r="D910" i="3"/>
  <c r="D911" i="3"/>
  <c r="D912" i="3"/>
  <c r="D914" i="3"/>
  <c r="D922" i="3"/>
  <c r="D923" i="3"/>
  <c r="D924" i="3"/>
  <c r="D926" i="3"/>
  <c r="D935" i="3"/>
  <c r="D936" i="3"/>
  <c r="D947" i="3"/>
  <c r="D948" i="3"/>
  <c r="D949" i="3"/>
  <c r="D959" i="3"/>
  <c r="D960" i="3"/>
  <c r="D970" i="3"/>
  <c r="D971" i="3"/>
  <c r="D973" i="3"/>
  <c r="D974" i="3"/>
  <c r="D982" i="3"/>
  <c r="D983" i="3"/>
  <c r="D995" i="3"/>
  <c r="D996" i="3"/>
  <c r="D1007" i="3"/>
  <c r="D1010" i="3"/>
  <c r="D1019" i="3"/>
  <c r="D1030" i="3"/>
  <c r="D1032" i="3"/>
  <c r="D1054" i="3"/>
  <c r="D1055" i="3"/>
  <c r="D1056" i="3"/>
  <c r="D1067" i="3"/>
  <c r="D1068" i="3"/>
  <c r="D1070" i="3"/>
  <c r="D1079" i="3"/>
  <c r="D1080" i="3"/>
  <c r="D1090" i="3"/>
  <c r="D1092" i="3"/>
  <c r="D1103" i="3"/>
  <c r="D1115" i="3"/>
  <c r="D1127" i="3"/>
  <c r="D1128" i="3"/>
  <c r="D1138" i="3"/>
  <c r="D1139" i="3"/>
  <c r="D1150" i="3"/>
  <c r="D1151" i="3"/>
  <c r="D1163" i="3"/>
  <c r="D1166" i="3"/>
  <c r="D1174" i="3"/>
  <c r="D1175" i="3"/>
  <c r="D1186" i="3"/>
  <c r="D1187" i="3"/>
  <c r="D1188" i="3"/>
  <c r="D1198" i="3"/>
  <c r="D1211" i="3"/>
  <c r="D1212" i="3"/>
  <c r="D1222" i="3"/>
  <c r="D1223" i="3"/>
  <c r="D1225" i="3"/>
  <c r="D1246" i="3"/>
  <c r="D1247" i="3"/>
  <c r="D1248" i="3"/>
  <c r="D1259" i="3"/>
  <c r="D1270" i="3"/>
  <c r="D1272" i="3"/>
  <c r="D1274" i="3"/>
  <c r="D1295" i="3"/>
  <c r="D1296" i="3"/>
  <c r="D1306" i="3"/>
  <c r="D1307" i="3"/>
  <c r="D1308" i="3"/>
  <c r="D1320" i="3"/>
  <c r="D1322" i="3"/>
  <c r="D1344" i="3"/>
  <c r="D1355" i="3"/>
  <c r="D1356" i="3"/>
  <c r="D1358" i="3"/>
  <c r="D1379" i="3"/>
  <c r="D1381" i="3"/>
  <c r="D1390" i="3"/>
  <c r="D1391" i="3"/>
  <c r="D1403" i="3"/>
  <c r="D1404" i="3"/>
  <c r="D1414" i="3"/>
  <c r="D1415" i="3"/>
  <c r="D1416" i="3"/>
  <c r="D1427" i="3"/>
  <c r="D1439" i="3"/>
  <c r="D1464" i="3"/>
  <c r="D1465" i="3"/>
  <c r="D1475" i="3"/>
  <c r="D1478" i="3"/>
  <c r="D1487" i="3"/>
  <c r="D1510" i="3"/>
  <c r="D1511" i="3"/>
  <c r="D1512" i="3"/>
  <c r="D1523" i="3"/>
  <c r="D1524" i="3"/>
  <c r="D1534" i="3"/>
  <c r="D1535" i="3"/>
  <c r="D1536" i="3"/>
  <c r="D1548" i="3"/>
  <c r="D1560" i="3"/>
  <c r="D1562" i="3"/>
  <c r="D1570" i="3"/>
  <c r="D1571" i="3"/>
  <c r="D1572" i="3"/>
  <c r="D1583" i="3"/>
  <c r="D1586" i="3"/>
  <c r="D1594" i="3"/>
  <c r="D1595" i="3"/>
  <c r="D1618" i="3"/>
  <c r="D1620" i="3"/>
  <c r="D1621" i="3"/>
  <c r="D1630" i="3"/>
  <c r="D1632" i="3"/>
  <c r="D1644" i="3"/>
  <c r="D1645" i="3"/>
  <c r="D1656" i="3"/>
  <c r="D1666" i="3"/>
  <c r="D1669" i="3"/>
  <c r="D1692" i="3"/>
  <c r="D1693" i="3"/>
  <c r="D1694" i="3"/>
  <c r="D1695" i="3"/>
  <c r="D1702" i="3"/>
  <c r="D1703" i="3"/>
  <c r="D1718" i="3"/>
  <c r="D1726" i="3"/>
  <c r="D1727" i="3"/>
  <c r="D1751" i="3"/>
  <c r="D1763" i="3"/>
  <c r="D1764" i="3"/>
  <c r="D1778" i="3"/>
  <c r="D1787" i="3"/>
  <c r="D1799" i="3"/>
  <c r="D1803" i="3"/>
  <c r="D1810" i="3"/>
  <c r="D1823" i="3"/>
  <c r="D1834" i="3"/>
  <c r="D1837" i="3"/>
  <c r="D1846" i="3"/>
  <c r="D1848" i="3"/>
  <c r="D1859" i="3"/>
  <c r="D1861" i="3"/>
  <c r="D1870" i="3"/>
  <c r="D1871" i="3"/>
  <c r="D1883" i="3"/>
  <c r="D1894" i="3"/>
  <c r="D1895" i="3"/>
  <c r="D1897" i="3"/>
  <c r="D1907" i="3"/>
  <c r="D1930" i="3"/>
  <c r="D1931" i="3"/>
  <c r="D1932" i="3"/>
  <c r="D1942" i="3"/>
  <c r="D1956" i="3"/>
  <c r="D1968" i="3"/>
  <c r="D1978" i="3"/>
  <c r="D1979" i="3"/>
  <c r="D1995" i="3"/>
  <c r="D2015" i="3"/>
  <c r="D2016" i="3"/>
  <c r="D2028" i="3"/>
  <c r="D2030" i="3"/>
  <c r="D2050" i="3"/>
  <c r="D2052" i="3"/>
  <c r="D2053" i="3"/>
  <c r="D2066" i="3"/>
  <c r="D2087" i="3"/>
  <c r="D2102" i="3"/>
  <c r="D2112" i="3"/>
  <c r="D2147" i="3"/>
  <c r="D2150" i="3"/>
  <c r="D2159" i="3"/>
  <c r="D2160" i="3"/>
  <c r="D2171" i="3"/>
  <c r="D2174" i="3"/>
  <c r="D2196" i="3"/>
  <c r="D2221" i="3"/>
  <c r="D2231" i="3"/>
  <c r="D2243" i="3"/>
  <c r="D2290" i="3"/>
  <c r="D2293" i="3"/>
  <c r="D2294" i="3"/>
  <c r="D2302" i="3"/>
  <c r="D2327" i="3"/>
  <c r="D2338" i="3"/>
  <c r="D2339" i="3"/>
  <c r="D2342" i="3"/>
  <c r="D2410" i="3"/>
  <c r="D2411" i="3"/>
  <c r="D2434" i="3"/>
  <c r="D2436" i="3"/>
  <c r="D2447" i="3"/>
  <c r="D2460" i="3"/>
  <c r="D2484" i="3"/>
  <c r="D2496" i="3"/>
  <c r="D2506" i="3"/>
  <c r="D2507" i="3"/>
  <c r="D2518" i="3"/>
  <c r="D2590" i="3"/>
  <c r="D2602" i="3"/>
  <c r="D2604" i="3"/>
  <c r="D2616" i="3"/>
  <c r="D2626" i="3"/>
  <c r="D2641" i="3"/>
  <c r="D2650" i="3"/>
  <c r="D2665" i="3"/>
  <c r="D2702" i="3"/>
  <c r="D2710" i="3"/>
  <c r="D2713" i="3"/>
  <c r="D2762" i="3"/>
  <c r="D2770" i="3"/>
  <c r="D2797" i="3"/>
  <c r="D2818" i="3"/>
  <c r="D2821" i="3"/>
  <c r="D2854" i="3"/>
  <c r="D2893" i="3"/>
  <c r="D2914" i="3"/>
  <c r="D2962" i="3"/>
  <c r="D2987" i="3"/>
  <c r="D3010" i="3"/>
  <c r="D3035" i="3"/>
  <c r="D3049" i="3"/>
  <c r="D3082" i="3"/>
  <c r="D3131" i="3"/>
  <c r="D3155" i="3"/>
  <c r="D3167" i="3"/>
  <c r="D3193" i="3"/>
  <c r="D3250" i="3"/>
  <c r="D3310" i="3"/>
  <c r="D3311" i="3"/>
  <c r="D3323" i="3"/>
  <c r="D6" i="3"/>
  <c r="D7" i="3"/>
  <c r="D8" i="3"/>
  <c r="D16" i="3"/>
  <c r="D18" i="3"/>
  <c r="D19" i="3"/>
  <c r="D20" i="3"/>
  <c r="D28" i="3"/>
  <c r="D29" i="3"/>
  <c r="D30" i="3"/>
  <c r="D31" i="3"/>
  <c r="D32" i="3"/>
  <c r="D33" i="3"/>
  <c r="D40" i="3"/>
  <c r="D41" i="3"/>
  <c r="D42" i="3"/>
  <c r="D43" i="3"/>
  <c r="D44" i="3"/>
  <c r="D45" i="3"/>
  <c r="D53" i="3"/>
  <c r="D54" i="3"/>
  <c r="D56" i="3"/>
  <c r="D57" i="3"/>
  <c r="D64" i="3"/>
  <c r="D65" i="3"/>
  <c r="D66" i="3"/>
  <c r="D67" i="3"/>
  <c r="D68" i="3"/>
  <c r="D76" i="3"/>
  <c r="D78" i="3"/>
  <c r="D79" i="3"/>
  <c r="D80" i="3"/>
  <c r="D81" i="3"/>
  <c r="D88" i="3"/>
  <c r="D91" i="3"/>
  <c r="D100" i="3"/>
  <c r="D102" i="3"/>
  <c r="D103" i="3"/>
  <c r="D104" i="3"/>
  <c r="D112" i="3"/>
  <c r="D113" i="3"/>
  <c r="D114" i="3"/>
  <c r="D115" i="3"/>
  <c r="D116" i="3"/>
  <c r="D117" i="3"/>
  <c r="D123" i="3"/>
  <c r="D124" i="3"/>
  <c r="D125" i="3"/>
  <c r="D126" i="3"/>
  <c r="D127" i="3"/>
  <c r="D128" i="3"/>
  <c r="D129" i="3"/>
  <c r="D136" i="3"/>
  <c r="D137" i="3"/>
  <c r="D138" i="3"/>
  <c r="D139" i="3"/>
  <c r="D140" i="3"/>
  <c r="D141" i="3"/>
  <c r="D148" i="3"/>
  <c r="D149" i="3"/>
  <c r="D150" i="3"/>
  <c r="D151" i="3"/>
  <c r="D152" i="3"/>
  <c r="D160" i="3"/>
  <c r="D161" i="3"/>
  <c r="D162" i="3"/>
  <c r="D163" i="3"/>
  <c r="D164" i="3"/>
  <c r="D172" i="3"/>
  <c r="D173" i="3"/>
  <c r="D174" i="3"/>
  <c r="D175" i="3"/>
  <c r="D176" i="3"/>
  <c r="D177" i="3"/>
  <c r="D184" i="3"/>
  <c r="D186" i="3"/>
  <c r="D187" i="3"/>
  <c r="D188" i="3"/>
  <c r="D196" i="3"/>
  <c r="D197" i="3"/>
  <c r="D198" i="3"/>
  <c r="D199" i="3"/>
  <c r="D200" i="3"/>
  <c r="D208" i="3"/>
  <c r="D210" i="3"/>
  <c r="D211" i="3"/>
  <c r="D212" i="3"/>
  <c r="D213" i="3"/>
  <c r="D220" i="3"/>
  <c r="D221" i="3"/>
  <c r="D222" i="3"/>
  <c r="D232" i="3"/>
  <c r="D233" i="3"/>
  <c r="D235" i="3"/>
  <c r="D244" i="3"/>
  <c r="D245" i="3"/>
  <c r="D246" i="3"/>
  <c r="D247" i="3"/>
  <c r="D248" i="3"/>
  <c r="D257" i="3"/>
  <c r="D258" i="3"/>
  <c r="D259" i="3"/>
  <c r="D260" i="3"/>
  <c r="D261" i="3"/>
  <c r="D268" i="3"/>
  <c r="D269" i="3"/>
  <c r="D270" i="3"/>
  <c r="D271" i="3"/>
  <c r="D272" i="3"/>
  <c r="D273" i="3"/>
  <c r="D280" i="3"/>
  <c r="D282" i="3"/>
  <c r="D284" i="3"/>
  <c r="D285" i="3"/>
  <c r="D292" i="3"/>
  <c r="D293" i="3"/>
  <c r="D295" i="3"/>
  <c r="D296" i="3"/>
  <c r="D297" i="3"/>
  <c r="D304" i="3"/>
  <c r="D305" i="3"/>
  <c r="D307" i="3"/>
  <c r="D308" i="3"/>
  <c r="D309" i="3"/>
  <c r="D316" i="3"/>
  <c r="D317" i="3"/>
  <c r="D319" i="3"/>
  <c r="D328" i="3"/>
  <c r="D329" i="3"/>
  <c r="D330" i="3"/>
  <c r="D331" i="3"/>
  <c r="D332" i="3"/>
  <c r="D333" i="3"/>
  <c r="D340" i="3"/>
  <c r="D341" i="3"/>
  <c r="D342" i="3"/>
  <c r="D343" i="3"/>
  <c r="D344" i="3"/>
  <c r="D345" i="3"/>
  <c r="D352" i="3"/>
  <c r="D353" i="3"/>
  <c r="D354" i="3"/>
  <c r="D355" i="3"/>
  <c r="D356" i="3"/>
  <c r="D357" i="3"/>
  <c r="D364" i="3"/>
  <c r="D365" i="3"/>
  <c r="D366" i="3"/>
  <c r="D367" i="3"/>
  <c r="D376" i="3"/>
  <c r="D377" i="3"/>
  <c r="D378" i="3"/>
  <c r="D379" i="3"/>
  <c r="D388" i="3"/>
  <c r="D389" i="3"/>
  <c r="D391" i="3"/>
  <c r="D400" i="3"/>
  <c r="D401" i="3"/>
  <c r="D402" i="3"/>
  <c r="D403" i="3"/>
  <c r="D412" i="3"/>
  <c r="D413" i="3"/>
  <c r="D416" i="3"/>
  <c r="D424" i="3"/>
  <c r="D425" i="3"/>
  <c r="D428" i="3"/>
  <c r="D436" i="3"/>
  <c r="D437" i="3"/>
  <c r="D438" i="3"/>
  <c r="D440" i="3"/>
  <c r="D441" i="3"/>
  <c r="D448" i="3"/>
  <c r="D449" i="3"/>
  <c r="D450" i="3"/>
  <c r="D452" i="3"/>
  <c r="D460" i="3"/>
  <c r="D461" i="3"/>
  <c r="D462" i="3"/>
  <c r="D464" i="3"/>
  <c r="D465" i="3"/>
  <c r="D472" i="3"/>
  <c r="D473" i="3"/>
  <c r="D477" i="3"/>
  <c r="D484" i="3"/>
  <c r="D496" i="3"/>
  <c r="D497" i="3"/>
  <c r="D498" i="3"/>
  <c r="D508" i="3"/>
  <c r="D509" i="3"/>
  <c r="D510" i="3"/>
  <c r="D513" i="3"/>
  <c r="D520" i="3"/>
  <c r="D521" i="3"/>
  <c r="D532" i="3"/>
  <c r="D533" i="3"/>
  <c r="D536" i="3"/>
  <c r="D544" i="3"/>
  <c r="D545" i="3"/>
  <c r="D546" i="3"/>
  <c r="D548" i="3"/>
  <c r="D549" i="3"/>
  <c r="D556" i="3"/>
  <c r="D557" i="3"/>
  <c r="D558" i="3"/>
  <c r="D560" i="3"/>
  <c r="D568" i="3"/>
  <c r="D569" i="3"/>
  <c r="D570" i="3"/>
  <c r="D580" i="3"/>
  <c r="D581" i="3"/>
  <c r="D582" i="3"/>
  <c r="D592" i="3"/>
  <c r="D596" i="3"/>
  <c r="D605" i="3"/>
  <c r="D606" i="3"/>
  <c r="D608" i="3"/>
  <c r="D616" i="3"/>
  <c r="D617" i="3"/>
  <c r="D618" i="3"/>
  <c r="D620" i="3"/>
  <c r="D628" i="3"/>
  <c r="D629" i="3"/>
  <c r="D632" i="3"/>
  <c r="D633" i="3"/>
  <c r="D640" i="3"/>
  <c r="D641" i="3"/>
  <c r="D642" i="3"/>
  <c r="D644" i="3"/>
  <c r="D645" i="3"/>
  <c r="D652" i="3"/>
  <c r="D653" i="3"/>
  <c r="D654" i="3"/>
  <c r="D676" i="3"/>
  <c r="D680" i="3"/>
  <c r="D688" i="3"/>
  <c r="D689" i="3"/>
  <c r="D690" i="3"/>
  <c r="D692" i="3"/>
  <c r="D701" i="3"/>
  <c r="D704" i="3"/>
  <c r="D712" i="3"/>
  <c r="D713" i="3"/>
  <c r="D716" i="3"/>
  <c r="D724" i="3"/>
  <c r="D726" i="3"/>
  <c r="D728" i="3"/>
  <c r="D736" i="3"/>
  <c r="D737" i="3"/>
  <c r="D738" i="3"/>
  <c r="D740" i="3"/>
  <c r="D748" i="3"/>
  <c r="D760" i="3"/>
  <c r="D761" i="3"/>
  <c r="D762" i="3"/>
  <c r="D772" i="3"/>
  <c r="D773" i="3"/>
  <c r="D784" i="3"/>
  <c r="D785" i="3"/>
  <c r="D788" i="3"/>
  <c r="D796" i="3"/>
  <c r="D798" i="3"/>
  <c r="D800" i="3"/>
  <c r="D808" i="3"/>
  <c r="D809" i="3"/>
  <c r="D812" i="3"/>
  <c r="D820" i="3"/>
  <c r="D822" i="3"/>
  <c r="D824" i="3"/>
  <c r="D832" i="3"/>
  <c r="D833" i="3"/>
  <c r="D836" i="3"/>
  <c r="D845" i="3"/>
  <c r="D848" i="3"/>
  <c r="D856" i="3"/>
  <c r="D857" i="3"/>
  <c r="D858" i="3"/>
  <c r="D860" i="3"/>
  <c r="D868" i="3"/>
  <c r="D869" i="3"/>
  <c r="D870" i="3"/>
  <c r="D872" i="3"/>
  <c r="D881" i="3"/>
  <c r="D882" i="3"/>
  <c r="D884" i="3"/>
  <c r="D893" i="3"/>
  <c r="D904" i="3"/>
  <c r="D918" i="3"/>
  <c r="D928" i="3"/>
  <c r="D929" i="3"/>
  <c r="D930" i="3"/>
  <c r="D932" i="3"/>
  <c r="D940" i="3"/>
  <c r="D941" i="3"/>
  <c r="D942" i="3"/>
  <c r="D944" i="3"/>
  <c r="D952" i="3"/>
  <c r="D953" i="3"/>
  <c r="D954" i="3"/>
  <c r="D956" i="3"/>
  <c r="D968" i="3"/>
  <c r="D976" i="3"/>
  <c r="D980" i="3"/>
  <c r="D988" i="3"/>
  <c r="D989" i="3"/>
  <c r="D992" i="3"/>
  <c r="D1001" i="3"/>
  <c r="D1002" i="3"/>
  <c r="D1004" i="3"/>
  <c r="D1012" i="3"/>
  <c r="D1016" i="3"/>
  <c r="D1024" i="3"/>
  <c r="D1028" i="3"/>
  <c r="D1038" i="3"/>
  <c r="D1049" i="3"/>
  <c r="D1050" i="3"/>
  <c r="D1061" i="3"/>
  <c r="D1062" i="3"/>
  <c r="D1072" i="3"/>
  <c r="D1073" i="3"/>
  <c r="D1076" i="3"/>
  <c r="D1084" i="3"/>
  <c r="D1085" i="3"/>
  <c r="D1086" i="3"/>
  <c r="D1088" i="3"/>
  <c r="D1096" i="3"/>
  <c r="D1097" i="3"/>
  <c r="D1100" i="3"/>
  <c r="D1110" i="3"/>
  <c r="D1112" i="3"/>
  <c r="D1120" i="3"/>
  <c r="D1122" i="3"/>
  <c r="D1124" i="3"/>
  <c r="D1132" i="3"/>
  <c r="D1133" i="3"/>
  <c r="D1134" i="3"/>
  <c r="D1136" i="3"/>
  <c r="D1145" i="3"/>
  <c r="D1146" i="3"/>
  <c r="D1148" i="3"/>
  <c r="D1156" i="3"/>
  <c r="D1157" i="3"/>
  <c r="D1158" i="3"/>
  <c r="D1160" i="3"/>
  <c r="D1161" i="3"/>
  <c r="D1173" i="3"/>
  <c r="D1193" i="3"/>
  <c r="D1205" i="3"/>
  <c r="D1206" i="3"/>
  <c r="D1208" i="3"/>
  <c r="D1209" i="3"/>
  <c r="D1218" i="3"/>
  <c r="D1220" i="3"/>
  <c r="D1221" i="3"/>
  <c r="D1228" i="3"/>
  <c r="D1229" i="3"/>
  <c r="D1230" i="3"/>
  <c r="D1232" i="3"/>
  <c r="D1233" i="3"/>
  <c r="D1240" i="3"/>
  <c r="D1241" i="3"/>
  <c r="D1244" i="3"/>
  <c r="D1252" i="3"/>
  <c r="D1253" i="3"/>
  <c r="D1265" i="3"/>
  <c r="D1277" i="3"/>
  <c r="D1280" i="3"/>
  <c r="D1288" i="3"/>
  <c r="D1292" i="3"/>
  <c r="D1301" i="3"/>
  <c r="D1302" i="3"/>
  <c r="D1304" i="3"/>
  <c r="D1305" i="3"/>
  <c r="D1316" i="3"/>
  <c r="D1317" i="3"/>
  <c r="D1328" i="3"/>
  <c r="D1336" i="3"/>
  <c r="D1338" i="3"/>
  <c r="D1349" i="3"/>
  <c r="D1352" i="3"/>
  <c r="D1353" i="3"/>
  <c r="D1362" i="3"/>
  <c r="D1372" i="3"/>
  <c r="D1373" i="3"/>
  <c r="D1374" i="3"/>
  <c r="D1376" i="3"/>
  <c r="D1388" i="3"/>
  <c r="D1389" i="3"/>
  <c r="D1397" i="3"/>
  <c r="D1409" i="3"/>
  <c r="D1420" i="3"/>
  <c r="D1421" i="3"/>
  <c r="D1432" i="3"/>
  <c r="D1444" i="3"/>
  <c r="D1448" i="3"/>
  <c r="D1460" i="3"/>
  <c r="D1461" i="3"/>
  <c r="D1470" i="3"/>
  <c r="D1472" i="3"/>
  <c r="D1480" i="3"/>
  <c r="D1481" i="3"/>
  <c r="D1494" i="3"/>
  <c r="D1516" i="3"/>
  <c r="D1541" i="3"/>
  <c r="D1552" i="3"/>
  <c r="D1577" i="3"/>
  <c r="D1578" i="3"/>
  <c r="D1580" i="3"/>
  <c r="D1581" i="3"/>
  <c r="D1589" i="3"/>
  <c r="D1625" i="3"/>
  <c r="D1629" i="3"/>
  <c r="D1636" i="3"/>
  <c r="D1638" i="3"/>
  <c r="D1648" i="3"/>
  <c r="D1649" i="3"/>
  <c r="D1661" i="3"/>
  <c r="D1664" i="3"/>
  <c r="D1673" i="3"/>
  <c r="D1676" i="3"/>
  <c r="D1685" i="3"/>
  <c r="D1686" i="3"/>
  <c r="D1696" i="3"/>
  <c r="D1710" i="3"/>
  <c r="D1712" i="3"/>
  <c r="D1722" i="3"/>
  <c r="D1724" i="3"/>
  <c r="D1733" i="3"/>
  <c r="D1737" i="3"/>
  <c r="D1756" i="3"/>
  <c r="D1758" i="3"/>
  <c r="D1768" i="3"/>
  <c r="D1769" i="3"/>
  <c r="D1773" i="3"/>
  <c r="D1781" i="3"/>
  <c r="D1793" i="3"/>
  <c r="D1796" i="3"/>
  <c r="D1805" i="3"/>
  <c r="D1828" i="3"/>
  <c r="D1829" i="3"/>
  <c r="D1830" i="3"/>
  <c r="D1852" i="3"/>
  <c r="D1856" i="3"/>
  <c r="D1857" i="3"/>
  <c r="D1869" i="3"/>
  <c r="D1880" i="3"/>
  <c r="D1914" i="3"/>
  <c r="D1924" i="3"/>
  <c r="D1940" i="3"/>
  <c r="D1950" i="3"/>
  <c r="D1972" i="3"/>
  <c r="D1985" i="3"/>
  <c r="D2021" i="3"/>
  <c r="D2034" i="3"/>
  <c r="D2048" i="3"/>
  <c r="D2056" i="3"/>
  <c r="D2057" i="3"/>
  <c r="D2061" i="3"/>
  <c r="D2068" i="3"/>
  <c r="D2117" i="3"/>
  <c r="D2128" i="3"/>
  <c r="D2140" i="3"/>
  <c r="D2152" i="3"/>
  <c r="D2154" i="3"/>
  <c r="D2166" i="3"/>
  <c r="D2237" i="3"/>
  <c r="D2273" i="3"/>
  <c r="D2308" i="3"/>
  <c r="D2309" i="3"/>
  <c r="D2369" i="3"/>
  <c r="D2392" i="3"/>
  <c r="D2393" i="3"/>
  <c r="D2404" i="3"/>
  <c r="D2416" i="3"/>
  <c r="D2440" i="3"/>
  <c r="D2453" i="3"/>
  <c r="D2477" i="3"/>
  <c r="D2572" i="3"/>
  <c r="D2573" i="3"/>
  <c r="D2584" i="3"/>
  <c r="D2585" i="3"/>
  <c r="D2608" i="3"/>
  <c r="D2621" i="3"/>
  <c r="D2680" i="3"/>
  <c r="D2716" i="3"/>
  <c r="D2728" i="3"/>
  <c r="D2753" i="3"/>
  <c r="D2777" i="3"/>
  <c r="D2789" i="3"/>
  <c r="D2801" i="3"/>
  <c r="D2824" i="3"/>
  <c r="D2908" i="3"/>
  <c r="D2909" i="3"/>
  <c r="D2920" i="3"/>
  <c r="D2921" i="3"/>
  <c r="D2933" i="3"/>
  <c r="D2945" i="3"/>
  <c r="D2980" i="3"/>
  <c r="D3065" i="3"/>
  <c r="D3076" i="3"/>
  <c r="D3077" i="3"/>
  <c r="D3088" i="3"/>
  <c r="D3100" i="3"/>
  <c r="D3256" i="3"/>
  <c r="D3268" i="3"/>
  <c r="D3" i="3"/>
  <c r="D4" i="3"/>
  <c r="D15" i="3"/>
  <c r="D27" i="3"/>
  <c r="D39" i="3"/>
  <c r="D51" i="3"/>
  <c r="D52" i="3"/>
  <c r="D63" i="3"/>
  <c r="D75" i="3"/>
  <c r="D87" i="3"/>
  <c r="D99" i="3"/>
  <c r="D111" i="3"/>
  <c r="D135" i="3"/>
  <c r="D147" i="3"/>
  <c r="D159" i="3"/>
  <c r="D171" i="3"/>
  <c r="D183" i="3"/>
  <c r="D195" i="3"/>
  <c r="D219" i="3"/>
  <c r="D231" i="3"/>
  <c r="D243" i="3"/>
  <c r="D255" i="3"/>
  <c r="D279" i="3"/>
  <c r="D303" i="3"/>
  <c r="D315" i="3"/>
  <c r="D339" i="3"/>
  <c r="D351" i="3"/>
  <c r="D363" i="3"/>
  <c r="D375" i="3"/>
  <c r="D387" i="3"/>
  <c r="D399" i="3"/>
  <c r="D411" i="3"/>
  <c r="D423" i="3"/>
  <c r="D435" i="3"/>
  <c r="D447" i="3"/>
  <c r="D471" i="3"/>
  <c r="D483" i="3"/>
  <c r="D495" i="3"/>
  <c r="D507" i="3"/>
  <c r="D519" i="3"/>
  <c r="D531" i="3"/>
  <c r="D555" i="3"/>
  <c r="D579" i="3"/>
  <c r="D591" i="3"/>
  <c r="D603" i="3"/>
  <c r="D615" i="3"/>
  <c r="D627" i="3"/>
  <c r="D639" i="3"/>
  <c r="D663" i="3"/>
  <c r="D675" i="3"/>
  <c r="D687" i="3"/>
  <c r="D698" i="3"/>
  <c r="D711" i="3"/>
  <c r="D723" i="3"/>
  <c r="D747" i="3"/>
  <c r="D759" i="3"/>
  <c r="D771" i="3"/>
  <c r="D795" i="3"/>
  <c r="D819" i="3"/>
  <c r="D843" i="3"/>
  <c r="D867" i="3"/>
  <c r="D891" i="3"/>
  <c r="D915" i="3"/>
  <c r="D927" i="3"/>
  <c r="D939" i="3"/>
  <c r="D963" i="3"/>
  <c r="D975" i="3"/>
  <c r="D987" i="3"/>
  <c r="D1011" i="3"/>
  <c r="D1023" i="3"/>
  <c r="D1035" i="3"/>
  <c r="D1047" i="3"/>
  <c r="D1059" i="3"/>
  <c r="D1071" i="3"/>
  <c r="D1095" i="3"/>
  <c r="D1107" i="3"/>
  <c r="D1119" i="3"/>
  <c r="D1143" i="3"/>
  <c r="D1155" i="3"/>
  <c r="D1167" i="3"/>
  <c r="D1191" i="3"/>
  <c r="D1203" i="3"/>
  <c r="D1215" i="3"/>
  <c r="D1251" i="3"/>
  <c r="D1275" i="3"/>
  <c r="D1323" i="3"/>
  <c r="D1347" i="3"/>
  <c r="D1383" i="3"/>
  <c r="D1384" i="3"/>
  <c r="D1392" i="3"/>
  <c r="D1419" i="3"/>
  <c r="D1431" i="3"/>
  <c r="D1503" i="3"/>
  <c r="D1539" i="3"/>
  <c r="D1563" i="3"/>
  <c r="D1611" i="3"/>
  <c r="D1635" i="3"/>
  <c r="D1659" i="3"/>
  <c r="D1719" i="3"/>
  <c r="D1755" i="3"/>
  <c r="D1779" i="3"/>
  <c r="D1827" i="3"/>
  <c r="D1874" i="3"/>
  <c r="D1887" i="3"/>
  <c r="D2043" i="3"/>
  <c r="D2055" i="3"/>
  <c r="D2063" i="3"/>
  <c r="D2067" i="3"/>
  <c r="D2139" i="3"/>
  <c r="D2175" i="3"/>
  <c r="D2259" i="3"/>
  <c r="D2391" i="3"/>
  <c r="D2426" i="3"/>
  <c r="D2463" i="3"/>
  <c r="D2559" i="3"/>
  <c r="D2595" i="3"/>
  <c r="D2703" i="3"/>
  <c r="D2811" i="3"/>
  <c r="D2943" i="3"/>
  <c r="D2967" i="3"/>
  <c r="D2981" i="3"/>
  <c r="D2991" i="3"/>
  <c r="D3015" i="3"/>
  <c r="F3" i="3"/>
  <c r="F4" i="3"/>
  <c r="F5" i="3"/>
  <c r="F6" i="3"/>
  <c r="F7" i="3"/>
  <c r="F8" i="3"/>
  <c r="F9" i="3"/>
  <c r="G9" i="3" s="1"/>
  <c r="F10" i="3"/>
  <c r="G10" i="3" s="1"/>
  <c r="H10" i="3" s="1"/>
  <c r="F11" i="3"/>
  <c r="G11" i="3" s="1"/>
  <c r="H11" i="3" s="1"/>
  <c r="F12" i="3"/>
  <c r="G12" i="3" s="1"/>
  <c r="H12" i="3" s="1"/>
  <c r="F13" i="3"/>
  <c r="F14" i="3"/>
  <c r="F15" i="3"/>
  <c r="F16" i="3"/>
  <c r="F17" i="3"/>
  <c r="F18" i="3"/>
  <c r="F19" i="3"/>
  <c r="F20" i="3"/>
  <c r="F21" i="3"/>
  <c r="G21" i="3" s="1"/>
  <c r="F22" i="3"/>
  <c r="G22" i="3" s="1"/>
  <c r="H22" i="3" s="1"/>
  <c r="F23" i="3"/>
  <c r="G23" i="3" s="1"/>
  <c r="H23" i="3" s="1"/>
  <c r="F24" i="3"/>
  <c r="G24" i="3" s="1"/>
  <c r="H24" i="3" s="1"/>
  <c r="F25" i="3"/>
  <c r="F26" i="3"/>
  <c r="F27" i="3"/>
  <c r="F28" i="3"/>
  <c r="F29" i="3"/>
  <c r="F30" i="3"/>
  <c r="F31" i="3"/>
  <c r="F32" i="3"/>
  <c r="F33" i="3"/>
  <c r="G33" i="3" s="1"/>
  <c r="H33" i="3" s="1"/>
  <c r="F34" i="3"/>
  <c r="G34" i="3" s="1"/>
  <c r="H34" i="3" s="1"/>
  <c r="F35" i="3"/>
  <c r="G35" i="3" s="1"/>
  <c r="H35" i="3" s="1"/>
  <c r="F36" i="3"/>
  <c r="G36" i="3" s="1"/>
  <c r="F37" i="3"/>
  <c r="F38" i="3"/>
  <c r="F39" i="3"/>
  <c r="F40" i="3"/>
  <c r="F41" i="3"/>
  <c r="F42" i="3"/>
  <c r="F43" i="3"/>
  <c r="F44" i="3"/>
  <c r="F45" i="3"/>
  <c r="G45" i="3" s="1"/>
  <c r="H45" i="3" s="1"/>
  <c r="F46" i="3"/>
  <c r="G46" i="3" s="1"/>
  <c r="H46" i="3" s="1"/>
  <c r="F47" i="3"/>
  <c r="G47" i="3" s="1"/>
  <c r="F48" i="3"/>
  <c r="G48" i="3" s="1"/>
  <c r="H48" i="3" s="1"/>
  <c r="F49" i="3"/>
  <c r="F50" i="3"/>
  <c r="F51" i="3"/>
  <c r="F52" i="3"/>
  <c r="F53" i="3"/>
  <c r="F54" i="3"/>
  <c r="F55" i="3"/>
  <c r="F56" i="3"/>
  <c r="F57" i="3"/>
  <c r="G57" i="3" s="1"/>
  <c r="H57" i="3" s="1"/>
  <c r="F58" i="3"/>
  <c r="G58" i="3" s="1"/>
  <c r="H58" i="3" s="1"/>
  <c r="F59" i="3"/>
  <c r="G59" i="3" s="1"/>
  <c r="H59" i="3" s="1"/>
  <c r="F60" i="3"/>
  <c r="G60" i="3" s="1"/>
  <c r="H60" i="3" s="1"/>
  <c r="F61" i="3"/>
  <c r="F62" i="3"/>
  <c r="F63" i="3"/>
  <c r="F64" i="3"/>
  <c r="F65" i="3"/>
  <c r="F66" i="3"/>
  <c r="F67" i="3"/>
  <c r="F68" i="3"/>
  <c r="F69" i="3"/>
  <c r="G69" i="3" s="1"/>
  <c r="F70" i="3"/>
  <c r="G70" i="3" s="1"/>
  <c r="F71" i="3"/>
  <c r="G71" i="3" s="1"/>
  <c r="H71" i="3" s="1"/>
  <c r="F72" i="3"/>
  <c r="G72" i="3" s="1"/>
  <c r="H72" i="3" s="1"/>
  <c r="F73" i="3"/>
  <c r="F74" i="3"/>
  <c r="F75" i="3"/>
  <c r="F76" i="3"/>
  <c r="F77" i="3"/>
  <c r="F78" i="3"/>
  <c r="F79" i="3"/>
  <c r="F80" i="3"/>
  <c r="F81" i="3"/>
  <c r="G81" i="3" s="1"/>
  <c r="H81" i="3" s="1"/>
  <c r="F82" i="3"/>
  <c r="G82" i="3" s="1"/>
  <c r="F83" i="3"/>
  <c r="G83" i="3" s="1"/>
  <c r="H83" i="3" s="1"/>
  <c r="F84" i="3"/>
  <c r="G84" i="3" s="1"/>
  <c r="H84" i="3" s="1"/>
  <c r="F85" i="3"/>
  <c r="F86" i="3"/>
  <c r="F87" i="3"/>
  <c r="F88" i="3"/>
  <c r="F89" i="3"/>
  <c r="F90" i="3"/>
  <c r="F91" i="3"/>
  <c r="F92" i="3"/>
  <c r="F93" i="3"/>
  <c r="G93" i="3" s="1"/>
  <c r="F94" i="3"/>
  <c r="G94" i="3" s="1"/>
  <c r="H94" i="3" s="1"/>
  <c r="F95" i="3"/>
  <c r="G95" i="3" s="1"/>
  <c r="H95" i="3" s="1"/>
  <c r="F96" i="3"/>
  <c r="G96" i="3" s="1"/>
  <c r="H96" i="3" s="1"/>
  <c r="F97" i="3"/>
  <c r="F98" i="3"/>
  <c r="F99" i="3"/>
  <c r="F100" i="3"/>
  <c r="F101" i="3"/>
  <c r="F102" i="3"/>
  <c r="F103" i="3"/>
  <c r="F104" i="3"/>
  <c r="F105" i="3"/>
  <c r="G105" i="3" s="1"/>
  <c r="F106" i="3"/>
  <c r="G106" i="3" s="1"/>
  <c r="H106" i="3" s="1"/>
  <c r="F107" i="3"/>
  <c r="G107" i="3" s="1"/>
  <c r="H107" i="3" s="1"/>
  <c r="F108" i="3"/>
  <c r="G108" i="3" s="1"/>
  <c r="F109" i="3"/>
  <c r="F110" i="3"/>
  <c r="F111" i="3"/>
  <c r="F112" i="3"/>
  <c r="F113" i="3"/>
  <c r="F114" i="3"/>
  <c r="F115" i="3"/>
  <c r="F116" i="3"/>
  <c r="F117" i="3"/>
  <c r="G117" i="3" s="1"/>
  <c r="H117" i="3" s="1"/>
  <c r="F118" i="3"/>
  <c r="G118" i="3" s="1"/>
  <c r="F119" i="3"/>
  <c r="G119" i="3" s="1"/>
  <c r="H119" i="3" s="1"/>
  <c r="F120" i="3"/>
  <c r="G120" i="3" s="1"/>
  <c r="H120" i="3" s="1"/>
  <c r="F121" i="3"/>
  <c r="F122" i="3"/>
  <c r="F123" i="3"/>
  <c r="F124" i="3"/>
  <c r="F125" i="3"/>
  <c r="F126" i="3"/>
  <c r="F127" i="3"/>
  <c r="F128" i="3"/>
  <c r="F129" i="3"/>
  <c r="G129" i="3" s="1"/>
  <c r="H129" i="3" s="1"/>
  <c r="F130" i="3"/>
  <c r="G130" i="3" s="1"/>
  <c r="H130" i="3" s="1"/>
  <c r="F131" i="3"/>
  <c r="G131" i="3" s="1"/>
  <c r="H131" i="3" s="1"/>
  <c r="F132" i="3"/>
  <c r="G132" i="3" s="1"/>
  <c r="H132" i="3" s="1"/>
  <c r="F133" i="3"/>
  <c r="F134" i="3"/>
  <c r="F135" i="3"/>
  <c r="F136" i="3"/>
  <c r="F137" i="3"/>
  <c r="F138" i="3"/>
  <c r="F139" i="3"/>
  <c r="F140" i="3"/>
  <c r="F141" i="3"/>
  <c r="G141" i="3" s="1"/>
  <c r="H141" i="3" s="1"/>
  <c r="F142" i="3"/>
  <c r="G142" i="3" s="1"/>
  <c r="H142" i="3" s="1"/>
  <c r="F143" i="3"/>
  <c r="G143" i="3" s="1"/>
  <c r="F144" i="3"/>
  <c r="G144" i="3" s="1"/>
  <c r="H144" i="3" s="1"/>
  <c r="F145" i="3"/>
  <c r="F146" i="3"/>
  <c r="F147" i="3"/>
  <c r="F148" i="3"/>
  <c r="F149" i="3"/>
  <c r="F150" i="3"/>
  <c r="F151" i="3"/>
  <c r="F152" i="3"/>
  <c r="F153" i="3"/>
  <c r="G153" i="3" s="1"/>
  <c r="F154" i="3"/>
  <c r="G154" i="3" s="1"/>
  <c r="H154" i="3" s="1"/>
  <c r="F155" i="3"/>
  <c r="G155" i="3" s="1"/>
  <c r="F156" i="3"/>
  <c r="G156" i="3" s="1"/>
  <c r="F157" i="3"/>
  <c r="F158" i="3"/>
  <c r="F159" i="3"/>
  <c r="F160" i="3"/>
  <c r="F161" i="3"/>
  <c r="F162" i="3"/>
  <c r="F163" i="3"/>
  <c r="F164" i="3"/>
  <c r="F165" i="3"/>
  <c r="G165" i="3" s="1"/>
  <c r="F166" i="3"/>
  <c r="G166" i="3" s="1"/>
  <c r="H166" i="3" s="1"/>
  <c r="F167" i="3"/>
  <c r="G167" i="3" s="1"/>
  <c r="F168" i="3"/>
  <c r="G168" i="3" s="1"/>
  <c r="F169" i="3"/>
  <c r="F170" i="3"/>
  <c r="F171" i="3"/>
  <c r="F172" i="3"/>
  <c r="F173" i="3"/>
  <c r="F174" i="3"/>
  <c r="F175" i="3"/>
  <c r="F176" i="3"/>
  <c r="F177" i="3"/>
  <c r="G177" i="3" s="1"/>
  <c r="H177" i="3" s="1"/>
  <c r="F178" i="3"/>
  <c r="G178" i="3" s="1"/>
  <c r="F179" i="3"/>
  <c r="G179" i="3" s="1"/>
  <c r="H179" i="3" s="1"/>
  <c r="F180" i="3"/>
  <c r="G180" i="3" s="1"/>
  <c r="H180" i="3" s="1"/>
  <c r="F181" i="3"/>
  <c r="F182" i="3"/>
  <c r="F183" i="3"/>
  <c r="F184" i="3"/>
  <c r="F185" i="3"/>
  <c r="F186" i="3"/>
  <c r="F187" i="3"/>
  <c r="F188" i="3"/>
  <c r="F189" i="3"/>
  <c r="G189" i="3" s="1"/>
  <c r="F190" i="3"/>
  <c r="G190" i="3" s="1"/>
  <c r="H190" i="3" s="1"/>
  <c r="F191" i="3"/>
  <c r="G191" i="3" s="1"/>
  <c r="H191" i="3" s="1"/>
  <c r="F192" i="3"/>
  <c r="G192" i="3" s="1"/>
  <c r="F193" i="3"/>
  <c r="F194" i="3"/>
  <c r="F195" i="3"/>
  <c r="F196" i="3"/>
  <c r="F197" i="3"/>
  <c r="F198" i="3"/>
  <c r="F199" i="3"/>
  <c r="F200" i="3"/>
  <c r="F201" i="3"/>
  <c r="G201" i="3" s="1"/>
  <c r="F202" i="3"/>
  <c r="G202" i="3" s="1"/>
  <c r="H202" i="3" s="1"/>
  <c r="F203" i="3"/>
  <c r="G203" i="3" s="1"/>
  <c r="H203" i="3" s="1"/>
  <c r="F204" i="3"/>
  <c r="G204" i="3" s="1"/>
  <c r="H204" i="3" s="1"/>
  <c r="F205" i="3"/>
  <c r="F206" i="3"/>
  <c r="F207" i="3"/>
  <c r="F208" i="3"/>
  <c r="F209" i="3"/>
  <c r="F210" i="3"/>
  <c r="F211" i="3"/>
  <c r="F212" i="3"/>
  <c r="F213" i="3"/>
  <c r="G213" i="3" s="1"/>
  <c r="H213" i="3" s="1"/>
  <c r="F214" i="3"/>
  <c r="G214" i="3" s="1"/>
  <c r="F215" i="3"/>
  <c r="G215" i="3" s="1"/>
  <c r="H215" i="3" s="1"/>
  <c r="F216" i="3"/>
  <c r="G216" i="3" s="1"/>
  <c r="F217" i="3"/>
  <c r="F218" i="3"/>
  <c r="F219" i="3"/>
  <c r="F220" i="3"/>
  <c r="F221" i="3"/>
  <c r="F222" i="3"/>
  <c r="F223" i="3"/>
  <c r="F224" i="3"/>
  <c r="F225" i="3"/>
  <c r="G225" i="3" s="1"/>
  <c r="H225" i="3" s="1"/>
  <c r="F226" i="3"/>
  <c r="G226" i="3" s="1"/>
  <c r="H226" i="3" s="1"/>
  <c r="F227" i="3"/>
  <c r="G227" i="3" s="1"/>
  <c r="H227" i="3" s="1"/>
  <c r="F228" i="3"/>
  <c r="G228" i="3" s="1"/>
  <c r="H228" i="3" s="1"/>
  <c r="F229" i="3"/>
  <c r="F230" i="3"/>
  <c r="F231" i="3"/>
  <c r="F232" i="3"/>
  <c r="F233" i="3"/>
  <c r="F234" i="3"/>
  <c r="F235" i="3"/>
  <c r="F236" i="3"/>
  <c r="F237" i="3"/>
  <c r="G237" i="3" s="1"/>
  <c r="F238" i="3"/>
  <c r="G238" i="3" s="1"/>
  <c r="H238" i="3" s="1"/>
  <c r="F239" i="3"/>
  <c r="G239" i="3" s="1"/>
  <c r="H239" i="3" s="1"/>
  <c r="F240" i="3"/>
  <c r="G240" i="3" s="1"/>
  <c r="H240" i="3" s="1"/>
  <c r="F241" i="3"/>
  <c r="F242" i="3"/>
  <c r="F243" i="3"/>
  <c r="F244" i="3"/>
  <c r="F245" i="3"/>
  <c r="F246" i="3"/>
  <c r="F247" i="3"/>
  <c r="F248" i="3"/>
  <c r="F249" i="3"/>
  <c r="G249" i="3" s="1"/>
  <c r="F250" i="3"/>
  <c r="G250" i="3" s="1"/>
  <c r="H250" i="3" s="1"/>
  <c r="F251" i="3"/>
  <c r="G251" i="3" s="1"/>
  <c r="H251" i="3" s="1"/>
  <c r="F252" i="3"/>
  <c r="G252" i="3" s="1"/>
  <c r="H252" i="3" s="1"/>
  <c r="F253" i="3"/>
  <c r="F254" i="3"/>
  <c r="F255" i="3"/>
  <c r="F256" i="3"/>
  <c r="F257" i="3"/>
  <c r="F258" i="3"/>
  <c r="F259" i="3"/>
  <c r="F260" i="3"/>
  <c r="F261" i="3"/>
  <c r="G261" i="3" s="1"/>
  <c r="H261" i="3" s="1"/>
  <c r="F262" i="3"/>
  <c r="G262" i="3" s="1"/>
  <c r="H262" i="3" s="1"/>
  <c r="F263" i="3"/>
  <c r="G263" i="3" s="1"/>
  <c r="F264" i="3"/>
  <c r="G264" i="3" s="1"/>
  <c r="F265" i="3"/>
  <c r="F266" i="3"/>
  <c r="F267" i="3"/>
  <c r="F268" i="3"/>
  <c r="F269" i="3"/>
  <c r="F270" i="3"/>
  <c r="F271" i="3"/>
  <c r="F272" i="3"/>
  <c r="F273" i="3"/>
  <c r="G273" i="3" s="1"/>
  <c r="H273" i="3" s="1"/>
  <c r="F274" i="3"/>
  <c r="G274" i="3" s="1"/>
  <c r="F275" i="3"/>
  <c r="G275" i="3" s="1"/>
  <c r="F276" i="3"/>
  <c r="G276" i="3" s="1"/>
  <c r="H276" i="3" s="1"/>
  <c r="F277" i="3"/>
  <c r="F278" i="3"/>
  <c r="F279" i="3"/>
  <c r="F280" i="3"/>
  <c r="F281" i="3"/>
  <c r="F282" i="3"/>
  <c r="F283" i="3"/>
  <c r="F284" i="3"/>
  <c r="F285" i="3"/>
  <c r="G285" i="3" s="1"/>
  <c r="H285" i="3" s="1"/>
  <c r="F286" i="3"/>
  <c r="G286" i="3" s="1"/>
  <c r="H286" i="3" s="1"/>
  <c r="F287" i="3"/>
  <c r="G287" i="3" s="1"/>
  <c r="H287" i="3" s="1"/>
  <c r="F288" i="3"/>
  <c r="G288" i="3" s="1"/>
  <c r="H288" i="3" s="1"/>
  <c r="F289" i="3"/>
  <c r="F290" i="3"/>
  <c r="F291" i="3"/>
  <c r="F292" i="3"/>
  <c r="F293" i="3"/>
  <c r="F294" i="3"/>
  <c r="F295" i="3"/>
  <c r="F296" i="3"/>
  <c r="F297" i="3"/>
  <c r="G297" i="3" s="1"/>
  <c r="H297" i="3" s="1"/>
  <c r="F298" i="3"/>
  <c r="G298" i="3" s="1"/>
  <c r="H298" i="3" s="1"/>
  <c r="F299" i="3"/>
  <c r="G299" i="3" s="1"/>
  <c r="H299" i="3" s="1"/>
  <c r="F300" i="3"/>
  <c r="G300" i="3" s="1"/>
  <c r="H300" i="3" s="1"/>
  <c r="F301" i="3"/>
  <c r="F302" i="3"/>
  <c r="F303" i="3"/>
  <c r="F304" i="3"/>
  <c r="F305" i="3"/>
  <c r="F306" i="3"/>
  <c r="F307" i="3"/>
  <c r="F308" i="3"/>
  <c r="F309" i="3"/>
  <c r="G309" i="3" s="1"/>
  <c r="H309" i="3" s="1"/>
  <c r="F310" i="3"/>
  <c r="G310" i="3" s="1"/>
  <c r="H310" i="3" s="1"/>
  <c r="F311" i="3"/>
  <c r="G311" i="3" s="1"/>
  <c r="H311" i="3" s="1"/>
  <c r="F312" i="3"/>
  <c r="G312" i="3" s="1"/>
  <c r="H312" i="3" s="1"/>
  <c r="F313" i="3"/>
  <c r="F314" i="3"/>
  <c r="F315" i="3"/>
  <c r="F316" i="3"/>
  <c r="F317" i="3"/>
  <c r="F318" i="3"/>
  <c r="F319" i="3"/>
  <c r="F320" i="3"/>
  <c r="F321" i="3"/>
  <c r="G321" i="3" s="1"/>
  <c r="F322" i="3"/>
  <c r="G322" i="3" s="1"/>
  <c r="H322" i="3" s="1"/>
  <c r="F323" i="3"/>
  <c r="G323" i="3" s="1"/>
  <c r="H323" i="3" s="1"/>
  <c r="F324" i="3"/>
  <c r="G324" i="3" s="1"/>
  <c r="H324" i="3" s="1"/>
  <c r="F325" i="3"/>
  <c r="F326" i="3"/>
  <c r="F327" i="3"/>
  <c r="F328" i="3"/>
  <c r="F329" i="3"/>
  <c r="F330" i="3"/>
  <c r="F331" i="3"/>
  <c r="F332" i="3"/>
  <c r="F333" i="3"/>
  <c r="G333" i="3" s="1"/>
  <c r="H333" i="3" s="1"/>
  <c r="F334" i="3"/>
  <c r="G334" i="3" s="1"/>
  <c r="H334" i="3" s="1"/>
  <c r="F335" i="3"/>
  <c r="G335" i="3" s="1"/>
  <c r="F336" i="3"/>
  <c r="G336" i="3" s="1"/>
  <c r="H336" i="3" s="1"/>
  <c r="F337" i="3"/>
  <c r="F338" i="3"/>
  <c r="F339" i="3"/>
  <c r="F340" i="3"/>
  <c r="F341" i="3"/>
  <c r="F342" i="3"/>
  <c r="F343" i="3"/>
  <c r="F344" i="3"/>
  <c r="F345" i="3"/>
  <c r="G345" i="3" s="1"/>
  <c r="H345" i="3" s="1"/>
  <c r="F346" i="3"/>
  <c r="G346" i="3" s="1"/>
  <c r="H346" i="3" s="1"/>
  <c r="F347" i="3"/>
  <c r="G347" i="3" s="1"/>
  <c r="H347" i="3" s="1"/>
  <c r="F348" i="3"/>
  <c r="G348" i="3" s="1"/>
  <c r="H348" i="3" s="1"/>
  <c r="F349" i="3"/>
  <c r="F350" i="3"/>
  <c r="F351" i="3"/>
  <c r="F352" i="3"/>
  <c r="F353" i="3"/>
  <c r="F354" i="3"/>
  <c r="F355" i="3"/>
  <c r="F356" i="3"/>
  <c r="F357" i="3"/>
  <c r="G357" i="3" s="1"/>
  <c r="H357" i="3" s="1"/>
  <c r="F358" i="3"/>
  <c r="G358" i="3" s="1"/>
  <c r="H358" i="3" s="1"/>
  <c r="F359" i="3"/>
  <c r="G359" i="3" s="1"/>
  <c r="H359" i="3" s="1"/>
  <c r="F360" i="3"/>
  <c r="G360" i="3" s="1"/>
  <c r="H360" i="3" s="1"/>
  <c r="F361" i="3"/>
  <c r="F362" i="3"/>
  <c r="F363" i="3"/>
  <c r="F364" i="3"/>
  <c r="F365" i="3"/>
  <c r="F366" i="3"/>
  <c r="F367" i="3"/>
  <c r="F368" i="3"/>
  <c r="F369" i="3"/>
  <c r="G369" i="3" s="1"/>
  <c r="F370" i="3"/>
  <c r="G370" i="3" s="1"/>
  <c r="H370" i="3" s="1"/>
  <c r="F371" i="3"/>
  <c r="G371" i="3" s="1"/>
  <c r="H371" i="3" s="1"/>
  <c r="F372" i="3"/>
  <c r="G372" i="3" s="1"/>
  <c r="H372" i="3" s="1"/>
  <c r="F373" i="3"/>
  <c r="F374" i="3"/>
  <c r="F375" i="3"/>
  <c r="F376" i="3"/>
  <c r="F377" i="3"/>
  <c r="F378" i="3"/>
  <c r="F379" i="3"/>
  <c r="F380" i="3"/>
  <c r="F381" i="3"/>
  <c r="G381" i="3" s="1"/>
  <c r="F382" i="3"/>
  <c r="G382" i="3" s="1"/>
  <c r="H382" i="3" s="1"/>
  <c r="F383" i="3"/>
  <c r="G383" i="3" s="1"/>
  <c r="H383" i="3" s="1"/>
  <c r="F384" i="3"/>
  <c r="G384" i="3" s="1"/>
  <c r="F385" i="3"/>
  <c r="F386" i="3"/>
  <c r="F387" i="3"/>
  <c r="F388" i="3"/>
  <c r="F389" i="3"/>
  <c r="F390" i="3"/>
  <c r="F391" i="3"/>
  <c r="F392" i="3"/>
  <c r="F393" i="3"/>
  <c r="G393" i="3" s="1"/>
  <c r="F394" i="3"/>
  <c r="G394" i="3" s="1"/>
  <c r="H394" i="3" s="1"/>
  <c r="F395" i="3"/>
  <c r="G395" i="3" s="1"/>
  <c r="F396" i="3"/>
  <c r="G396" i="3" s="1"/>
  <c r="F397" i="3"/>
  <c r="F398" i="3"/>
  <c r="F399" i="3"/>
  <c r="F400" i="3"/>
  <c r="F401" i="3"/>
  <c r="F402" i="3"/>
  <c r="F403" i="3"/>
  <c r="F404" i="3"/>
  <c r="F405" i="3"/>
  <c r="G405" i="3" s="1"/>
  <c r="F406" i="3"/>
  <c r="G406" i="3" s="1"/>
  <c r="F407" i="3"/>
  <c r="G407" i="3" s="1"/>
  <c r="H407" i="3" s="1"/>
  <c r="F408" i="3"/>
  <c r="G408" i="3" s="1"/>
  <c r="H408" i="3" s="1"/>
  <c r="F409" i="3"/>
  <c r="F410" i="3"/>
  <c r="F411" i="3"/>
  <c r="F412" i="3"/>
  <c r="F413" i="3"/>
  <c r="F414" i="3"/>
  <c r="F415" i="3"/>
  <c r="F416" i="3"/>
  <c r="F417" i="3"/>
  <c r="G417" i="3" s="1"/>
  <c r="F418" i="3"/>
  <c r="G418" i="3" s="1"/>
  <c r="H418" i="3" s="1"/>
  <c r="F419" i="3"/>
  <c r="G419" i="3" s="1"/>
  <c r="H419" i="3" s="1"/>
  <c r="F420" i="3"/>
  <c r="G420" i="3" s="1"/>
  <c r="H420" i="3" s="1"/>
  <c r="F421" i="3"/>
  <c r="F422" i="3"/>
  <c r="F423" i="3"/>
  <c r="F424" i="3"/>
  <c r="F425" i="3"/>
  <c r="F426" i="3"/>
  <c r="F427" i="3"/>
  <c r="F428" i="3"/>
  <c r="F429" i="3"/>
  <c r="G429" i="3" s="1"/>
  <c r="F430" i="3"/>
  <c r="G430" i="3" s="1"/>
  <c r="H430" i="3" s="1"/>
  <c r="F431" i="3"/>
  <c r="G431" i="3" s="1"/>
  <c r="F432" i="3"/>
  <c r="G432" i="3" s="1"/>
  <c r="H432" i="3" s="1"/>
  <c r="F433" i="3"/>
  <c r="F434" i="3"/>
  <c r="F435" i="3"/>
  <c r="F436" i="3"/>
  <c r="F437" i="3"/>
  <c r="F438" i="3"/>
  <c r="F439" i="3"/>
  <c r="F440" i="3"/>
  <c r="F441" i="3"/>
  <c r="G441" i="3" s="1"/>
  <c r="H441" i="3" s="1"/>
  <c r="F442" i="3"/>
  <c r="G442" i="3" s="1"/>
  <c r="F443" i="3"/>
  <c r="G443" i="3" s="1"/>
  <c r="F444" i="3"/>
  <c r="G444" i="3" s="1"/>
  <c r="F445" i="3"/>
  <c r="F446" i="3"/>
  <c r="F447" i="3"/>
  <c r="F448" i="3"/>
  <c r="F449" i="3"/>
  <c r="F450" i="3"/>
  <c r="F451" i="3"/>
  <c r="F452" i="3"/>
  <c r="F453" i="3"/>
  <c r="G453" i="3" s="1"/>
  <c r="F454" i="3"/>
  <c r="G454" i="3" s="1"/>
  <c r="H454" i="3" s="1"/>
  <c r="F455" i="3"/>
  <c r="G455" i="3" s="1"/>
  <c r="H455" i="3" s="1"/>
  <c r="F456" i="3"/>
  <c r="G456" i="3" s="1"/>
  <c r="H456" i="3" s="1"/>
  <c r="F457" i="3"/>
  <c r="F458" i="3"/>
  <c r="F459" i="3"/>
  <c r="F460" i="3"/>
  <c r="F461" i="3"/>
  <c r="F462" i="3"/>
  <c r="F463" i="3"/>
  <c r="F464" i="3"/>
  <c r="F465" i="3"/>
  <c r="G465" i="3" s="1"/>
  <c r="H465" i="3" s="1"/>
  <c r="F466" i="3"/>
  <c r="G466" i="3" s="1"/>
  <c r="H466" i="3" s="1"/>
  <c r="F467" i="3"/>
  <c r="G467" i="3" s="1"/>
  <c r="H467" i="3" s="1"/>
  <c r="F468" i="3"/>
  <c r="G468" i="3" s="1"/>
  <c r="H468" i="3" s="1"/>
  <c r="F469" i="3"/>
  <c r="F470" i="3"/>
  <c r="F471" i="3"/>
  <c r="F472" i="3"/>
  <c r="F473" i="3"/>
  <c r="F474" i="3"/>
  <c r="F475" i="3"/>
  <c r="F476" i="3"/>
  <c r="F477" i="3"/>
  <c r="G477" i="3" s="1"/>
  <c r="H477" i="3" s="1"/>
  <c r="F478" i="3"/>
  <c r="G478" i="3" s="1"/>
  <c r="H478" i="3" s="1"/>
  <c r="F479" i="3"/>
  <c r="G479" i="3" s="1"/>
  <c r="H479" i="3" s="1"/>
  <c r="F480" i="3"/>
  <c r="G480" i="3" s="1"/>
  <c r="H480" i="3" s="1"/>
  <c r="F481" i="3"/>
  <c r="F482" i="3"/>
  <c r="F483" i="3"/>
  <c r="F484" i="3"/>
  <c r="F485" i="3"/>
  <c r="F486" i="3"/>
  <c r="F487" i="3"/>
  <c r="F488" i="3"/>
  <c r="F489" i="3"/>
  <c r="G489" i="3" s="1"/>
  <c r="F490" i="3"/>
  <c r="G490" i="3" s="1"/>
  <c r="H490" i="3" s="1"/>
  <c r="F491" i="3"/>
  <c r="G491" i="3" s="1"/>
  <c r="F492" i="3"/>
  <c r="G492" i="3" s="1"/>
  <c r="F493" i="3"/>
  <c r="F494" i="3"/>
  <c r="F495" i="3"/>
  <c r="F496" i="3"/>
  <c r="F497" i="3"/>
  <c r="F498" i="3"/>
  <c r="F499" i="3"/>
  <c r="F500" i="3"/>
  <c r="F501" i="3"/>
  <c r="G501" i="3" s="1"/>
  <c r="F502" i="3"/>
  <c r="G502" i="3" s="1"/>
  <c r="F503" i="3"/>
  <c r="G503" i="3" s="1"/>
  <c r="H503" i="3" s="1"/>
  <c r="F504" i="3"/>
  <c r="G504" i="3" s="1"/>
  <c r="H504" i="3" s="1"/>
  <c r="F505" i="3"/>
  <c r="F506" i="3"/>
  <c r="F507" i="3"/>
  <c r="F508" i="3"/>
  <c r="F509" i="3"/>
  <c r="F510" i="3"/>
  <c r="F511" i="3"/>
  <c r="F512" i="3"/>
  <c r="F513" i="3"/>
  <c r="G513" i="3" s="1"/>
  <c r="H513" i="3" s="1"/>
  <c r="F514" i="3"/>
  <c r="G514" i="3" s="1"/>
  <c r="H514" i="3" s="1"/>
  <c r="F515" i="3"/>
  <c r="G515" i="3" s="1"/>
  <c r="H515" i="3" s="1"/>
  <c r="F516" i="3"/>
  <c r="G516" i="3" s="1"/>
  <c r="H516" i="3" s="1"/>
  <c r="F517" i="3"/>
  <c r="F518" i="3"/>
  <c r="F519" i="3"/>
  <c r="F520" i="3"/>
  <c r="F521" i="3"/>
  <c r="F522" i="3"/>
  <c r="F523" i="3"/>
  <c r="F524" i="3"/>
  <c r="F525" i="3"/>
  <c r="G525" i="3" s="1"/>
  <c r="F526" i="3"/>
  <c r="G526" i="3" s="1"/>
  <c r="H526" i="3" s="1"/>
  <c r="F527" i="3"/>
  <c r="G527" i="3" s="1"/>
  <c r="H527" i="3" s="1"/>
  <c r="F528" i="3"/>
  <c r="G528" i="3" s="1"/>
  <c r="H528" i="3" s="1"/>
  <c r="F529" i="3"/>
  <c r="F530" i="3"/>
  <c r="F531" i="3"/>
  <c r="F532" i="3"/>
  <c r="F533" i="3"/>
  <c r="F534" i="3"/>
  <c r="F535" i="3"/>
  <c r="F536" i="3"/>
  <c r="F537" i="3"/>
  <c r="G537" i="3" s="1"/>
  <c r="F538" i="3"/>
  <c r="G538" i="3" s="1"/>
  <c r="H538" i="3" s="1"/>
  <c r="F539" i="3"/>
  <c r="G539" i="3" s="1"/>
  <c r="H539" i="3" s="1"/>
  <c r="F540" i="3"/>
  <c r="G540" i="3" s="1"/>
  <c r="H540" i="3" s="1"/>
  <c r="F541" i="3"/>
  <c r="F542" i="3"/>
  <c r="F543" i="3"/>
  <c r="F544" i="3"/>
  <c r="F545" i="3"/>
  <c r="F546" i="3"/>
  <c r="F547" i="3"/>
  <c r="F548" i="3"/>
  <c r="F549" i="3"/>
  <c r="G549" i="3" s="1"/>
  <c r="H549" i="3" s="1"/>
  <c r="F550" i="3"/>
  <c r="G550" i="3" s="1"/>
  <c r="F551" i="3"/>
  <c r="G551" i="3" s="1"/>
  <c r="F552" i="3"/>
  <c r="G552" i="3" s="1"/>
  <c r="F553" i="3"/>
  <c r="F554" i="3"/>
  <c r="F555" i="3"/>
  <c r="F556" i="3"/>
  <c r="F557" i="3"/>
  <c r="F558" i="3"/>
  <c r="F559" i="3"/>
  <c r="F560" i="3"/>
  <c r="F561" i="3"/>
  <c r="G561" i="3" s="1"/>
  <c r="F562" i="3"/>
  <c r="G562" i="3" s="1"/>
  <c r="H562" i="3" s="1"/>
  <c r="F563" i="3"/>
  <c r="G563" i="3" s="1"/>
  <c r="H563" i="3" s="1"/>
  <c r="F564" i="3"/>
  <c r="G564" i="3" s="1"/>
  <c r="H564" i="3" s="1"/>
  <c r="F565" i="3"/>
  <c r="F566" i="3"/>
  <c r="F567" i="3"/>
  <c r="F568" i="3"/>
  <c r="F569" i="3"/>
  <c r="F570" i="3"/>
  <c r="F571" i="3"/>
  <c r="F572" i="3"/>
  <c r="F573" i="3"/>
  <c r="G573" i="3" s="1"/>
  <c r="F574" i="3"/>
  <c r="G574" i="3" s="1"/>
  <c r="F575" i="3"/>
  <c r="G575" i="3" s="1"/>
  <c r="H575" i="3" s="1"/>
  <c r="F576" i="3"/>
  <c r="G576" i="3" s="1"/>
  <c r="H576" i="3" s="1"/>
  <c r="F577" i="3"/>
  <c r="F578" i="3"/>
  <c r="F579" i="3"/>
  <c r="F580" i="3"/>
  <c r="F581" i="3"/>
  <c r="F582" i="3"/>
  <c r="F583" i="3"/>
  <c r="F584" i="3"/>
  <c r="F585" i="3"/>
  <c r="G585" i="3" s="1"/>
  <c r="F586" i="3"/>
  <c r="G586" i="3" s="1"/>
  <c r="F587" i="3"/>
  <c r="G587" i="3" s="1"/>
  <c r="H587" i="3" s="1"/>
  <c r="F588" i="3"/>
  <c r="G588" i="3" s="1"/>
  <c r="H588" i="3" s="1"/>
  <c r="F589" i="3"/>
  <c r="F590" i="3"/>
  <c r="F591" i="3"/>
  <c r="F592" i="3"/>
  <c r="F593" i="3"/>
  <c r="F594" i="3"/>
  <c r="F595" i="3"/>
  <c r="F596" i="3"/>
  <c r="F597" i="3"/>
  <c r="G597" i="3" s="1"/>
  <c r="F598" i="3"/>
  <c r="G598" i="3" s="1"/>
  <c r="H598" i="3" s="1"/>
  <c r="F599" i="3"/>
  <c r="G599" i="3" s="1"/>
  <c r="H599" i="3" s="1"/>
  <c r="F600" i="3"/>
  <c r="G600" i="3" s="1"/>
  <c r="H600" i="3" s="1"/>
  <c r="F601" i="3"/>
  <c r="F602" i="3"/>
  <c r="F603" i="3"/>
  <c r="F604" i="3"/>
  <c r="F605" i="3"/>
  <c r="F606" i="3"/>
  <c r="F607" i="3"/>
  <c r="F608" i="3"/>
  <c r="F609" i="3"/>
  <c r="G609" i="3" s="1"/>
  <c r="F610" i="3"/>
  <c r="G610" i="3" s="1"/>
  <c r="F611" i="3"/>
  <c r="G611" i="3" s="1"/>
  <c r="H611" i="3" s="1"/>
  <c r="F612" i="3"/>
  <c r="G612" i="3" s="1"/>
  <c r="H612" i="3" s="1"/>
  <c r="F613" i="3"/>
  <c r="F614" i="3"/>
  <c r="F615" i="3"/>
  <c r="F616" i="3"/>
  <c r="F617" i="3"/>
  <c r="F618" i="3"/>
  <c r="F619" i="3"/>
  <c r="F620" i="3"/>
  <c r="F621" i="3"/>
  <c r="G621" i="3" s="1"/>
  <c r="H621" i="3" s="1"/>
  <c r="F622" i="3"/>
  <c r="G622" i="3" s="1"/>
  <c r="H622" i="3" s="1"/>
  <c r="F623" i="3"/>
  <c r="G623" i="3" s="1"/>
  <c r="H623" i="3" s="1"/>
  <c r="F624" i="3"/>
  <c r="G624" i="3" s="1"/>
  <c r="H624" i="3" s="1"/>
  <c r="F625" i="3"/>
  <c r="F626" i="3"/>
  <c r="F627" i="3"/>
  <c r="F628" i="3"/>
  <c r="F629" i="3"/>
  <c r="F630" i="3"/>
  <c r="F631" i="3"/>
  <c r="F632" i="3"/>
  <c r="F633" i="3"/>
  <c r="G633" i="3" s="1"/>
  <c r="F634" i="3"/>
  <c r="G634" i="3" s="1"/>
  <c r="H634" i="3" s="1"/>
  <c r="F635" i="3"/>
  <c r="G635" i="3" s="1"/>
  <c r="H635" i="3" s="1"/>
  <c r="F636" i="3"/>
  <c r="G636" i="3" s="1"/>
  <c r="H636" i="3" s="1"/>
  <c r="F637" i="3"/>
  <c r="F638" i="3"/>
  <c r="F639" i="3"/>
  <c r="F640" i="3"/>
  <c r="F641" i="3"/>
  <c r="F642" i="3"/>
  <c r="F643" i="3"/>
  <c r="F644" i="3"/>
  <c r="F645" i="3"/>
  <c r="G645" i="3" s="1"/>
  <c r="H645" i="3" s="1"/>
  <c r="F646" i="3"/>
  <c r="G646" i="3" s="1"/>
  <c r="H646" i="3" s="1"/>
  <c r="F647" i="3"/>
  <c r="G647" i="3" s="1"/>
  <c r="H647" i="3" s="1"/>
  <c r="F648" i="3"/>
  <c r="G648" i="3" s="1"/>
  <c r="H648" i="3" s="1"/>
  <c r="F649" i="3"/>
  <c r="F650" i="3"/>
  <c r="F651" i="3"/>
  <c r="F652" i="3"/>
  <c r="F653" i="3"/>
  <c r="F654" i="3"/>
  <c r="F655" i="3"/>
  <c r="F656" i="3"/>
  <c r="F657" i="3"/>
  <c r="G657" i="3" s="1"/>
  <c r="F658" i="3"/>
  <c r="G658" i="3" s="1"/>
  <c r="F659" i="3"/>
  <c r="G659" i="3" s="1"/>
  <c r="H659" i="3" s="1"/>
  <c r="F660" i="3"/>
  <c r="G660" i="3" s="1"/>
  <c r="H660" i="3" s="1"/>
  <c r="F661" i="3"/>
  <c r="F662" i="3"/>
  <c r="F663" i="3"/>
  <c r="F664" i="3"/>
  <c r="F665" i="3"/>
  <c r="F666" i="3"/>
  <c r="F667" i="3"/>
  <c r="F668" i="3"/>
  <c r="F669" i="3"/>
  <c r="G669" i="3" s="1"/>
  <c r="F670" i="3"/>
  <c r="G670" i="3" s="1"/>
  <c r="H670" i="3" s="1"/>
  <c r="F671" i="3"/>
  <c r="G671" i="3" s="1"/>
  <c r="H671" i="3" s="1"/>
  <c r="F672" i="3"/>
  <c r="G672" i="3" s="1"/>
  <c r="H672" i="3" s="1"/>
  <c r="F673" i="3"/>
  <c r="F674" i="3"/>
  <c r="F675" i="3"/>
  <c r="F676" i="3"/>
  <c r="F677" i="3"/>
  <c r="F678" i="3"/>
  <c r="F679" i="3"/>
  <c r="F680" i="3"/>
  <c r="F681" i="3"/>
  <c r="G681" i="3" s="1"/>
  <c r="F682" i="3"/>
  <c r="G682" i="3" s="1"/>
  <c r="F683" i="3"/>
  <c r="G683" i="3" s="1"/>
  <c r="H683" i="3" s="1"/>
  <c r="F684" i="3"/>
  <c r="G684" i="3" s="1"/>
  <c r="H684" i="3" s="1"/>
  <c r="F685" i="3"/>
  <c r="F686" i="3"/>
  <c r="F687" i="3"/>
  <c r="F688" i="3"/>
  <c r="F689" i="3"/>
  <c r="F690" i="3"/>
  <c r="F691" i="3"/>
  <c r="F692" i="3"/>
  <c r="F693" i="3"/>
  <c r="G693" i="3" s="1"/>
  <c r="F694" i="3"/>
  <c r="G694" i="3" s="1"/>
  <c r="F695" i="3"/>
  <c r="G695" i="3" s="1"/>
  <c r="H695" i="3" s="1"/>
  <c r="F696" i="3"/>
  <c r="G696" i="3" s="1"/>
  <c r="H696" i="3" s="1"/>
  <c r="F697" i="3"/>
  <c r="F698" i="3"/>
  <c r="F699" i="3"/>
  <c r="F700" i="3"/>
  <c r="F701" i="3"/>
  <c r="F702" i="3"/>
  <c r="F703" i="3"/>
  <c r="F704" i="3"/>
  <c r="F705" i="3"/>
  <c r="G705" i="3" s="1"/>
  <c r="F706" i="3"/>
  <c r="G706" i="3" s="1"/>
  <c r="F707" i="3"/>
  <c r="G707" i="3" s="1"/>
  <c r="H707" i="3" s="1"/>
  <c r="F708" i="3"/>
  <c r="G708" i="3" s="1"/>
  <c r="F709" i="3"/>
  <c r="F710" i="3"/>
  <c r="F711" i="3"/>
  <c r="F712" i="3"/>
  <c r="F713" i="3"/>
  <c r="F714" i="3"/>
  <c r="F715" i="3"/>
  <c r="F716" i="3"/>
  <c r="F717" i="3"/>
  <c r="G717" i="3" s="1"/>
  <c r="F718" i="3"/>
  <c r="G718" i="3" s="1"/>
  <c r="F719" i="3"/>
  <c r="G719" i="3" s="1"/>
  <c r="H719" i="3" s="1"/>
  <c r="F720" i="3"/>
  <c r="G720" i="3" s="1"/>
  <c r="H720" i="3" s="1"/>
  <c r="F721" i="3"/>
  <c r="F722" i="3"/>
  <c r="F723" i="3"/>
  <c r="F724" i="3"/>
  <c r="F725" i="3"/>
  <c r="F726" i="3"/>
  <c r="F727" i="3"/>
  <c r="F728" i="3"/>
  <c r="F729" i="3"/>
  <c r="G729" i="3" s="1"/>
  <c r="F730" i="3"/>
  <c r="G730" i="3" s="1"/>
  <c r="H730" i="3" s="1"/>
  <c r="F731" i="3"/>
  <c r="G731" i="3" s="1"/>
  <c r="H731" i="3" s="1"/>
  <c r="F732" i="3"/>
  <c r="G732" i="3" s="1"/>
  <c r="H732" i="3" s="1"/>
  <c r="F733" i="3"/>
  <c r="F734" i="3"/>
  <c r="F735" i="3"/>
  <c r="F736" i="3"/>
  <c r="F737" i="3"/>
  <c r="F738" i="3"/>
  <c r="F739" i="3"/>
  <c r="F740" i="3"/>
  <c r="F741" i="3"/>
  <c r="G741" i="3" s="1"/>
  <c r="F742" i="3"/>
  <c r="G742" i="3" s="1"/>
  <c r="H742" i="3" s="1"/>
  <c r="F743" i="3"/>
  <c r="G743" i="3" s="1"/>
  <c r="H743" i="3" s="1"/>
  <c r="F744" i="3"/>
  <c r="G744" i="3" s="1"/>
  <c r="H744" i="3" s="1"/>
  <c r="F745" i="3"/>
  <c r="F746" i="3"/>
  <c r="F747" i="3"/>
  <c r="F748" i="3"/>
  <c r="F749" i="3"/>
  <c r="F750" i="3"/>
  <c r="F751" i="3"/>
  <c r="F752" i="3"/>
  <c r="F753" i="3"/>
  <c r="G753" i="3" s="1"/>
  <c r="F754" i="3"/>
  <c r="G754" i="3" s="1"/>
  <c r="F755" i="3"/>
  <c r="G755" i="3" s="1"/>
  <c r="F756" i="3"/>
  <c r="G756" i="3" s="1"/>
  <c r="H756" i="3" s="1"/>
  <c r="F757" i="3"/>
  <c r="F758" i="3"/>
  <c r="F759" i="3"/>
  <c r="F760" i="3"/>
  <c r="F761" i="3"/>
  <c r="F762" i="3"/>
  <c r="F763" i="3"/>
  <c r="F764" i="3"/>
  <c r="F765" i="3"/>
  <c r="G765" i="3" s="1"/>
  <c r="F766" i="3"/>
  <c r="G766" i="3" s="1"/>
  <c r="H766" i="3" s="1"/>
  <c r="F767" i="3"/>
  <c r="G767" i="3" s="1"/>
  <c r="H767" i="3" s="1"/>
  <c r="F768" i="3"/>
  <c r="G768" i="3" s="1"/>
  <c r="H768" i="3" s="1"/>
  <c r="F769" i="3"/>
  <c r="F770" i="3"/>
  <c r="F771" i="3"/>
  <c r="F772" i="3"/>
  <c r="F773" i="3"/>
  <c r="F774" i="3"/>
  <c r="F775" i="3"/>
  <c r="F776" i="3"/>
  <c r="F777" i="3"/>
  <c r="G777" i="3" s="1"/>
  <c r="F778" i="3"/>
  <c r="G778" i="3" s="1"/>
  <c r="H778" i="3" s="1"/>
  <c r="F779" i="3"/>
  <c r="G779" i="3" s="1"/>
  <c r="H779" i="3" s="1"/>
  <c r="F780" i="3"/>
  <c r="G780" i="3" s="1"/>
  <c r="H780" i="3" s="1"/>
  <c r="F781" i="3"/>
  <c r="F782" i="3"/>
  <c r="F783" i="3"/>
  <c r="F784" i="3"/>
  <c r="F785" i="3"/>
  <c r="F786" i="3"/>
  <c r="F787" i="3"/>
  <c r="F788" i="3"/>
  <c r="F789" i="3"/>
  <c r="G789" i="3" s="1"/>
  <c r="F790" i="3"/>
  <c r="G790" i="3" s="1"/>
  <c r="H790" i="3" s="1"/>
  <c r="F791" i="3"/>
  <c r="G791" i="3" s="1"/>
  <c r="H791" i="3" s="1"/>
  <c r="F792" i="3"/>
  <c r="G792" i="3" s="1"/>
  <c r="H792" i="3" s="1"/>
  <c r="F793" i="3"/>
  <c r="F794" i="3"/>
  <c r="F795" i="3"/>
  <c r="F796" i="3"/>
  <c r="F797" i="3"/>
  <c r="F798" i="3"/>
  <c r="F799" i="3"/>
  <c r="F800" i="3"/>
  <c r="F801" i="3"/>
  <c r="G801" i="3" s="1"/>
  <c r="F802" i="3"/>
  <c r="G802" i="3" s="1"/>
  <c r="H802" i="3" s="1"/>
  <c r="F803" i="3"/>
  <c r="G803" i="3" s="1"/>
  <c r="F804" i="3"/>
  <c r="G804" i="3" s="1"/>
  <c r="H804" i="3" s="1"/>
  <c r="F805" i="3"/>
  <c r="F806" i="3"/>
  <c r="F807" i="3"/>
  <c r="F808" i="3"/>
  <c r="F809" i="3"/>
  <c r="F810" i="3"/>
  <c r="F811" i="3"/>
  <c r="F812" i="3"/>
  <c r="F813" i="3"/>
  <c r="G813" i="3" s="1"/>
  <c r="F814" i="3"/>
  <c r="G814" i="3" s="1"/>
  <c r="H814" i="3" s="1"/>
  <c r="F815" i="3"/>
  <c r="G815" i="3" s="1"/>
  <c r="H815" i="3" s="1"/>
  <c r="F816" i="3"/>
  <c r="G816" i="3" s="1"/>
  <c r="H816" i="3" s="1"/>
  <c r="F817" i="3"/>
  <c r="F818" i="3"/>
  <c r="F819" i="3"/>
  <c r="F820" i="3"/>
  <c r="F821" i="3"/>
  <c r="F822" i="3"/>
  <c r="F823" i="3"/>
  <c r="F824" i="3"/>
  <c r="F825" i="3"/>
  <c r="G825" i="3" s="1"/>
  <c r="F826" i="3"/>
  <c r="G826" i="3" s="1"/>
  <c r="H826" i="3" s="1"/>
  <c r="F827" i="3"/>
  <c r="G827" i="3" s="1"/>
  <c r="H827" i="3" s="1"/>
  <c r="F828" i="3"/>
  <c r="G828" i="3" s="1"/>
  <c r="H828" i="3" s="1"/>
  <c r="F829" i="3"/>
  <c r="F830" i="3"/>
  <c r="F831" i="3"/>
  <c r="F832" i="3"/>
  <c r="F833" i="3"/>
  <c r="F834" i="3"/>
  <c r="F835" i="3"/>
  <c r="F836" i="3"/>
  <c r="F837" i="3"/>
  <c r="G837" i="3" s="1"/>
  <c r="F838" i="3"/>
  <c r="G838" i="3" s="1"/>
  <c r="F839" i="3"/>
  <c r="G839" i="3" s="1"/>
  <c r="H839" i="3" s="1"/>
  <c r="F840" i="3"/>
  <c r="G840" i="3" s="1"/>
  <c r="H840" i="3" s="1"/>
  <c r="F841" i="3"/>
  <c r="F842" i="3"/>
  <c r="F843" i="3"/>
  <c r="F844" i="3"/>
  <c r="F845" i="3"/>
  <c r="F846" i="3"/>
  <c r="F847" i="3"/>
  <c r="F848" i="3"/>
  <c r="F849" i="3"/>
  <c r="G849" i="3" s="1"/>
  <c r="F850" i="3"/>
  <c r="G850" i="3" s="1"/>
  <c r="F851" i="3"/>
  <c r="G851" i="3" s="1"/>
  <c r="H851" i="3" s="1"/>
  <c r="F852" i="3"/>
  <c r="G852" i="3" s="1"/>
  <c r="F853" i="3"/>
  <c r="F854" i="3"/>
  <c r="F855" i="3"/>
  <c r="F856" i="3"/>
  <c r="F857" i="3"/>
  <c r="F858" i="3"/>
  <c r="F859" i="3"/>
  <c r="F860" i="3"/>
  <c r="F861" i="3"/>
  <c r="G861" i="3" s="1"/>
  <c r="F862" i="3"/>
  <c r="G862" i="3" s="1"/>
  <c r="F863" i="3"/>
  <c r="G863" i="3" s="1"/>
  <c r="H863" i="3" s="1"/>
  <c r="F864" i="3"/>
  <c r="G864" i="3" s="1"/>
  <c r="H864" i="3" s="1"/>
  <c r="F865" i="3"/>
  <c r="F866" i="3"/>
  <c r="F867" i="3"/>
  <c r="F868" i="3"/>
  <c r="F869" i="3"/>
  <c r="F870" i="3"/>
  <c r="F871" i="3"/>
  <c r="F872" i="3"/>
  <c r="F873" i="3"/>
  <c r="G873" i="3" s="1"/>
  <c r="F874" i="3"/>
  <c r="G874" i="3" s="1"/>
  <c r="H874" i="3" s="1"/>
  <c r="F875" i="3"/>
  <c r="G875" i="3" s="1"/>
  <c r="H875" i="3" s="1"/>
  <c r="F876" i="3"/>
  <c r="G876" i="3" s="1"/>
  <c r="H876" i="3" s="1"/>
  <c r="F877" i="3"/>
  <c r="F878" i="3"/>
  <c r="F879" i="3"/>
  <c r="F880" i="3"/>
  <c r="F881" i="3"/>
  <c r="F882" i="3"/>
  <c r="F883" i="3"/>
  <c r="F884" i="3"/>
  <c r="F885" i="3"/>
  <c r="G885" i="3" s="1"/>
  <c r="F886" i="3"/>
  <c r="G886" i="3" s="1"/>
  <c r="H886" i="3" s="1"/>
  <c r="F887" i="3"/>
  <c r="G887" i="3" s="1"/>
  <c r="H887" i="3" s="1"/>
  <c r="F888" i="3"/>
  <c r="G888" i="3" s="1"/>
  <c r="H888" i="3" s="1"/>
  <c r="F889" i="3"/>
  <c r="F890" i="3"/>
  <c r="F891" i="3"/>
  <c r="F892" i="3"/>
  <c r="F893" i="3"/>
  <c r="F894" i="3"/>
  <c r="F895" i="3"/>
  <c r="F896" i="3"/>
  <c r="F897" i="3"/>
  <c r="G897" i="3" s="1"/>
  <c r="F898" i="3"/>
  <c r="G898" i="3" s="1"/>
  <c r="H898" i="3" s="1"/>
  <c r="F899" i="3"/>
  <c r="G899" i="3" s="1"/>
  <c r="H899" i="3" s="1"/>
  <c r="F900" i="3"/>
  <c r="G900" i="3" s="1"/>
  <c r="H900" i="3" s="1"/>
  <c r="F901" i="3"/>
  <c r="F902" i="3"/>
  <c r="F903" i="3"/>
  <c r="F904" i="3"/>
  <c r="F905" i="3"/>
  <c r="F906" i="3"/>
  <c r="F907" i="3"/>
  <c r="F908" i="3"/>
  <c r="F909" i="3"/>
  <c r="G909" i="3" s="1"/>
  <c r="F910" i="3"/>
  <c r="G910" i="3" s="1"/>
  <c r="F911" i="3"/>
  <c r="G911" i="3" s="1"/>
  <c r="H911" i="3" s="1"/>
  <c r="F912" i="3"/>
  <c r="G912" i="3" s="1"/>
  <c r="F913" i="3"/>
  <c r="F914" i="3"/>
  <c r="F915" i="3"/>
  <c r="F916" i="3"/>
  <c r="F917" i="3"/>
  <c r="F918" i="3"/>
  <c r="F919" i="3"/>
  <c r="F920" i="3"/>
  <c r="F921" i="3"/>
  <c r="G921" i="3" s="1"/>
  <c r="F922" i="3"/>
  <c r="G922" i="3" s="1"/>
  <c r="H922" i="3" s="1"/>
  <c r="F923" i="3"/>
  <c r="G923" i="3" s="1"/>
  <c r="H923" i="3" s="1"/>
  <c r="F924" i="3"/>
  <c r="G924" i="3" s="1"/>
  <c r="H924" i="3" s="1"/>
  <c r="F925" i="3"/>
  <c r="F926" i="3"/>
  <c r="F927" i="3"/>
  <c r="F928" i="3"/>
  <c r="F929" i="3"/>
  <c r="F930" i="3"/>
  <c r="F931" i="3"/>
  <c r="F932" i="3"/>
  <c r="F933" i="3"/>
  <c r="G933" i="3" s="1"/>
  <c r="F934" i="3"/>
  <c r="G934" i="3" s="1"/>
  <c r="H934" i="3" s="1"/>
  <c r="F935" i="3"/>
  <c r="G935" i="3" s="1"/>
  <c r="H935" i="3" s="1"/>
  <c r="F936" i="3"/>
  <c r="G936" i="3" s="1"/>
  <c r="H936" i="3" s="1"/>
  <c r="F937" i="3"/>
  <c r="F938" i="3"/>
  <c r="F939" i="3"/>
  <c r="F940" i="3"/>
  <c r="F941" i="3"/>
  <c r="F942" i="3"/>
  <c r="F943" i="3"/>
  <c r="F944" i="3"/>
  <c r="F945" i="3"/>
  <c r="G945" i="3" s="1"/>
  <c r="F946" i="3"/>
  <c r="G946" i="3" s="1"/>
  <c r="H946" i="3" s="1"/>
  <c r="F947" i="3"/>
  <c r="G947" i="3" s="1"/>
  <c r="H947" i="3" s="1"/>
  <c r="F948" i="3"/>
  <c r="G948" i="3" s="1"/>
  <c r="H948" i="3" s="1"/>
  <c r="F949" i="3"/>
  <c r="F950" i="3"/>
  <c r="F951" i="3"/>
  <c r="F952" i="3"/>
  <c r="F953" i="3"/>
  <c r="F954" i="3"/>
  <c r="F955" i="3"/>
  <c r="F956" i="3"/>
  <c r="F957" i="3"/>
  <c r="G957" i="3" s="1"/>
  <c r="F958" i="3"/>
  <c r="G958" i="3" s="1"/>
  <c r="H958" i="3" s="1"/>
  <c r="F959" i="3"/>
  <c r="G959" i="3" s="1"/>
  <c r="H959" i="3" s="1"/>
  <c r="F960" i="3"/>
  <c r="G960" i="3" s="1"/>
  <c r="F961" i="3"/>
  <c r="F962" i="3"/>
  <c r="F963" i="3"/>
  <c r="F964" i="3"/>
  <c r="F965" i="3"/>
  <c r="F966" i="3"/>
  <c r="F967" i="3"/>
  <c r="F968" i="3"/>
  <c r="F969" i="3"/>
  <c r="G969" i="3" s="1"/>
  <c r="F970" i="3"/>
  <c r="G970" i="3" s="1"/>
  <c r="H970" i="3" s="1"/>
  <c r="F971" i="3"/>
  <c r="G971" i="3" s="1"/>
  <c r="H971" i="3" s="1"/>
  <c r="F972" i="3"/>
  <c r="G972" i="3" s="1"/>
  <c r="H972" i="3" s="1"/>
  <c r="F973" i="3"/>
  <c r="F974" i="3"/>
  <c r="F975" i="3"/>
  <c r="F976" i="3"/>
  <c r="F977" i="3"/>
  <c r="F978" i="3"/>
  <c r="F979" i="3"/>
  <c r="F980" i="3"/>
  <c r="F981" i="3"/>
  <c r="G981" i="3" s="1"/>
  <c r="F982" i="3"/>
  <c r="G982" i="3" s="1"/>
  <c r="H982" i="3" s="1"/>
  <c r="F983" i="3"/>
  <c r="G983" i="3" s="1"/>
  <c r="H983" i="3" s="1"/>
  <c r="F984" i="3"/>
  <c r="G984" i="3" s="1"/>
  <c r="H984" i="3" s="1"/>
  <c r="F985" i="3"/>
  <c r="F986" i="3"/>
  <c r="F987" i="3"/>
  <c r="F988" i="3"/>
  <c r="F989" i="3"/>
  <c r="F990" i="3"/>
  <c r="F991" i="3"/>
  <c r="F992" i="3"/>
  <c r="F993" i="3"/>
  <c r="G993" i="3" s="1"/>
  <c r="F994" i="3"/>
  <c r="G994" i="3" s="1"/>
  <c r="F995" i="3"/>
  <c r="G995" i="3" s="1"/>
  <c r="H995" i="3" s="1"/>
  <c r="F996" i="3"/>
  <c r="G996" i="3" s="1"/>
  <c r="H996" i="3" s="1"/>
  <c r="F997" i="3"/>
  <c r="F998" i="3"/>
  <c r="F999" i="3"/>
  <c r="F1000" i="3"/>
  <c r="F1001" i="3"/>
  <c r="F1002" i="3"/>
  <c r="F1003" i="3"/>
  <c r="F1004" i="3"/>
  <c r="F1005" i="3"/>
  <c r="G1005" i="3" s="1"/>
  <c r="F1006" i="3"/>
  <c r="G1006" i="3" s="1"/>
  <c r="H1006" i="3" s="1"/>
  <c r="F1007" i="3"/>
  <c r="G1007" i="3" s="1"/>
  <c r="H1007" i="3" s="1"/>
  <c r="F1008" i="3"/>
  <c r="G1008" i="3" s="1"/>
  <c r="H1008" i="3" s="1"/>
  <c r="F1009" i="3"/>
  <c r="F1010" i="3"/>
  <c r="F1011" i="3"/>
  <c r="F1012" i="3"/>
  <c r="F1013" i="3"/>
  <c r="F1014" i="3"/>
  <c r="F1015" i="3"/>
  <c r="F1016" i="3"/>
  <c r="F1017" i="3"/>
  <c r="G1017" i="3" s="1"/>
  <c r="F1018" i="3"/>
  <c r="G1018" i="3" s="1"/>
  <c r="H1018" i="3" s="1"/>
  <c r="F1019" i="3"/>
  <c r="G1019" i="3" s="1"/>
  <c r="F1020" i="3"/>
  <c r="G1020" i="3" s="1"/>
  <c r="H1020" i="3" s="1"/>
  <c r="F1021" i="3"/>
  <c r="F1022" i="3"/>
  <c r="F1023" i="3"/>
  <c r="F1024" i="3"/>
  <c r="F1025" i="3"/>
  <c r="F1026" i="3"/>
  <c r="F1027" i="3"/>
  <c r="F1028" i="3"/>
  <c r="F1029" i="3"/>
  <c r="G1029" i="3" s="1"/>
  <c r="F1030" i="3"/>
  <c r="G1030" i="3" s="1"/>
  <c r="F1031" i="3"/>
  <c r="G1031" i="3" s="1"/>
  <c r="H1031" i="3" s="1"/>
  <c r="F1032" i="3"/>
  <c r="G1032" i="3" s="1"/>
  <c r="H1032" i="3" s="1"/>
  <c r="F1033" i="3"/>
  <c r="F1034" i="3"/>
  <c r="F1035" i="3"/>
  <c r="F1036" i="3"/>
  <c r="F1037" i="3"/>
  <c r="F1038" i="3"/>
  <c r="F1039" i="3"/>
  <c r="F1040" i="3"/>
  <c r="F1041" i="3"/>
  <c r="G1041" i="3" s="1"/>
  <c r="F1042" i="3"/>
  <c r="G1042" i="3" s="1"/>
  <c r="H1042" i="3" s="1"/>
  <c r="F1043" i="3"/>
  <c r="G1043" i="3" s="1"/>
  <c r="H1043" i="3" s="1"/>
  <c r="F1044" i="3"/>
  <c r="G1044" i="3" s="1"/>
  <c r="H1044" i="3" s="1"/>
  <c r="F1045" i="3"/>
  <c r="F1046" i="3"/>
  <c r="F1047" i="3"/>
  <c r="F1048" i="3"/>
  <c r="F1049" i="3"/>
  <c r="F1050" i="3"/>
  <c r="F1051" i="3"/>
  <c r="F1052" i="3"/>
  <c r="F1053" i="3"/>
  <c r="G1053" i="3" s="1"/>
  <c r="F1054" i="3"/>
  <c r="G1054" i="3" s="1"/>
  <c r="H1054" i="3" s="1"/>
  <c r="F1055" i="3"/>
  <c r="G1055" i="3" s="1"/>
  <c r="H1055" i="3" s="1"/>
  <c r="F1056" i="3"/>
  <c r="G1056" i="3" s="1"/>
  <c r="H1056" i="3" s="1"/>
  <c r="F1057" i="3"/>
  <c r="F1058" i="3"/>
  <c r="F1059" i="3"/>
  <c r="G1059" i="3" s="1"/>
  <c r="H1059" i="3" s="1"/>
  <c r="F1060" i="3"/>
  <c r="F1061" i="3"/>
  <c r="F1062" i="3"/>
  <c r="F1063" i="3"/>
  <c r="F1064" i="3"/>
  <c r="F1065" i="3"/>
  <c r="G1065" i="3" s="1"/>
  <c r="F1066" i="3"/>
  <c r="G1066" i="3" s="1"/>
  <c r="F1067" i="3"/>
  <c r="G1067" i="3" s="1"/>
  <c r="H1067" i="3" s="1"/>
  <c r="F1068" i="3"/>
  <c r="G1068" i="3" s="1"/>
  <c r="H1068" i="3" s="1"/>
  <c r="F1069" i="3"/>
  <c r="F1070" i="3"/>
  <c r="F1071" i="3"/>
  <c r="G1071" i="3" s="1"/>
  <c r="H1071" i="3" s="1"/>
  <c r="F1072" i="3"/>
  <c r="F1073" i="3"/>
  <c r="F1074" i="3"/>
  <c r="F1075" i="3"/>
  <c r="F1076" i="3"/>
  <c r="F1077" i="3"/>
  <c r="G1077" i="3" s="1"/>
  <c r="F1078" i="3"/>
  <c r="G1078" i="3" s="1"/>
  <c r="F1079" i="3"/>
  <c r="G1079" i="3" s="1"/>
  <c r="H1079" i="3" s="1"/>
  <c r="F1080" i="3"/>
  <c r="G1080" i="3" s="1"/>
  <c r="H1080" i="3" s="1"/>
  <c r="F1081" i="3"/>
  <c r="F1082" i="3"/>
  <c r="F1083" i="3"/>
  <c r="G1083" i="3" s="1"/>
  <c r="F1084" i="3"/>
  <c r="F1085" i="3"/>
  <c r="F1086" i="3"/>
  <c r="F1087" i="3"/>
  <c r="F1088" i="3"/>
  <c r="F1089" i="3"/>
  <c r="G1089" i="3" s="1"/>
  <c r="F1090" i="3"/>
  <c r="G1090" i="3" s="1"/>
  <c r="H1090" i="3" s="1"/>
  <c r="F1091" i="3"/>
  <c r="G1091" i="3" s="1"/>
  <c r="H1091" i="3" s="1"/>
  <c r="F1092" i="3"/>
  <c r="G1092" i="3" s="1"/>
  <c r="F1093" i="3"/>
  <c r="F1094" i="3"/>
  <c r="F1095" i="3"/>
  <c r="G1095" i="3" s="1"/>
  <c r="F1096" i="3"/>
  <c r="F1097" i="3"/>
  <c r="F1098" i="3"/>
  <c r="F1099" i="3"/>
  <c r="F1100" i="3"/>
  <c r="F1101" i="3"/>
  <c r="G1101" i="3" s="1"/>
  <c r="F1102" i="3"/>
  <c r="G1102" i="3" s="1"/>
  <c r="F1103" i="3"/>
  <c r="G1103" i="3" s="1"/>
  <c r="F1104" i="3"/>
  <c r="G1104" i="3" s="1"/>
  <c r="H1104" i="3" s="1"/>
  <c r="F1105" i="3"/>
  <c r="F1106" i="3"/>
  <c r="F1107" i="3"/>
  <c r="G1107" i="3" s="1"/>
  <c r="H1107" i="3" s="1"/>
  <c r="F1108" i="3"/>
  <c r="F1109" i="3"/>
  <c r="F1110" i="3"/>
  <c r="F1111" i="3"/>
  <c r="F1112" i="3"/>
  <c r="F1113" i="3"/>
  <c r="G1113" i="3" s="1"/>
  <c r="F1114" i="3"/>
  <c r="G1114" i="3" s="1"/>
  <c r="F1115" i="3"/>
  <c r="G1115" i="3" s="1"/>
  <c r="H1115" i="3" s="1"/>
  <c r="F1116" i="3"/>
  <c r="G1116" i="3" s="1"/>
  <c r="H1116" i="3" s="1"/>
  <c r="F1117" i="3"/>
  <c r="F1118" i="3"/>
  <c r="F1119" i="3"/>
  <c r="G1119" i="3" s="1"/>
  <c r="H1119" i="3" s="1"/>
  <c r="F1120" i="3"/>
  <c r="F1121" i="3"/>
  <c r="F1122" i="3"/>
  <c r="F1123" i="3"/>
  <c r="F1124" i="3"/>
  <c r="F1125" i="3"/>
  <c r="G1125" i="3" s="1"/>
  <c r="F1126" i="3"/>
  <c r="G1126" i="3" s="1"/>
  <c r="H1126" i="3" s="1"/>
  <c r="F1127" i="3"/>
  <c r="G1127" i="3" s="1"/>
  <c r="H1127" i="3" s="1"/>
  <c r="F1128" i="3"/>
  <c r="G1128" i="3" s="1"/>
  <c r="H1128" i="3" s="1"/>
  <c r="F1129" i="3"/>
  <c r="F1130" i="3"/>
  <c r="F1131" i="3"/>
  <c r="G1131" i="3" s="1"/>
  <c r="F1132" i="3"/>
  <c r="F1133" i="3"/>
  <c r="F1134" i="3"/>
  <c r="F1135" i="3"/>
  <c r="F1136" i="3"/>
  <c r="F1137" i="3"/>
  <c r="G1137" i="3" s="1"/>
  <c r="F1138" i="3"/>
  <c r="G1138" i="3" s="1"/>
  <c r="H1138" i="3" s="1"/>
  <c r="F1139" i="3"/>
  <c r="G1139" i="3" s="1"/>
  <c r="H1139" i="3" s="1"/>
  <c r="F1140" i="3"/>
  <c r="G1140" i="3" s="1"/>
  <c r="H1140" i="3" s="1"/>
  <c r="F1141" i="3"/>
  <c r="F1142" i="3"/>
  <c r="F1143" i="3"/>
  <c r="G1143" i="3" s="1"/>
  <c r="H1143" i="3" s="1"/>
  <c r="F1144" i="3"/>
  <c r="F1145" i="3"/>
  <c r="F1146" i="3"/>
  <c r="F1147" i="3"/>
  <c r="F1148" i="3"/>
  <c r="F1149" i="3"/>
  <c r="G1149" i="3" s="1"/>
  <c r="F1150" i="3"/>
  <c r="G1150" i="3" s="1"/>
  <c r="H1150" i="3" s="1"/>
  <c r="F1151" i="3"/>
  <c r="G1151" i="3" s="1"/>
  <c r="H1151" i="3" s="1"/>
  <c r="F1152" i="3"/>
  <c r="G1152" i="3" s="1"/>
  <c r="H1152" i="3" s="1"/>
  <c r="F1153" i="3"/>
  <c r="F1154" i="3"/>
  <c r="F1155" i="3"/>
  <c r="G1155" i="3" s="1"/>
  <c r="H1155" i="3" s="1"/>
  <c r="F1156" i="3"/>
  <c r="F1157" i="3"/>
  <c r="F1158" i="3"/>
  <c r="F1159" i="3"/>
  <c r="F1160" i="3"/>
  <c r="F1161" i="3"/>
  <c r="G1161" i="3" s="1"/>
  <c r="H1161" i="3" s="1"/>
  <c r="F1162" i="3"/>
  <c r="G1162" i="3" s="1"/>
  <c r="H1162" i="3" s="1"/>
  <c r="F1163" i="3"/>
  <c r="G1163" i="3" s="1"/>
  <c r="H1163" i="3" s="1"/>
  <c r="F1164" i="3"/>
  <c r="G1164" i="3" s="1"/>
  <c r="H1164" i="3" s="1"/>
  <c r="F1165" i="3"/>
  <c r="F1166" i="3"/>
  <c r="F1167" i="3"/>
  <c r="G1167" i="3" s="1"/>
  <c r="H1167" i="3" s="1"/>
  <c r="F1168" i="3"/>
  <c r="F1169" i="3"/>
  <c r="F1170" i="3"/>
  <c r="F1171" i="3"/>
  <c r="F1172" i="3"/>
  <c r="F1173" i="3"/>
  <c r="G1173" i="3" s="1"/>
  <c r="H1173" i="3" s="1"/>
  <c r="F1174" i="3"/>
  <c r="G1174" i="3" s="1"/>
  <c r="F1175" i="3"/>
  <c r="G1175" i="3" s="1"/>
  <c r="F1176" i="3"/>
  <c r="G1176" i="3" s="1"/>
  <c r="H1176" i="3" s="1"/>
  <c r="F1177" i="3"/>
  <c r="F1178" i="3"/>
  <c r="F1179" i="3"/>
  <c r="G1179" i="3" s="1"/>
  <c r="F1180" i="3"/>
  <c r="F1181" i="3"/>
  <c r="F1182" i="3"/>
  <c r="F1183" i="3"/>
  <c r="F1184" i="3"/>
  <c r="F1185" i="3"/>
  <c r="G1185" i="3" s="1"/>
  <c r="F1186" i="3"/>
  <c r="G1186" i="3" s="1"/>
  <c r="H1186" i="3" s="1"/>
  <c r="F1187" i="3"/>
  <c r="G1187" i="3" s="1"/>
  <c r="H1187" i="3" s="1"/>
  <c r="F1188" i="3"/>
  <c r="G1188" i="3" s="1"/>
  <c r="H1188" i="3" s="1"/>
  <c r="F1189" i="3"/>
  <c r="F1190" i="3"/>
  <c r="F1191" i="3"/>
  <c r="G1191" i="3" s="1"/>
  <c r="H1191" i="3" s="1"/>
  <c r="F1192" i="3"/>
  <c r="F1193" i="3"/>
  <c r="F1194" i="3"/>
  <c r="F1195" i="3"/>
  <c r="F1196" i="3"/>
  <c r="F1197" i="3"/>
  <c r="G1197" i="3" s="1"/>
  <c r="F1198" i="3"/>
  <c r="G1198" i="3" s="1"/>
  <c r="H1198" i="3" s="1"/>
  <c r="F1199" i="3"/>
  <c r="G1199" i="3" s="1"/>
  <c r="H1199" i="3" s="1"/>
  <c r="F1200" i="3"/>
  <c r="G1200" i="3" s="1"/>
  <c r="H1200" i="3" s="1"/>
  <c r="F1201" i="3"/>
  <c r="F1202" i="3"/>
  <c r="F1203" i="3"/>
  <c r="G1203" i="3" s="1"/>
  <c r="H1203" i="3" s="1"/>
  <c r="F1204" i="3"/>
  <c r="F1205" i="3"/>
  <c r="F1206" i="3"/>
  <c r="F1207" i="3"/>
  <c r="F1208" i="3"/>
  <c r="F1209" i="3"/>
  <c r="G1209" i="3" s="1"/>
  <c r="H1209" i="3" s="1"/>
  <c r="F1210" i="3"/>
  <c r="G1210" i="3" s="1"/>
  <c r="H1210" i="3" s="1"/>
  <c r="F1211" i="3"/>
  <c r="G1211" i="3" s="1"/>
  <c r="H1211" i="3" s="1"/>
  <c r="F1212" i="3"/>
  <c r="G1212" i="3" s="1"/>
  <c r="H1212" i="3" s="1"/>
  <c r="F1213" i="3"/>
  <c r="F1214" i="3"/>
  <c r="F1215" i="3"/>
  <c r="G1215" i="3" s="1"/>
  <c r="F1216" i="3"/>
  <c r="F1217" i="3"/>
  <c r="F1218" i="3"/>
  <c r="F1219" i="3"/>
  <c r="F1220" i="3"/>
  <c r="F1221" i="3"/>
  <c r="G1221" i="3" s="1"/>
  <c r="H1221" i="3" s="1"/>
  <c r="F1222" i="3"/>
  <c r="G1222" i="3" s="1"/>
  <c r="H1222" i="3" s="1"/>
  <c r="F1223" i="3"/>
  <c r="G1223" i="3" s="1"/>
  <c r="H1223" i="3" s="1"/>
  <c r="F1224" i="3"/>
  <c r="G1224" i="3" s="1"/>
  <c r="H1224" i="3" s="1"/>
  <c r="F1225" i="3"/>
  <c r="F1226" i="3"/>
  <c r="F1227" i="3"/>
  <c r="G1227" i="3" s="1"/>
  <c r="F1228" i="3"/>
  <c r="F1229" i="3"/>
  <c r="F1230" i="3"/>
  <c r="F1231" i="3"/>
  <c r="F1232" i="3"/>
  <c r="F1233" i="3"/>
  <c r="G1233" i="3" s="1"/>
  <c r="F1234" i="3"/>
  <c r="G1234" i="3" s="1"/>
  <c r="H1234" i="3" s="1"/>
  <c r="F1235" i="3"/>
  <c r="G1235" i="3" s="1"/>
  <c r="F1236" i="3"/>
  <c r="G1236" i="3" s="1"/>
  <c r="H1236" i="3" s="1"/>
  <c r="F1237" i="3"/>
  <c r="F1238" i="3"/>
  <c r="F1239" i="3"/>
  <c r="G1239" i="3" s="1"/>
  <c r="F1240" i="3"/>
  <c r="F1241" i="3"/>
  <c r="F1242" i="3"/>
  <c r="F1243" i="3"/>
  <c r="F1244" i="3"/>
  <c r="F1245" i="3"/>
  <c r="G1245" i="3" s="1"/>
  <c r="H1245" i="3" s="1"/>
  <c r="F1246" i="3"/>
  <c r="G1246" i="3" s="1"/>
  <c r="H1246" i="3" s="1"/>
  <c r="F1247" i="3"/>
  <c r="G1247" i="3" s="1"/>
  <c r="F1248" i="3"/>
  <c r="G1248" i="3" s="1"/>
  <c r="F1249" i="3"/>
  <c r="F1250" i="3"/>
  <c r="F1251" i="3"/>
  <c r="G1251" i="3" s="1"/>
  <c r="H1251" i="3" s="1"/>
  <c r="F1252" i="3"/>
  <c r="F1253" i="3"/>
  <c r="F1254" i="3"/>
  <c r="F1255" i="3"/>
  <c r="F1256" i="3"/>
  <c r="F1257" i="3"/>
  <c r="G1257" i="3" s="1"/>
  <c r="F1258" i="3"/>
  <c r="G1258" i="3" s="1"/>
  <c r="F1259" i="3"/>
  <c r="G1259" i="3" s="1"/>
  <c r="H1259" i="3" s="1"/>
  <c r="F1260" i="3"/>
  <c r="G1260" i="3" s="1"/>
  <c r="H1260" i="3" s="1"/>
  <c r="F1261" i="3"/>
  <c r="F1262" i="3"/>
  <c r="F1263" i="3"/>
  <c r="G1263" i="3" s="1"/>
  <c r="F1264" i="3"/>
  <c r="F1265" i="3"/>
  <c r="F1266" i="3"/>
  <c r="F1267" i="3"/>
  <c r="F1268" i="3"/>
  <c r="F1269" i="3"/>
  <c r="G1269" i="3" s="1"/>
  <c r="F1270" i="3"/>
  <c r="G1270" i="3" s="1"/>
  <c r="H1270" i="3" s="1"/>
  <c r="F1271" i="3"/>
  <c r="G1271" i="3" s="1"/>
  <c r="H1271" i="3" s="1"/>
  <c r="F1272" i="3"/>
  <c r="G1272" i="3" s="1"/>
  <c r="H1272" i="3" s="1"/>
  <c r="F1273" i="3"/>
  <c r="G1273" i="3" s="1"/>
  <c r="F1274" i="3"/>
  <c r="F1275" i="3"/>
  <c r="G1275" i="3" s="1"/>
  <c r="H1275" i="3" s="1"/>
  <c r="F1276" i="3"/>
  <c r="F1277" i="3"/>
  <c r="F1278" i="3"/>
  <c r="F1279" i="3"/>
  <c r="F1280" i="3"/>
  <c r="F1281" i="3"/>
  <c r="G1281" i="3" s="1"/>
  <c r="F1282" i="3"/>
  <c r="G1282" i="3" s="1"/>
  <c r="F1283" i="3"/>
  <c r="G1283" i="3" s="1"/>
  <c r="H1283" i="3" s="1"/>
  <c r="F1284" i="3"/>
  <c r="G1284" i="3" s="1"/>
  <c r="H1284" i="3" s="1"/>
  <c r="F1285" i="3"/>
  <c r="G1285" i="3" s="1"/>
  <c r="F1286" i="3"/>
  <c r="F1287" i="3"/>
  <c r="G1287" i="3" s="1"/>
  <c r="F1288" i="3"/>
  <c r="F1289" i="3"/>
  <c r="F1290" i="3"/>
  <c r="F1291" i="3"/>
  <c r="F1292" i="3"/>
  <c r="F1293" i="3"/>
  <c r="G1293" i="3" s="1"/>
  <c r="F1294" i="3"/>
  <c r="G1294" i="3" s="1"/>
  <c r="H1294" i="3" s="1"/>
  <c r="F1295" i="3"/>
  <c r="G1295" i="3" s="1"/>
  <c r="H1295" i="3" s="1"/>
  <c r="F1296" i="3"/>
  <c r="G1296" i="3" s="1"/>
  <c r="H1296" i="3" s="1"/>
  <c r="F1297" i="3"/>
  <c r="G1297" i="3" s="1"/>
  <c r="F1298" i="3"/>
  <c r="F1299" i="3"/>
  <c r="G1299" i="3" s="1"/>
  <c r="H1299" i="3" s="1"/>
  <c r="F1300" i="3"/>
  <c r="F1301" i="3"/>
  <c r="F1302" i="3"/>
  <c r="F1303" i="3"/>
  <c r="F1304" i="3"/>
  <c r="F1305" i="3"/>
  <c r="G1305" i="3" s="1"/>
  <c r="H1305" i="3" s="1"/>
  <c r="F1306" i="3"/>
  <c r="G1306" i="3" s="1"/>
  <c r="H1306" i="3" s="1"/>
  <c r="F1307" i="3"/>
  <c r="G1307" i="3" s="1"/>
  <c r="H1307" i="3" s="1"/>
  <c r="F1308" i="3"/>
  <c r="G1308" i="3" s="1"/>
  <c r="H1308" i="3" s="1"/>
  <c r="F1309" i="3"/>
  <c r="G1309" i="3" s="1"/>
  <c r="F1310" i="3"/>
  <c r="F1311" i="3"/>
  <c r="G1311" i="3" s="1"/>
  <c r="F1312" i="3"/>
  <c r="F1313" i="3"/>
  <c r="F1314" i="3"/>
  <c r="F1315" i="3"/>
  <c r="F1316" i="3"/>
  <c r="F1317" i="3"/>
  <c r="G1317" i="3" s="1"/>
  <c r="H1317" i="3" s="1"/>
  <c r="F1318" i="3"/>
  <c r="G1318" i="3" s="1"/>
  <c r="H1318" i="3" s="1"/>
  <c r="F1319" i="3"/>
  <c r="G1319" i="3" s="1"/>
  <c r="H1319" i="3" s="1"/>
  <c r="F1320" i="3"/>
  <c r="G1320" i="3" s="1"/>
  <c r="H1320" i="3" s="1"/>
  <c r="F1321" i="3"/>
  <c r="G1321" i="3" s="1"/>
  <c r="F1322" i="3"/>
  <c r="F1323" i="3"/>
  <c r="G1323" i="3" s="1"/>
  <c r="H1323" i="3" s="1"/>
  <c r="F1324" i="3"/>
  <c r="F1325" i="3"/>
  <c r="F1326" i="3"/>
  <c r="F1327" i="3"/>
  <c r="F1328" i="3"/>
  <c r="F1329" i="3"/>
  <c r="G1329" i="3" s="1"/>
  <c r="F1330" i="3"/>
  <c r="G1330" i="3" s="1"/>
  <c r="H1330" i="3" s="1"/>
  <c r="F1331" i="3"/>
  <c r="G1331" i="3" s="1"/>
  <c r="H1331" i="3" s="1"/>
  <c r="F1332" i="3"/>
  <c r="G1332" i="3" s="1"/>
  <c r="H1332" i="3" s="1"/>
  <c r="F1333" i="3"/>
  <c r="G1333" i="3" s="1"/>
  <c r="F1334" i="3"/>
  <c r="F1335" i="3"/>
  <c r="G1335" i="3" s="1"/>
  <c r="F1336" i="3"/>
  <c r="F1337" i="3"/>
  <c r="F1338" i="3"/>
  <c r="F1339" i="3"/>
  <c r="F1340" i="3"/>
  <c r="F1341" i="3"/>
  <c r="G1341" i="3" s="1"/>
  <c r="F1342" i="3"/>
  <c r="G1342" i="3" s="1"/>
  <c r="F1343" i="3"/>
  <c r="G1343" i="3" s="1"/>
  <c r="H1343" i="3" s="1"/>
  <c r="F1344" i="3"/>
  <c r="G1344" i="3" s="1"/>
  <c r="F1345" i="3"/>
  <c r="G1345" i="3" s="1"/>
  <c r="F1346" i="3"/>
  <c r="F1347" i="3"/>
  <c r="G1347" i="3" s="1"/>
  <c r="F1348" i="3"/>
  <c r="F1349" i="3"/>
  <c r="F1350" i="3"/>
  <c r="F1351" i="3"/>
  <c r="F1352" i="3"/>
  <c r="F1353" i="3"/>
  <c r="G1353" i="3" s="1"/>
  <c r="H1353" i="3" s="1"/>
  <c r="F1354" i="3"/>
  <c r="G1354" i="3" s="1"/>
  <c r="F1355" i="3"/>
  <c r="G1355" i="3" s="1"/>
  <c r="F1356" i="3"/>
  <c r="G1356" i="3" s="1"/>
  <c r="H1356" i="3" s="1"/>
  <c r="F1357" i="3"/>
  <c r="G1357" i="3" s="1"/>
  <c r="F1358" i="3"/>
  <c r="F1359" i="3"/>
  <c r="G1359" i="3" s="1"/>
  <c r="F1360" i="3"/>
  <c r="F1361" i="3"/>
  <c r="F1362" i="3"/>
  <c r="F1363" i="3"/>
  <c r="F1364" i="3"/>
  <c r="F1365" i="3"/>
  <c r="G1365" i="3" s="1"/>
  <c r="F1366" i="3"/>
  <c r="G1366" i="3" s="1"/>
  <c r="F1367" i="3"/>
  <c r="G1367" i="3" s="1"/>
  <c r="H1367" i="3" s="1"/>
  <c r="F1368" i="3"/>
  <c r="G1368" i="3" s="1"/>
  <c r="H1368" i="3" s="1"/>
  <c r="F1369" i="3"/>
  <c r="G1369" i="3" s="1"/>
  <c r="F1370" i="3"/>
  <c r="F1371" i="3"/>
  <c r="G1371" i="3" s="1"/>
  <c r="F1372" i="3"/>
  <c r="F1373" i="3"/>
  <c r="F1374" i="3"/>
  <c r="F1375" i="3"/>
  <c r="F1376" i="3"/>
  <c r="F1377" i="3"/>
  <c r="G1377" i="3" s="1"/>
  <c r="H1377" i="3" s="1"/>
  <c r="F1378" i="3"/>
  <c r="G1378" i="3" s="1"/>
  <c r="F1379" i="3"/>
  <c r="G1379" i="3" s="1"/>
  <c r="H1379" i="3" s="1"/>
  <c r="F1380" i="3"/>
  <c r="G1380" i="3" s="1"/>
  <c r="H1380" i="3" s="1"/>
  <c r="F1381" i="3"/>
  <c r="G1381" i="3" s="1"/>
  <c r="H1381" i="3" s="1"/>
  <c r="F1382" i="3"/>
  <c r="F1383" i="3"/>
  <c r="G1383" i="3" s="1"/>
  <c r="H1383" i="3" s="1"/>
  <c r="F1384" i="3"/>
  <c r="F1385" i="3"/>
  <c r="F1386" i="3"/>
  <c r="F1387" i="3"/>
  <c r="F1388" i="3"/>
  <c r="F1389" i="3"/>
  <c r="G1389" i="3" s="1"/>
  <c r="H1389" i="3" s="1"/>
  <c r="F1390" i="3"/>
  <c r="G1390" i="3" s="1"/>
  <c r="H1390" i="3" s="1"/>
  <c r="F1391" i="3"/>
  <c r="G1391" i="3" s="1"/>
  <c r="H1391" i="3" s="1"/>
  <c r="F1392" i="3"/>
  <c r="G1392" i="3" s="1"/>
  <c r="H1392" i="3" s="1"/>
  <c r="F1393" i="3"/>
  <c r="G1393" i="3" s="1"/>
  <c r="F1394" i="3"/>
  <c r="F1395" i="3"/>
  <c r="G1395" i="3" s="1"/>
  <c r="F1396" i="3"/>
  <c r="F1397" i="3"/>
  <c r="F1398" i="3"/>
  <c r="F1399" i="3"/>
  <c r="F1400" i="3"/>
  <c r="F1401" i="3"/>
  <c r="G1401" i="3" s="1"/>
  <c r="F1402" i="3"/>
  <c r="G1402" i="3" s="1"/>
  <c r="H1402" i="3" s="1"/>
  <c r="F1403" i="3"/>
  <c r="G1403" i="3" s="1"/>
  <c r="H1403" i="3" s="1"/>
  <c r="F1404" i="3"/>
  <c r="G1404" i="3" s="1"/>
  <c r="H1404" i="3" s="1"/>
  <c r="F1405" i="3"/>
  <c r="G1405" i="3" s="1"/>
  <c r="H1405" i="3" s="1"/>
  <c r="F1406" i="3"/>
  <c r="F1407" i="3"/>
  <c r="G1407" i="3" s="1"/>
  <c r="H1407" i="3" s="1"/>
  <c r="F1408" i="3"/>
  <c r="F1409" i="3"/>
  <c r="F1410" i="3"/>
  <c r="F1411" i="3"/>
  <c r="F1412" i="3"/>
  <c r="F1413" i="3"/>
  <c r="G1413" i="3" s="1"/>
  <c r="F1414" i="3"/>
  <c r="G1414" i="3" s="1"/>
  <c r="H1414" i="3" s="1"/>
  <c r="F1415" i="3"/>
  <c r="G1415" i="3" s="1"/>
  <c r="F1416" i="3"/>
  <c r="G1416" i="3" s="1"/>
  <c r="F1417" i="3"/>
  <c r="G1417" i="3" s="1"/>
  <c r="F1418" i="3"/>
  <c r="F1419" i="3"/>
  <c r="G1419" i="3" s="1"/>
  <c r="H1419" i="3" s="1"/>
  <c r="F1420" i="3"/>
  <c r="F1421" i="3"/>
  <c r="F1422" i="3"/>
  <c r="F1423" i="3"/>
  <c r="F1424" i="3"/>
  <c r="F1425" i="3"/>
  <c r="G1425" i="3" s="1"/>
  <c r="F1426" i="3"/>
  <c r="G1426" i="3" s="1"/>
  <c r="H1426" i="3" s="1"/>
  <c r="F1427" i="3"/>
  <c r="G1427" i="3" s="1"/>
  <c r="H1427" i="3" s="1"/>
  <c r="F1428" i="3"/>
  <c r="G1428" i="3" s="1"/>
  <c r="H1428" i="3" s="1"/>
  <c r="F1429" i="3"/>
  <c r="G1429" i="3" s="1"/>
  <c r="F1430" i="3"/>
  <c r="F1431" i="3"/>
  <c r="G1431" i="3" s="1"/>
  <c r="H1431" i="3" s="1"/>
  <c r="F1432" i="3"/>
  <c r="F1433" i="3"/>
  <c r="F1434" i="3"/>
  <c r="F1435" i="3"/>
  <c r="F1436" i="3"/>
  <c r="F1437" i="3"/>
  <c r="G1437" i="3" s="1"/>
  <c r="F1438" i="3"/>
  <c r="G1438" i="3" s="1"/>
  <c r="H1438" i="3" s="1"/>
  <c r="F1439" i="3"/>
  <c r="G1439" i="3" s="1"/>
  <c r="H1439" i="3" s="1"/>
  <c r="F1440" i="3"/>
  <c r="G1440" i="3" s="1"/>
  <c r="H1440" i="3" s="1"/>
  <c r="F1441" i="3"/>
  <c r="G1441" i="3" s="1"/>
  <c r="F1442" i="3"/>
  <c r="F1443" i="3"/>
  <c r="G1443" i="3" s="1"/>
  <c r="F1444" i="3"/>
  <c r="F1445" i="3"/>
  <c r="F1446" i="3"/>
  <c r="F1447" i="3"/>
  <c r="F1448" i="3"/>
  <c r="F1449" i="3"/>
  <c r="G1449" i="3" s="1"/>
  <c r="F1450" i="3"/>
  <c r="G1450" i="3" s="1"/>
  <c r="H1450" i="3" s="1"/>
  <c r="F1451" i="3"/>
  <c r="G1451" i="3" s="1"/>
  <c r="H1451" i="3" s="1"/>
  <c r="F1452" i="3"/>
  <c r="G1452" i="3" s="1"/>
  <c r="F1453" i="3"/>
  <c r="G1453" i="3" s="1"/>
  <c r="F1454" i="3"/>
  <c r="F1455" i="3"/>
  <c r="G1455" i="3" s="1"/>
  <c r="F1456" i="3"/>
  <c r="F1457" i="3"/>
  <c r="F1458" i="3"/>
  <c r="F1459" i="3"/>
  <c r="F1460" i="3"/>
  <c r="F1461" i="3"/>
  <c r="G1461" i="3" s="1"/>
  <c r="H1461" i="3" s="1"/>
  <c r="F1462" i="3"/>
  <c r="G1462" i="3" s="1"/>
  <c r="H1462" i="3" s="1"/>
  <c r="F1463" i="3"/>
  <c r="G1463" i="3" s="1"/>
  <c r="H1463" i="3" s="1"/>
  <c r="F1464" i="3"/>
  <c r="G1464" i="3" s="1"/>
  <c r="H1464" i="3" s="1"/>
  <c r="F1465" i="3"/>
  <c r="G1465" i="3" s="1"/>
  <c r="H1465" i="3" s="1"/>
  <c r="F1466" i="3"/>
  <c r="F1467" i="3"/>
  <c r="G1467" i="3" s="1"/>
  <c r="F1468" i="3"/>
  <c r="F1469" i="3"/>
  <c r="F1470" i="3"/>
  <c r="F1471" i="3"/>
  <c r="F1472" i="3"/>
  <c r="F1473" i="3"/>
  <c r="G1473" i="3" s="1"/>
  <c r="F1474" i="3"/>
  <c r="G1474" i="3" s="1"/>
  <c r="F1475" i="3"/>
  <c r="G1475" i="3" s="1"/>
  <c r="H1475" i="3" s="1"/>
  <c r="F1476" i="3"/>
  <c r="G1476" i="3" s="1"/>
  <c r="H1476" i="3" s="1"/>
  <c r="F1477" i="3"/>
  <c r="G1477" i="3" s="1"/>
  <c r="F1478" i="3"/>
  <c r="F1479" i="3"/>
  <c r="G1479" i="3" s="1"/>
  <c r="F1480" i="3"/>
  <c r="F1481" i="3"/>
  <c r="F1482" i="3"/>
  <c r="F1483" i="3"/>
  <c r="F1484" i="3"/>
  <c r="F1485" i="3"/>
  <c r="G1485" i="3" s="1"/>
  <c r="F1486" i="3"/>
  <c r="G1486" i="3" s="1"/>
  <c r="F1487" i="3"/>
  <c r="G1487" i="3" s="1"/>
  <c r="H1487" i="3" s="1"/>
  <c r="F1488" i="3"/>
  <c r="G1488" i="3" s="1"/>
  <c r="H1488" i="3" s="1"/>
  <c r="F1489" i="3"/>
  <c r="G1489" i="3" s="1"/>
  <c r="F1490" i="3"/>
  <c r="F1491" i="3"/>
  <c r="G1491" i="3" s="1"/>
  <c r="F1492" i="3"/>
  <c r="F1493" i="3"/>
  <c r="F1494" i="3"/>
  <c r="F1495" i="3"/>
  <c r="F1496" i="3"/>
  <c r="F1497" i="3"/>
  <c r="G1497" i="3" s="1"/>
  <c r="F1498" i="3"/>
  <c r="G1498" i="3" s="1"/>
  <c r="F1499" i="3"/>
  <c r="G1499" i="3" s="1"/>
  <c r="H1499" i="3" s="1"/>
  <c r="F1500" i="3"/>
  <c r="G1500" i="3" s="1"/>
  <c r="H1500" i="3" s="1"/>
  <c r="F1501" i="3"/>
  <c r="G1501" i="3" s="1"/>
  <c r="F1502" i="3"/>
  <c r="F1503" i="3"/>
  <c r="G1503" i="3" s="1"/>
  <c r="H1503" i="3" s="1"/>
  <c r="F1504" i="3"/>
  <c r="F1505" i="3"/>
  <c r="F1506" i="3"/>
  <c r="F1507" i="3"/>
  <c r="F1508" i="3"/>
  <c r="F1509" i="3"/>
  <c r="G1509" i="3" s="1"/>
  <c r="F1510" i="3"/>
  <c r="G1510" i="3" s="1"/>
  <c r="H1510" i="3" s="1"/>
  <c r="F1511" i="3"/>
  <c r="G1511" i="3" s="1"/>
  <c r="H1511" i="3" s="1"/>
  <c r="F1512" i="3"/>
  <c r="G1512" i="3" s="1"/>
  <c r="F1513" i="3"/>
  <c r="G1513" i="3" s="1"/>
  <c r="F1514" i="3"/>
  <c r="F1515" i="3"/>
  <c r="G1515" i="3" s="1"/>
  <c r="F1516" i="3"/>
  <c r="F1517" i="3"/>
  <c r="F1518" i="3"/>
  <c r="F1519" i="3"/>
  <c r="F1520" i="3"/>
  <c r="F1521" i="3"/>
  <c r="G1521" i="3" s="1"/>
  <c r="F1522" i="3"/>
  <c r="G1522" i="3" s="1"/>
  <c r="H1522" i="3" s="1"/>
  <c r="F1523" i="3"/>
  <c r="G1523" i="3" s="1"/>
  <c r="H1523" i="3" s="1"/>
  <c r="F1524" i="3"/>
  <c r="G1524" i="3" s="1"/>
  <c r="F1525" i="3"/>
  <c r="G1525" i="3" s="1"/>
  <c r="F1526" i="3"/>
  <c r="F1527" i="3"/>
  <c r="G1527" i="3" s="1"/>
  <c r="F1528" i="3"/>
  <c r="F1529" i="3"/>
  <c r="F1530" i="3"/>
  <c r="F1531" i="3"/>
  <c r="F1532" i="3"/>
  <c r="F1533" i="3"/>
  <c r="G1533" i="3" s="1"/>
  <c r="F1534" i="3"/>
  <c r="G1534" i="3" s="1"/>
  <c r="H1534" i="3" s="1"/>
  <c r="F1535" i="3"/>
  <c r="G1535" i="3" s="1"/>
  <c r="H1535" i="3" s="1"/>
  <c r="F1536" i="3"/>
  <c r="G1536" i="3" s="1"/>
  <c r="H1536" i="3" s="1"/>
  <c r="F1537" i="3"/>
  <c r="G1537" i="3" s="1"/>
  <c r="F1538" i="3"/>
  <c r="F1539" i="3"/>
  <c r="G1539" i="3" s="1"/>
  <c r="H1539" i="3" s="1"/>
  <c r="F1540" i="3"/>
  <c r="F1541" i="3"/>
  <c r="F1542" i="3"/>
  <c r="F1543" i="3"/>
  <c r="F1544" i="3"/>
  <c r="F1545" i="3"/>
  <c r="G1545" i="3" s="1"/>
  <c r="F1546" i="3"/>
  <c r="G1546" i="3" s="1"/>
  <c r="H1546" i="3" s="1"/>
  <c r="F1547" i="3"/>
  <c r="G1547" i="3" s="1"/>
  <c r="H1547" i="3" s="1"/>
  <c r="F1548" i="3"/>
  <c r="G1548" i="3" s="1"/>
  <c r="H1548" i="3" s="1"/>
  <c r="F1549" i="3"/>
  <c r="G1549" i="3" s="1"/>
  <c r="F1550" i="3"/>
  <c r="F1551" i="3"/>
  <c r="G1551" i="3" s="1"/>
  <c r="F1552" i="3"/>
  <c r="F1553" i="3"/>
  <c r="F1554" i="3"/>
  <c r="F1555" i="3"/>
  <c r="F1556" i="3"/>
  <c r="F1557" i="3"/>
  <c r="G1557" i="3" s="1"/>
  <c r="F1558" i="3"/>
  <c r="G1558" i="3" s="1"/>
  <c r="H1558" i="3" s="1"/>
  <c r="F1559" i="3"/>
  <c r="G1559" i="3" s="1"/>
  <c r="H1559" i="3" s="1"/>
  <c r="F1560" i="3"/>
  <c r="G1560" i="3" s="1"/>
  <c r="H1560" i="3" s="1"/>
  <c r="F1561" i="3"/>
  <c r="G1561" i="3" s="1"/>
  <c r="F1562" i="3"/>
  <c r="F1563" i="3"/>
  <c r="G1563" i="3" s="1"/>
  <c r="F1564" i="3"/>
  <c r="F1565" i="3"/>
  <c r="F1566" i="3"/>
  <c r="F1567" i="3"/>
  <c r="F1568" i="3"/>
  <c r="F1569" i="3"/>
  <c r="G1569" i="3" s="1"/>
  <c r="F1570" i="3"/>
  <c r="G1570" i="3" s="1"/>
  <c r="H1570" i="3" s="1"/>
  <c r="F1571" i="3"/>
  <c r="G1571" i="3" s="1"/>
  <c r="H1571" i="3" s="1"/>
  <c r="F1572" i="3"/>
  <c r="G1572" i="3" s="1"/>
  <c r="H1572" i="3" s="1"/>
  <c r="F1573" i="3"/>
  <c r="G1573" i="3" s="1"/>
  <c r="F1574" i="3"/>
  <c r="F1575" i="3"/>
  <c r="G1575" i="3" s="1"/>
  <c r="H1575" i="3" s="1"/>
  <c r="F1576" i="3"/>
  <c r="F1577" i="3"/>
  <c r="F1578" i="3"/>
  <c r="F1579" i="3"/>
  <c r="F1580" i="3"/>
  <c r="F1581" i="3"/>
  <c r="G1581" i="3" s="1"/>
  <c r="H1581" i="3" s="1"/>
  <c r="F1582" i="3"/>
  <c r="G1582" i="3" s="1"/>
  <c r="H1582" i="3" s="1"/>
  <c r="F1583" i="3"/>
  <c r="G1583" i="3" s="1"/>
  <c r="F1584" i="3"/>
  <c r="G1584" i="3" s="1"/>
  <c r="H1584" i="3" s="1"/>
  <c r="F1585" i="3"/>
  <c r="G1585" i="3" s="1"/>
  <c r="F1586" i="3"/>
  <c r="G1586" i="3" s="1"/>
  <c r="F1587" i="3"/>
  <c r="G1587" i="3" s="1"/>
  <c r="F1588" i="3"/>
  <c r="F1589" i="3"/>
  <c r="F1590" i="3"/>
  <c r="F1591" i="3"/>
  <c r="F1592" i="3"/>
  <c r="F1593" i="3"/>
  <c r="G1593" i="3" s="1"/>
  <c r="F1594" i="3"/>
  <c r="G1594" i="3" s="1"/>
  <c r="H1594" i="3" s="1"/>
  <c r="F1595" i="3"/>
  <c r="G1595" i="3" s="1"/>
  <c r="H1595" i="3" s="1"/>
  <c r="F1596" i="3"/>
  <c r="G1596" i="3" s="1"/>
  <c r="H1596" i="3" s="1"/>
  <c r="F1597" i="3"/>
  <c r="G1597" i="3" s="1"/>
  <c r="F1598" i="3"/>
  <c r="G1598" i="3" s="1"/>
  <c r="F1599" i="3"/>
  <c r="G1599" i="3" s="1"/>
  <c r="F1600" i="3"/>
  <c r="F1601" i="3"/>
  <c r="F1602" i="3"/>
  <c r="F1603" i="3"/>
  <c r="F1604" i="3"/>
  <c r="F1605" i="3"/>
  <c r="G1605" i="3" s="1"/>
  <c r="F1606" i="3"/>
  <c r="G1606" i="3" s="1"/>
  <c r="H1606" i="3" s="1"/>
  <c r="F1607" i="3"/>
  <c r="G1607" i="3" s="1"/>
  <c r="F1608" i="3"/>
  <c r="G1608" i="3" s="1"/>
  <c r="H1608" i="3" s="1"/>
  <c r="F1609" i="3"/>
  <c r="G1609" i="3" s="1"/>
  <c r="F1610" i="3"/>
  <c r="G1610" i="3" s="1"/>
  <c r="F1611" i="3"/>
  <c r="G1611" i="3" s="1"/>
  <c r="H1611" i="3" s="1"/>
  <c r="F1612" i="3"/>
  <c r="F1613" i="3"/>
  <c r="F1614" i="3"/>
  <c r="F1615" i="3"/>
  <c r="F1616" i="3"/>
  <c r="F1617" i="3"/>
  <c r="G1617" i="3" s="1"/>
  <c r="F1618" i="3"/>
  <c r="G1618" i="3" s="1"/>
  <c r="H1618" i="3" s="1"/>
  <c r="F1619" i="3"/>
  <c r="G1619" i="3" s="1"/>
  <c r="H1619" i="3" s="1"/>
  <c r="F1620" i="3"/>
  <c r="G1620" i="3" s="1"/>
  <c r="H1620" i="3" s="1"/>
  <c r="F1621" i="3"/>
  <c r="G1621" i="3" s="1"/>
  <c r="H1621" i="3" s="1"/>
  <c r="F1622" i="3"/>
  <c r="G1622" i="3" s="1"/>
  <c r="F1623" i="3"/>
  <c r="G1623" i="3" s="1"/>
  <c r="F1624" i="3"/>
  <c r="F1625" i="3"/>
  <c r="F1626" i="3"/>
  <c r="F1627" i="3"/>
  <c r="F1628" i="3"/>
  <c r="F1629" i="3"/>
  <c r="G1629" i="3" s="1"/>
  <c r="H1629" i="3" s="1"/>
  <c r="F1630" i="3"/>
  <c r="G1630" i="3" s="1"/>
  <c r="H1630" i="3" s="1"/>
  <c r="F1631" i="3"/>
  <c r="G1631" i="3" s="1"/>
  <c r="H1631" i="3" s="1"/>
  <c r="F1632" i="3"/>
  <c r="G1632" i="3" s="1"/>
  <c r="H1632" i="3" s="1"/>
  <c r="F1633" i="3"/>
  <c r="G1633" i="3" s="1"/>
  <c r="F1634" i="3"/>
  <c r="G1634" i="3" s="1"/>
  <c r="F1635" i="3"/>
  <c r="G1635" i="3" s="1"/>
  <c r="H1635" i="3" s="1"/>
  <c r="F1636" i="3"/>
  <c r="F1637" i="3"/>
  <c r="F1638" i="3"/>
  <c r="F1639" i="3"/>
  <c r="F1640" i="3"/>
  <c r="F1641" i="3"/>
  <c r="G1641" i="3" s="1"/>
  <c r="F1642" i="3"/>
  <c r="G1642" i="3" s="1"/>
  <c r="F1643" i="3"/>
  <c r="G1643" i="3" s="1"/>
  <c r="F1644" i="3"/>
  <c r="G1644" i="3" s="1"/>
  <c r="H1644" i="3" s="1"/>
  <c r="F1645" i="3"/>
  <c r="G1645" i="3" s="1"/>
  <c r="H1645" i="3" s="1"/>
  <c r="F1646" i="3"/>
  <c r="G1646" i="3" s="1"/>
  <c r="F1647" i="3"/>
  <c r="G1647" i="3" s="1"/>
  <c r="F1648" i="3"/>
  <c r="F1649" i="3"/>
  <c r="F1650" i="3"/>
  <c r="F1651" i="3"/>
  <c r="F1652" i="3"/>
  <c r="F1653" i="3"/>
  <c r="G1653" i="3" s="1"/>
  <c r="F1654" i="3"/>
  <c r="G1654" i="3" s="1"/>
  <c r="F1655" i="3"/>
  <c r="G1655" i="3" s="1"/>
  <c r="H1655" i="3" s="1"/>
  <c r="F1656" i="3"/>
  <c r="G1656" i="3" s="1"/>
  <c r="H1656" i="3" s="1"/>
  <c r="F1657" i="3"/>
  <c r="G1657" i="3" s="1"/>
  <c r="F1658" i="3"/>
  <c r="G1658" i="3" s="1"/>
  <c r="F1659" i="3"/>
  <c r="G1659" i="3" s="1"/>
  <c r="H1659" i="3" s="1"/>
  <c r="F1660" i="3"/>
  <c r="F1661" i="3"/>
  <c r="F1662" i="3"/>
  <c r="F1663" i="3"/>
  <c r="F1664" i="3"/>
  <c r="F1665" i="3"/>
  <c r="G1665" i="3" s="1"/>
  <c r="F1666" i="3"/>
  <c r="G1666" i="3" s="1"/>
  <c r="H1666" i="3" s="1"/>
  <c r="F1667" i="3"/>
  <c r="G1667" i="3" s="1"/>
  <c r="H1667" i="3" s="1"/>
  <c r="F1668" i="3"/>
  <c r="G1668" i="3" s="1"/>
  <c r="H1668" i="3" s="1"/>
  <c r="F1669" i="3"/>
  <c r="G1669" i="3" s="1"/>
  <c r="F1670" i="3"/>
  <c r="G1670" i="3" s="1"/>
  <c r="F1671" i="3"/>
  <c r="G1671" i="3" s="1"/>
  <c r="F1672" i="3"/>
  <c r="F1673" i="3"/>
  <c r="F1674" i="3"/>
  <c r="F1675" i="3"/>
  <c r="F1676" i="3"/>
  <c r="F1677" i="3"/>
  <c r="G1677" i="3" s="1"/>
  <c r="F1678" i="3"/>
  <c r="G1678" i="3" s="1"/>
  <c r="H1678" i="3" s="1"/>
  <c r="F1679" i="3"/>
  <c r="G1679" i="3" s="1"/>
  <c r="H1679" i="3" s="1"/>
  <c r="F1680" i="3"/>
  <c r="G1680" i="3" s="1"/>
  <c r="H1680" i="3" s="1"/>
  <c r="F1681" i="3"/>
  <c r="G1681" i="3" s="1"/>
  <c r="F1682" i="3"/>
  <c r="G1682" i="3" s="1"/>
  <c r="F1683" i="3"/>
  <c r="G1683" i="3" s="1"/>
  <c r="F1684" i="3"/>
  <c r="F1685" i="3"/>
  <c r="F1686" i="3"/>
  <c r="F1687" i="3"/>
  <c r="F1688" i="3"/>
  <c r="F1689" i="3"/>
  <c r="G1689" i="3" s="1"/>
  <c r="F1690" i="3"/>
  <c r="G1690" i="3" s="1"/>
  <c r="H1690" i="3" s="1"/>
  <c r="F1691" i="3"/>
  <c r="G1691" i="3" s="1"/>
  <c r="H1691" i="3" s="1"/>
  <c r="F1692" i="3"/>
  <c r="G1692" i="3" s="1"/>
  <c r="F1693" i="3"/>
  <c r="G1693" i="3" s="1"/>
  <c r="H1693" i="3" s="1"/>
  <c r="F1694" i="3"/>
  <c r="G1694" i="3" s="1"/>
  <c r="H1694" i="3" s="1"/>
  <c r="F1695" i="3"/>
  <c r="G1695" i="3" s="1"/>
  <c r="H1695" i="3" s="1"/>
  <c r="F1696" i="3"/>
  <c r="F1697" i="3"/>
  <c r="F1698" i="3"/>
  <c r="F1699" i="3"/>
  <c r="F1700" i="3"/>
  <c r="F1701" i="3"/>
  <c r="G1701" i="3" s="1"/>
  <c r="F1702" i="3"/>
  <c r="G1702" i="3" s="1"/>
  <c r="H1702" i="3" s="1"/>
  <c r="F1703" i="3"/>
  <c r="G1703" i="3" s="1"/>
  <c r="H1703" i="3" s="1"/>
  <c r="F1704" i="3"/>
  <c r="G1704" i="3" s="1"/>
  <c r="H1704" i="3" s="1"/>
  <c r="F1705" i="3"/>
  <c r="G1705" i="3" s="1"/>
  <c r="F1706" i="3"/>
  <c r="G1706" i="3" s="1"/>
  <c r="F1707" i="3"/>
  <c r="G1707" i="3" s="1"/>
  <c r="F1708" i="3"/>
  <c r="F1709" i="3"/>
  <c r="F1710" i="3"/>
  <c r="F1711" i="3"/>
  <c r="F1712" i="3"/>
  <c r="F1713" i="3"/>
  <c r="G1713" i="3" s="1"/>
  <c r="F1714" i="3"/>
  <c r="G1714" i="3" s="1"/>
  <c r="H1714" i="3" s="1"/>
  <c r="F1715" i="3"/>
  <c r="G1715" i="3" s="1"/>
  <c r="H1715" i="3" s="1"/>
  <c r="F1716" i="3"/>
  <c r="G1716" i="3" s="1"/>
  <c r="F1717" i="3"/>
  <c r="G1717" i="3" s="1"/>
  <c r="F1718" i="3"/>
  <c r="G1718" i="3" s="1"/>
  <c r="F1719" i="3"/>
  <c r="G1719" i="3" s="1"/>
  <c r="F1720" i="3"/>
  <c r="F1721" i="3"/>
  <c r="F1722" i="3"/>
  <c r="F1723" i="3"/>
  <c r="F1724" i="3"/>
  <c r="F1725" i="3"/>
  <c r="G1725" i="3" s="1"/>
  <c r="F1726" i="3"/>
  <c r="G1726" i="3" s="1"/>
  <c r="H1726" i="3" s="1"/>
  <c r="F1727" i="3"/>
  <c r="G1727" i="3" s="1"/>
  <c r="H1727" i="3" s="1"/>
  <c r="F1728" i="3"/>
  <c r="G1728" i="3" s="1"/>
  <c r="H1728" i="3" s="1"/>
  <c r="F1729" i="3"/>
  <c r="G1729" i="3" s="1"/>
  <c r="F1730" i="3"/>
  <c r="G1730" i="3" s="1"/>
  <c r="H1730" i="3" s="1"/>
  <c r="F1731" i="3"/>
  <c r="G1731" i="3" s="1"/>
  <c r="F1732" i="3"/>
  <c r="F1733" i="3"/>
  <c r="F1734" i="3"/>
  <c r="F1735" i="3"/>
  <c r="F1736" i="3"/>
  <c r="F1737" i="3"/>
  <c r="G1737" i="3" s="1"/>
  <c r="H1737" i="3" s="1"/>
  <c r="F1738" i="3"/>
  <c r="G1738" i="3" s="1"/>
  <c r="H1738" i="3" s="1"/>
  <c r="F1739" i="3"/>
  <c r="G1739" i="3" s="1"/>
  <c r="H1739" i="3" s="1"/>
  <c r="F1740" i="3"/>
  <c r="G1740" i="3" s="1"/>
  <c r="H1740" i="3" s="1"/>
  <c r="F1741" i="3"/>
  <c r="G1741" i="3" s="1"/>
  <c r="F1742" i="3"/>
  <c r="G1742" i="3" s="1"/>
  <c r="F1743" i="3"/>
  <c r="G1743" i="3" s="1"/>
  <c r="F1744" i="3"/>
  <c r="F1745" i="3"/>
  <c r="F1746" i="3"/>
  <c r="F1747" i="3"/>
  <c r="F1748" i="3"/>
  <c r="F1749" i="3"/>
  <c r="G1749" i="3" s="1"/>
  <c r="F1750" i="3"/>
  <c r="G1750" i="3" s="1"/>
  <c r="F1751" i="3"/>
  <c r="G1751" i="3" s="1"/>
  <c r="H1751" i="3" s="1"/>
  <c r="F1752" i="3"/>
  <c r="G1752" i="3" s="1"/>
  <c r="H1752" i="3" s="1"/>
  <c r="F1753" i="3"/>
  <c r="G1753" i="3" s="1"/>
  <c r="F1754" i="3"/>
  <c r="G1754" i="3" s="1"/>
  <c r="F1755" i="3"/>
  <c r="G1755" i="3" s="1"/>
  <c r="H1755" i="3" s="1"/>
  <c r="F1756" i="3"/>
  <c r="F1757" i="3"/>
  <c r="F1758" i="3"/>
  <c r="F1759" i="3"/>
  <c r="F1760" i="3"/>
  <c r="F1761" i="3"/>
  <c r="G1761" i="3" s="1"/>
  <c r="F1762" i="3"/>
  <c r="G1762" i="3" s="1"/>
  <c r="F1763" i="3"/>
  <c r="G1763" i="3" s="1"/>
  <c r="F1764" i="3"/>
  <c r="G1764" i="3" s="1"/>
  <c r="F1765" i="3"/>
  <c r="G1765" i="3" s="1"/>
  <c r="F1766" i="3"/>
  <c r="G1766" i="3" s="1"/>
  <c r="F1767" i="3"/>
  <c r="G1767" i="3" s="1"/>
  <c r="F1768" i="3"/>
  <c r="F1769" i="3"/>
  <c r="F1770" i="3"/>
  <c r="F1771" i="3"/>
  <c r="F1772" i="3"/>
  <c r="F1773" i="3"/>
  <c r="G1773" i="3" s="1"/>
  <c r="H1773" i="3" s="1"/>
  <c r="F1774" i="3"/>
  <c r="G1774" i="3" s="1"/>
  <c r="F1775" i="3"/>
  <c r="G1775" i="3" s="1"/>
  <c r="H1775" i="3" s="1"/>
  <c r="F1776" i="3"/>
  <c r="G1776" i="3" s="1"/>
  <c r="H1776" i="3" s="1"/>
  <c r="F1777" i="3"/>
  <c r="G1777" i="3" s="1"/>
  <c r="F1778" i="3"/>
  <c r="G1778" i="3" s="1"/>
  <c r="F1779" i="3"/>
  <c r="G1779" i="3" s="1"/>
  <c r="H1779" i="3" s="1"/>
  <c r="F1780" i="3"/>
  <c r="F1781" i="3"/>
  <c r="F1782" i="3"/>
  <c r="F1783" i="3"/>
  <c r="F1784" i="3"/>
  <c r="F1785" i="3"/>
  <c r="G1785" i="3" s="1"/>
  <c r="F1786" i="3"/>
  <c r="G1786" i="3" s="1"/>
  <c r="H1786" i="3" s="1"/>
  <c r="F1787" i="3"/>
  <c r="G1787" i="3" s="1"/>
  <c r="H1787" i="3" s="1"/>
  <c r="F1788" i="3"/>
  <c r="G1788" i="3" s="1"/>
  <c r="H1788" i="3" s="1"/>
  <c r="F1789" i="3"/>
  <c r="G1789" i="3" s="1"/>
  <c r="F1790" i="3"/>
  <c r="G1790" i="3" s="1"/>
  <c r="F1791" i="3"/>
  <c r="G1791" i="3" s="1"/>
  <c r="F1792" i="3"/>
  <c r="F1793" i="3"/>
  <c r="F1794" i="3"/>
  <c r="F1795" i="3"/>
  <c r="F1796" i="3"/>
  <c r="F1797" i="3"/>
  <c r="G1797" i="3" s="1"/>
  <c r="F1798" i="3"/>
  <c r="G1798" i="3" s="1"/>
  <c r="H1798" i="3" s="1"/>
  <c r="F1799" i="3"/>
  <c r="G1799" i="3" s="1"/>
  <c r="H1799" i="3" s="1"/>
  <c r="F1800" i="3"/>
  <c r="G1800" i="3" s="1"/>
  <c r="H1800" i="3" s="1"/>
  <c r="F1801" i="3"/>
  <c r="G1801" i="3" s="1"/>
  <c r="F1802" i="3"/>
  <c r="G1802" i="3" s="1"/>
  <c r="F1803" i="3"/>
  <c r="G1803" i="3" s="1"/>
  <c r="H1803" i="3" s="1"/>
  <c r="F1804" i="3"/>
  <c r="F1805" i="3"/>
  <c r="F1806" i="3"/>
  <c r="F1807" i="3"/>
  <c r="F1808" i="3"/>
  <c r="F1809" i="3"/>
  <c r="G1809" i="3" s="1"/>
  <c r="F1810" i="3"/>
  <c r="G1810" i="3" s="1"/>
  <c r="H1810" i="3" s="1"/>
  <c r="F1811" i="3"/>
  <c r="G1811" i="3" s="1"/>
  <c r="H1811" i="3" s="1"/>
  <c r="F1812" i="3"/>
  <c r="G1812" i="3" s="1"/>
  <c r="H1812" i="3" s="1"/>
  <c r="F1813" i="3"/>
  <c r="G1813" i="3" s="1"/>
  <c r="F1814" i="3"/>
  <c r="G1814" i="3" s="1"/>
  <c r="F1815" i="3"/>
  <c r="G1815" i="3" s="1"/>
  <c r="H1815" i="3" s="1"/>
  <c r="F1816" i="3"/>
  <c r="F1817" i="3"/>
  <c r="F1818" i="3"/>
  <c r="F1819" i="3"/>
  <c r="F1820" i="3"/>
  <c r="F1821" i="3"/>
  <c r="G1821" i="3" s="1"/>
  <c r="F1822" i="3"/>
  <c r="G1822" i="3" s="1"/>
  <c r="H1822" i="3" s="1"/>
  <c r="F1823" i="3"/>
  <c r="G1823" i="3" s="1"/>
  <c r="H1823" i="3" s="1"/>
  <c r="F1824" i="3"/>
  <c r="G1824" i="3" s="1"/>
  <c r="F1825" i="3"/>
  <c r="G1825" i="3" s="1"/>
  <c r="F1826" i="3"/>
  <c r="G1826" i="3" s="1"/>
  <c r="F1827" i="3"/>
  <c r="G1827" i="3" s="1"/>
  <c r="H1827" i="3" s="1"/>
  <c r="F1828" i="3"/>
  <c r="F1829" i="3"/>
  <c r="F1830" i="3"/>
  <c r="F1831" i="3"/>
  <c r="F1832" i="3"/>
  <c r="F1833" i="3"/>
  <c r="G1833" i="3" s="1"/>
  <c r="F1834" i="3"/>
  <c r="G1834" i="3" s="1"/>
  <c r="H1834" i="3" s="1"/>
  <c r="F1835" i="3"/>
  <c r="G1835" i="3" s="1"/>
  <c r="H1835" i="3" s="1"/>
  <c r="F1836" i="3"/>
  <c r="G1836" i="3" s="1"/>
  <c r="H1836" i="3" s="1"/>
  <c r="F1837" i="3"/>
  <c r="G1837" i="3" s="1"/>
  <c r="H1837" i="3" s="1"/>
  <c r="F1838" i="3"/>
  <c r="G1838" i="3" s="1"/>
  <c r="F1839" i="3"/>
  <c r="G1839" i="3" s="1"/>
  <c r="F1840" i="3"/>
  <c r="F1841" i="3"/>
  <c r="F1842" i="3"/>
  <c r="F1843" i="3"/>
  <c r="F1844" i="3"/>
  <c r="F1845" i="3"/>
  <c r="G1845" i="3" s="1"/>
  <c r="F1846" i="3"/>
  <c r="G1846" i="3" s="1"/>
  <c r="H1846" i="3" s="1"/>
  <c r="F1847" i="3"/>
  <c r="G1847" i="3" s="1"/>
  <c r="H1847" i="3" s="1"/>
  <c r="F1848" i="3"/>
  <c r="G1848" i="3" s="1"/>
  <c r="H1848" i="3" s="1"/>
  <c r="F1849" i="3"/>
  <c r="G1849" i="3" s="1"/>
  <c r="F1850" i="3"/>
  <c r="G1850" i="3" s="1"/>
  <c r="F1851" i="3"/>
  <c r="G1851" i="3" s="1"/>
  <c r="H1851" i="3" s="1"/>
  <c r="F1852" i="3"/>
  <c r="F1853" i="3"/>
  <c r="F1854" i="3"/>
  <c r="F1855" i="3"/>
  <c r="F1856" i="3"/>
  <c r="F1857" i="3"/>
  <c r="G1857" i="3" s="1"/>
  <c r="H1857" i="3" s="1"/>
  <c r="F1858" i="3"/>
  <c r="G1858" i="3" s="1"/>
  <c r="H1858" i="3" s="1"/>
  <c r="F1859" i="3"/>
  <c r="G1859" i="3" s="1"/>
  <c r="F1860" i="3"/>
  <c r="G1860" i="3" s="1"/>
  <c r="H1860" i="3" s="1"/>
  <c r="F1861" i="3"/>
  <c r="G1861" i="3" s="1"/>
  <c r="F1862" i="3"/>
  <c r="G1862" i="3" s="1"/>
  <c r="F1863" i="3"/>
  <c r="G1863" i="3" s="1"/>
  <c r="F1864" i="3"/>
  <c r="F1865" i="3"/>
  <c r="F1866" i="3"/>
  <c r="F1867" i="3"/>
  <c r="F1868" i="3"/>
  <c r="F1869" i="3"/>
  <c r="G1869" i="3" s="1"/>
  <c r="H1869" i="3" s="1"/>
  <c r="F1870" i="3"/>
  <c r="G1870" i="3" s="1"/>
  <c r="H1870" i="3" s="1"/>
  <c r="F1871" i="3"/>
  <c r="G1871" i="3" s="1"/>
  <c r="H1871" i="3" s="1"/>
  <c r="F1872" i="3"/>
  <c r="G1872" i="3" s="1"/>
  <c r="H1872" i="3" s="1"/>
  <c r="F1873" i="3"/>
  <c r="G1873" i="3" s="1"/>
  <c r="F1874" i="3"/>
  <c r="G1874" i="3" s="1"/>
  <c r="H1874" i="3" s="1"/>
  <c r="F1875" i="3"/>
  <c r="G1875" i="3" s="1"/>
  <c r="F1876" i="3"/>
  <c r="F1877" i="3"/>
  <c r="F1878" i="3"/>
  <c r="F1879" i="3"/>
  <c r="F1880" i="3"/>
  <c r="F1881" i="3"/>
  <c r="G1881" i="3" s="1"/>
  <c r="F1882" i="3"/>
  <c r="G1882" i="3" s="1"/>
  <c r="H1882" i="3" s="1"/>
  <c r="F1883" i="3"/>
  <c r="G1883" i="3" s="1"/>
  <c r="H1883" i="3" s="1"/>
  <c r="F1884" i="3"/>
  <c r="G1884" i="3" s="1"/>
  <c r="H1884" i="3" s="1"/>
  <c r="F1885" i="3"/>
  <c r="G1885" i="3" s="1"/>
  <c r="F1886" i="3"/>
  <c r="G1886" i="3" s="1"/>
  <c r="F1887" i="3"/>
  <c r="G1887" i="3" s="1"/>
  <c r="H1887" i="3" s="1"/>
  <c r="F1888" i="3"/>
  <c r="F1889" i="3"/>
  <c r="F1890" i="3"/>
  <c r="F1891" i="3"/>
  <c r="F1892" i="3"/>
  <c r="F1893" i="3"/>
  <c r="G1893" i="3" s="1"/>
  <c r="F1894" i="3"/>
  <c r="G1894" i="3" s="1"/>
  <c r="H1894" i="3" s="1"/>
  <c r="F1895" i="3"/>
  <c r="G1895" i="3" s="1"/>
  <c r="H1895" i="3" s="1"/>
  <c r="F1896" i="3"/>
  <c r="G1896" i="3" s="1"/>
  <c r="H1896" i="3" s="1"/>
  <c r="F1897" i="3"/>
  <c r="G1897" i="3" s="1"/>
  <c r="H1897" i="3" s="1"/>
  <c r="F1898" i="3"/>
  <c r="G1898" i="3" s="1"/>
  <c r="F1899" i="3"/>
  <c r="G1899" i="3" s="1"/>
  <c r="F1900" i="3"/>
  <c r="F1901" i="3"/>
  <c r="F1902" i="3"/>
  <c r="F1903" i="3"/>
  <c r="F1904" i="3"/>
  <c r="F1905" i="3"/>
  <c r="G1905" i="3" s="1"/>
  <c r="H1905" i="3" s="1"/>
  <c r="F1906" i="3"/>
  <c r="G1906" i="3" s="1"/>
  <c r="H1906" i="3" s="1"/>
  <c r="F1907" i="3"/>
  <c r="G1907" i="3" s="1"/>
  <c r="H1907" i="3" s="1"/>
  <c r="F1908" i="3"/>
  <c r="G1908" i="3" s="1"/>
  <c r="H1908" i="3" s="1"/>
  <c r="F1909" i="3"/>
  <c r="G1909" i="3" s="1"/>
  <c r="F1910" i="3"/>
  <c r="G1910" i="3" s="1"/>
  <c r="F1911" i="3"/>
  <c r="G1911" i="3" s="1"/>
  <c r="F1912" i="3"/>
  <c r="F1913" i="3"/>
  <c r="F1914" i="3"/>
  <c r="F1915" i="3"/>
  <c r="F1916" i="3"/>
  <c r="F1917" i="3"/>
  <c r="G1917" i="3" s="1"/>
  <c r="F1918" i="3"/>
  <c r="G1918" i="3" s="1"/>
  <c r="F1919" i="3"/>
  <c r="G1919" i="3" s="1"/>
  <c r="H1919" i="3" s="1"/>
  <c r="F1920" i="3"/>
  <c r="G1920" i="3" s="1"/>
  <c r="H1920" i="3" s="1"/>
  <c r="F1921" i="3"/>
  <c r="G1921" i="3" s="1"/>
  <c r="F1922" i="3"/>
  <c r="G1922" i="3" s="1"/>
  <c r="F1923" i="3"/>
  <c r="G1923" i="3" s="1"/>
  <c r="F1924" i="3"/>
  <c r="F1925" i="3"/>
  <c r="F1926" i="3"/>
  <c r="F1927" i="3"/>
  <c r="F1928" i="3"/>
  <c r="F1929" i="3"/>
  <c r="G1929" i="3" s="1"/>
  <c r="F1930" i="3"/>
  <c r="G1930" i="3" s="1"/>
  <c r="H1930" i="3" s="1"/>
  <c r="F1931" i="3"/>
  <c r="G1931" i="3" s="1"/>
  <c r="H1931" i="3" s="1"/>
  <c r="F1932" i="3"/>
  <c r="G1932" i="3" s="1"/>
  <c r="H1932" i="3" s="1"/>
  <c r="F1933" i="3"/>
  <c r="G1933" i="3" s="1"/>
  <c r="F1934" i="3"/>
  <c r="G1934" i="3" s="1"/>
  <c r="F1935" i="3"/>
  <c r="G1935" i="3" s="1"/>
  <c r="H1935" i="3" s="1"/>
  <c r="F1936" i="3"/>
  <c r="F1937" i="3"/>
  <c r="F1938" i="3"/>
  <c r="F1939" i="3"/>
  <c r="F1940" i="3"/>
  <c r="F1941" i="3"/>
  <c r="G1941" i="3" s="1"/>
  <c r="H1941" i="3" s="1"/>
  <c r="F1942" i="3"/>
  <c r="G1942" i="3" s="1"/>
  <c r="H1942" i="3" s="1"/>
  <c r="F1943" i="3"/>
  <c r="G1943" i="3" s="1"/>
  <c r="H1943" i="3" s="1"/>
  <c r="F1944" i="3"/>
  <c r="G1944" i="3" s="1"/>
  <c r="F1945" i="3"/>
  <c r="G1945" i="3" s="1"/>
  <c r="F1946" i="3"/>
  <c r="G1946" i="3" s="1"/>
  <c r="F1947" i="3"/>
  <c r="G1947" i="3" s="1"/>
  <c r="F1948" i="3"/>
  <c r="F1949" i="3"/>
  <c r="F1950" i="3"/>
  <c r="F1951" i="3"/>
  <c r="F1952" i="3"/>
  <c r="F1953" i="3"/>
  <c r="G1953" i="3" s="1"/>
  <c r="F1954" i="3"/>
  <c r="G1954" i="3" s="1"/>
  <c r="F1955" i="3"/>
  <c r="G1955" i="3" s="1"/>
  <c r="H1955" i="3" s="1"/>
  <c r="F1956" i="3"/>
  <c r="G1956" i="3" s="1"/>
  <c r="F1957" i="3"/>
  <c r="G1957" i="3" s="1"/>
  <c r="F1958" i="3"/>
  <c r="G1958" i="3" s="1"/>
  <c r="F1959" i="3"/>
  <c r="G1959" i="3" s="1"/>
  <c r="F1960" i="3"/>
  <c r="F1961" i="3"/>
  <c r="F1962" i="3"/>
  <c r="F1963" i="3"/>
  <c r="F1964" i="3"/>
  <c r="F1965" i="3"/>
  <c r="G1965" i="3" s="1"/>
  <c r="H1965" i="3" s="1"/>
  <c r="F1966" i="3"/>
  <c r="G1966" i="3" s="1"/>
  <c r="H1966" i="3" s="1"/>
  <c r="F1967" i="3"/>
  <c r="G1967" i="3" s="1"/>
  <c r="H1967" i="3" s="1"/>
  <c r="F1968" i="3"/>
  <c r="G1968" i="3" s="1"/>
  <c r="F1969" i="3"/>
  <c r="G1969" i="3" s="1"/>
  <c r="F1970" i="3"/>
  <c r="G1970" i="3" s="1"/>
  <c r="F1971" i="3"/>
  <c r="G1971" i="3" s="1"/>
  <c r="F1972" i="3"/>
  <c r="F1973" i="3"/>
  <c r="F1974" i="3"/>
  <c r="F1975" i="3"/>
  <c r="F1976" i="3"/>
  <c r="F1977" i="3"/>
  <c r="G1977" i="3" s="1"/>
  <c r="F1978" i="3"/>
  <c r="G1978" i="3" s="1"/>
  <c r="H1978" i="3" s="1"/>
  <c r="F1979" i="3"/>
  <c r="G1979" i="3" s="1"/>
  <c r="H1979" i="3" s="1"/>
  <c r="F1980" i="3"/>
  <c r="G1980" i="3" s="1"/>
  <c r="H1980" i="3" s="1"/>
  <c r="F1981" i="3"/>
  <c r="G1981" i="3" s="1"/>
  <c r="F1982" i="3"/>
  <c r="G1982" i="3" s="1"/>
  <c r="F1983" i="3"/>
  <c r="G1983" i="3" s="1"/>
  <c r="F1984" i="3"/>
  <c r="F1985" i="3"/>
  <c r="F1986" i="3"/>
  <c r="F1987" i="3"/>
  <c r="F1988" i="3"/>
  <c r="F1989" i="3"/>
  <c r="G1989" i="3" s="1"/>
  <c r="F1990" i="3"/>
  <c r="G1990" i="3" s="1"/>
  <c r="H1990" i="3" s="1"/>
  <c r="F1991" i="3"/>
  <c r="G1991" i="3" s="1"/>
  <c r="H1991" i="3" s="1"/>
  <c r="F1992" i="3"/>
  <c r="G1992" i="3" s="1"/>
  <c r="H1992" i="3" s="1"/>
  <c r="F1993" i="3"/>
  <c r="G1993" i="3" s="1"/>
  <c r="F1994" i="3"/>
  <c r="G1994" i="3" s="1"/>
  <c r="F1995" i="3"/>
  <c r="G1995" i="3" s="1"/>
  <c r="H1995" i="3" s="1"/>
  <c r="F1996" i="3"/>
  <c r="F1997" i="3"/>
  <c r="F1998" i="3"/>
  <c r="F1999" i="3"/>
  <c r="F2000" i="3"/>
  <c r="F2001" i="3"/>
  <c r="G2001" i="3" s="1"/>
  <c r="F2002" i="3"/>
  <c r="G2002" i="3" s="1"/>
  <c r="H2002" i="3" s="1"/>
  <c r="F2003" i="3"/>
  <c r="G2003" i="3" s="1"/>
  <c r="H2003" i="3" s="1"/>
  <c r="F2004" i="3"/>
  <c r="G2004" i="3" s="1"/>
  <c r="H2004" i="3" s="1"/>
  <c r="F2005" i="3"/>
  <c r="G2005" i="3" s="1"/>
  <c r="F2006" i="3"/>
  <c r="G2006" i="3" s="1"/>
  <c r="H2006" i="3" s="1"/>
  <c r="F2007" i="3"/>
  <c r="G2007" i="3" s="1"/>
  <c r="F2008" i="3"/>
  <c r="F2009" i="3"/>
  <c r="F2010" i="3"/>
  <c r="F2011" i="3"/>
  <c r="F2012" i="3"/>
  <c r="F2013" i="3"/>
  <c r="G2013" i="3" s="1"/>
  <c r="F2014" i="3"/>
  <c r="G2014" i="3" s="1"/>
  <c r="H2014" i="3" s="1"/>
  <c r="F2015" i="3"/>
  <c r="G2015" i="3" s="1"/>
  <c r="H2015" i="3" s="1"/>
  <c r="F2016" i="3"/>
  <c r="G2016" i="3" s="1"/>
  <c r="H2016" i="3" s="1"/>
  <c r="F2017" i="3"/>
  <c r="G2017" i="3" s="1"/>
  <c r="F2018" i="3"/>
  <c r="G2018" i="3" s="1"/>
  <c r="H2018" i="3" s="1"/>
  <c r="F2019" i="3"/>
  <c r="G2019" i="3" s="1"/>
  <c r="F2020" i="3"/>
  <c r="F2021" i="3"/>
  <c r="F2022" i="3"/>
  <c r="F2023" i="3"/>
  <c r="F2024" i="3"/>
  <c r="F2025" i="3"/>
  <c r="G2025" i="3" s="1"/>
  <c r="F2026" i="3"/>
  <c r="G2026" i="3" s="1"/>
  <c r="H2026" i="3" s="1"/>
  <c r="F2027" i="3"/>
  <c r="G2027" i="3" s="1"/>
  <c r="H2027" i="3" s="1"/>
  <c r="F2028" i="3"/>
  <c r="G2028" i="3" s="1"/>
  <c r="H2028" i="3" s="1"/>
  <c r="F2029" i="3"/>
  <c r="G2029" i="3" s="1"/>
  <c r="F2030" i="3"/>
  <c r="G2030" i="3" s="1"/>
  <c r="F2031" i="3"/>
  <c r="G2031" i="3" s="1"/>
  <c r="F2032" i="3"/>
  <c r="F2033" i="3"/>
  <c r="F2034" i="3"/>
  <c r="F2035" i="3"/>
  <c r="F2036" i="3"/>
  <c r="F2037" i="3"/>
  <c r="G2037" i="3" s="1"/>
  <c r="F2038" i="3"/>
  <c r="G2038" i="3" s="1"/>
  <c r="H2038" i="3" s="1"/>
  <c r="F2039" i="3"/>
  <c r="G2039" i="3" s="1"/>
  <c r="H2039" i="3" s="1"/>
  <c r="F2040" i="3"/>
  <c r="G2040" i="3" s="1"/>
  <c r="H2040" i="3" s="1"/>
  <c r="F2041" i="3"/>
  <c r="G2041" i="3" s="1"/>
  <c r="F2042" i="3"/>
  <c r="G2042" i="3" s="1"/>
  <c r="F2043" i="3"/>
  <c r="G2043" i="3" s="1"/>
  <c r="H2043" i="3" s="1"/>
  <c r="F2044" i="3"/>
  <c r="F2045" i="3"/>
  <c r="F2046" i="3"/>
  <c r="F2047" i="3"/>
  <c r="F2048" i="3"/>
  <c r="F2049" i="3"/>
  <c r="G2049" i="3" s="1"/>
  <c r="F2050" i="3"/>
  <c r="G2050" i="3" s="1"/>
  <c r="H2050" i="3" s="1"/>
  <c r="F2051" i="3"/>
  <c r="G2051" i="3" s="1"/>
  <c r="H2051" i="3" s="1"/>
  <c r="F2052" i="3"/>
  <c r="G2052" i="3" s="1"/>
  <c r="H2052" i="3" s="1"/>
  <c r="F2053" i="3"/>
  <c r="G2053" i="3" s="1"/>
  <c r="F2054" i="3"/>
  <c r="G2054" i="3" s="1"/>
  <c r="F2055" i="3"/>
  <c r="G2055" i="3" s="1"/>
  <c r="H2055" i="3" s="1"/>
  <c r="F2056" i="3"/>
  <c r="F2057" i="3"/>
  <c r="F2058" i="3"/>
  <c r="F2059" i="3"/>
  <c r="F2060" i="3"/>
  <c r="F2061" i="3"/>
  <c r="G2061" i="3" s="1"/>
  <c r="H2061" i="3" s="1"/>
  <c r="F2062" i="3"/>
  <c r="G2062" i="3" s="1"/>
  <c r="H2062" i="3" s="1"/>
  <c r="F2063" i="3"/>
  <c r="G2063" i="3" s="1"/>
  <c r="H2063" i="3" s="1"/>
  <c r="F2064" i="3"/>
  <c r="G2064" i="3" s="1"/>
  <c r="H2064" i="3" s="1"/>
  <c r="F2065" i="3"/>
  <c r="G2065" i="3" s="1"/>
  <c r="F2066" i="3"/>
  <c r="G2066" i="3" s="1"/>
  <c r="H2066" i="3" s="1"/>
  <c r="F2067" i="3"/>
  <c r="G2067" i="3" s="1"/>
  <c r="H2067" i="3" s="1"/>
  <c r="F2068" i="3"/>
  <c r="F2069" i="3"/>
  <c r="F2070" i="3"/>
  <c r="F2071" i="3"/>
  <c r="F2072" i="3"/>
  <c r="F2073" i="3"/>
  <c r="G2073" i="3" s="1"/>
  <c r="F2074" i="3"/>
  <c r="G2074" i="3" s="1"/>
  <c r="F2075" i="3"/>
  <c r="G2075" i="3" s="1"/>
  <c r="H2075" i="3" s="1"/>
  <c r="F2076" i="3"/>
  <c r="G2076" i="3" s="1"/>
  <c r="F2077" i="3"/>
  <c r="G2077" i="3" s="1"/>
  <c r="F2078" i="3"/>
  <c r="G2078" i="3" s="1"/>
  <c r="F2079" i="3"/>
  <c r="G2079" i="3" s="1"/>
  <c r="F2080" i="3"/>
  <c r="F2081" i="3"/>
  <c r="F2082" i="3"/>
  <c r="F2083" i="3"/>
  <c r="F2084" i="3"/>
  <c r="F2085" i="3"/>
  <c r="G2085" i="3" s="1"/>
  <c r="F2086" i="3"/>
  <c r="G2086" i="3" s="1"/>
  <c r="H2086" i="3" s="1"/>
  <c r="F2087" i="3"/>
  <c r="G2087" i="3" s="1"/>
  <c r="H2087" i="3" s="1"/>
  <c r="F2088" i="3"/>
  <c r="G2088" i="3" s="1"/>
  <c r="F2089" i="3"/>
  <c r="G2089" i="3" s="1"/>
  <c r="F2090" i="3"/>
  <c r="G2090" i="3" s="1"/>
  <c r="F2091" i="3"/>
  <c r="G2091" i="3" s="1"/>
  <c r="H2091" i="3" s="1"/>
  <c r="F2092" i="3"/>
  <c r="F2093" i="3"/>
  <c r="F2094" i="3"/>
  <c r="F2095" i="3"/>
  <c r="F2096" i="3"/>
  <c r="F2097" i="3"/>
  <c r="G2097" i="3" s="1"/>
  <c r="F2098" i="3"/>
  <c r="G2098" i="3" s="1"/>
  <c r="H2098" i="3" s="1"/>
  <c r="F2099" i="3"/>
  <c r="G2099" i="3" s="1"/>
  <c r="H2099" i="3" s="1"/>
  <c r="F2100" i="3"/>
  <c r="G2100" i="3" s="1"/>
  <c r="F2101" i="3"/>
  <c r="G2101" i="3" s="1"/>
  <c r="F2102" i="3"/>
  <c r="G2102" i="3" s="1"/>
  <c r="H2102" i="3" s="1"/>
  <c r="F2103" i="3"/>
  <c r="G2103" i="3" s="1"/>
  <c r="H2103" i="3" s="1"/>
  <c r="F2104" i="3"/>
  <c r="F2105" i="3"/>
  <c r="F2106" i="3"/>
  <c r="F2107" i="3"/>
  <c r="F2108" i="3"/>
  <c r="F2109" i="3"/>
  <c r="G2109" i="3" s="1"/>
  <c r="F2110" i="3"/>
  <c r="G2110" i="3" s="1"/>
  <c r="H2110" i="3" s="1"/>
  <c r="F2111" i="3"/>
  <c r="G2111" i="3" s="1"/>
  <c r="H2111" i="3" s="1"/>
  <c r="F2112" i="3"/>
  <c r="G2112" i="3" s="1"/>
  <c r="H2112" i="3" s="1"/>
  <c r="F2113" i="3"/>
  <c r="G2113" i="3" s="1"/>
  <c r="F2114" i="3"/>
  <c r="G2114" i="3" s="1"/>
  <c r="F2115" i="3"/>
  <c r="G2115" i="3" s="1"/>
  <c r="F2116" i="3"/>
  <c r="F2117" i="3"/>
  <c r="F2118" i="3"/>
  <c r="F2119" i="3"/>
  <c r="F2120" i="3"/>
  <c r="F2121" i="3"/>
  <c r="G2121" i="3" s="1"/>
  <c r="F2122" i="3"/>
  <c r="G2122" i="3" s="1"/>
  <c r="H2122" i="3" s="1"/>
  <c r="F2123" i="3"/>
  <c r="G2123" i="3" s="1"/>
  <c r="H2123" i="3" s="1"/>
  <c r="F2124" i="3"/>
  <c r="G2124" i="3" s="1"/>
  <c r="H2124" i="3" s="1"/>
  <c r="F2125" i="3"/>
  <c r="G2125" i="3" s="1"/>
  <c r="F2126" i="3"/>
  <c r="G2126" i="3" s="1"/>
  <c r="F2127" i="3"/>
  <c r="G2127" i="3" s="1"/>
  <c r="F2128" i="3"/>
  <c r="F2129" i="3"/>
  <c r="F2130" i="3"/>
  <c r="F2131" i="3"/>
  <c r="F2132" i="3"/>
  <c r="F2133" i="3"/>
  <c r="G2133" i="3" s="1"/>
  <c r="F2134" i="3"/>
  <c r="G2134" i="3" s="1"/>
  <c r="H2134" i="3" s="1"/>
  <c r="F2135" i="3"/>
  <c r="G2135" i="3" s="1"/>
  <c r="H2135" i="3" s="1"/>
  <c r="F2136" i="3"/>
  <c r="G2136" i="3" s="1"/>
  <c r="H2136" i="3" s="1"/>
  <c r="F2137" i="3"/>
  <c r="G2137" i="3" s="1"/>
  <c r="F2138" i="3"/>
  <c r="G2138" i="3" s="1"/>
  <c r="F2139" i="3"/>
  <c r="G2139" i="3" s="1"/>
  <c r="H2139" i="3" s="1"/>
  <c r="F2140" i="3"/>
  <c r="F2141" i="3"/>
  <c r="F2142" i="3"/>
  <c r="F2143" i="3"/>
  <c r="F2144" i="3"/>
  <c r="F2145" i="3"/>
  <c r="G2145" i="3" s="1"/>
  <c r="F2146" i="3"/>
  <c r="G2146" i="3" s="1"/>
  <c r="H2146" i="3" s="1"/>
  <c r="F2147" i="3"/>
  <c r="G2147" i="3" s="1"/>
  <c r="H2147" i="3" s="1"/>
  <c r="F2148" i="3"/>
  <c r="G2148" i="3" s="1"/>
  <c r="H2148" i="3" s="1"/>
  <c r="F2149" i="3"/>
  <c r="G2149" i="3" s="1"/>
  <c r="F2150" i="3"/>
  <c r="G2150" i="3" s="1"/>
  <c r="F2151" i="3"/>
  <c r="G2151" i="3" s="1"/>
  <c r="H2151" i="3" s="1"/>
  <c r="F2152" i="3"/>
  <c r="F2153" i="3"/>
  <c r="F2154" i="3"/>
  <c r="F2155" i="3"/>
  <c r="F2156" i="3"/>
  <c r="F2157" i="3"/>
  <c r="G2157" i="3" s="1"/>
  <c r="F2158" i="3"/>
  <c r="G2158" i="3" s="1"/>
  <c r="H2158" i="3" s="1"/>
  <c r="F2159" i="3"/>
  <c r="G2159" i="3" s="1"/>
  <c r="H2159" i="3" s="1"/>
  <c r="F2160" i="3"/>
  <c r="G2160" i="3" s="1"/>
  <c r="H2160" i="3" s="1"/>
  <c r="F2161" i="3"/>
  <c r="G2161" i="3" s="1"/>
  <c r="F2162" i="3"/>
  <c r="G2162" i="3" s="1"/>
  <c r="F2163" i="3"/>
  <c r="G2163" i="3" s="1"/>
  <c r="F2164" i="3"/>
  <c r="F2165" i="3"/>
  <c r="F2166" i="3"/>
  <c r="F2167" i="3"/>
  <c r="F2168" i="3"/>
  <c r="F2169" i="3"/>
  <c r="G2169" i="3" s="1"/>
  <c r="F2170" i="3"/>
  <c r="G2170" i="3" s="1"/>
  <c r="H2170" i="3" s="1"/>
  <c r="F2171" i="3"/>
  <c r="G2171" i="3" s="1"/>
  <c r="H2171" i="3" s="1"/>
  <c r="F2172" i="3"/>
  <c r="G2172" i="3" s="1"/>
  <c r="H2172" i="3" s="1"/>
  <c r="F2173" i="3"/>
  <c r="G2173" i="3" s="1"/>
  <c r="F2174" i="3"/>
  <c r="G2174" i="3" s="1"/>
  <c r="H2174" i="3" s="1"/>
  <c r="F2175" i="3"/>
  <c r="G2175" i="3" s="1"/>
  <c r="F2176" i="3"/>
  <c r="F2177" i="3"/>
  <c r="F2178" i="3"/>
  <c r="F2179" i="3"/>
  <c r="F2180" i="3"/>
  <c r="F2181" i="3"/>
  <c r="G2181" i="3" s="1"/>
  <c r="F2182" i="3"/>
  <c r="G2182" i="3" s="1"/>
  <c r="H2182" i="3" s="1"/>
  <c r="F2183" i="3"/>
  <c r="G2183" i="3" s="1"/>
  <c r="H2183" i="3" s="1"/>
  <c r="F2184" i="3"/>
  <c r="G2184" i="3" s="1"/>
  <c r="H2184" i="3" s="1"/>
  <c r="F2185" i="3"/>
  <c r="G2185" i="3" s="1"/>
  <c r="F2186" i="3"/>
  <c r="G2186" i="3" s="1"/>
  <c r="F2187" i="3"/>
  <c r="G2187" i="3" s="1"/>
  <c r="F2188" i="3"/>
  <c r="F2189" i="3"/>
  <c r="F2190" i="3"/>
  <c r="F2191" i="3"/>
  <c r="F2192" i="3"/>
  <c r="F2193" i="3"/>
  <c r="G2193" i="3" s="1"/>
  <c r="F2194" i="3"/>
  <c r="G2194" i="3" s="1"/>
  <c r="H2194" i="3" s="1"/>
  <c r="F2195" i="3"/>
  <c r="G2195" i="3" s="1"/>
  <c r="H2195" i="3" s="1"/>
  <c r="F2196" i="3"/>
  <c r="G2196" i="3" s="1"/>
  <c r="H2196" i="3" s="1"/>
  <c r="F2197" i="3"/>
  <c r="G2197" i="3" s="1"/>
  <c r="F2198" i="3"/>
  <c r="G2198" i="3" s="1"/>
  <c r="F2199" i="3"/>
  <c r="G2199" i="3" s="1"/>
  <c r="F2200" i="3"/>
  <c r="F2201" i="3"/>
  <c r="F2202" i="3"/>
  <c r="F2203" i="3"/>
  <c r="F2204" i="3"/>
  <c r="F2205" i="3"/>
  <c r="G2205" i="3" s="1"/>
  <c r="F2206" i="3"/>
  <c r="G2206" i="3" s="1"/>
  <c r="F2207" i="3"/>
  <c r="G2207" i="3" s="1"/>
  <c r="H2207" i="3" s="1"/>
  <c r="F2208" i="3"/>
  <c r="G2208" i="3" s="1"/>
  <c r="H2208" i="3" s="1"/>
  <c r="F2209" i="3"/>
  <c r="G2209" i="3" s="1"/>
  <c r="F2210" i="3"/>
  <c r="G2210" i="3" s="1"/>
  <c r="F2211" i="3"/>
  <c r="G2211" i="3" s="1"/>
  <c r="F2212" i="3"/>
  <c r="F2213" i="3"/>
  <c r="F2214" i="3"/>
  <c r="F2215" i="3"/>
  <c r="F2216" i="3"/>
  <c r="F2217" i="3"/>
  <c r="G2217" i="3" s="1"/>
  <c r="F2218" i="3"/>
  <c r="G2218" i="3" s="1"/>
  <c r="F2219" i="3"/>
  <c r="G2219" i="3" s="1"/>
  <c r="H2219" i="3" s="1"/>
  <c r="F2220" i="3"/>
  <c r="G2220" i="3" s="1"/>
  <c r="H2220" i="3" s="1"/>
  <c r="F2221" i="3"/>
  <c r="G2221" i="3" s="1"/>
  <c r="F2222" i="3"/>
  <c r="G2222" i="3" s="1"/>
  <c r="F2223" i="3"/>
  <c r="G2223" i="3" s="1"/>
  <c r="F2224" i="3"/>
  <c r="F2225" i="3"/>
  <c r="F2226" i="3"/>
  <c r="F2227" i="3"/>
  <c r="F2228" i="3"/>
  <c r="F2229" i="3"/>
  <c r="G2229" i="3" s="1"/>
  <c r="F2230" i="3"/>
  <c r="G2230" i="3" s="1"/>
  <c r="H2230" i="3" s="1"/>
  <c r="F2231" i="3"/>
  <c r="G2231" i="3" s="1"/>
  <c r="H2231" i="3" s="1"/>
  <c r="F2232" i="3"/>
  <c r="G2232" i="3" s="1"/>
  <c r="H2232" i="3" s="1"/>
  <c r="F2233" i="3"/>
  <c r="G2233" i="3" s="1"/>
  <c r="F2234" i="3"/>
  <c r="G2234" i="3" s="1"/>
  <c r="H2234" i="3" s="1"/>
  <c r="F2235" i="3"/>
  <c r="G2235" i="3" s="1"/>
  <c r="F2236" i="3"/>
  <c r="F2237" i="3"/>
  <c r="F2238" i="3"/>
  <c r="F2239" i="3"/>
  <c r="F2240" i="3"/>
  <c r="F2241" i="3"/>
  <c r="G2241" i="3" s="1"/>
  <c r="F2242" i="3"/>
  <c r="G2242" i="3" s="1"/>
  <c r="H2242" i="3" s="1"/>
  <c r="F2243" i="3"/>
  <c r="G2243" i="3" s="1"/>
  <c r="H2243" i="3" s="1"/>
  <c r="F2244" i="3"/>
  <c r="G2244" i="3" s="1"/>
  <c r="H2244" i="3" s="1"/>
  <c r="F2245" i="3"/>
  <c r="G2245" i="3" s="1"/>
  <c r="F2246" i="3"/>
  <c r="G2246" i="3" s="1"/>
  <c r="F2247" i="3"/>
  <c r="G2247" i="3" s="1"/>
  <c r="F2248" i="3"/>
  <c r="F2249" i="3"/>
  <c r="F2250" i="3"/>
  <c r="F2251" i="3"/>
  <c r="F2252" i="3"/>
  <c r="F2253" i="3"/>
  <c r="G2253" i="3" s="1"/>
  <c r="F2254" i="3"/>
  <c r="G2254" i="3" s="1"/>
  <c r="H2254" i="3" s="1"/>
  <c r="F2255" i="3"/>
  <c r="G2255" i="3" s="1"/>
  <c r="H2255" i="3" s="1"/>
  <c r="F2256" i="3"/>
  <c r="G2256" i="3" s="1"/>
  <c r="H2256" i="3" s="1"/>
  <c r="F2257" i="3"/>
  <c r="G2257" i="3" s="1"/>
  <c r="F2258" i="3"/>
  <c r="G2258" i="3" s="1"/>
  <c r="F2259" i="3"/>
  <c r="G2259" i="3" s="1"/>
  <c r="F2260" i="3"/>
  <c r="F2261" i="3"/>
  <c r="F2262" i="3"/>
  <c r="F2263" i="3"/>
  <c r="F2264" i="3"/>
  <c r="F2265" i="3"/>
  <c r="G2265" i="3" s="1"/>
  <c r="F2266" i="3"/>
  <c r="G2266" i="3" s="1"/>
  <c r="H2266" i="3" s="1"/>
  <c r="F2267" i="3"/>
  <c r="G2267" i="3" s="1"/>
  <c r="H2267" i="3" s="1"/>
  <c r="F2268" i="3"/>
  <c r="G2268" i="3" s="1"/>
  <c r="H2268" i="3" s="1"/>
  <c r="F2269" i="3"/>
  <c r="G2269" i="3" s="1"/>
  <c r="F2270" i="3"/>
  <c r="G2270" i="3" s="1"/>
  <c r="F2271" i="3"/>
  <c r="G2271" i="3" s="1"/>
  <c r="F2272" i="3"/>
  <c r="F2273" i="3"/>
  <c r="F2274" i="3"/>
  <c r="F2275" i="3"/>
  <c r="F2276" i="3"/>
  <c r="F2277" i="3"/>
  <c r="G2277" i="3" s="1"/>
  <c r="F2278" i="3"/>
  <c r="G2278" i="3" s="1"/>
  <c r="H2278" i="3" s="1"/>
  <c r="F2279" i="3"/>
  <c r="G2279" i="3" s="1"/>
  <c r="H2279" i="3" s="1"/>
  <c r="F2280" i="3"/>
  <c r="G2280" i="3" s="1"/>
  <c r="H2280" i="3" s="1"/>
  <c r="F2281" i="3"/>
  <c r="G2281" i="3" s="1"/>
  <c r="F2282" i="3"/>
  <c r="G2282" i="3" s="1"/>
  <c r="F2283" i="3"/>
  <c r="G2283" i="3" s="1"/>
  <c r="F2284" i="3"/>
  <c r="F2285" i="3"/>
  <c r="F2286" i="3"/>
  <c r="F2287" i="3"/>
  <c r="F2288" i="3"/>
  <c r="F2289" i="3"/>
  <c r="G2289" i="3" s="1"/>
  <c r="F2290" i="3"/>
  <c r="G2290" i="3" s="1"/>
  <c r="H2290" i="3" s="1"/>
  <c r="F2291" i="3"/>
  <c r="G2291" i="3" s="1"/>
  <c r="H2291" i="3" s="1"/>
  <c r="F2292" i="3"/>
  <c r="G2292" i="3" s="1"/>
  <c r="H2292" i="3" s="1"/>
  <c r="F2293" i="3"/>
  <c r="G2293" i="3" s="1"/>
  <c r="H2293" i="3" s="1"/>
  <c r="F2294" i="3"/>
  <c r="G2294" i="3" s="1"/>
  <c r="F2295" i="3"/>
  <c r="G2295" i="3" s="1"/>
  <c r="F2296" i="3"/>
  <c r="F2297" i="3"/>
  <c r="F2298" i="3"/>
  <c r="F2299" i="3"/>
  <c r="F2300" i="3"/>
  <c r="F2301" i="3"/>
  <c r="G2301" i="3" s="1"/>
  <c r="F2302" i="3"/>
  <c r="G2302" i="3" s="1"/>
  <c r="H2302" i="3" s="1"/>
  <c r="F2303" i="3"/>
  <c r="G2303" i="3" s="1"/>
  <c r="H2303" i="3" s="1"/>
  <c r="F2304" i="3"/>
  <c r="G2304" i="3" s="1"/>
  <c r="H2304" i="3" s="1"/>
  <c r="F2305" i="3"/>
  <c r="G2305" i="3" s="1"/>
  <c r="F2306" i="3"/>
  <c r="G2306" i="3" s="1"/>
  <c r="F2307" i="3"/>
  <c r="G2307" i="3" s="1"/>
  <c r="F2308" i="3"/>
  <c r="F2309" i="3"/>
  <c r="F2310" i="3"/>
  <c r="F2311" i="3"/>
  <c r="F2312" i="3"/>
  <c r="F2313" i="3"/>
  <c r="G2313" i="3" s="1"/>
  <c r="F2314" i="3"/>
  <c r="G2314" i="3" s="1"/>
  <c r="H2314" i="3" s="1"/>
  <c r="F2315" i="3"/>
  <c r="G2315" i="3" s="1"/>
  <c r="H2315" i="3" s="1"/>
  <c r="F2316" i="3"/>
  <c r="G2316" i="3" s="1"/>
  <c r="H2316" i="3" s="1"/>
  <c r="F2317" i="3"/>
  <c r="G2317" i="3" s="1"/>
  <c r="F2318" i="3"/>
  <c r="G2318" i="3" s="1"/>
  <c r="F2319" i="3"/>
  <c r="G2319" i="3" s="1"/>
  <c r="H2319" i="3" s="1"/>
  <c r="F2320" i="3"/>
  <c r="F2321" i="3"/>
  <c r="F2322" i="3"/>
  <c r="F2323" i="3"/>
  <c r="F2324" i="3"/>
  <c r="F2325" i="3"/>
  <c r="G2325" i="3" s="1"/>
  <c r="F2326" i="3"/>
  <c r="G2326" i="3" s="1"/>
  <c r="H2326" i="3" s="1"/>
  <c r="F2327" i="3"/>
  <c r="G2327" i="3" s="1"/>
  <c r="H2327" i="3" s="1"/>
  <c r="F2328" i="3"/>
  <c r="G2328" i="3" s="1"/>
  <c r="F2329" i="3"/>
  <c r="G2329" i="3" s="1"/>
  <c r="F2330" i="3"/>
  <c r="G2330" i="3" s="1"/>
  <c r="F2331" i="3"/>
  <c r="G2331" i="3" s="1"/>
  <c r="F2332" i="3"/>
  <c r="F2333" i="3"/>
  <c r="F2334" i="3"/>
  <c r="F2335" i="3"/>
  <c r="F2336" i="3"/>
  <c r="F2337" i="3"/>
  <c r="G2337" i="3" s="1"/>
  <c r="F2338" i="3"/>
  <c r="G2338" i="3" s="1"/>
  <c r="H2338" i="3" s="1"/>
  <c r="F2339" i="3"/>
  <c r="G2339" i="3" s="1"/>
  <c r="H2339" i="3" s="1"/>
  <c r="F2340" i="3"/>
  <c r="G2340" i="3" s="1"/>
  <c r="H2340" i="3" s="1"/>
  <c r="F2341" i="3"/>
  <c r="G2341" i="3" s="1"/>
  <c r="F2342" i="3"/>
  <c r="G2342" i="3" s="1"/>
  <c r="F2343" i="3"/>
  <c r="G2343" i="3" s="1"/>
  <c r="F2344" i="3"/>
  <c r="F2345" i="3"/>
  <c r="F2346" i="3"/>
  <c r="F2347" i="3"/>
  <c r="F2348" i="3"/>
  <c r="F2349" i="3"/>
  <c r="G2349" i="3" s="1"/>
  <c r="F2350" i="3"/>
  <c r="G2350" i="3" s="1"/>
  <c r="H2350" i="3" s="1"/>
  <c r="F2351" i="3"/>
  <c r="G2351" i="3" s="1"/>
  <c r="H2351" i="3" s="1"/>
  <c r="F2352" i="3"/>
  <c r="G2352" i="3" s="1"/>
  <c r="F2353" i="3"/>
  <c r="G2353" i="3" s="1"/>
  <c r="F2354" i="3"/>
  <c r="G2354" i="3" s="1"/>
  <c r="H2354" i="3" s="1"/>
  <c r="F2355" i="3"/>
  <c r="G2355" i="3" s="1"/>
  <c r="H2355" i="3" s="1"/>
  <c r="F2356" i="3"/>
  <c r="F2357" i="3"/>
  <c r="F2358" i="3"/>
  <c r="F2359" i="3"/>
  <c r="F2360" i="3"/>
  <c r="F2361" i="3"/>
  <c r="G2361" i="3" s="1"/>
  <c r="F2362" i="3"/>
  <c r="G2362" i="3" s="1"/>
  <c r="F2363" i="3"/>
  <c r="G2363" i="3" s="1"/>
  <c r="H2363" i="3" s="1"/>
  <c r="F2364" i="3"/>
  <c r="G2364" i="3" s="1"/>
  <c r="F2365" i="3"/>
  <c r="G2365" i="3" s="1"/>
  <c r="F2366" i="3"/>
  <c r="G2366" i="3" s="1"/>
  <c r="F2367" i="3"/>
  <c r="G2367" i="3" s="1"/>
  <c r="F2368" i="3"/>
  <c r="F2369" i="3"/>
  <c r="F2370" i="3"/>
  <c r="F2371" i="3"/>
  <c r="F2372" i="3"/>
  <c r="F2373" i="3"/>
  <c r="G2373" i="3" s="1"/>
  <c r="F2374" i="3"/>
  <c r="G2374" i="3" s="1"/>
  <c r="F2375" i="3"/>
  <c r="G2375" i="3" s="1"/>
  <c r="H2375" i="3" s="1"/>
  <c r="F2376" i="3"/>
  <c r="G2376" i="3" s="1"/>
  <c r="F2377" i="3"/>
  <c r="G2377" i="3" s="1"/>
  <c r="F2378" i="3"/>
  <c r="G2378" i="3" s="1"/>
  <c r="F2379" i="3"/>
  <c r="G2379" i="3" s="1"/>
  <c r="F2380" i="3"/>
  <c r="F2381" i="3"/>
  <c r="F2382" i="3"/>
  <c r="F2383" i="3"/>
  <c r="F2384" i="3"/>
  <c r="F2385" i="3"/>
  <c r="G2385" i="3" s="1"/>
  <c r="F2386" i="3"/>
  <c r="G2386" i="3" s="1"/>
  <c r="F2387" i="3"/>
  <c r="G2387" i="3" s="1"/>
  <c r="H2387" i="3" s="1"/>
  <c r="F2388" i="3"/>
  <c r="G2388" i="3" s="1"/>
  <c r="H2388" i="3" s="1"/>
  <c r="F2389" i="3"/>
  <c r="G2389" i="3" s="1"/>
  <c r="F2390" i="3"/>
  <c r="G2390" i="3" s="1"/>
  <c r="F2391" i="3"/>
  <c r="G2391" i="3" s="1"/>
  <c r="H2391" i="3" s="1"/>
  <c r="F2392" i="3"/>
  <c r="F2393" i="3"/>
  <c r="F2394" i="3"/>
  <c r="F2395" i="3"/>
  <c r="F2396" i="3"/>
  <c r="F2397" i="3"/>
  <c r="G2397" i="3" s="1"/>
  <c r="F2398" i="3"/>
  <c r="G2398" i="3" s="1"/>
  <c r="H2398" i="3" s="1"/>
  <c r="F2399" i="3"/>
  <c r="G2399" i="3" s="1"/>
  <c r="H2399" i="3" s="1"/>
  <c r="F2400" i="3"/>
  <c r="G2400" i="3" s="1"/>
  <c r="H2400" i="3" s="1"/>
  <c r="F2401" i="3"/>
  <c r="G2401" i="3" s="1"/>
  <c r="F2402" i="3"/>
  <c r="G2402" i="3" s="1"/>
  <c r="F2403" i="3"/>
  <c r="G2403" i="3" s="1"/>
  <c r="F2404" i="3"/>
  <c r="F2405" i="3"/>
  <c r="F2406" i="3"/>
  <c r="F2407" i="3"/>
  <c r="F2408" i="3"/>
  <c r="F2409" i="3"/>
  <c r="G2409" i="3" s="1"/>
  <c r="F2410" i="3"/>
  <c r="G2410" i="3" s="1"/>
  <c r="H2410" i="3" s="1"/>
  <c r="F2411" i="3"/>
  <c r="G2411" i="3" s="1"/>
  <c r="H2411" i="3" s="1"/>
  <c r="F2412" i="3"/>
  <c r="G2412" i="3" s="1"/>
  <c r="F2413" i="3"/>
  <c r="G2413" i="3" s="1"/>
  <c r="F2414" i="3"/>
  <c r="G2414" i="3" s="1"/>
  <c r="F2415" i="3"/>
  <c r="G2415" i="3" s="1"/>
  <c r="F2416" i="3"/>
  <c r="F2417" i="3"/>
  <c r="F2418" i="3"/>
  <c r="F2419" i="3"/>
  <c r="F2420" i="3"/>
  <c r="F2421" i="3"/>
  <c r="G2421" i="3" s="1"/>
  <c r="F2422" i="3"/>
  <c r="G2422" i="3" s="1"/>
  <c r="H2422" i="3" s="1"/>
  <c r="F2423" i="3"/>
  <c r="G2423" i="3" s="1"/>
  <c r="H2423" i="3" s="1"/>
  <c r="F2424" i="3"/>
  <c r="G2424" i="3" s="1"/>
  <c r="H2424" i="3" s="1"/>
  <c r="F2425" i="3"/>
  <c r="G2425" i="3" s="1"/>
  <c r="F2426" i="3"/>
  <c r="G2426" i="3" s="1"/>
  <c r="F2427" i="3"/>
  <c r="G2427" i="3" s="1"/>
  <c r="F2428" i="3"/>
  <c r="F2429" i="3"/>
  <c r="F2430" i="3"/>
  <c r="F2431" i="3"/>
  <c r="F2432" i="3"/>
  <c r="F2433" i="3"/>
  <c r="G2433" i="3" s="1"/>
  <c r="F2434" i="3"/>
  <c r="G2434" i="3" s="1"/>
  <c r="H2434" i="3" s="1"/>
  <c r="F2435" i="3"/>
  <c r="G2435" i="3" s="1"/>
  <c r="H2435" i="3" s="1"/>
  <c r="F2436" i="3"/>
  <c r="G2436" i="3" s="1"/>
  <c r="H2436" i="3" s="1"/>
  <c r="F2437" i="3"/>
  <c r="G2437" i="3" s="1"/>
  <c r="F2438" i="3"/>
  <c r="G2438" i="3" s="1"/>
  <c r="F2439" i="3"/>
  <c r="G2439" i="3" s="1"/>
  <c r="F2440" i="3"/>
  <c r="F2441" i="3"/>
  <c r="F2442" i="3"/>
  <c r="F2443" i="3"/>
  <c r="F2444" i="3"/>
  <c r="F2445" i="3"/>
  <c r="G2445" i="3" s="1"/>
  <c r="F2446" i="3"/>
  <c r="G2446" i="3" s="1"/>
  <c r="H2446" i="3" s="1"/>
  <c r="F2447" i="3"/>
  <c r="G2447" i="3" s="1"/>
  <c r="H2447" i="3" s="1"/>
  <c r="F2448" i="3"/>
  <c r="G2448" i="3" s="1"/>
  <c r="H2448" i="3" s="1"/>
  <c r="F2449" i="3"/>
  <c r="G2449" i="3" s="1"/>
  <c r="F2450" i="3"/>
  <c r="G2450" i="3" s="1"/>
  <c r="F2451" i="3"/>
  <c r="G2451" i="3" s="1"/>
  <c r="F2452" i="3"/>
  <c r="F2453" i="3"/>
  <c r="F2454" i="3"/>
  <c r="F2455" i="3"/>
  <c r="F2456" i="3"/>
  <c r="F2457" i="3"/>
  <c r="G2457" i="3" s="1"/>
  <c r="F2458" i="3"/>
  <c r="G2458" i="3" s="1"/>
  <c r="H2458" i="3" s="1"/>
  <c r="F2459" i="3"/>
  <c r="G2459" i="3" s="1"/>
  <c r="H2459" i="3" s="1"/>
  <c r="F2460" i="3"/>
  <c r="G2460" i="3" s="1"/>
  <c r="H2460" i="3" s="1"/>
  <c r="F2461" i="3"/>
  <c r="G2461" i="3" s="1"/>
  <c r="F2462" i="3"/>
  <c r="G2462" i="3" s="1"/>
  <c r="F2463" i="3"/>
  <c r="G2463" i="3" s="1"/>
  <c r="H2463" i="3" s="1"/>
  <c r="F2464" i="3"/>
  <c r="F2465" i="3"/>
  <c r="F2466" i="3"/>
  <c r="F2467" i="3"/>
  <c r="F2468" i="3"/>
  <c r="F2469" i="3"/>
  <c r="G2469" i="3" s="1"/>
  <c r="F2470" i="3"/>
  <c r="G2470" i="3" s="1"/>
  <c r="H2470" i="3" s="1"/>
  <c r="F2471" i="3"/>
  <c r="G2471" i="3" s="1"/>
  <c r="H2471" i="3" s="1"/>
  <c r="F2472" i="3"/>
  <c r="G2472" i="3" s="1"/>
  <c r="H2472" i="3" s="1"/>
  <c r="F2473" i="3"/>
  <c r="G2473" i="3" s="1"/>
  <c r="F2474" i="3"/>
  <c r="G2474" i="3" s="1"/>
  <c r="F2475" i="3"/>
  <c r="G2475" i="3" s="1"/>
  <c r="F2476" i="3"/>
  <c r="F2477" i="3"/>
  <c r="F2478" i="3"/>
  <c r="F2479" i="3"/>
  <c r="F2480" i="3"/>
  <c r="F2481" i="3"/>
  <c r="G2481" i="3" s="1"/>
  <c r="F2482" i="3"/>
  <c r="G2482" i="3" s="1"/>
  <c r="H2482" i="3" s="1"/>
  <c r="F2483" i="3"/>
  <c r="G2483" i="3" s="1"/>
  <c r="H2483" i="3" s="1"/>
  <c r="F2484" i="3"/>
  <c r="G2484" i="3" s="1"/>
  <c r="H2484" i="3" s="1"/>
  <c r="F2485" i="3"/>
  <c r="G2485" i="3" s="1"/>
  <c r="F2486" i="3"/>
  <c r="G2486" i="3" s="1"/>
  <c r="F2487" i="3"/>
  <c r="G2487" i="3" s="1"/>
  <c r="F2488" i="3"/>
  <c r="F2489" i="3"/>
  <c r="F2490" i="3"/>
  <c r="F2491" i="3"/>
  <c r="F2492" i="3"/>
  <c r="F2493" i="3"/>
  <c r="G2493" i="3" s="1"/>
  <c r="F2494" i="3"/>
  <c r="G2494" i="3" s="1"/>
  <c r="H2494" i="3" s="1"/>
  <c r="F2495" i="3"/>
  <c r="G2495" i="3" s="1"/>
  <c r="H2495" i="3" s="1"/>
  <c r="F2496" i="3"/>
  <c r="G2496" i="3" s="1"/>
  <c r="H2496" i="3" s="1"/>
  <c r="F2497" i="3"/>
  <c r="G2497" i="3" s="1"/>
  <c r="F2498" i="3"/>
  <c r="G2498" i="3" s="1"/>
  <c r="F2499" i="3"/>
  <c r="G2499" i="3" s="1"/>
  <c r="F2500" i="3"/>
  <c r="F2501" i="3"/>
  <c r="F2502" i="3"/>
  <c r="F2503" i="3"/>
  <c r="F2504" i="3"/>
  <c r="F2505" i="3"/>
  <c r="G2505" i="3" s="1"/>
  <c r="F2506" i="3"/>
  <c r="G2506" i="3" s="1"/>
  <c r="H2506" i="3" s="1"/>
  <c r="F2507" i="3"/>
  <c r="G2507" i="3" s="1"/>
  <c r="H2507" i="3" s="1"/>
  <c r="F2508" i="3"/>
  <c r="G2508" i="3" s="1"/>
  <c r="H2508" i="3" s="1"/>
  <c r="F2509" i="3"/>
  <c r="G2509" i="3" s="1"/>
  <c r="F2510" i="3"/>
  <c r="G2510" i="3" s="1"/>
  <c r="F2511" i="3"/>
  <c r="G2511" i="3" s="1"/>
  <c r="F2512" i="3"/>
  <c r="F2513" i="3"/>
  <c r="F2514" i="3"/>
  <c r="F2515" i="3"/>
  <c r="F2516" i="3"/>
  <c r="F2517" i="3"/>
  <c r="G2517" i="3" s="1"/>
  <c r="F2518" i="3"/>
  <c r="G2518" i="3" s="1"/>
  <c r="H2518" i="3" s="1"/>
  <c r="F2519" i="3"/>
  <c r="G2519" i="3" s="1"/>
  <c r="H2519" i="3" s="1"/>
  <c r="F2520" i="3"/>
  <c r="G2520" i="3" s="1"/>
  <c r="H2520" i="3" s="1"/>
  <c r="F2521" i="3"/>
  <c r="G2521" i="3" s="1"/>
  <c r="H2521" i="3" s="1"/>
  <c r="F2522" i="3"/>
  <c r="G2522" i="3" s="1"/>
  <c r="F2523" i="3"/>
  <c r="G2523" i="3" s="1"/>
  <c r="F2524" i="3"/>
  <c r="F2525" i="3"/>
  <c r="F2526" i="3"/>
  <c r="F2527" i="3"/>
  <c r="F2528" i="3"/>
  <c r="F2529" i="3"/>
  <c r="G2529" i="3" s="1"/>
  <c r="F2530" i="3"/>
  <c r="G2530" i="3" s="1"/>
  <c r="H2530" i="3" s="1"/>
  <c r="F2531" i="3"/>
  <c r="G2531" i="3" s="1"/>
  <c r="H2531" i="3" s="1"/>
  <c r="F2532" i="3"/>
  <c r="G2532" i="3" s="1"/>
  <c r="H2532" i="3" s="1"/>
  <c r="F2533" i="3"/>
  <c r="G2533" i="3" s="1"/>
  <c r="F2534" i="3"/>
  <c r="G2534" i="3" s="1"/>
  <c r="F2535" i="3"/>
  <c r="G2535" i="3" s="1"/>
  <c r="F2536" i="3"/>
  <c r="F2537" i="3"/>
  <c r="F2538" i="3"/>
  <c r="F2539" i="3"/>
  <c r="F2540" i="3"/>
  <c r="F2541" i="3"/>
  <c r="G2541" i="3" s="1"/>
  <c r="F2542" i="3"/>
  <c r="G2542" i="3" s="1"/>
  <c r="H2542" i="3" s="1"/>
  <c r="F2543" i="3"/>
  <c r="G2543" i="3" s="1"/>
  <c r="H2543" i="3" s="1"/>
  <c r="F2544" i="3"/>
  <c r="G2544" i="3" s="1"/>
  <c r="H2544" i="3" s="1"/>
  <c r="F2545" i="3"/>
  <c r="G2545" i="3" s="1"/>
  <c r="F2546" i="3"/>
  <c r="G2546" i="3" s="1"/>
  <c r="F2547" i="3"/>
  <c r="G2547" i="3" s="1"/>
  <c r="F2548" i="3"/>
  <c r="F2549" i="3"/>
  <c r="F2550" i="3"/>
  <c r="F2551" i="3"/>
  <c r="F2552" i="3"/>
  <c r="F2553" i="3"/>
  <c r="G2553" i="3" s="1"/>
  <c r="F2554" i="3"/>
  <c r="G2554" i="3" s="1"/>
  <c r="F2555" i="3"/>
  <c r="G2555" i="3" s="1"/>
  <c r="H2555" i="3" s="1"/>
  <c r="F2556" i="3"/>
  <c r="G2556" i="3" s="1"/>
  <c r="H2556" i="3" s="1"/>
  <c r="F2557" i="3"/>
  <c r="G2557" i="3" s="1"/>
  <c r="F2558" i="3"/>
  <c r="G2558" i="3" s="1"/>
  <c r="H2558" i="3" s="1"/>
  <c r="F2559" i="3"/>
  <c r="G2559" i="3" s="1"/>
  <c r="H2559" i="3" s="1"/>
  <c r="F2560" i="3"/>
  <c r="F2561" i="3"/>
  <c r="F2562" i="3"/>
  <c r="F2563" i="3"/>
  <c r="F2564" i="3"/>
  <c r="F2565" i="3"/>
  <c r="G2565" i="3" s="1"/>
  <c r="F2566" i="3"/>
  <c r="G2566" i="3" s="1"/>
  <c r="F2567" i="3"/>
  <c r="G2567" i="3" s="1"/>
  <c r="F2568" i="3"/>
  <c r="G2568" i="3" s="1"/>
  <c r="H2568" i="3" s="1"/>
  <c r="F2569" i="3"/>
  <c r="G2569" i="3" s="1"/>
  <c r="F2570" i="3"/>
  <c r="G2570" i="3" s="1"/>
  <c r="F2571" i="3"/>
  <c r="G2571" i="3" s="1"/>
  <c r="F2572" i="3"/>
  <c r="F2573" i="3"/>
  <c r="F2574" i="3"/>
  <c r="F2575" i="3"/>
  <c r="F2576" i="3"/>
  <c r="F2577" i="3"/>
  <c r="G2577" i="3" s="1"/>
  <c r="F2578" i="3"/>
  <c r="G2578" i="3" s="1"/>
  <c r="H2578" i="3" s="1"/>
  <c r="F2579" i="3"/>
  <c r="G2579" i="3" s="1"/>
  <c r="F2580" i="3"/>
  <c r="G2580" i="3" s="1"/>
  <c r="H2580" i="3" s="1"/>
  <c r="F2581" i="3"/>
  <c r="G2581" i="3" s="1"/>
  <c r="F2582" i="3"/>
  <c r="G2582" i="3" s="1"/>
  <c r="F2583" i="3"/>
  <c r="G2583" i="3" s="1"/>
  <c r="F2584" i="3"/>
  <c r="F2585" i="3"/>
  <c r="F2586" i="3"/>
  <c r="F2587" i="3"/>
  <c r="F2588" i="3"/>
  <c r="F2589" i="3"/>
  <c r="G2589" i="3" s="1"/>
  <c r="F2590" i="3"/>
  <c r="G2590" i="3" s="1"/>
  <c r="H2590" i="3" s="1"/>
  <c r="F2591" i="3"/>
  <c r="G2591" i="3" s="1"/>
  <c r="F2592" i="3"/>
  <c r="G2592" i="3" s="1"/>
  <c r="H2592" i="3" s="1"/>
  <c r="F2593" i="3"/>
  <c r="G2593" i="3" s="1"/>
  <c r="F2594" i="3"/>
  <c r="G2594" i="3" s="1"/>
  <c r="F2595" i="3"/>
  <c r="G2595" i="3" s="1"/>
  <c r="H2595" i="3" s="1"/>
  <c r="F2596" i="3"/>
  <c r="F2597" i="3"/>
  <c r="F2598" i="3"/>
  <c r="F2599" i="3"/>
  <c r="F2600" i="3"/>
  <c r="F2601" i="3"/>
  <c r="G2601" i="3" s="1"/>
  <c r="F2602" i="3"/>
  <c r="G2602" i="3" s="1"/>
  <c r="H2602" i="3" s="1"/>
  <c r="F2603" i="3"/>
  <c r="G2603" i="3" s="1"/>
  <c r="H2603" i="3" s="1"/>
  <c r="F2604" i="3"/>
  <c r="G2604" i="3" s="1"/>
  <c r="F2605" i="3"/>
  <c r="G2605" i="3" s="1"/>
  <c r="H2605" i="3" s="1"/>
  <c r="F2606" i="3"/>
  <c r="G2606" i="3" s="1"/>
  <c r="F2607" i="3"/>
  <c r="G2607" i="3" s="1"/>
  <c r="F2608" i="3"/>
  <c r="F2609" i="3"/>
  <c r="F2610" i="3"/>
  <c r="F2611" i="3"/>
  <c r="F2612" i="3"/>
  <c r="F2613" i="3"/>
  <c r="G2613" i="3" s="1"/>
  <c r="F2614" i="3"/>
  <c r="G2614" i="3" s="1"/>
  <c r="H2614" i="3" s="1"/>
  <c r="F2615" i="3"/>
  <c r="G2615" i="3" s="1"/>
  <c r="H2615" i="3" s="1"/>
  <c r="F2616" i="3"/>
  <c r="G2616" i="3" s="1"/>
  <c r="F2617" i="3"/>
  <c r="G2617" i="3" s="1"/>
  <c r="F2618" i="3"/>
  <c r="G2618" i="3" s="1"/>
  <c r="F2619" i="3"/>
  <c r="G2619" i="3" s="1"/>
  <c r="F2620" i="3"/>
  <c r="F2621" i="3"/>
  <c r="F2622" i="3"/>
  <c r="F2623" i="3"/>
  <c r="F2624" i="3"/>
  <c r="F2625" i="3"/>
  <c r="G2625" i="3" s="1"/>
  <c r="F2626" i="3"/>
  <c r="G2626" i="3" s="1"/>
  <c r="H2626" i="3" s="1"/>
  <c r="F2627" i="3"/>
  <c r="G2627" i="3" s="1"/>
  <c r="H2627" i="3" s="1"/>
  <c r="F2628" i="3"/>
  <c r="G2628" i="3" s="1"/>
  <c r="H2628" i="3" s="1"/>
  <c r="F2629" i="3"/>
  <c r="G2629" i="3" s="1"/>
  <c r="F2630" i="3"/>
  <c r="G2630" i="3" s="1"/>
  <c r="F2631" i="3"/>
  <c r="G2631" i="3" s="1"/>
  <c r="F2632" i="3"/>
  <c r="F2633" i="3"/>
  <c r="F2634" i="3"/>
  <c r="F2635" i="3"/>
  <c r="F2636" i="3"/>
  <c r="F2637" i="3"/>
  <c r="G2637" i="3" s="1"/>
  <c r="F2638" i="3"/>
  <c r="G2638" i="3" s="1"/>
  <c r="H2638" i="3" s="1"/>
  <c r="F2639" i="3"/>
  <c r="G2639" i="3" s="1"/>
  <c r="H2639" i="3" s="1"/>
  <c r="F2640" i="3"/>
  <c r="G2640" i="3" s="1"/>
  <c r="H2640" i="3" s="1"/>
  <c r="F2641" i="3"/>
  <c r="G2641" i="3" s="1"/>
  <c r="H2641" i="3" s="1"/>
  <c r="F2642" i="3"/>
  <c r="G2642" i="3" s="1"/>
  <c r="F2643" i="3"/>
  <c r="G2643" i="3" s="1"/>
  <c r="F2644" i="3"/>
  <c r="F2645" i="3"/>
  <c r="F2646" i="3"/>
  <c r="F2647" i="3"/>
  <c r="F2648" i="3"/>
  <c r="F2649" i="3"/>
  <c r="G2649" i="3" s="1"/>
  <c r="F2650" i="3"/>
  <c r="G2650" i="3" s="1"/>
  <c r="H2650" i="3" s="1"/>
  <c r="F2651" i="3"/>
  <c r="G2651" i="3" s="1"/>
  <c r="H2651" i="3" s="1"/>
  <c r="F2652" i="3"/>
  <c r="G2652" i="3" s="1"/>
  <c r="F2653" i="3"/>
  <c r="G2653" i="3" s="1"/>
  <c r="F2654" i="3"/>
  <c r="G2654" i="3" s="1"/>
  <c r="F2655" i="3"/>
  <c r="G2655" i="3" s="1"/>
  <c r="F2656" i="3"/>
  <c r="F2657" i="3"/>
  <c r="F2658" i="3"/>
  <c r="F2659" i="3"/>
  <c r="F2660" i="3"/>
  <c r="F2661" i="3"/>
  <c r="G2661" i="3" s="1"/>
  <c r="F2662" i="3"/>
  <c r="G2662" i="3" s="1"/>
  <c r="H2662" i="3" s="1"/>
  <c r="F2663" i="3"/>
  <c r="G2663" i="3" s="1"/>
  <c r="H2663" i="3" s="1"/>
  <c r="F2664" i="3"/>
  <c r="G2664" i="3" s="1"/>
  <c r="H2664" i="3" s="1"/>
  <c r="F2665" i="3"/>
  <c r="G2665" i="3" s="1"/>
  <c r="H2665" i="3" s="1"/>
  <c r="F2666" i="3"/>
  <c r="G2666" i="3" s="1"/>
  <c r="F2667" i="3"/>
  <c r="G2667" i="3" s="1"/>
  <c r="F2668" i="3"/>
  <c r="F2669" i="3"/>
  <c r="F2670" i="3"/>
  <c r="F2671" i="3"/>
  <c r="F2672" i="3"/>
  <c r="F2673" i="3"/>
  <c r="G2673" i="3" s="1"/>
  <c r="F2674" i="3"/>
  <c r="G2674" i="3" s="1"/>
  <c r="H2674" i="3" s="1"/>
  <c r="F2675" i="3"/>
  <c r="G2675" i="3" s="1"/>
  <c r="F2676" i="3"/>
  <c r="G2676" i="3" s="1"/>
  <c r="H2676" i="3" s="1"/>
  <c r="F2677" i="3"/>
  <c r="G2677" i="3" s="1"/>
  <c r="F2678" i="3"/>
  <c r="G2678" i="3" s="1"/>
  <c r="F2679" i="3"/>
  <c r="G2679" i="3" s="1"/>
  <c r="F2680" i="3"/>
  <c r="F2681" i="3"/>
  <c r="F2682" i="3"/>
  <c r="F2683" i="3"/>
  <c r="F2684" i="3"/>
  <c r="F2685" i="3"/>
  <c r="G2685" i="3" s="1"/>
  <c r="F2686" i="3"/>
  <c r="G2686" i="3" s="1"/>
  <c r="H2686" i="3" s="1"/>
  <c r="F2687" i="3"/>
  <c r="G2687" i="3" s="1"/>
  <c r="F2688" i="3"/>
  <c r="G2688" i="3" s="1"/>
  <c r="H2688" i="3" s="1"/>
  <c r="F2689" i="3"/>
  <c r="G2689" i="3" s="1"/>
  <c r="F2690" i="3"/>
  <c r="G2690" i="3" s="1"/>
  <c r="F2691" i="3"/>
  <c r="G2691" i="3" s="1"/>
  <c r="F2692" i="3"/>
  <c r="F2693" i="3"/>
  <c r="F2694" i="3"/>
  <c r="F2695" i="3"/>
  <c r="F2696" i="3"/>
  <c r="F2697" i="3"/>
  <c r="G2697" i="3" s="1"/>
  <c r="F2698" i="3"/>
  <c r="G2698" i="3" s="1"/>
  <c r="H2698" i="3" s="1"/>
  <c r="F2699" i="3"/>
  <c r="G2699" i="3" s="1"/>
  <c r="F2700" i="3"/>
  <c r="G2700" i="3" s="1"/>
  <c r="H2700" i="3" s="1"/>
  <c r="F2701" i="3"/>
  <c r="G2701" i="3" s="1"/>
  <c r="F2702" i="3"/>
  <c r="G2702" i="3" s="1"/>
  <c r="F2703" i="3"/>
  <c r="G2703" i="3" s="1"/>
  <c r="H2703" i="3" s="1"/>
  <c r="F2704" i="3"/>
  <c r="F2705" i="3"/>
  <c r="F2706" i="3"/>
  <c r="F2707" i="3"/>
  <c r="F2708" i="3"/>
  <c r="F2709" i="3"/>
  <c r="G2709" i="3" s="1"/>
  <c r="F2710" i="3"/>
  <c r="G2710" i="3" s="1"/>
  <c r="H2710" i="3" s="1"/>
  <c r="F2711" i="3"/>
  <c r="G2711" i="3" s="1"/>
  <c r="F2712" i="3"/>
  <c r="G2712" i="3" s="1"/>
  <c r="F2713" i="3"/>
  <c r="G2713" i="3" s="1"/>
  <c r="H2713" i="3" s="1"/>
  <c r="F2714" i="3"/>
  <c r="G2714" i="3" s="1"/>
  <c r="F2715" i="3"/>
  <c r="G2715" i="3" s="1"/>
  <c r="F2716" i="3"/>
  <c r="F2717" i="3"/>
  <c r="F2718" i="3"/>
  <c r="F2719" i="3"/>
  <c r="F2720" i="3"/>
  <c r="F2721" i="3"/>
  <c r="G2721" i="3" s="1"/>
  <c r="F2722" i="3"/>
  <c r="G2722" i="3" s="1"/>
  <c r="H2722" i="3" s="1"/>
  <c r="F2723" i="3"/>
  <c r="G2723" i="3" s="1"/>
  <c r="F2724" i="3"/>
  <c r="G2724" i="3" s="1"/>
  <c r="F2725" i="3"/>
  <c r="G2725" i="3" s="1"/>
  <c r="F2726" i="3"/>
  <c r="G2726" i="3" s="1"/>
  <c r="F2727" i="3"/>
  <c r="G2727" i="3" s="1"/>
  <c r="H2727" i="3" s="1"/>
  <c r="F2728" i="3"/>
  <c r="F2729" i="3"/>
  <c r="F2730" i="3"/>
  <c r="F2731" i="3"/>
  <c r="F2732" i="3"/>
  <c r="F2733" i="3"/>
  <c r="G2733" i="3" s="1"/>
  <c r="F2734" i="3"/>
  <c r="G2734" i="3" s="1"/>
  <c r="H2734" i="3" s="1"/>
  <c r="F2735" i="3"/>
  <c r="G2735" i="3" s="1"/>
  <c r="F2736" i="3"/>
  <c r="G2736" i="3" s="1"/>
  <c r="F2737" i="3"/>
  <c r="G2737" i="3" s="1"/>
  <c r="F2738" i="3"/>
  <c r="G2738" i="3" s="1"/>
  <c r="F2739" i="3"/>
  <c r="G2739" i="3" s="1"/>
  <c r="H2739" i="3" s="1"/>
  <c r="F2740" i="3"/>
  <c r="F2741" i="3"/>
  <c r="F2742" i="3"/>
  <c r="F2743" i="3"/>
  <c r="F2744" i="3"/>
  <c r="F2745" i="3"/>
  <c r="G2745" i="3" s="1"/>
  <c r="F2746" i="3"/>
  <c r="G2746" i="3" s="1"/>
  <c r="H2746" i="3" s="1"/>
  <c r="F2747" i="3"/>
  <c r="G2747" i="3" s="1"/>
  <c r="H2747" i="3" s="1"/>
  <c r="F2748" i="3"/>
  <c r="G2748" i="3" s="1"/>
  <c r="H2748" i="3" s="1"/>
  <c r="F2749" i="3"/>
  <c r="G2749" i="3" s="1"/>
  <c r="F2750" i="3"/>
  <c r="G2750" i="3" s="1"/>
  <c r="F2751" i="3"/>
  <c r="G2751" i="3" s="1"/>
  <c r="F2752" i="3"/>
  <c r="F2753" i="3"/>
  <c r="F2754" i="3"/>
  <c r="F2755" i="3"/>
  <c r="F2756" i="3"/>
  <c r="F2757" i="3"/>
  <c r="G2757" i="3" s="1"/>
  <c r="F2758" i="3"/>
  <c r="G2758" i="3" s="1"/>
  <c r="H2758" i="3" s="1"/>
  <c r="F2759" i="3"/>
  <c r="G2759" i="3" s="1"/>
  <c r="H2759" i="3" s="1"/>
  <c r="F2760" i="3"/>
  <c r="G2760" i="3" s="1"/>
  <c r="F2761" i="3"/>
  <c r="G2761" i="3" s="1"/>
  <c r="F2762" i="3"/>
  <c r="G2762" i="3" s="1"/>
  <c r="F2763" i="3"/>
  <c r="G2763" i="3" s="1"/>
  <c r="F2764" i="3"/>
  <c r="F2765" i="3"/>
  <c r="F2766" i="3"/>
  <c r="F2767" i="3"/>
  <c r="F2768" i="3"/>
  <c r="F2769" i="3"/>
  <c r="G2769" i="3" s="1"/>
  <c r="F2770" i="3"/>
  <c r="G2770" i="3" s="1"/>
  <c r="H2770" i="3" s="1"/>
  <c r="F2771" i="3"/>
  <c r="G2771" i="3" s="1"/>
  <c r="H2771" i="3" s="1"/>
  <c r="F2772" i="3"/>
  <c r="G2772" i="3" s="1"/>
  <c r="F2773" i="3"/>
  <c r="G2773" i="3" s="1"/>
  <c r="F2774" i="3"/>
  <c r="G2774" i="3" s="1"/>
  <c r="F2775" i="3"/>
  <c r="G2775" i="3" s="1"/>
  <c r="H2775" i="3" s="1"/>
  <c r="F2776" i="3"/>
  <c r="F2777" i="3"/>
  <c r="F2778" i="3"/>
  <c r="F2779" i="3"/>
  <c r="F2780" i="3"/>
  <c r="F2781" i="3"/>
  <c r="G2781" i="3" s="1"/>
  <c r="F2782" i="3"/>
  <c r="G2782" i="3" s="1"/>
  <c r="H2782" i="3" s="1"/>
  <c r="F2783" i="3"/>
  <c r="G2783" i="3" s="1"/>
  <c r="H2783" i="3" s="1"/>
  <c r="F2784" i="3"/>
  <c r="G2784" i="3" s="1"/>
  <c r="H2784" i="3" s="1"/>
  <c r="F2785" i="3"/>
  <c r="G2785" i="3" s="1"/>
  <c r="F2786" i="3"/>
  <c r="G2786" i="3" s="1"/>
  <c r="F2787" i="3"/>
  <c r="G2787" i="3" s="1"/>
  <c r="H2787" i="3" s="1"/>
  <c r="F2788" i="3"/>
  <c r="F2789" i="3"/>
  <c r="F2790" i="3"/>
  <c r="F2791" i="3"/>
  <c r="F2792" i="3"/>
  <c r="F2793" i="3"/>
  <c r="G2793" i="3" s="1"/>
  <c r="F2794" i="3"/>
  <c r="G2794" i="3" s="1"/>
  <c r="F2795" i="3"/>
  <c r="G2795" i="3" s="1"/>
  <c r="H2795" i="3" s="1"/>
  <c r="F2796" i="3"/>
  <c r="G2796" i="3" s="1"/>
  <c r="F2797" i="3"/>
  <c r="G2797" i="3" s="1"/>
  <c r="H2797" i="3" s="1"/>
  <c r="F2798" i="3"/>
  <c r="G2798" i="3" s="1"/>
  <c r="F2799" i="3"/>
  <c r="G2799" i="3" s="1"/>
  <c r="H2799" i="3" s="1"/>
  <c r="F2800" i="3"/>
  <c r="F2801" i="3"/>
  <c r="F2802" i="3"/>
  <c r="F2803" i="3"/>
  <c r="F2804" i="3"/>
  <c r="F2805" i="3"/>
  <c r="G2805" i="3" s="1"/>
  <c r="F2806" i="3"/>
  <c r="G2806" i="3" s="1"/>
  <c r="F2807" i="3"/>
  <c r="G2807" i="3" s="1"/>
  <c r="H2807" i="3" s="1"/>
  <c r="F2808" i="3"/>
  <c r="G2808" i="3" s="1"/>
  <c r="F2809" i="3"/>
  <c r="G2809" i="3" s="1"/>
  <c r="F2810" i="3"/>
  <c r="G2810" i="3" s="1"/>
  <c r="F2811" i="3"/>
  <c r="G2811" i="3" s="1"/>
  <c r="H2811" i="3" s="1"/>
  <c r="F2812" i="3"/>
  <c r="F2813" i="3"/>
  <c r="F2814" i="3"/>
  <c r="F2815" i="3"/>
  <c r="F2816" i="3"/>
  <c r="F2817" i="3"/>
  <c r="G2817" i="3" s="1"/>
  <c r="F2818" i="3"/>
  <c r="G2818" i="3" s="1"/>
  <c r="H2818" i="3" s="1"/>
  <c r="F2819" i="3"/>
  <c r="G2819" i="3" s="1"/>
  <c r="F2820" i="3"/>
  <c r="G2820" i="3" s="1"/>
  <c r="F2821" i="3"/>
  <c r="G2821" i="3" s="1"/>
  <c r="H2821" i="3" s="1"/>
  <c r="F2822" i="3"/>
  <c r="G2822" i="3" s="1"/>
  <c r="F2823" i="3"/>
  <c r="G2823" i="3" s="1"/>
  <c r="F2824" i="3"/>
  <c r="F2825" i="3"/>
  <c r="F2826" i="3"/>
  <c r="F2827" i="3"/>
  <c r="F2828" i="3"/>
  <c r="F2829" i="3"/>
  <c r="G2829" i="3" s="1"/>
  <c r="F2830" i="3"/>
  <c r="G2830" i="3" s="1"/>
  <c r="H2830" i="3" s="1"/>
  <c r="F2831" i="3"/>
  <c r="G2831" i="3" s="1"/>
  <c r="F2832" i="3"/>
  <c r="G2832" i="3" s="1"/>
  <c r="F2833" i="3"/>
  <c r="G2833" i="3" s="1"/>
  <c r="F2834" i="3"/>
  <c r="G2834" i="3" s="1"/>
  <c r="F2835" i="3"/>
  <c r="G2835" i="3" s="1"/>
  <c r="H2835" i="3" s="1"/>
  <c r="F2836" i="3"/>
  <c r="F2837" i="3"/>
  <c r="F2838" i="3"/>
  <c r="F2839" i="3"/>
  <c r="F2840" i="3"/>
  <c r="F2841" i="3"/>
  <c r="G2841" i="3" s="1"/>
  <c r="F2842" i="3"/>
  <c r="G2842" i="3" s="1"/>
  <c r="H2842" i="3" s="1"/>
  <c r="F2843" i="3"/>
  <c r="G2843" i="3" s="1"/>
  <c r="F2844" i="3"/>
  <c r="G2844" i="3" s="1"/>
  <c r="H2844" i="3" s="1"/>
  <c r="F2845" i="3"/>
  <c r="G2845" i="3" s="1"/>
  <c r="F2846" i="3"/>
  <c r="G2846" i="3" s="1"/>
  <c r="F2847" i="3"/>
  <c r="G2847" i="3" s="1"/>
  <c r="F2848" i="3"/>
  <c r="F2849" i="3"/>
  <c r="F2850" i="3"/>
  <c r="F2851" i="3"/>
  <c r="F2852" i="3"/>
  <c r="F2853" i="3"/>
  <c r="G2853" i="3" s="1"/>
  <c r="F2854" i="3"/>
  <c r="G2854" i="3" s="1"/>
  <c r="H2854" i="3" s="1"/>
  <c r="F2855" i="3"/>
  <c r="G2855" i="3" s="1"/>
  <c r="F2856" i="3"/>
  <c r="G2856" i="3" s="1"/>
  <c r="H2856" i="3" s="1"/>
  <c r="F2857" i="3"/>
  <c r="G2857" i="3" s="1"/>
  <c r="F2858" i="3"/>
  <c r="G2858" i="3" s="1"/>
  <c r="F2859" i="3"/>
  <c r="G2859" i="3" s="1"/>
  <c r="F2860" i="3"/>
  <c r="F2861" i="3"/>
  <c r="F2862" i="3"/>
  <c r="F2863" i="3"/>
  <c r="F2864" i="3"/>
  <c r="F2865" i="3"/>
  <c r="G2865" i="3" s="1"/>
  <c r="F2866" i="3"/>
  <c r="G2866" i="3" s="1"/>
  <c r="H2866" i="3" s="1"/>
  <c r="F2867" i="3"/>
  <c r="G2867" i="3" s="1"/>
  <c r="F2868" i="3"/>
  <c r="G2868" i="3" s="1"/>
  <c r="F2869" i="3"/>
  <c r="G2869" i="3" s="1"/>
  <c r="H2869" i="3" s="1"/>
  <c r="F2870" i="3"/>
  <c r="G2870" i="3" s="1"/>
  <c r="F2871" i="3"/>
  <c r="G2871" i="3" s="1"/>
  <c r="H2871" i="3" s="1"/>
  <c r="F2872" i="3"/>
  <c r="F2873" i="3"/>
  <c r="F2874" i="3"/>
  <c r="F2875" i="3"/>
  <c r="F2876" i="3"/>
  <c r="F2877" i="3"/>
  <c r="G2877" i="3" s="1"/>
  <c r="F2878" i="3"/>
  <c r="G2878" i="3" s="1"/>
  <c r="H2878" i="3" s="1"/>
  <c r="F2879" i="3"/>
  <c r="G2879" i="3" s="1"/>
  <c r="F2880" i="3"/>
  <c r="G2880" i="3" s="1"/>
  <c r="H2880" i="3" s="1"/>
  <c r="F2881" i="3"/>
  <c r="G2881" i="3" s="1"/>
  <c r="F2882" i="3"/>
  <c r="G2882" i="3" s="1"/>
  <c r="F2883" i="3"/>
  <c r="G2883" i="3" s="1"/>
  <c r="F2884" i="3"/>
  <c r="F2885" i="3"/>
  <c r="F2886" i="3"/>
  <c r="F2887" i="3"/>
  <c r="F2888" i="3"/>
  <c r="F2889" i="3"/>
  <c r="G2889" i="3" s="1"/>
  <c r="F2890" i="3"/>
  <c r="G2890" i="3" s="1"/>
  <c r="H2890" i="3" s="1"/>
  <c r="F2891" i="3"/>
  <c r="G2891" i="3" s="1"/>
  <c r="F2892" i="3"/>
  <c r="G2892" i="3" s="1"/>
  <c r="H2892" i="3" s="1"/>
  <c r="F2893" i="3"/>
  <c r="G2893" i="3" s="1"/>
  <c r="H2893" i="3" s="1"/>
  <c r="F2894" i="3"/>
  <c r="G2894" i="3" s="1"/>
  <c r="F2895" i="3"/>
  <c r="G2895" i="3" s="1"/>
  <c r="F2896" i="3"/>
  <c r="F2897" i="3"/>
  <c r="F2898" i="3"/>
  <c r="F2899" i="3"/>
  <c r="F2900" i="3"/>
  <c r="F2901" i="3"/>
  <c r="G2901" i="3" s="1"/>
  <c r="F2902" i="3"/>
  <c r="G2902" i="3" s="1"/>
  <c r="H2902" i="3" s="1"/>
  <c r="F2903" i="3"/>
  <c r="G2903" i="3" s="1"/>
  <c r="H2903" i="3" s="1"/>
  <c r="F2904" i="3"/>
  <c r="G2904" i="3" s="1"/>
  <c r="H2904" i="3" s="1"/>
  <c r="F2905" i="3"/>
  <c r="G2905" i="3" s="1"/>
  <c r="F2906" i="3"/>
  <c r="G2906" i="3" s="1"/>
  <c r="F2907" i="3"/>
  <c r="G2907" i="3" s="1"/>
  <c r="F2908" i="3"/>
  <c r="F2909" i="3"/>
  <c r="F2910" i="3"/>
  <c r="F2911" i="3"/>
  <c r="F2912" i="3"/>
  <c r="F2913" i="3"/>
  <c r="G2913" i="3" s="1"/>
  <c r="F2914" i="3"/>
  <c r="G2914" i="3" s="1"/>
  <c r="H2914" i="3" s="1"/>
  <c r="F2915" i="3"/>
  <c r="G2915" i="3" s="1"/>
  <c r="H2915" i="3" s="1"/>
  <c r="F2916" i="3"/>
  <c r="G2916" i="3" s="1"/>
  <c r="F2917" i="3"/>
  <c r="G2917" i="3" s="1"/>
  <c r="F2918" i="3"/>
  <c r="G2918" i="3" s="1"/>
  <c r="F2919" i="3"/>
  <c r="G2919" i="3" s="1"/>
  <c r="H2919" i="3" s="1"/>
  <c r="F2920" i="3"/>
  <c r="F2921" i="3"/>
  <c r="F2922" i="3"/>
  <c r="F2923" i="3"/>
  <c r="F2924" i="3"/>
  <c r="F2925" i="3"/>
  <c r="G2925" i="3" s="1"/>
  <c r="F2926" i="3"/>
  <c r="G2926" i="3" s="1"/>
  <c r="H2926" i="3" s="1"/>
  <c r="F2927" i="3"/>
  <c r="G2927" i="3" s="1"/>
  <c r="H2927" i="3" s="1"/>
  <c r="F2928" i="3"/>
  <c r="G2928" i="3" s="1"/>
  <c r="H2928" i="3" s="1"/>
  <c r="F2929" i="3"/>
  <c r="G2929" i="3" s="1"/>
  <c r="F2930" i="3"/>
  <c r="G2930" i="3" s="1"/>
  <c r="F2931" i="3"/>
  <c r="G2931" i="3" s="1"/>
  <c r="H2931" i="3" s="1"/>
  <c r="F2932" i="3"/>
  <c r="F2933" i="3"/>
  <c r="F2934" i="3"/>
  <c r="F2935" i="3"/>
  <c r="F2936" i="3"/>
  <c r="F2937" i="3"/>
  <c r="G2937" i="3" s="1"/>
  <c r="F2938" i="3"/>
  <c r="G2938" i="3" s="1"/>
  <c r="H2938" i="3" s="1"/>
  <c r="F2939" i="3"/>
  <c r="G2939" i="3" s="1"/>
  <c r="F2940" i="3"/>
  <c r="G2940" i="3" s="1"/>
  <c r="F2941" i="3"/>
  <c r="G2941" i="3" s="1"/>
  <c r="H2941" i="3" s="1"/>
  <c r="F2942" i="3"/>
  <c r="G2942" i="3" s="1"/>
  <c r="F2943" i="3"/>
  <c r="G2943" i="3" s="1"/>
  <c r="F2944" i="3"/>
  <c r="F2945" i="3"/>
  <c r="F2946" i="3"/>
  <c r="F2947" i="3"/>
  <c r="F2948" i="3"/>
  <c r="F2949" i="3"/>
  <c r="G2949" i="3" s="1"/>
  <c r="F2950" i="3"/>
  <c r="G2950" i="3" s="1"/>
  <c r="H2950" i="3" s="1"/>
  <c r="F2951" i="3"/>
  <c r="G2951" i="3" s="1"/>
  <c r="F2952" i="3"/>
  <c r="G2952" i="3" s="1"/>
  <c r="F2953" i="3"/>
  <c r="G2953" i="3" s="1"/>
  <c r="F2954" i="3"/>
  <c r="G2954" i="3" s="1"/>
  <c r="F2955" i="3"/>
  <c r="G2955" i="3" s="1"/>
  <c r="F2956" i="3"/>
  <c r="F2957" i="3"/>
  <c r="F2958" i="3"/>
  <c r="F2959" i="3"/>
  <c r="F2960" i="3"/>
  <c r="F2961" i="3"/>
  <c r="G2961" i="3" s="1"/>
  <c r="F2962" i="3"/>
  <c r="G2962" i="3" s="1"/>
  <c r="H2962" i="3" s="1"/>
  <c r="F2963" i="3"/>
  <c r="G2963" i="3" s="1"/>
  <c r="F2964" i="3"/>
  <c r="G2964" i="3" s="1"/>
  <c r="F2965" i="3"/>
  <c r="G2965" i="3" s="1"/>
  <c r="F2966" i="3"/>
  <c r="G2966" i="3" s="1"/>
  <c r="F2967" i="3"/>
  <c r="G2967" i="3" s="1"/>
  <c r="F2968" i="3"/>
  <c r="F2969" i="3"/>
  <c r="F2970" i="3"/>
  <c r="F2971" i="3"/>
  <c r="F2972" i="3"/>
  <c r="F2973" i="3"/>
  <c r="G2973" i="3" s="1"/>
  <c r="F2974" i="3"/>
  <c r="G2974" i="3" s="1"/>
  <c r="H2974" i="3" s="1"/>
  <c r="F2975" i="3"/>
  <c r="G2975" i="3" s="1"/>
  <c r="H2975" i="3" s="1"/>
  <c r="F2976" i="3"/>
  <c r="G2976" i="3" s="1"/>
  <c r="F2977" i="3"/>
  <c r="G2977" i="3" s="1"/>
  <c r="F2978" i="3"/>
  <c r="G2978" i="3" s="1"/>
  <c r="F2979" i="3"/>
  <c r="G2979" i="3" s="1"/>
  <c r="F2980" i="3"/>
  <c r="F2981" i="3"/>
  <c r="F2982" i="3"/>
  <c r="F2983" i="3"/>
  <c r="F2984" i="3"/>
  <c r="F2985" i="3"/>
  <c r="G2985" i="3" s="1"/>
  <c r="F2986" i="3"/>
  <c r="G2986" i="3" s="1"/>
  <c r="H2986" i="3" s="1"/>
  <c r="F2987" i="3"/>
  <c r="G2987" i="3" s="1"/>
  <c r="H2987" i="3" s="1"/>
  <c r="F2988" i="3"/>
  <c r="G2988" i="3" s="1"/>
  <c r="H2988" i="3" s="1"/>
  <c r="F2989" i="3"/>
  <c r="G2989" i="3" s="1"/>
  <c r="F2990" i="3"/>
  <c r="G2990" i="3" s="1"/>
  <c r="F2991" i="3"/>
  <c r="G2991" i="3" s="1"/>
  <c r="F2992" i="3"/>
  <c r="F2993" i="3"/>
  <c r="F2994" i="3"/>
  <c r="F2995" i="3"/>
  <c r="F2996" i="3"/>
  <c r="F2997" i="3"/>
  <c r="G2997" i="3" s="1"/>
  <c r="F2998" i="3"/>
  <c r="G2998" i="3" s="1"/>
  <c r="H2998" i="3" s="1"/>
  <c r="F2999" i="3"/>
  <c r="G2999" i="3" s="1"/>
  <c r="H2999" i="3" s="1"/>
  <c r="F3000" i="3"/>
  <c r="G3000" i="3" s="1"/>
  <c r="H3000" i="3" s="1"/>
  <c r="F3001" i="3"/>
  <c r="G3001" i="3" s="1"/>
  <c r="F3002" i="3"/>
  <c r="G3002" i="3" s="1"/>
  <c r="F3003" i="3"/>
  <c r="G3003" i="3" s="1"/>
  <c r="F3004" i="3"/>
  <c r="F3005" i="3"/>
  <c r="F3006" i="3"/>
  <c r="F3007" i="3"/>
  <c r="F3008" i="3"/>
  <c r="F3009" i="3"/>
  <c r="G3009" i="3" s="1"/>
  <c r="F3010" i="3"/>
  <c r="G3010" i="3" s="1"/>
  <c r="H3010" i="3" s="1"/>
  <c r="F3011" i="3"/>
  <c r="G3011" i="3" s="1"/>
  <c r="H3011" i="3" s="1"/>
  <c r="F3012" i="3"/>
  <c r="G3012" i="3" s="1"/>
  <c r="H3012" i="3" s="1"/>
  <c r="F3013" i="3"/>
  <c r="G3013" i="3" s="1"/>
  <c r="F3014" i="3"/>
  <c r="G3014" i="3" s="1"/>
  <c r="F3015" i="3"/>
  <c r="G3015" i="3" s="1"/>
  <c r="F3016" i="3"/>
  <c r="F3017" i="3"/>
  <c r="F3018" i="3"/>
  <c r="F3019" i="3"/>
  <c r="F3020" i="3"/>
  <c r="F3021" i="3"/>
  <c r="G3021" i="3" s="1"/>
  <c r="F3022" i="3"/>
  <c r="G3022" i="3" s="1"/>
  <c r="H3022" i="3" s="1"/>
  <c r="F3023" i="3"/>
  <c r="G3023" i="3" s="1"/>
  <c r="H3023" i="3" s="1"/>
  <c r="F3024" i="3"/>
  <c r="G3024" i="3" s="1"/>
  <c r="F3025" i="3"/>
  <c r="G3025" i="3" s="1"/>
  <c r="F3026" i="3"/>
  <c r="G3026" i="3" s="1"/>
  <c r="F3027" i="3"/>
  <c r="G3027" i="3" s="1"/>
  <c r="F3028" i="3"/>
  <c r="F3029" i="3"/>
  <c r="F3030" i="3"/>
  <c r="F3031" i="3"/>
  <c r="F3032" i="3"/>
  <c r="F3033" i="3"/>
  <c r="G3033" i="3" s="1"/>
  <c r="F3034" i="3"/>
  <c r="G3034" i="3" s="1"/>
  <c r="H3034" i="3" s="1"/>
  <c r="F3035" i="3"/>
  <c r="G3035" i="3" s="1"/>
  <c r="H3035" i="3" s="1"/>
  <c r="F3036" i="3"/>
  <c r="G3036" i="3" s="1"/>
  <c r="F3037" i="3"/>
  <c r="G3037" i="3" s="1"/>
  <c r="F3038" i="3"/>
  <c r="G3038" i="3" s="1"/>
  <c r="F3039" i="3"/>
  <c r="G3039" i="3" s="1"/>
  <c r="F3040" i="3"/>
  <c r="F3041" i="3"/>
  <c r="F3042" i="3"/>
  <c r="F3043" i="3"/>
  <c r="F3044" i="3"/>
  <c r="F3045" i="3"/>
  <c r="G3045" i="3" s="1"/>
  <c r="F3046" i="3"/>
  <c r="G3046" i="3" s="1"/>
  <c r="H3046" i="3" s="1"/>
  <c r="F3047" i="3"/>
  <c r="G3047" i="3" s="1"/>
  <c r="F3048" i="3"/>
  <c r="G3048" i="3" s="1"/>
  <c r="F3049" i="3"/>
  <c r="G3049" i="3" s="1"/>
  <c r="H3049" i="3" s="1"/>
  <c r="F3050" i="3"/>
  <c r="G3050" i="3" s="1"/>
  <c r="F3051" i="3"/>
  <c r="G3051" i="3" s="1"/>
  <c r="F3052" i="3"/>
  <c r="F3053" i="3"/>
  <c r="F3054" i="3"/>
  <c r="F3055" i="3"/>
  <c r="F3056" i="3"/>
  <c r="F3057" i="3"/>
  <c r="G3057" i="3" s="1"/>
  <c r="F3058" i="3"/>
  <c r="G3058" i="3" s="1"/>
  <c r="F3059" i="3"/>
  <c r="G3059" i="3" s="1"/>
  <c r="F3060" i="3"/>
  <c r="G3060" i="3" s="1"/>
  <c r="F3061" i="3"/>
  <c r="G3061" i="3" s="1"/>
  <c r="F3062" i="3"/>
  <c r="G3062" i="3" s="1"/>
  <c r="F3063" i="3"/>
  <c r="G3063" i="3" s="1"/>
  <c r="F3064" i="3"/>
  <c r="F3065" i="3"/>
  <c r="F3066" i="3"/>
  <c r="F3067" i="3"/>
  <c r="F3068" i="3"/>
  <c r="F3069" i="3"/>
  <c r="G3069" i="3" s="1"/>
  <c r="F3070" i="3"/>
  <c r="G3070" i="3" s="1"/>
  <c r="H3070" i="3" s="1"/>
  <c r="F3071" i="3"/>
  <c r="G3071" i="3" s="1"/>
  <c r="F3072" i="3"/>
  <c r="G3072" i="3" s="1"/>
  <c r="F3073" i="3"/>
  <c r="G3073" i="3" s="1"/>
  <c r="F3074" i="3"/>
  <c r="G3074" i="3" s="1"/>
  <c r="F3075" i="3"/>
  <c r="G3075" i="3" s="1"/>
  <c r="F3076" i="3"/>
  <c r="F3077" i="3"/>
  <c r="F3078" i="3"/>
  <c r="F3079" i="3"/>
  <c r="F3080" i="3"/>
  <c r="F3081" i="3"/>
  <c r="G3081" i="3" s="1"/>
  <c r="F3082" i="3"/>
  <c r="G3082" i="3" s="1"/>
  <c r="F3083" i="3"/>
  <c r="G3083" i="3" s="1"/>
  <c r="F3084" i="3"/>
  <c r="G3084" i="3" s="1"/>
  <c r="F3085" i="3"/>
  <c r="G3085" i="3" s="1"/>
  <c r="F3086" i="3"/>
  <c r="G3086" i="3" s="1"/>
  <c r="F3087" i="3"/>
  <c r="G3087" i="3" s="1"/>
  <c r="F3088" i="3"/>
  <c r="F3089" i="3"/>
  <c r="F3090" i="3"/>
  <c r="F3091" i="3"/>
  <c r="F3092" i="3"/>
  <c r="F3093" i="3"/>
  <c r="G3093" i="3" s="1"/>
  <c r="F3094" i="3"/>
  <c r="G3094" i="3" s="1"/>
  <c r="F3095" i="3"/>
  <c r="G3095" i="3" s="1"/>
  <c r="F3096" i="3"/>
  <c r="G3096" i="3" s="1"/>
  <c r="F3097" i="3"/>
  <c r="G3097" i="3" s="1"/>
  <c r="F3098" i="3"/>
  <c r="G3098" i="3" s="1"/>
  <c r="F3099" i="3"/>
  <c r="G3099" i="3" s="1"/>
  <c r="F3100" i="3"/>
  <c r="F3101" i="3"/>
  <c r="F3102" i="3"/>
  <c r="F3103" i="3"/>
  <c r="F3104" i="3"/>
  <c r="F3105" i="3"/>
  <c r="G3105" i="3" s="1"/>
  <c r="F3106" i="3"/>
  <c r="G3106" i="3" s="1"/>
  <c r="H3106" i="3" s="1"/>
  <c r="F3107" i="3"/>
  <c r="G3107" i="3" s="1"/>
  <c r="F3108" i="3"/>
  <c r="G3108" i="3" s="1"/>
  <c r="F3109" i="3"/>
  <c r="G3109" i="3" s="1"/>
  <c r="F3110" i="3"/>
  <c r="G3110" i="3" s="1"/>
  <c r="F3111" i="3"/>
  <c r="G3111" i="3" s="1"/>
  <c r="F3112" i="3"/>
  <c r="F3113" i="3"/>
  <c r="F3114" i="3"/>
  <c r="F3115" i="3"/>
  <c r="F3116" i="3"/>
  <c r="F3117" i="3"/>
  <c r="G3117" i="3" s="1"/>
  <c r="F3118" i="3"/>
  <c r="G3118" i="3" s="1"/>
  <c r="H3118" i="3" s="1"/>
  <c r="F3119" i="3"/>
  <c r="G3119" i="3" s="1"/>
  <c r="H3119" i="3" s="1"/>
  <c r="F3120" i="3"/>
  <c r="G3120" i="3" s="1"/>
  <c r="F3121" i="3"/>
  <c r="G3121" i="3" s="1"/>
  <c r="F3122" i="3"/>
  <c r="G3122" i="3" s="1"/>
  <c r="F3123" i="3"/>
  <c r="G3123" i="3" s="1"/>
  <c r="F3124" i="3"/>
  <c r="F3125" i="3"/>
  <c r="F3126" i="3"/>
  <c r="F3127" i="3"/>
  <c r="F3128" i="3"/>
  <c r="F3129" i="3"/>
  <c r="G3129" i="3" s="1"/>
  <c r="F3130" i="3"/>
  <c r="G3130" i="3" s="1"/>
  <c r="H3130" i="3" s="1"/>
  <c r="F3131" i="3"/>
  <c r="G3131" i="3" s="1"/>
  <c r="F3132" i="3"/>
  <c r="G3132" i="3" s="1"/>
  <c r="F3133" i="3"/>
  <c r="G3133" i="3" s="1"/>
  <c r="F3134" i="3"/>
  <c r="G3134" i="3" s="1"/>
  <c r="F3135" i="3"/>
  <c r="G3135" i="3" s="1"/>
  <c r="F3136" i="3"/>
  <c r="F3137" i="3"/>
  <c r="F3138" i="3"/>
  <c r="F3139" i="3"/>
  <c r="F3140" i="3"/>
  <c r="F3141" i="3"/>
  <c r="G3141" i="3" s="1"/>
  <c r="F3142" i="3"/>
  <c r="G3142" i="3" s="1"/>
  <c r="H3142" i="3" s="1"/>
  <c r="F3143" i="3"/>
  <c r="G3143" i="3" s="1"/>
  <c r="H3143" i="3" s="1"/>
  <c r="F3144" i="3"/>
  <c r="G3144" i="3" s="1"/>
  <c r="F3145" i="3"/>
  <c r="G3145" i="3" s="1"/>
  <c r="F3146" i="3"/>
  <c r="G3146" i="3" s="1"/>
  <c r="F3147" i="3"/>
  <c r="G3147" i="3" s="1"/>
  <c r="F3148" i="3"/>
  <c r="F3149" i="3"/>
  <c r="F3150" i="3"/>
  <c r="F3151" i="3"/>
  <c r="F3152" i="3"/>
  <c r="F3153" i="3"/>
  <c r="G3153" i="3" s="1"/>
  <c r="F3154" i="3"/>
  <c r="G3154" i="3" s="1"/>
  <c r="H3154" i="3" s="1"/>
  <c r="F3155" i="3"/>
  <c r="G3155" i="3" s="1"/>
  <c r="F3156" i="3"/>
  <c r="G3156" i="3" s="1"/>
  <c r="F3157" i="3"/>
  <c r="G3157" i="3" s="1"/>
  <c r="F3158" i="3"/>
  <c r="G3158" i="3" s="1"/>
  <c r="F3159" i="3"/>
  <c r="G3159" i="3" s="1"/>
  <c r="F3160" i="3"/>
  <c r="F3161" i="3"/>
  <c r="F3162" i="3"/>
  <c r="F3163" i="3"/>
  <c r="F3164" i="3"/>
  <c r="F3165" i="3"/>
  <c r="G3165" i="3" s="1"/>
  <c r="F3166" i="3"/>
  <c r="G3166" i="3" s="1"/>
  <c r="H3166" i="3" s="1"/>
  <c r="F3167" i="3"/>
  <c r="G3167" i="3" s="1"/>
  <c r="H3167" i="3" s="1"/>
  <c r="F3168" i="3"/>
  <c r="G3168" i="3" s="1"/>
  <c r="F3169" i="3"/>
  <c r="G3169" i="3" s="1"/>
  <c r="F3170" i="3"/>
  <c r="G3170" i="3" s="1"/>
  <c r="F3171" i="3"/>
  <c r="G3171" i="3" s="1"/>
  <c r="F3172" i="3"/>
  <c r="F3173" i="3"/>
  <c r="F3174" i="3"/>
  <c r="F3175" i="3"/>
  <c r="F3176" i="3"/>
  <c r="F3177" i="3"/>
  <c r="G3177" i="3" s="1"/>
  <c r="F3178" i="3"/>
  <c r="G3178" i="3" s="1"/>
  <c r="F3179" i="3"/>
  <c r="G3179" i="3" s="1"/>
  <c r="H3179" i="3" s="1"/>
  <c r="F3180" i="3"/>
  <c r="G3180" i="3" s="1"/>
  <c r="F3181" i="3"/>
  <c r="G3181" i="3" s="1"/>
  <c r="F3182" i="3"/>
  <c r="G3182" i="3" s="1"/>
  <c r="F3183" i="3"/>
  <c r="G3183" i="3" s="1"/>
  <c r="F3184" i="3"/>
  <c r="F3185" i="3"/>
  <c r="F3186" i="3"/>
  <c r="F3187" i="3"/>
  <c r="F3188" i="3"/>
  <c r="F3189" i="3"/>
  <c r="G3189" i="3" s="1"/>
  <c r="F3190" i="3"/>
  <c r="G3190" i="3" s="1"/>
  <c r="H3190" i="3" s="1"/>
  <c r="F3191" i="3"/>
  <c r="G3191" i="3" s="1"/>
  <c r="F3192" i="3"/>
  <c r="G3192" i="3" s="1"/>
  <c r="F3193" i="3"/>
  <c r="G3193" i="3" s="1"/>
  <c r="H3193" i="3" s="1"/>
  <c r="F3194" i="3"/>
  <c r="G3194" i="3" s="1"/>
  <c r="F3195" i="3"/>
  <c r="G3195" i="3" s="1"/>
  <c r="F3196" i="3"/>
  <c r="F3197" i="3"/>
  <c r="F3198" i="3"/>
  <c r="F3199" i="3"/>
  <c r="F3200" i="3"/>
  <c r="F3201" i="3"/>
  <c r="G3201" i="3" s="1"/>
  <c r="F3202" i="3"/>
  <c r="G3202" i="3" s="1"/>
  <c r="H3202" i="3" s="1"/>
  <c r="F3203" i="3"/>
  <c r="G3203" i="3" s="1"/>
  <c r="F3204" i="3"/>
  <c r="G3204" i="3" s="1"/>
  <c r="F3205" i="3"/>
  <c r="G3205" i="3" s="1"/>
  <c r="F3206" i="3"/>
  <c r="G3206" i="3" s="1"/>
  <c r="F3207" i="3"/>
  <c r="G3207" i="3" s="1"/>
  <c r="H3207" i="3" s="1"/>
  <c r="F3208" i="3"/>
  <c r="F3209" i="3"/>
  <c r="F3210" i="3"/>
  <c r="F3211" i="3"/>
  <c r="F3212" i="3"/>
  <c r="F3213" i="3"/>
  <c r="G3213" i="3" s="1"/>
  <c r="F3214" i="3"/>
  <c r="G3214" i="3" s="1"/>
  <c r="F3215" i="3"/>
  <c r="G3215" i="3" s="1"/>
  <c r="F3216" i="3"/>
  <c r="G3216" i="3" s="1"/>
  <c r="F3217" i="3"/>
  <c r="G3217" i="3" s="1"/>
  <c r="F3218" i="3"/>
  <c r="G3218" i="3" s="1"/>
  <c r="F3219" i="3"/>
  <c r="G3219" i="3" s="1"/>
  <c r="F3220" i="3"/>
  <c r="F3221" i="3"/>
  <c r="F3222" i="3"/>
  <c r="F3223" i="3"/>
  <c r="F3224" i="3"/>
  <c r="F3225" i="3"/>
  <c r="G3225" i="3" s="1"/>
  <c r="F3226" i="3"/>
  <c r="G3226" i="3" s="1"/>
  <c r="F3227" i="3"/>
  <c r="G3227" i="3" s="1"/>
  <c r="F3228" i="3"/>
  <c r="G3228" i="3" s="1"/>
  <c r="F3229" i="3"/>
  <c r="G3229" i="3" s="1"/>
  <c r="F3230" i="3"/>
  <c r="G3230" i="3" s="1"/>
  <c r="F3231" i="3"/>
  <c r="G3231" i="3" s="1"/>
  <c r="F3232" i="3"/>
  <c r="F3233" i="3"/>
  <c r="F3234" i="3"/>
  <c r="F3235" i="3"/>
  <c r="F3236" i="3"/>
  <c r="F3237" i="3"/>
  <c r="G3237" i="3" s="1"/>
  <c r="F3238" i="3"/>
  <c r="G3238" i="3" s="1"/>
  <c r="F3239" i="3"/>
  <c r="G3239" i="3" s="1"/>
  <c r="F3240" i="3"/>
  <c r="G3240" i="3" s="1"/>
  <c r="F3241" i="3"/>
  <c r="G3241" i="3" s="1"/>
  <c r="F3242" i="3"/>
  <c r="G3242" i="3" s="1"/>
  <c r="F3243" i="3"/>
  <c r="G3243" i="3" s="1"/>
  <c r="H3243" i="3" s="1"/>
  <c r="F3244" i="3"/>
  <c r="F3245" i="3"/>
  <c r="F3246" i="3"/>
  <c r="F3247" i="3"/>
  <c r="F3248" i="3"/>
  <c r="F3249" i="3"/>
  <c r="G3249" i="3" s="1"/>
  <c r="F3250" i="3"/>
  <c r="G3250" i="3" s="1"/>
  <c r="H3250" i="3" s="1"/>
  <c r="F3251" i="3"/>
  <c r="G3251" i="3" s="1"/>
  <c r="F3252" i="3"/>
  <c r="G3252" i="3" s="1"/>
  <c r="F3253" i="3"/>
  <c r="G3253" i="3" s="1"/>
  <c r="F3254" i="3"/>
  <c r="G3254" i="3" s="1"/>
  <c r="F3255" i="3"/>
  <c r="G3255" i="3" s="1"/>
  <c r="F3256" i="3"/>
  <c r="F3257" i="3"/>
  <c r="F3258" i="3"/>
  <c r="F3259" i="3"/>
  <c r="F3260" i="3"/>
  <c r="F3261" i="3"/>
  <c r="G3261" i="3" s="1"/>
  <c r="F3262" i="3"/>
  <c r="G3262" i="3" s="1"/>
  <c r="H3262" i="3" s="1"/>
  <c r="F3263" i="3"/>
  <c r="G3263" i="3" s="1"/>
  <c r="H3263" i="3" s="1"/>
  <c r="F3264" i="3"/>
  <c r="G3264" i="3" s="1"/>
  <c r="F3265" i="3"/>
  <c r="G3265" i="3" s="1"/>
  <c r="F3266" i="3"/>
  <c r="G3266" i="3" s="1"/>
  <c r="F3267" i="3"/>
  <c r="G3267" i="3" s="1"/>
  <c r="F3268" i="3"/>
  <c r="F3269" i="3"/>
  <c r="F3270" i="3"/>
  <c r="F3271" i="3"/>
  <c r="F3272" i="3"/>
  <c r="F3273" i="3"/>
  <c r="G3273" i="3" s="1"/>
  <c r="F3274" i="3"/>
  <c r="G3274" i="3" s="1"/>
  <c r="H3274" i="3" s="1"/>
  <c r="F3275" i="3"/>
  <c r="G3275" i="3" s="1"/>
  <c r="H3275" i="3" s="1"/>
  <c r="F3276" i="3"/>
  <c r="G3276" i="3" s="1"/>
  <c r="F3277" i="3"/>
  <c r="G3277" i="3" s="1"/>
  <c r="F3278" i="3"/>
  <c r="G3278" i="3" s="1"/>
  <c r="F3279" i="3"/>
  <c r="G3279" i="3" s="1"/>
  <c r="F3280" i="3"/>
  <c r="F3281" i="3"/>
  <c r="F3282" i="3"/>
  <c r="F3283" i="3"/>
  <c r="F3284" i="3"/>
  <c r="F3285" i="3"/>
  <c r="G3285" i="3" s="1"/>
  <c r="F3286" i="3"/>
  <c r="G3286" i="3" s="1"/>
  <c r="H3286" i="3" s="1"/>
  <c r="F3287" i="3"/>
  <c r="G3287" i="3" s="1"/>
  <c r="H3287" i="3" s="1"/>
  <c r="F3288" i="3"/>
  <c r="G3288" i="3" s="1"/>
  <c r="F3289" i="3"/>
  <c r="G3289" i="3" s="1"/>
  <c r="F3290" i="3"/>
  <c r="G3290" i="3" s="1"/>
  <c r="F3291" i="3"/>
  <c r="G3291" i="3" s="1"/>
  <c r="F3292" i="3"/>
  <c r="F3293" i="3"/>
  <c r="F3294" i="3"/>
  <c r="F3295" i="3"/>
  <c r="F3296" i="3"/>
  <c r="F3297" i="3"/>
  <c r="G3297" i="3" s="1"/>
  <c r="F3298" i="3"/>
  <c r="G3298" i="3" s="1"/>
  <c r="H3298" i="3" s="1"/>
  <c r="F3299" i="3"/>
  <c r="G3299" i="3" s="1"/>
  <c r="H3299" i="3" s="1"/>
  <c r="F3300" i="3"/>
  <c r="G3300" i="3" s="1"/>
  <c r="F3301" i="3"/>
  <c r="G3301" i="3" s="1"/>
  <c r="F3302" i="3"/>
  <c r="G3302" i="3" s="1"/>
  <c r="F3303" i="3"/>
  <c r="G3303" i="3" s="1"/>
  <c r="F3304" i="3"/>
  <c r="F3305" i="3"/>
  <c r="F3306" i="3"/>
  <c r="F3307" i="3"/>
  <c r="F3308" i="3"/>
  <c r="F3309" i="3"/>
  <c r="G3309" i="3" s="1"/>
  <c r="F3310" i="3"/>
  <c r="G3310" i="3" s="1"/>
  <c r="H3310" i="3" s="1"/>
  <c r="F3311" i="3"/>
  <c r="G3311" i="3" s="1"/>
  <c r="H3311" i="3" s="1"/>
  <c r="F3312" i="3"/>
  <c r="G3312" i="3" s="1"/>
  <c r="F3313" i="3"/>
  <c r="G3313" i="3" s="1"/>
  <c r="F3314" i="3"/>
  <c r="G3314" i="3" s="1"/>
  <c r="F3315" i="3"/>
  <c r="G3315" i="3" s="1"/>
  <c r="F3316" i="3"/>
  <c r="F3317" i="3"/>
  <c r="F3318" i="3"/>
  <c r="F3319" i="3"/>
  <c r="F3320" i="3"/>
  <c r="F3321" i="3"/>
  <c r="G3321" i="3" s="1"/>
  <c r="F3322" i="3"/>
  <c r="G3322" i="3" s="1"/>
  <c r="F3323" i="3"/>
  <c r="G3323" i="3" s="1"/>
  <c r="F3324" i="3"/>
  <c r="G3324" i="3" s="1"/>
  <c r="F3325" i="3"/>
  <c r="G3325" i="3" s="1"/>
  <c r="F3326" i="3"/>
  <c r="G3326" i="3" s="1"/>
  <c r="F3327" i="3"/>
  <c r="G3327" i="3" s="1"/>
  <c r="F3328" i="3"/>
  <c r="F3329" i="3"/>
  <c r="F3330" i="3"/>
  <c r="F3331" i="3"/>
  <c r="F3332" i="3"/>
  <c r="F3333" i="3"/>
  <c r="G3333" i="3" s="1"/>
  <c r="F3334" i="3"/>
  <c r="G3334" i="3" s="1"/>
  <c r="F3335" i="3"/>
  <c r="G3335" i="3" s="1"/>
  <c r="H3335" i="3" s="1"/>
  <c r="F3336" i="3"/>
  <c r="G3336" i="3" s="1"/>
  <c r="F3337" i="3"/>
  <c r="G3337" i="3" s="1"/>
  <c r="F3338" i="3"/>
  <c r="G3338" i="3" s="1"/>
  <c r="F3339" i="3"/>
  <c r="G3339" i="3" s="1"/>
  <c r="F3340" i="3"/>
  <c r="F3341" i="3"/>
  <c r="F3342" i="3"/>
  <c r="F334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D5" i="3"/>
  <c r="D10" i="3"/>
  <c r="D17" i="3"/>
  <c r="D24" i="3"/>
  <c r="D34" i="3"/>
  <c r="D46" i="3"/>
  <c r="D58" i="3"/>
  <c r="D60" i="3"/>
  <c r="D61" i="3"/>
  <c r="D62" i="3"/>
  <c r="D70" i="3"/>
  <c r="D77" i="3"/>
  <c r="D82" i="3"/>
  <c r="D89" i="3"/>
  <c r="D94" i="3"/>
  <c r="D95" i="3"/>
  <c r="D96" i="3"/>
  <c r="D97" i="3"/>
  <c r="D101" i="3"/>
  <c r="D106" i="3"/>
  <c r="D142" i="3"/>
  <c r="D143" i="3"/>
  <c r="D144" i="3"/>
  <c r="D156" i="3"/>
  <c r="D157" i="3"/>
  <c r="D166" i="3"/>
  <c r="D185" i="3"/>
  <c r="D209" i="3"/>
  <c r="D215" i="3"/>
  <c r="D223" i="3"/>
  <c r="D225" i="3"/>
  <c r="D226" i="3"/>
  <c r="D256" i="3"/>
  <c r="D275" i="3"/>
  <c r="D276" i="3"/>
  <c r="D281" i="3"/>
  <c r="D283" i="3"/>
  <c r="D286" i="3"/>
  <c r="D310" i="3"/>
  <c r="D322" i="3"/>
  <c r="D334" i="3"/>
  <c r="D336" i="3"/>
  <c r="D358" i="3"/>
  <c r="D382" i="3"/>
  <c r="D394" i="3"/>
  <c r="D406" i="3"/>
  <c r="D431" i="3"/>
  <c r="D434" i="3"/>
  <c r="D454" i="3"/>
  <c r="D466" i="3"/>
  <c r="D479" i="3"/>
  <c r="D485" i="3"/>
  <c r="D490" i="3"/>
  <c r="D514" i="3"/>
  <c r="D538" i="3"/>
  <c r="D539" i="3"/>
  <c r="D540" i="3"/>
  <c r="D551" i="3"/>
  <c r="D574" i="3"/>
  <c r="D586" i="3"/>
  <c r="D593" i="3"/>
  <c r="D599" i="3"/>
  <c r="D600" i="3"/>
  <c r="D612" i="3"/>
  <c r="D621" i="3"/>
  <c r="D622" i="3"/>
  <c r="D665" i="3"/>
  <c r="D677" i="3"/>
  <c r="D682" i="3"/>
  <c r="D684" i="3"/>
  <c r="D694" i="3"/>
  <c r="D718" i="3"/>
  <c r="D725" i="3"/>
  <c r="D742" i="3"/>
  <c r="D749" i="3"/>
  <c r="D750" i="3"/>
  <c r="D779" i="3"/>
  <c r="D797" i="3"/>
  <c r="D821" i="3"/>
  <c r="D834" i="3"/>
  <c r="D838" i="3"/>
  <c r="D840" i="3"/>
  <c r="D850" i="3"/>
  <c r="D862" i="3"/>
  <c r="D874" i="3"/>
  <c r="D898" i="3"/>
  <c r="D905" i="3"/>
  <c r="D906" i="3"/>
  <c r="D917" i="3"/>
  <c r="D934" i="3"/>
  <c r="D946" i="3"/>
  <c r="D958" i="3"/>
  <c r="D965" i="3"/>
  <c r="D966" i="3"/>
  <c r="D977" i="3"/>
  <c r="D994" i="3"/>
  <c r="D1006" i="3"/>
  <c r="D1013" i="3"/>
  <c r="D1018" i="3"/>
  <c r="D1025" i="3"/>
  <c r="D1037" i="3"/>
  <c r="D1042" i="3"/>
  <c r="D1043" i="3"/>
  <c r="D1046" i="3"/>
  <c r="D1066" i="3"/>
  <c r="D1078" i="3"/>
  <c r="D1102" i="3"/>
  <c r="D1114" i="3"/>
  <c r="D1116" i="3"/>
  <c r="D1121" i="3"/>
  <c r="D1126" i="3"/>
  <c r="D1162" i="3"/>
  <c r="D1169" i="3"/>
  <c r="D1181" i="3"/>
  <c r="D1210" i="3"/>
  <c r="D1234" i="3"/>
  <c r="D1235" i="3"/>
  <c r="D1236" i="3"/>
  <c r="D1258" i="3"/>
  <c r="D1282" i="3"/>
  <c r="D1283" i="3"/>
  <c r="D1289" i="3"/>
  <c r="D1294" i="3"/>
  <c r="D1318" i="3"/>
  <c r="D1325" i="3"/>
  <c r="D1330" i="3"/>
  <c r="D1332" i="3"/>
  <c r="D1337" i="3"/>
  <c r="D1342" i="3"/>
  <c r="D1354" i="3"/>
  <c r="D1366" i="3"/>
  <c r="D1378" i="3"/>
  <c r="D1385" i="3"/>
  <c r="D1402" i="3"/>
  <c r="D1426" i="3"/>
  <c r="D1433" i="3"/>
  <c r="D1438" i="3"/>
  <c r="D1450" i="3"/>
  <c r="D1451" i="3"/>
  <c r="D1462" i="3"/>
  <c r="D1474" i="3"/>
  <c r="D1486" i="3"/>
  <c r="D1493" i="3"/>
  <c r="D1498" i="3"/>
  <c r="D1522" i="3"/>
  <c r="D1529" i="3"/>
  <c r="D1546" i="3"/>
  <c r="D1553" i="3"/>
  <c r="D1558" i="3"/>
  <c r="D1582" i="3"/>
  <c r="D1601" i="3"/>
  <c r="D1606" i="3"/>
  <c r="D1607" i="3"/>
  <c r="D1642" i="3"/>
  <c r="D1643" i="3"/>
  <c r="D1654" i="3"/>
  <c r="D1655" i="3"/>
  <c r="D1662" i="3"/>
  <c r="D1678" i="3"/>
  <c r="D1690" i="3"/>
  <c r="D1697" i="3"/>
  <c r="D1704" i="3"/>
  <c r="D1709" i="3"/>
  <c r="D1714" i="3"/>
  <c r="D1738" i="3"/>
  <c r="D1750" i="3"/>
  <c r="D1762" i="3"/>
  <c r="D1774" i="3"/>
  <c r="D1776" i="3"/>
  <c r="D1786" i="3"/>
  <c r="D1798" i="3"/>
  <c r="D1822" i="3"/>
  <c r="D1847" i="3"/>
  <c r="D1858" i="3"/>
  <c r="D1865" i="3"/>
  <c r="D1882" i="3"/>
  <c r="D1906" i="3"/>
  <c r="D1908" i="3"/>
  <c r="D1918" i="3"/>
  <c r="D1954" i="3"/>
  <c r="D1961" i="3"/>
  <c r="D1966" i="3"/>
  <c r="D1967" i="3"/>
  <c r="D1990" i="3"/>
  <c r="D2002" i="3"/>
  <c r="D2009" i="3"/>
  <c r="D2014" i="3"/>
  <c r="D2026" i="3"/>
  <c r="D2038" i="3"/>
  <c r="D2040" i="3"/>
  <c r="D2045" i="3"/>
  <c r="D2074" i="3"/>
  <c r="D2086" i="3"/>
  <c r="D2110" i="3"/>
  <c r="D2122" i="3"/>
  <c r="D2134" i="3"/>
  <c r="D2146" i="3"/>
  <c r="D2158" i="3"/>
  <c r="D2170" i="3"/>
  <c r="D2182" i="3"/>
  <c r="D2190" i="3"/>
  <c r="D2206" i="3"/>
  <c r="D2218" i="3"/>
  <c r="D2230" i="3"/>
  <c r="D2242" i="3"/>
  <c r="D2254" i="3"/>
  <c r="D2266" i="3"/>
  <c r="D2278" i="3"/>
  <c r="D2314" i="3"/>
  <c r="D2326" i="3"/>
  <c r="D2350" i="3"/>
  <c r="D2362" i="3"/>
  <c r="D2374" i="3"/>
  <c r="D2386" i="3"/>
  <c r="D2398" i="3"/>
  <c r="D2422" i="3"/>
  <c r="D2446" i="3"/>
  <c r="D2458" i="3"/>
  <c r="D2470" i="3"/>
  <c r="D2494" i="3"/>
  <c r="D2513" i="3"/>
  <c r="D2542" i="3"/>
  <c r="D2554" i="3"/>
  <c r="D2566" i="3"/>
  <c r="D2578" i="3"/>
  <c r="D2614" i="3"/>
  <c r="D2638" i="3"/>
  <c r="D2686" i="3"/>
  <c r="D2698" i="3"/>
  <c r="D2722" i="3"/>
  <c r="D2734" i="3"/>
  <c r="D2746" i="3"/>
  <c r="D2758" i="3"/>
  <c r="D2782" i="3"/>
  <c r="D2794" i="3"/>
  <c r="D2806" i="3"/>
  <c r="D2842" i="3"/>
  <c r="D2866" i="3"/>
  <c r="D2878" i="3"/>
  <c r="D2890" i="3"/>
  <c r="D2926" i="3"/>
  <c r="D2950" i="3"/>
  <c r="D2974" i="3"/>
  <c r="D2986" i="3"/>
  <c r="D3034" i="3"/>
  <c r="D3046" i="3"/>
  <c r="D3058" i="3"/>
  <c r="D3094" i="3"/>
  <c r="D3106" i="3"/>
  <c r="D3118" i="3"/>
  <c r="D3142" i="3"/>
  <c r="D3154" i="3"/>
  <c r="D3190" i="3"/>
  <c r="D3286" i="3"/>
  <c r="A2" i="3" a="1"/>
  <c r="H1452" i="3" l="1"/>
  <c r="H2891" i="3"/>
  <c r="H3178" i="3"/>
  <c r="H2604" i="3"/>
  <c r="H850" i="3"/>
  <c r="H694" i="3"/>
  <c r="H550" i="3"/>
  <c r="H2833" i="3"/>
  <c r="H2449" i="3"/>
  <c r="H3168" i="3"/>
  <c r="H3120" i="3"/>
  <c r="H2616" i="3"/>
  <c r="H1764" i="3"/>
  <c r="H1344" i="3"/>
  <c r="H1248" i="3"/>
  <c r="H1092" i="3"/>
  <c r="H960" i="3"/>
  <c r="H912" i="3"/>
  <c r="H708" i="3"/>
  <c r="H3323" i="3"/>
  <c r="H3155" i="3"/>
  <c r="H3131" i="3"/>
  <c r="H1859" i="3"/>
  <c r="H1763" i="3"/>
  <c r="H1643" i="3"/>
  <c r="H1607" i="3"/>
  <c r="H1583" i="3"/>
  <c r="H1415" i="3"/>
  <c r="H1355" i="3"/>
  <c r="H1247" i="3"/>
  <c r="H1235" i="3"/>
  <c r="H1175" i="3"/>
  <c r="H1103" i="3"/>
  <c r="H1019" i="3"/>
  <c r="H803" i="3"/>
  <c r="H755" i="3"/>
  <c r="H551" i="3"/>
  <c r="H491" i="3"/>
  <c r="H443" i="3"/>
  <c r="H431" i="3"/>
  <c r="H395" i="3"/>
  <c r="H335" i="3"/>
  <c r="H275" i="3"/>
  <c r="H263" i="3"/>
  <c r="H167" i="3"/>
  <c r="H155" i="3"/>
  <c r="H143" i="3"/>
  <c r="H47" i="3"/>
  <c r="H3300" i="3"/>
  <c r="H3204" i="3"/>
  <c r="H3156" i="3"/>
  <c r="H3072" i="3"/>
  <c r="H2712" i="3"/>
  <c r="H1956" i="3"/>
  <c r="H1512" i="3"/>
  <c r="H1416" i="3"/>
  <c r="H3094" i="3"/>
  <c r="H2806" i="3"/>
  <c r="H2554" i="3"/>
  <c r="H2386" i="3"/>
  <c r="H2374" i="3"/>
  <c r="H2362" i="3"/>
  <c r="H2218" i="3"/>
  <c r="H2206" i="3"/>
  <c r="H2074" i="3"/>
  <c r="H1954" i="3"/>
  <c r="H1918" i="3"/>
  <c r="H1774" i="3"/>
  <c r="H1762" i="3"/>
  <c r="H1750" i="3"/>
  <c r="H1654" i="3"/>
  <c r="H1642" i="3"/>
  <c r="H1486" i="3"/>
  <c r="H1474" i="3"/>
  <c r="H1378" i="3"/>
  <c r="H1366" i="3"/>
  <c r="H1354" i="3"/>
  <c r="H1342" i="3"/>
  <c r="H1282" i="3"/>
  <c r="H1258" i="3"/>
  <c r="H1174" i="3"/>
  <c r="H1114" i="3"/>
  <c r="H1102" i="3"/>
  <c r="H1078" i="3"/>
  <c r="H1066" i="3"/>
  <c r="H1030" i="3"/>
  <c r="H994" i="3"/>
  <c r="H910" i="3"/>
  <c r="H274" i="3"/>
  <c r="H82" i="3"/>
  <c r="H70" i="3"/>
  <c r="H3240" i="3"/>
  <c r="H3144" i="3"/>
  <c r="H3096" i="3"/>
  <c r="H1692" i="3"/>
  <c r="H852" i="3"/>
  <c r="H552" i="3"/>
  <c r="H396" i="3"/>
  <c r="H264" i="3"/>
  <c r="H216" i="3"/>
  <c r="H168" i="3"/>
  <c r="H108" i="3"/>
  <c r="H36" i="3"/>
  <c r="H3334" i="3"/>
  <c r="H3058" i="3"/>
  <c r="H2794" i="3"/>
  <c r="H838" i="3"/>
  <c r="H718" i="3"/>
  <c r="H574" i="3"/>
  <c r="H406" i="3"/>
  <c r="H3324" i="3"/>
  <c r="H3228" i="3"/>
  <c r="H3036" i="3"/>
  <c r="H1968" i="3"/>
  <c r="H1524" i="3"/>
  <c r="H492" i="3"/>
  <c r="H444" i="3"/>
  <c r="H384" i="3"/>
  <c r="H156" i="3"/>
  <c r="H3082" i="3"/>
  <c r="H2566" i="3"/>
  <c r="H682" i="3"/>
  <c r="H586" i="3"/>
  <c r="H442" i="3"/>
  <c r="H214" i="3"/>
  <c r="H118" i="3"/>
  <c r="H1498" i="3"/>
  <c r="H862" i="3"/>
  <c r="H754" i="3"/>
  <c r="H706" i="3"/>
  <c r="H658" i="3"/>
  <c r="H610" i="3"/>
  <c r="H502" i="3"/>
  <c r="H2221" i="3"/>
  <c r="H2053" i="3"/>
  <c r="H1969" i="3"/>
  <c r="H1909" i="3"/>
  <c r="H1861" i="3"/>
  <c r="H1669" i="3"/>
  <c r="H1561" i="3"/>
  <c r="H3081" i="3"/>
  <c r="H2949" i="3"/>
  <c r="H873" i="3"/>
  <c r="H729" i="3"/>
  <c r="H1233" i="3"/>
  <c r="G3140" i="3"/>
  <c r="G2648" i="3"/>
  <c r="G2096" i="3"/>
  <c r="G3260" i="3"/>
  <c r="G2780" i="3"/>
  <c r="G2336" i="3"/>
  <c r="G2060" i="3"/>
  <c r="G2972" i="3"/>
  <c r="G2252" i="3"/>
  <c r="H2325" i="3"/>
  <c r="H2157" i="3"/>
  <c r="H993" i="3"/>
  <c r="H849" i="3"/>
  <c r="H633" i="3"/>
  <c r="G3320" i="3"/>
  <c r="G3296" i="3"/>
  <c r="H3296" i="3" s="1"/>
  <c r="G3272" i="3"/>
  <c r="G3236" i="3"/>
  <c r="G3212" i="3"/>
  <c r="G3188" i="3"/>
  <c r="G3164" i="3"/>
  <c r="G3128" i="3"/>
  <c r="G3104" i="3"/>
  <c r="G3092" i="3"/>
  <c r="G3068" i="3"/>
  <c r="G3044" i="3"/>
  <c r="G3020" i="3"/>
  <c r="G2996" i="3"/>
  <c r="H2996" i="3" s="1"/>
  <c r="G2960" i="3"/>
  <c r="G2936" i="3"/>
  <c r="G2912" i="3"/>
  <c r="G2888" i="3"/>
  <c r="G2864" i="3"/>
  <c r="G2852" i="3"/>
  <c r="G2828" i="3"/>
  <c r="G2804" i="3"/>
  <c r="G2768" i="3"/>
  <c r="G2744" i="3"/>
  <c r="G2720" i="3"/>
  <c r="G2696" i="3"/>
  <c r="H2696" i="3" s="1"/>
  <c r="G2672" i="3"/>
  <c r="G2636" i="3"/>
  <c r="G2612" i="3"/>
  <c r="G2588" i="3"/>
  <c r="G2564" i="3"/>
  <c r="G2540" i="3"/>
  <c r="G2516" i="3"/>
  <c r="G2492" i="3"/>
  <c r="G2468" i="3"/>
  <c r="G2444" i="3"/>
  <c r="G2420" i="3"/>
  <c r="G2396" i="3"/>
  <c r="H2396" i="3" s="1"/>
  <c r="G2372" i="3"/>
  <c r="G2360" i="3"/>
  <c r="G2324" i="3"/>
  <c r="G2300" i="3"/>
  <c r="G2276" i="3"/>
  <c r="G2240" i="3"/>
  <c r="G2216" i="3"/>
  <c r="G2204" i="3"/>
  <c r="G2192" i="3"/>
  <c r="G2168" i="3"/>
  <c r="G2156" i="3"/>
  <c r="G2144" i="3"/>
  <c r="H2144" i="3" s="1"/>
  <c r="G2132" i="3"/>
  <c r="G2120" i="3"/>
  <c r="G2108" i="3"/>
  <c r="G2084" i="3"/>
  <c r="G2072" i="3"/>
  <c r="G3332" i="3"/>
  <c r="G3308" i="3"/>
  <c r="G3284" i="3"/>
  <c r="G3248" i="3"/>
  <c r="G3224" i="3"/>
  <c r="G3200" i="3"/>
  <c r="G3176" i="3"/>
  <c r="H3176" i="3" s="1"/>
  <c r="G3152" i="3"/>
  <c r="G3116" i="3"/>
  <c r="G3080" i="3"/>
  <c r="G3056" i="3"/>
  <c r="G3032" i="3"/>
  <c r="G3008" i="3"/>
  <c r="G2984" i="3"/>
  <c r="G2948" i="3"/>
  <c r="G2924" i="3"/>
  <c r="G2900" i="3"/>
  <c r="G2876" i="3"/>
  <c r="G2840" i="3"/>
  <c r="H2840" i="3" s="1"/>
  <c r="G2816" i="3"/>
  <c r="G2792" i="3"/>
  <c r="G2756" i="3"/>
  <c r="G2732" i="3"/>
  <c r="G2708" i="3"/>
  <c r="G2684" i="3"/>
  <c r="G2660" i="3"/>
  <c r="G2624" i="3"/>
  <c r="G2600" i="3"/>
  <c r="G2576" i="3"/>
  <c r="G2552" i="3"/>
  <c r="G2528" i="3"/>
  <c r="H2528" i="3" s="1"/>
  <c r="G2504" i="3"/>
  <c r="G2480" i="3"/>
  <c r="G2456" i="3"/>
  <c r="G2432" i="3"/>
  <c r="G2408" i="3"/>
  <c r="G2384" i="3"/>
  <c r="G2348" i="3"/>
  <c r="G2312" i="3"/>
  <c r="G2288" i="3"/>
  <c r="G2264" i="3"/>
  <c r="G2228" i="3"/>
  <c r="G2180" i="3"/>
  <c r="H2180" i="3" s="1"/>
  <c r="H3015" i="3"/>
  <c r="H3087" i="3"/>
  <c r="H2991" i="3"/>
  <c r="H2967" i="3"/>
  <c r="H2943" i="3"/>
  <c r="H2763" i="3"/>
  <c r="H2259" i="3"/>
  <c r="H2175" i="3"/>
  <c r="H1899" i="3"/>
  <c r="H1719" i="3"/>
  <c r="H1563" i="3"/>
  <c r="H1347" i="3"/>
  <c r="H1215" i="3"/>
  <c r="H1095" i="3"/>
  <c r="H3122" i="3"/>
  <c r="H2762" i="3"/>
  <c r="H2702" i="3"/>
  <c r="H2450" i="3"/>
  <c r="H2426" i="3"/>
  <c r="H2342" i="3"/>
  <c r="H2294" i="3"/>
  <c r="H2222" i="3"/>
  <c r="H2150" i="3"/>
  <c r="H2030" i="3"/>
  <c r="H1958" i="3"/>
  <c r="H1934" i="3"/>
  <c r="H1778" i="3"/>
  <c r="H1718" i="3"/>
  <c r="H1634" i="3"/>
  <c r="H1586" i="3"/>
  <c r="G2036" i="3"/>
  <c r="G2012" i="3"/>
  <c r="G1988" i="3"/>
  <c r="H1988" i="3" s="1"/>
  <c r="G1964" i="3"/>
  <c r="H1964" i="3" s="1"/>
  <c r="G1940" i="3"/>
  <c r="H1940" i="3" s="1"/>
  <c r="G1916" i="3"/>
  <c r="G1892" i="3"/>
  <c r="H1892" i="3" s="1"/>
  <c r="G1856" i="3"/>
  <c r="H1856" i="3" s="1"/>
  <c r="G1832" i="3"/>
  <c r="G1808" i="3"/>
  <c r="G1784" i="3"/>
  <c r="H1784" i="3" s="1"/>
  <c r="G1760" i="3"/>
  <c r="G1736" i="3"/>
  <c r="G1712" i="3"/>
  <c r="H1712" i="3" s="1"/>
  <c r="G1688" i="3"/>
  <c r="H1688" i="3" s="1"/>
  <c r="G1664" i="3"/>
  <c r="H1664" i="3" s="1"/>
  <c r="G1640" i="3"/>
  <c r="G1616" i="3"/>
  <c r="H1616" i="3" s="1"/>
  <c r="G1592" i="3"/>
  <c r="H1592" i="3" s="1"/>
  <c r="G1568" i="3"/>
  <c r="H1568" i="3" s="1"/>
  <c r="G1544" i="3"/>
  <c r="G1520" i="3"/>
  <c r="G1496" i="3"/>
  <c r="G1472" i="3"/>
  <c r="H1472" i="3" s="1"/>
  <c r="G1448" i="3"/>
  <c r="H1448" i="3" s="1"/>
  <c r="G1436" i="3"/>
  <c r="G1424" i="3"/>
  <c r="H1424" i="3" s="1"/>
  <c r="G1400" i="3"/>
  <c r="G1388" i="3"/>
  <c r="H1388" i="3" s="1"/>
  <c r="G1376" i="3"/>
  <c r="H1376" i="3" s="1"/>
  <c r="G1364" i="3"/>
  <c r="H1364" i="3" s="1"/>
  <c r="G1352" i="3"/>
  <c r="H1352" i="3" s="1"/>
  <c r="G1340" i="3"/>
  <c r="G1328" i="3"/>
  <c r="H1328" i="3" s="1"/>
  <c r="G1316" i="3"/>
  <c r="H1316" i="3" s="1"/>
  <c r="G1304" i="3"/>
  <c r="H1304" i="3" s="1"/>
  <c r="G1292" i="3"/>
  <c r="H1292" i="3" s="1"/>
  <c r="G1280" i="3"/>
  <c r="H1280" i="3" s="1"/>
  <c r="G1268" i="3"/>
  <c r="H1268" i="3" s="1"/>
  <c r="G1256" i="3"/>
  <c r="G1244" i="3"/>
  <c r="H1244" i="3" s="1"/>
  <c r="G1232" i="3"/>
  <c r="H1232" i="3" s="1"/>
  <c r="G1220" i="3"/>
  <c r="H1220" i="3" s="1"/>
  <c r="G1208" i="3"/>
  <c r="H1208" i="3" s="1"/>
  <c r="G1196" i="3"/>
  <c r="G1184" i="3"/>
  <c r="G1172" i="3"/>
  <c r="G1160" i="3"/>
  <c r="H1160" i="3" s="1"/>
  <c r="G1148" i="3"/>
  <c r="H1148" i="3" s="1"/>
  <c r="G1136" i="3"/>
  <c r="H1136" i="3" s="1"/>
  <c r="G1124" i="3"/>
  <c r="H1124" i="3" s="1"/>
  <c r="G1112" i="3"/>
  <c r="H1112" i="3" s="1"/>
  <c r="G1100" i="3"/>
  <c r="H1100" i="3" s="1"/>
  <c r="G1088" i="3"/>
  <c r="H1088" i="3" s="1"/>
  <c r="G1076" i="3"/>
  <c r="H1076" i="3" s="1"/>
  <c r="G1064" i="3"/>
  <c r="G1052" i="3"/>
  <c r="G1040" i="3"/>
  <c r="G1028" i="3"/>
  <c r="H1028" i="3" s="1"/>
  <c r="G1016" i="3"/>
  <c r="H1016" i="3" s="1"/>
  <c r="G1004" i="3"/>
  <c r="H1004" i="3" s="1"/>
  <c r="G992" i="3"/>
  <c r="H992" i="3" s="1"/>
  <c r="G980" i="3"/>
  <c r="H980" i="3" s="1"/>
  <c r="G968" i="3"/>
  <c r="H968" i="3" s="1"/>
  <c r="G956" i="3"/>
  <c r="H956" i="3" s="1"/>
  <c r="G944" i="3"/>
  <c r="H944" i="3" s="1"/>
  <c r="G932" i="3"/>
  <c r="H932" i="3" s="1"/>
  <c r="G920" i="3"/>
  <c r="G908" i="3"/>
  <c r="G896" i="3"/>
  <c r="G884" i="3"/>
  <c r="H884" i="3" s="1"/>
  <c r="G872" i="3"/>
  <c r="H872" i="3" s="1"/>
  <c r="G860" i="3"/>
  <c r="H860" i="3" s="1"/>
  <c r="G848" i="3"/>
  <c r="H848" i="3" s="1"/>
  <c r="G836" i="3"/>
  <c r="H836" i="3" s="1"/>
  <c r="G824" i="3"/>
  <c r="H824" i="3" s="1"/>
  <c r="G812" i="3"/>
  <c r="H812" i="3" s="1"/>
  <c r="G800" i="3"/>
  <c r="H800" i="3" s="1"/>
  <c r="G788" i="3"/>
  <c r="H788" i="3" s="1"/>
  <c r="G776" i="3"/>
  <c r="G764" i="3"/>
  <c r="G752" i="3"/>
  <c r="H752" i="3" s="1"/>
  <c r="G740" i="3"/>
  <c r="H740" i="3" s="1"/>
  <c r="G728" i="3"/>
  <c r="H728" i="3" s="1"/>
  <c r="G716" i="3"/>
  <c r="H716" i="3" s="1"/>
  <c r="G704" i="3"/>
  <c r="H704" i="3" s="1"/>
  <c r="G692" i="3"/>
  <c r="H692" i="3" s="1"/>
  <c r="G680" i="3"/>
  <c r="H680" i="3" s="1"/>
  <c r="G668" i="3"/>
  <c r="G656" i="3"/>
  <c r="G644" i="3"/>
  <c r="H644" i="3" s="1"/>
  <c r="G632" i="3"/>
  <c r="H632" i="3" s="1"/>
  <c r="G620" i="3"/>
  <c r="H620" i="3" s="1"/>
  <c r="G608" i="3"/>
  <c r="H608" i="3" s="1"/>
  <c r="G596" i="3"/>
  <c r="H596" i="3" s="1"/>
  <c r="G584" i="3"/>
  <c r="G572" i="3"/>
  <c r="G560" i="3"/>
  <c r="H560" i="3" s="1"/>
  <c r="G548" i="3"/>
  <c r="H548" i="3" s="1"/>
  <c r="G536" i="3"/>
  <c r="H536" i="3" s="1"/>
  <c r="G524" i="3"/>
  <c r="G512" i="3"/>
  <c r="G500" i="3"/>
  <c r="G488" i="3"/>
  <c r="G476" i="3"/>
  <c r="G464" i="3"/>
  <c r="H464" i="3" s="1"/>
  <c r="G452" i="3"/>
  <c r="H452" i="3" s="1"/>
  <c r="G440" i="3"/>
  <c r="H440" i="3" s="1"/>
  <c r="G428" i="3"/>
  <c r="H428" i="3" s="1"/>
  <c r="G416" i="3"/>
  <c r="H416" i="3" s="1"/>
  <c r="G404" i="3"/>
  <c r="H404" i="3" s="1"/>
  <c r="G392" i="3"/>
  <c r="G380" i="3"/>
  <c r="G368" i="3"/>
  <c r="G356" i="3"/>
  <c r="H356" i="3" s="1"/>
  <c r="G344" i="3"/>
  <c r="H344" i="3" s="1"/>
  <c r="G332" i="3"/>
  <c r="H332" i="3" s="1"/>
  <c r="G320" i="3"/>
  <c r="G308" i="3"/>
  <c r="H308" i="3" s="1"/>
  <c r="G296" i="3"/>
  <c r="H296" i="3" s="1"/>
  <c r="G284" i="3"/>
  <c r="H284" i="3" s="1"/>
  <c r="G272" i="3"/>
  <c r="H272" i="3" s="1"/>
  <c r="G260" i="3"/>
  <c r="H260" i="3" s="1"/>
  <c r="G248" i="3"/>
  <c r="H248" i="3" s="1"/>
  <c r="G236" i="3"/>
  <c r="G224" i="3"/>
  <c r="G212" i="3"/>
  <c r="H212" i="3" s="1"/>
  <c r="G188" i="3"/>
  <c r="H188" i="3" s="1"/>
  <c r="G176" i="3"/>
  <c r="H176" i="3" s="1"/>
  <c r="G164" i="3"/>
  <c r="H164" i="3" s="1"/>
  <c r="G152" i="3"/>
  <c r="H152" i="3" s="1"/>
  <c r="G140" i="3"/>
  <c r="H140" i="3" s="1"/>
  <c r="G128" i="3"/>
  <c r="H128" i="3" s="1"/>
  <c r="G116" i="3"/>
  <c r="H116" i="3" s="1"/>
  <c r="G104" i="3"/>
  <c r="H104" i="3" s="1"/>
  <c r="G92" i="3"/>
  <c r="G80" i="3"/>
  <c r="H80" i="3" s="1"/>
  <c r="G68" i="3"/>
  <c r="H68" i="3" s="1"/>
  <c r="G56" i="3"/>
  <c r="H56" i="3" s="1"/>
  <c r="G44" i="3"/>
  <c r="H44" i="3" s="1"/>
  <c r="G32" i="3"/>
  <c r="H32" i="3" s="1"/>
  <c r="G20" i="3"/>
  <c r="H20" i="3" s="1"/>
  <c r="G8" i="3"/>
  <c r="H8" i="3" s="1"/>
  <c r="G2048" i="3"/>
  <c r="H2048" i="3" s="1"/>
  <c r="G2024" i="3"/>
  <c r="G2000" i="3"/>
  <c r="G1976" i="3"/>
  <c r="H1976" i="3" s="1"/>
  <c r="G1952" i="3"/>
  <c r="G1928" i="3"/>
  <c r="G1904" i="3"/>
  <c r="G1880" i="3"/>
  <c r="H1880" i="3" s="1"/>
  <c r="G1868" i="3"/>
  <c r="G1844" i="3"/>
  <c r="G1820" i="3"/>
  <c r="G1796" i="3"/>
  <c r="H1796" i="3" s="1"/>
  <c r="G1772" i="3"/>
  <c r="G1748" i="3"/>
  <c r="G1724" i="3"/>
  <c r="H1724" i="3" s="1"/>
  <c r="G1700" i="3"/>
  <c r="H1700" i="3" s="1"/>
  <c r="G1676" i="3"/>
  <c r="H1676" i="3" s="1"/>
  <c r="G1652" i="3"/>
  <c r="G1628" i="3"/>
  <c r="G1604" i="3"/>
  <c r="H1604" i="3" s="1"/>
  <c r="G1580" i="3"/>
  <c r="H1580" i="3" s="1"/>
  <c r="G1556" i="3"/>
  <c r="G1532" i="3"/>
  <c r="G1508" i="3"/>
  <c r="G1484" i="3"/>
  <c r="G1460" i="3"/>
  <c r="H1460" i="3" s="1"/>
  <c r="G1412" i="3"/>
  <c r="G200" i="3"/>
  <c r="H200" i="3" s="1"/>
  <c r="G3343" i="3"/>
  <c r="G3331" i="3"/>
  <c r="G3319" i="3"/>
  <c r="G3307" i="3"/>
  <c r="G3295" i="3"/>
  <c r="G3283" i="3"/>
  <c r="G3271" i="3"/>
  <c r="G3259" i="3"/>
  <c r="G3247" i="3"/>
  <c r="G3235" i="3"/>
  <c r="G3223" i="3"/>
  <c r="G3211" i="3"/>
  <c r="G3199" i="3"/>
  <c r="G3187" i="3"/>
  <c r="G3175" i="3"/>
  <c r="G3163" i="3"/>
  <c r="G3151" i="3"/>
  <c r="G3139" i="3"/>
  <c r="G3127" i="3"/>
  <c r="G3115" i="3"/>
  <c r="G3103" i="3"/>
  <c r="G3091" i="3"/>
  <c r="G3079" i="3"/>
  <c r="G3067" i="3"/>
  <c r="H3067" i="3" s="1"/>
  <c r="G3055" i="3"/>
  <c r="G3043" i="3"/>
  <c r="G3031" i="3"/>
  <c r="G3019" i="3"/>
  <c r="G3007" i="3"/>
  <c r="G2995" i="3"/>
  <c r="G2983" i="3"/>
  <c r="G2971" i="3"/>
  <c r="G2959" i="3"/>
  <c r="G2947" i="3"/>
  <c r="G2935" i="3"/>
  <c r="G2923" i="3"/>
  <c r="H2923" i="3" s="1"/>
  <c r="G2911" i="3"/>
  <c r="G2899" i="3"/>
  <c r="G2887" i="3"/>
  <c r="G2875" i="3"/>
  <c r="G2863" i="3"/>
  <c r="G2851" i="3"/>
  <c r="H2851" i="3" s="1"/>
  <c r="G2839" i="3"/>
  <c r="G2827" i="3"/>
  <c r="G2815" i="3"/>
  <c r="G2803" i="3"/>
  <c r="G2791" i="3"/>
  <c r="G2779" i="3"/>
  <c r="H2779" i="3" s="1"/>
  <c r="G2767" i="3"/>
  <c r="G2755" i="3"/>
  <c r="G2743" i="3"/>
  <c r="G2731" i="3"/>
  <c r="G2719" i="3"/>
  <c r="G2707" i="3"/>
  <c r="G2695" i="3"/>
  <c r="G2683" i="3"/>
  <c r="G2671" i="3"/>
  <c r="G2659" i="3"/>
  <c r="G2647" i="3"/>
  <c r="G2635" i="3"/>
  <c r="H2635" i="3" s="1"/>
  <c r="G2623" i="3"/>
  <c r="G2611" i="3"/>
  <c r="H2611" i="3" s="1"/>
  <c r="G2599" i="3"/>
  <c r="G2587" i="3"/>
  <c r="G2575" i="3"/>
  <c r="G2563" i="3"/>
  <c r="G2551" i="3"/>
  <c r="G2539" i="3"/>
  <c r="G2527" i="3"/>
  <c r="G2515" i="3"/>
  <c r="H2515" i="3" s="1"/>
  <c r="G2503" i="3"/>
  <c r="G2491" i="3"/>
  <c r="H2491" i="3" s="1"/>
  <c r="G2479" i="3"/>
  <c r="G2467" i="3"/>
  <c r="G2455" i="3"/>
  <c r="G2443" i="3"/>
  <c r="G2431" i="3"/>
  <c r="G2419" i="3"/>
  <c r="G2407" i="3"/>
  <c r="G2395" i="3"/>
  <c r="G2383" i="3"/>
  <c r="G2371" i="3"/>
  <c r="H2371" i="3" s="1"/>
  <c r="G2359" i="3"/>
  <c r="H2359" i="3" s="1"/>
  <c r="G2347" i="3"/>
  <c r="H2347" i="3" s="1"/>
  <c r="G2335" i="3"/>
  <c r="G2323" i="3"/>
  <c r="H2323" i="3" s="1"/>
  <c r="G2311" i="3"/>
  <c r="G2299" i="3"/>
  <c r="G2287" i="3"/>
  <c r="G2275" i="3"/>
  <c r="H2275" i="3" s="1"/>
  <c r="G2263" i="3"/>
  <c r="H2263" i="3" s="1"/>
  <c r="G2251" i="3"/>
  <c r="H2251" i="3" s="1"/>
  <c r="G2239" i="3"/>
  <c r="G2227" i="3"/>
  <c r="G2215" i="3"/>
  <c r="G2203" i="3"/>
  <c r="G2191" i="3"/>
  <c r="H2191" i="3" s="1"/>
  <c r="G2179" i="3"/>
  <c r="G2167" i="3"/>
  <c r="H2167" i="3" s="1"/>
  <c r="G2155" i="3"/>
  <c r="H2155" i="3" s="1"/>
  <c r="G2143" i="3"/>
  <c r="H2143" i="3" s="1"/>
  <c r="G2131" i="3"/>
  <c r="G2119" i="3"/>
  <c r="H2119" i="3" s="1"/>
  <c r="G2107" i="3"/>
  <c r="G2095" i="3"/>
  <c r="H2095" i="3" s="1"/>
  <c r="G2083" i="3"/>
  <c r="G2071" i="3"/>
  <c r="G2059" i="3"/>
  <c r="G2047" i="3"/>
  <c r="H2047" i="3" s="1"/>
  <c r="G2035" i="3"/>
  <c r="H2035" i="3" s="1"/>
  <c r="G2023" i="3"/>
  <c r="G2011" i="3"/>
  <c r="H2011" i="3" s="1"/>
  <c r="G1999" i="3"/>
  <c r="G1987" i="3"/>
  <c r="G1975" i="3"/>
  <c r="G1963" i="3"/>
  <c r="H1963" i="3" s="1"/>
  <c r="G1951" i="3"/>
  <c r="G1939" i="3"/>
  <c r="H1939" i="3" s="1"/>
  <c r="G1927" i="3"/>
  <c r="H1927" i="3" s="1"/>
  <c r="G1915" i="3"/>
  <c r="H1915" i="3" s="1"/>
  <c r="G1903" i="3"/>
  <c r="H1903" i="3" s="1"/>
  <c r="G1891" i="3"/>
  <c r="H1891" i="3" s="1"/>
  <c r="G1879" i="3"/>
  <c r="G1867" i="3"/>
  <c r="G1855" i="3"/>
  <c r="H1855" i="3" s="1"/>
  <c r="G1843" i="3"/>
  <c r="H1843" i="3" s="1"/>
  <c r="G1831" i="3"/>
  <c r="G1819" i="3"/>
  <c r="G1807" i="3"/>
  <c r="G1795" i="3"/>
  <c r="G1783" i="3"/>
  <c r="H1783" i="3" s="1"/>
  <c r="G1771" i="3"/>
  <c r="H1771" i="3" s="1"/>
  <c r="G1759" i="3"/>
  <c r="G1747" i="3"/>
  <c r="G1735" i="3"/>
  <c r="G1723" i="3"/>
  <c r="G1711" i="3"/>
  <c r="H1711" i="3" s="1"/>
  <c r="G1699" i="3"/>
  <c r="G1687" i="3"/>
  <c r="H1687" i="3" s="1"/>
  <c r="G1675" i="3"/>
  <c r="H1675" i="3" s="1"/>
  <c r="G1663" i="3"/>
  <c r="H1663" i="3" s="1"/>
  <c r="G1651" i="3"/>
  <c r="G1639" i="3"/>
  <c r="G1627" i="3"/>
  <c r="G1615" i="3"/>
  <c r="G1603" i="3"/>
  <c r="G1591" i="3"/>
  <c r="G1579" i="3"/>
  <c r="H1579" i="3" s="1"/>
  <c r="G1567" i="3"/>
  <c r="H1567" i="3" s="1"/>
  <c r="G1555" i="3"/>
  <c r="H1555" i="3" s="1"/>
  <c r="G1543" i="3"/>
  <c r="G1531" i="3"/>
  <c r="H1531" i="3" s="1"/>
  <c r="G1519" i="3"/>
  <c r="G1507" i="3"/>
  <c r="G1495" i="3"/>
  <c r="H1495" i="3" s="1"/>
  <c r="G1483" i="3"/>
  <c r="H1483" i="3" s="1"/>
  <c r="G1471" i="3"/>
  <c r="H1471" i="3" s="1"/>
  <c r="G1459" i="3"/>
  <c r="G1447" i="3"/>
  <c r="H1447" i="3" s="1"/>
  <c r="G1435" i="3"/>
  <c r="H1435" i="3" s="1"/>
  <c r="G1423" i="3"/>
  <c r="H1423" i="3" s="1"/>
  <c r="G1411" i="3"/>
  <c r="G1399" i="3"/>
  <c r="G1387" i="3"/>
  <c r="G1375" i="3"/>
  <c r="H1375" i="3" s="1"/>
  <c r="G1363" i="3"/>
  <c r="H1363" i="3" s="1"/>
  <c r="G1351" i="3"/>
  <c r="H1351" i="3" s="1"/>
  <c r="G1339" i="3"/>
  <c r="H1339" i="3" s="1"/>
  <c r="G1327" i="3"/>
  <c r="H1327" i="3" s="1"/>
  <c r="G1315" i="3"/>
  <c r="H1315" i="3" s="1"/>
  <c r="G1303" i="3"/>
  <c r="H1303" i="3" s="1"/>
  <c r="G1291" i="3"/>
  <c r="H1291" i="3" s="1"/>
  <c r="G1279" i="3"/>
  <c r="H1279" i="3" s="1"/>
  <c r="G1267" i="3"/>
  <c r="H1267" i="3" s="1"/>
  <c r="G1255" i="3"/>
  <c r="H1255" i="3" s="1"/>
  <c r="G1243" i="3"/>
  <c r="H1243" i="3" s="1"/>
  <c r="G1231" i="3"/>
  <c r="H1231" i="3" s="1"/>
  <c r="G1219" i="3"/>
  <c r="H1219" i="3" s="1"/>
  <c r="G1207" i="3"/>
  <c r="H1207" i="3" s="1"/>
  <c r="G1195" i="3"/>
  <c r="H1195" i="3" s="1"/>
  <c r="G1183" i="3"/>
  <c r="H1183" i="3" s="1"/>
  <c r="G1171" i="3"/>
  <c r="G1159" i="3"/>
  <c r="G1147" i="3"/>
  <c r="H1147" i="3" s="1"/>
  <c r="G1135" i="3"/>
  <c r="H1135" i="3" s="1"/>
  <c r="G1123" i="3"/>
  <c r="H1123" i="3" s="1"/>
  <c r="G1111" i="3"/>
  <c r="H1111" i="3" s="1"/>
  <c r="G1099" i="3"/>
  <c r="H1099" i="3" s="1"/>
  <c r="G1087" i="3"/>
  <c r="H1087" i="3" s="1"/>
  <c r="G1075" i="3"/>
  <c r="H1075" i="3" s="1"/>
  <c r="G1063" i="3"/>
  <c r="H1063" i="3" s="1"/>
  <c r="G1051" i="3"/>
  <c r="H1051" i="3" s="1"/>
  <c r="G1039" i="3"/>
  <c r="H1039" i="3" s="1"/>
  <c r="G1027" i="3"/>
  <c r="G1015" i="3"/>
  <c r="H1015" i="3" s="1"/>
  <c r="G1003" i="3"/>
  <c r="H1003" i="3" s="1"/>
  <c r="G991" i="3"/>
  <c r="H991" i="3" s="1"/>
  <c r="G979" i="3"/>
  <c r="H979" i="3" s="1"/>
  <c r="G967" i="3"/>
  <c r="H967" i="3" s="1"/>
  <c r="G955" i="3"/>
  <c r="H955" i="3" s="1"/>
  <c r="G943" i="3"/>
  <c r="H943" i="3" s="1"/>
  <c r="G931" i="3"/>
  <c r="H931" i="3" s="1"/>
  <c r="G919" i="3"/>
  <c r="G907" i="3"/>
  <c r="H907" i="3" s="1"/>
  <c r="G895" i="3"/>
  <c r="H895" i="3" s="1"/>
  <c r="G883" i="3"/>
  <c r="G871" i="3"/>
  <c r="G859" i="3"/>
  <c r="H859" i="3" s="1"/>
  <c r="G847" i="3"/>
  <c r="H847" i="3" s="1"/>
  <c r="G835" i="3"/>
  <c r="H835" i="3" s="1"/>
  <c r="G823" i="3"/>
  <c r="H823" i="3" s="1"/>
  <c r="G811" i="3"/>
  <c r="G799" i="3"/>
  <c r="H799" i="3" s="1"/>
  <c r="G787" i="3"/>
  <c r="G775" i="3"/>
  <c r="H775" i="3" s="1"/>
  <c r="G763" i="3"/>
  <c r="H763" i="3" s="1"/>
  <c r="G751" i="3"/>
  <c r="H751" i="3" s="1"/>
  <c r="G739" i="3"/>
  <c r="G727" i="3"/>
  <c r="H727" i="3" s="1"/>
  <c r="G715" i="3"/>
  <c r="H715" i="3" s="1"/>
  <c r="G703" i="3"/>
  <c r="H703" i="3" s="1"/>
  <c r="G691" i="3"/>
  <c r="H691" i="3" s="1"/>
  <c r="G679" i="3"/>
  <c r="H679" i="3" s="1"/>
  <c r="G667" i="3"/>
  <c r="H667" i="3" s="1"/>
  <c r="G655" i="3"/>
  <c r="G643" i="3"/>
  <c r="G631" i="3"/>
  <c r="H631" i="3" s="1"/>
  <c r="G619" i="3"/>
  <c r="H619" i="3" s="1"/>
  <c r="G607" i="3"/>
  <c r="H607" i="3" s="1"/>
  <c r="G595" i="3"/>
  <c r="G583" i="3"/>
  <c r="G571" i="3"/>
  <c r="H571" i="3" s="1"/>
  <c r="G559" i="3"/>
  <c r="H559" i="3" s="1"/>
  <c r="G547" i="3"/>
  <c r="H547" i="3" s="1"/>
  <c r="G535" i="3"/>
  <c r="H535" i="3" s="1"/>
  <c r="G523" i="3"/>
  <c r="H523" i="3" s="1"/>
  <c r="G511" i="3"/>
  <c r="H511" i="3" s="1"/>
  <c r="G499" i="3"/>
  <c r="H499" i="3" s="1"/>
  <c r="G487" i="3"/>
  <c r="H487" i="3" s="1"/>
  <c r="G475" i="3"/>
  <c r="H475" i="3" s="1"/>
  <c r="G463" i="3"/>
  <c r="H463" i="3" s="1"/>
  <c r="G451" i="3"/>
  <c r="H451" i="3" s="1"/>
  <c r="G439" i="3"/>
  <c r="H439" i="3" s="1"/>
  <c r="G427" i="3"/>
  <c r="H427" i="3" s="1"/>
  <c r="G415" i="3"/>
  <c r="G403" i="3"/>
  <c r="H403" i="3" s="1"/>
  <c r="G391" i="3"/>
  <c r="H391" i="3" s="1"/>
  <c r="G379" i="3"/>
  <c r="H379" i="3" s="1"/>
  <c r="G367" i="3"/>
  <c r="H367" i="3" s="1"/>
  <c r="G355" i="3"/>
  <c r="H355" i="3" s="1"/>
  <c r="G343" i="3"/>
  <c r="H343" i="3" s="1"/>
  <c r="G331" i="3"/>
  <c r="H331" i="3" s="1"/>
  <c r="G319" i="3"/>
  <c r="H319" i="3" s="1"/>
  <c r="G307" i="3"/>
  <c r="H307" i="3" s="1"/>
  <c r="G295" i="3"/>
  <c r="H295" i="3" s="1"/>
  <c r="G283" i="3"/>
  <c r="H283" i="3" s="1"/>
  <c r="G271" i="3"/>
  <c r="H271" i="3" s="1"/>
  <c r="G259" i="3"/>
  <c r="H259" i="3" s="1"/>
  <c r="G247" i="3"/>
  <c r="H247" i="3" s="1"/>
  <c r="G235" i="3"/>
  <c r="H235" i="3" s="1"/>
  <c r="G223" i="3"/>
  <c r="H223" i="3" s="1"/>
  <c r="G211" i="3"/>
  <c r="H211" i="3" s="1"/>
  <c r="G199" i="3"/>
  <c r="H199" i="3" s="1"/>
  <c r="G187" i="3"/>
  <c r="H187" i="3" s="1"/>
  <c r="G175" i="3"/>
  <c r="H175" i="3" s="1"/>
  <c r="G163" i="3"/>
  <c r="H163" i="3" s="1"/>
  <c r="G151" i="3"/>
  <c r="H151" i="3" s="1"/>
  <c r="G139" i="3"/>
  <c r="H139" i="3" s="1"/>
  <c r="G127" i="3"/>
  <c r="H127" i="3" s="1"/>
  <c r="G115" i="3"/>
  <c r="H115" i="3" s="1"/>
  <c r="G103" i="3"/>
  <c r="H103" i="3" s="1"/>
  <c r="G91" i="3"/>
  <c r="H91" i="3" s="1"/>
  <c r="G79" i="3"/>
  <c r="H79" i="3" s="1"/>
  <c r="G67" i="3"/>
  <c r="H67" i="3" s="1"/>
  <c r="G55" i="3"/>
  <c r="G43" i="3"/>
  <c r="H43" i="3" s="1"/>
  <c r="G31" i="3"/>
  <c r="H31" i="3" s="1"/>
  <c r="G19" i="3"/>
  <c r="H19" i="3" s="1"/>
  <c r="G7" i="3"/>
  <c r="H7" i="3" s="1"/>
  <c r="G3341" i="3"/>
  <c r="G3329" i="3"/>
  <c r="G3317" i="3"/>
  <c r="G3305" i="3"/>
  <c r="G3293" i="3"/>
  <c r="G3281" i="3"/>
  <c r="G3269" i="3"/>
  <c r="H3269" i="3" s="1"/>
  <c r="G3257" i="3"/>
  <c r="H3257" i="3" s="1"/>
  <c r="G3245" i="3"/>
  <c r="H3245" i="3" s="1"/>
  <c r="G3233" i="3"/>
  <c r="H3233" i="3" s="1"/>
  <c r="G3221" i="3"/>
  <c r="G3209" i="3"/>
  <c r="H3209" i="3" s="1"/>
  <c r="G3197" i="3"/>
  <c r="H3197" i="3" s="1"/>
  <c r="G3185" i="3"/>
  <c r="G3173" i="3"/>
  <c r="G3161" i="3"/>
  <c r="H3161" i="3" s="1"/>
  <c r="G3149" i="3"/>
  <c r="H3149" i="3" s="1"/>
  <c r="G3137" i="3"/>
  <c r="H3137" i="3" s="1"/>
  <c r="G3125" i="3"/>
  <c r="H3125" i="3" s="1"/>
  <c r="G3113" i="3"/>
  <c r="H3113" i="3" s="1"/>
  <c r="G3101" i="3"/>
  <c r="H3101" i="3" s="1"/>
  <c r="G3089" i="3"/>
  <c r="H3089" i="3" s="1"/>
  <c r="G3077" i="3"/>
  <c r="H3077" i="3" s="1"/>
  <c r="G3065" i="3"/>
  <c r="H3065" i="3" s="1"/>
  <c r="G3053" i="3"/>
  <c r="H3053" i="3" s="1"/>
  <c r="G3041" i="3"/>
  <c r="H3041" i="3" s="1"/>
  <c r="G3029" i="3"/>
  <c r="H3029" i="3" s="1"/>
  <c r="G3017" i="3"/>
  <c r="H3017" i="3" s="1"/>
  <c r="G3005" i="3"/>
  <c r="H3005" i="3" s="1"/>
  <c r="G2993" i="3"/>
  <c r="H2993" i="3" s="1"/>
  <c r="G2981" i="3"/>
  <c r="H2981" i="3" s="1"/>
  <c r="G2969" i="3"/>
  <c r="H2969" i="3" s="1"/>
  <c r="G2957" i="3"/>
  <c r="H2957" i="3" s="1"/>
  <c r="G2945" i="3"/>
  <c r="H2945" i="3" s="1"/>
  <c r="G2933" i="3"/>
  <c r="H2933" i="3" s="1"/>
  <c r="G2921" i="3"/>
  <c r="H2921" i="3" s="1"/>
  <c r="G2909" i="3"/>
  <c r="H2909" i="3" s="1"/>
  <c r="G2897" i="3"/>
  <c r="H2897" i="3" s="1"/>
  <c r="G2885" i="3"/>
  <c r="H2885" i="3" s="1"/>
  <c r="G2873" i="3"/>
  <c r="H2873" i="3" s="1"/>
  <c r="G2861" i="3"/>
  <c r="H2861" i="3" s="1"/>
  <c r="G2849" i="3"/>
  <c r="H2849" i="3" s="1"/>
  <c r="G2837" i="3"/>
  <c r="H2837" i="3" s="1"/>
  <c r="G2825" i="3"/>
  <c r="H2825" i="3" s="1"/>
  <c r="G2813" i="3"/>
  <c r="H2813" i="3" s="1"/>
  <c r="G2801" i="3"/>
  <c r="H2801" i="3" s="1"/>
  <c r="G2789" i="3"/>
  <c r="H2789" i="3" s="1"/>
  <c r="G2777" i="3"/>
  <c r="H2777" i="3" s="1"/>
  <c r="G2765" i="3"/>
  <c r="H2765" i="3" s="1"/>
  <c r="G2753" i="3"/>
  <c r="H2753" i="3" s="1"/>
  <c r="G2741" i="3"/>
  <c r="H2741" i="3" s="1"/>
  <c r="G2729" i="3"/>
  <c r="H2729" i="3" s="1"/>
  <c r="G2717" i="3"/>
  <c r="H2717" i="3" s="1"/>
  <c r="G2705" i="3"/>
  <c r="H2705" i="3" s="1"/>
  <c r="G2693" i="3"/>
  <c r="H2693" i="3" s="1"/>
  <c r="G2681" i="3"/>
  <c r="H2681" i="3" s="1"/>
  <c r="G2669" i="3"/>
  <c r="H2669" i="3" s="1"/>
  <c r="G2657" i="3"/>
  <c r="H2657" i="3" s="1"/>
  <c r="G2645" i="3"/>
  <c r="H2645" i="3" s="1"/>
  <c r="G2633" i="3"/>
  <c r="H2633" i="3" s="1"/>
  <c r="G2621" i="3"/>
  <c r="H2621" i="3" s="1"/>
  <c r="G2609" i="3"/>
  <c r="H2609" i="3" s="1"/>
  <c r="G2597" i="3"/>
  <c r="H2597" i="3" s="1"/>
  <c r="G2585" i="3"/>
  <c r="H2585" i="3" s="1"/>
  <c r="G2573" i="3"/>
  <c r="H2573" i="3" s="1"/>
  <c r="G2561" i="3"/>
  <c r="H2561" i="3" s="1"/>
  <c r="G2549" i="3"/>
  <c r="H2549" i="3" s="1"/>
  <c r="G2537" i="3"/>
  <c r="H2537" i="3" s="1"/>
  <c r="G2525" i="3"/>
  <c r="H2525" i="3" s="1"/>
  <c r="G2513" i="3"/>
  <c r="H2513" i="3" s="1"/>
  <c r="G2501" i="3"/>
  <c r="H2501" i="3" s="1"/>
  <c r="G2489" i="3"/>
  <c r="H2489" i="3" s="1"/>
  <c r="G2477" i="3"/>
  <c r="H2477" i="3" s="1"/>
  <c r="G2465" i="3"/>
  <c r="H2465" i="3" s="1"/>
  <c r="G2453" i="3"/>
  <c r="H2453" i="3" s="1"/>
  <c r="G2441" i="3"/>
  <c r="H2441" i="3" s="1"/>
  <c r="G2429" i="3"/>
  <c r="H2429" i="3" s="1"/>
  <c r="G2417" i="3"/>
  <c r="H2417" i="3" s="1"/>
  <c r="G2405" i="3"/>
  <c r="H2405" i="3" s="1"/>
  <c r="G2393" i="3"/>
  <c r="H2393" i="3" s="1"/>
  <c r="G2381" i="3"/>
  <c r="H2381" i="3" s="1"/>
  <c r="G2369" i="3"/>
  <c r="H2369" i="3" s="1"/>
  <c r="G2357" i="3"/>
  <c r="H2357" i="3" s="1"/>
  <c r="G2345" i="3"/>
  <c r="H2345" i="3" s="1"/>
  <c r="G2333" i="3"/>
  <c r="H2333" i="3" s="1"/>
  <c r="G2321" i="3"/>
  <c r="H2321" i="3" s="1"/>
  <c r="G2309" i="3"/>
  <c r="H2309" i="3" s="1"/>
  <c r="G2297" i="3"/>
  <c r="H2297" i="3" s="1"/>
  <c r="G2285" i="3"/>
  <c r="H2285" i="3" s="1"/>
  <c r="G2273" i="3"/>
  <c r="H2273" i="3" s="1"/>
  <c r="G2261" i="3"/>
  <c r="H2261" i="3" s="1"/>
  <c r="G2249" i="3"/>
  <c r="H2249" i="3" s="1"/>
  <c r="G2237" i="3"/>
  <c r="H2237" i="3" s="1"/>
  <c r="G2225" i="3"/>
  <c r="H2225" i="3" s="1"/>
  <c r="G2213" i="3"/>
  <c r="H2213" i="3" s="1"/>
  <c r="G2201" i="3"/>
  <c r="H2201" i="3" s="1"/>
  <c r="G2189" i="3"/>
  <c r="H2189" i="3" s="1"/>
  <c r="G2177" i="3"/>
  <c r="H2177" i="3" s="1"/>
  <c r="G2165" i="3"/>
  <c r="H2165" i="3" s="1"/>
  <c r="G2153" i="3"/>
  <c r="H2153" i="3" s="1"/>
  <c r="G2141" i="3"/>
  <c r="H2141" i="3" s="1"/>
  <c r="G2129" i="3"/>
  <c r="H2129" i="3" s="1"/>
  <c r="G2117" i="3"/>
  <c r="H2117" i="3" s="1"/>
  <c r="G2105" i="3"/>
  <c r="H2105" i="3" s="1"/>
  <c r="G2093" i="3"/>
  <c r="H2093" i="3" s="1"/>
  <c r="G2081" i="3"/>
  <c r="H2081" i="3" s="1"/>
  <c r="G2069" i="3"/>
  <c r="H2069" i="3" s="1"/>
  <c r="G2057" i="3"/>
  <c r="H2057" i="3" s="1"/>
  <c r="G2045" i="3"/>
  <c r="H2045" i="3" s="1"/>
  <c r="G2033" i="3"/>
  <c r="H2033" i="3" s="1"/>
  <c r="G2021" i="3"/>
  <c r="H2021" i="3" s="1"/>
  <c r="G2009" i="3"/>
  <c r="H2009" i="3" s="1"/>
  <c r="G1997" i="3"/>
  <c r="H1997" i="3" s="1"/>
  <c r="G1985" i="3"/>
  <c r="H1985" i="3" s="1"/>
  <c r="G1973" i="3"/>
  <c r="H1973" i="3" s="1"/>
  <c r="G1961" i="3"/>
  <c r="H1961" i="3" s="1"/>
  <c r="G1949" i="3"/>
  <c r="H1949" i="3" s="1"/>
  <c r="G1937" i="3"/>
  <c r="H1937" i="3" s="1"/>
  <c r="G1925" i="3"/>
  <c r="H1925" i="3" s="1"/>
  <c r="G1913" i="3"/>
  <c r="H1913" i="3" s="1"/>
  <c r="G1901" i="3"/>
  <c r="H1901" i="3" s="1"/>
  <c r="G1889" i="3"/>
  <c r="H1889" i="3" s="1"/>
  <c r="G1877" i="3"/>
  <c r="H1877" i="3" s="1"/>
  <c r="G1865" i="3"/>
  <c r="H1865" i="3" s="1"/>
  <c r="G1853" i="3"/>
  <c r="H1853" i="3" s="1"/>
  <c r="G1841" i="3"/>
  <c r="H1841" i="3" s="1"/>
  <c r="G1829" i="3"/>
  <c r="H1829" i="3" s="1"/>
  <c r="G1817" i="3"/>
  <c r="H1817" i="3" s="1"/>
  <c r="G1805" i="3"/>
  <c r="H1805" i="3" s="1"/>
  <c r="G1793" i="3"/>
  <c r="H1793" i="3" s="1"/>
  <c r="G1781" i="3"/>
  <c r="H1781" i="3" s="1"/>
  <c r="G1769" i="3"/>
  <c r="H1769" i="3" s="1"/>
  <c r="G1757" i="3"/>
  <c r="H1757" i="3" s="1"/>
  <c r="G1745" i="3"/>
  <c r="H1745" i="3" s="1"/>
  <c r="G1733" i="3"/>
  <c r="H1733" i="3" s="1"/>
  <c r="G1721" i="3"/>
  <c r="H1721" i="3" s="1"/>
  <c r="G1709" i="3"/>
  <c r="H1709" i="3" s="1"/>
  <c r="G1697" i="3"/>
  <c r="H1697" i="3" s="1"/>
  <c r="G1685" i="3"/>
  <c r="H1685" i="3" s="1"/>
  <c r="G1673" i="3"/>
  <c r="H1673" i="3" s="1"/>
  <c r="G1661" i="3"/>
  <c r="H1661" i="3" s="1"/>
  <c r="G1649" i="3"/>
  <c r="H1649" i="3" s="1"/>
  <c r="G1637" i="3"/>
  <c r="H1637" i="3" s="1"/>
  <c r="G1625" i="3"/>
  <c r="H1625" i="3" s="1"/>
  <c r="G1613" i="3"/>
  <c r="H1613" i="3" s="1"/>
  <c r="G1601" i="3"/>
  <c r="H1601" i="3" s="1"/>
  <c r="G1589" i="3"/>
  <c r="H1589" i="3" s="1"/>
  <c r="G1577" i="3"/>
  <c r="H1577" i="3" s="1"/>
  <c r="G1565" i="3"/>
  <c r="H1565" i="3" s="1"/>
  <c r="G1553" i="3"/>
  <c r="H1553" i="3" s="1"/>
  <c r="G1541" i="3"/>
  <c r="H1541" i="3" s="1"/>
  <c r="G1529" i="3"/>
  <c r="H1529" i="3" s="1"/>
  <c r="G1517" i="3"/>
  <c r="H1517" i="3" s="1"/>
  <c r="G1505" i="3"/>
  <c r="H1505" i="3" s="1"/>
  <c r="G1493" i="3"/>
  <c r="H1493" i="3" s="1"/>
  <c r="G1481" i="3"/>
  <c r="H1481" i="3" s="1"/>
  <c r="G1469" i="3"/>
  <c r="H1469" i="3" s="1"/>
  <c r="G1457" i="3"/>
  <c r="H1457" i="3" s="1"/>
  <c r="G1445" i="3"/>
  <c r="H1445" i="3" s="1"/>
  <c r="G1433" i="3"/>
  <c r="H1433" i="3" s="1"/>
  <c r="G1421" i="3"/>
  <c r="H1421" i="3" s="1"/>
  <c r="G1409" i="3"/>
  <c r="H1409" i="3" s="1"/>
  <c r="G1397" i="3"/>
  <c r="H1397" i="3" s="1"/>
  <c r="G1385" i="3"/>
  <c r="H1385" i="3" s="1"/>
  <c r="G1373" i="3"/>
  <c r="H1373" i="3" s="1"/>
  <c r="G1361" i="3"/>
  <c r="H1361" i="3" s="1"/>
  <c r="G1349" i="3"/>
  <c r="H1349" i="3" s="1"/>
  <c r="G1337" i="3"/>
  <c r="H1337" i="3" s="1"/>
  <c r="G1325" i="3"/>
  <c r="H1325" i="3" s="1"/>
  <c r="G1313" i="3"/>
  <c r="H1313" i="3" s="1"/>
  <c r="G1301" i="3"/>
  <c r="H1301" i="3" s="1"/>
  <c r="G1289" i="3"/>
  <c r="H1289" i="3" s="1"/>
  <c r="G1277" i="3"/>
  <c r="H1277" i="3" s="1"/>
  <c r="G1265" i="3"/>
  <c r="H1265" i="3" s="1"/>
  <c r="G1253" i="3"/>
  <c r="H1253" i="3" s="1"/>
  <c r="G1241" i="3"/>
  <c r="H1241" i="3" s="1"/>
  <c r="G1229" i="3"/>
  <c r="H1229" i="3" s="1"/>
  <c r="G1217" i="3"/>
  <c r="H1217" i="3" s="1"/>
  <c r="G1205" i="3"/>
  <c r="H1205" i="3" s="1"/>
  <c r="G1193" i="3"/>
  <c r="H1193" i="3" s="1"/>
  <c r="G1181" i="3"/>
  <c r="H1181" i="3" s="1"/>
  <c r="G1169" i="3"/>
  <c r="H1169" i="3" s="1"/>
  <c r="G1157" i="3"/>
  <c r="H1157" i="3" s="1"/>
  <c r="G1145" i="3"/>
  <c r="H1145" i="3" s="1"/>
  <c r="G1133" i="3"/>
  <c r="H1133" i="3" s="1"/>
  <c r="G1121" i="3"/>
  <c r="H1121" i="3" s="1"/>
  <c r="G1109" i="3"/>
  <c r="H1109" i="3" s="1"/>
  <c r="G1097" i="3"/>
  <c r="H1097" i="3" s="1"/>
  <c r="G1085" i="3"/>
  <c r="H1085" i="3" s="1"/>
  <c r="G1073" i="3"/>
  <c r="H1073" i="3" s="1"/>
  <c r="G1061" i="3"/>
  <c r="H1061" i="3" s="1"/>
  <c r="G1049" i="3"/>
  <c r="H1049" i="3" s="1"/>
  <c r="G1037" i="3"/>
  <c r="H1037" i="3" s="1"/>
  <c r="G1025" i="3"/>
  <c r="H1025" i="3" s="1"/>
  <c r="G1013" i="3"/>
  <c r="H1013" i="3" s="1"/>
  <c r="G1001" i="3"/>
  <c r="H1001" i="3" s="1"/>
  <c r="G989" i="3"/>
  <c r="H989" i="3" s="1"/>
  <c r="G977" i="3"/>
  <c r="H977" i="3" s="1"/>
  <c r="G965" i="3"/>
  <c r="H965" i="3" s="1"/>
  <c r="G953" i="3"/>
  <c r="H953" i="3" s="1"/>
  <c r="G941" i="3"/>
  <c r="H941" i="3" s="1"/>
  <c r="G929" i="3"/>
  <c r="H929" i="3" s="1"/>
  <c r="G917" i="3"/>
  <c r="H917" i="3" s="1"/>
  <c r="G905" i="3"/>
  <c r="H905" i="3" s="1"/>
  <c r="G893" i="3"/>
  <c r="H893" i="3" s="1"/>
  <c r="G881" i="3"/>
  <c r="H881" i="3" s="1"/>
  <c r="G869" i="3"/>
  <c r="H869" i="3" s="1"/>
  <c r="G857" i="3"/>
  <c r="H857" i="3" s="1"/>
  <c r="G845" i="3"/>
  <c r="H845" i="3" s="1"/>
  <c r="G833" i="3"/>
  <c r="H833" i="3" s="1"/>
  <c r="G821" i="3"/>
  <c r="H821" i="3" s="1"/>
  <c r="G809" i="3"/>
  <c r="H809" i="3" s="1"/>
  <c r="G797" i="3"/>
  <c r="H797" i="3" s="1"/>
  <c r="G785" i="3"/>
  <c r="H785" i="3" s="1"/>
  <c r="G773" i="3"/>
  <c r="H773" i="3" s="1"/>
  <c r="G761" i="3"/>
  <c r="H761" i="3" s="1"/>
  <c r="G749" i="3"/>
  <c r="H749" i="3" s="1"/>
  <c r="G737" i="3"/>
  <c r="H737" i="3" s="1"/>
  <c r="G725" i="3"/>
  <c r="H725" i="3" s="1"/>
  <c r="G713" i="3"/>
  <c r="H713" i="3" s="1"/>
  <c r="G701" i="3"/>
  <c r="H701" i="3" s="1"/>
  <c r="G689" i="3"/>
  <c r="H689" i="3" s="1"/>
  <c r="G677" i="3"/>
  <c r="H677" i="3" s="1"/>
  <c r="G665" i="3"/>
  <c r="H665" i="3" s="1"/>
  <c r="G653" i="3"/>
  <c r="H653" i="3" s="1"/>
  <c r="G641" i="3"/>
  <c r="H641" i="3" s="1"/>
  <c r="G629" i="3"/>
  <c r="H629" i="3" s="1"/>
  <c r="G617" i="3"/>
  <c r="H617" i="3" s="1"/>
  <c r="G605" i="3"/>
  <c r="H605" i="3" s="1"/>
  <c r="G593" i="3"/>
  <c r="H593" i="3" s="1"/>
  <c r="G581" i="3"/>
  <c r="H581" i="3" s="1"/>
  <c r="G569" i="3"/>
  <c r="H569" i="3" s="1"/>
  <c r="G557" i="3"/>
  <c r="H557" i="3" s="1"/>
  <c r="G545" i="3"/>
  <c r="H545" i="3" s="1"/>
  <c r="G533" i="3"/>
  <c r="H533" i="3" s="1"/>
  <c r="G521" i="3"/>
  <c r="H521" i="3" s="1"/>
  <c r="G509" i="3"/>
  <c r="H509" i="3" s="1"/>
  <c r="G497" i="3"/>
  <c r="H497" i="3" s="1"/>
  <c r="G485" i="3"/>
  <c r="H485" i="3" s="1"/>
  <c r="G473" i="3"/>
  <c r="H473" i="3" s="1"/>
  <c r="G461" i="3"/>
  <c r="H461" i="3" s="1"/>
  <c r="G449" i="3"/>
  <c r="H449" i="3" s="1"/>
  <c r="G437" i="3"/>
  <c r="H437" i="3" s="1"/>
  <c r="G425" i="3"/>
  <c r="H425" i="3" s="1"/>
  <c r="G413" i="3"/>
  <c r="H413" i="3" s="1"/>
  <c r="G401" i="3"/>
  <c r="H401" i="3" s="1"/>
  <c r="G389" i="3"/>
  <c r="H389" i="3" s="1"/>
  <c r="G377" i="3"/>
  <c r="H377" i="3" s="1"/>
  <c r="G365" i="3"/>
  <c r="H365" i="3" s="1"/>
  <c r="G353" i="3"/>
  <c r="H353" i="3" s="1"/>
  <c r="G341" i="3"/>
  <c r="H341" i="3" s="1"/>
  <c r="G329" i="3"/>
  <c r="H329" i="3" s="1"/>
  <c r="G317" i="3"/>
  <c r="H317" i="3" s="1"/>
  <c r="G305" i="3"/>
  <c r="H305" i="3" s="1"/>
  <c r="G293" i="3"/>
  <c r="H293" i="3" s="1"/>
  <c r="G281" i="3"/>
  <c r="H281" i="3" s="1"/>
  <c r="G269" i="3"/>
  <c r="H269" i="3" s="1"/>
  <c r="G257" i="3"/>
  <c r="H257" i="3" s="1"/>
  <c r="G245" i="3"/>
  <c r="H245" i="3" s="1"/>
  <c r="G233" i="3"/>
  <c r="H233" i="3" s="1"/>
  <c r="G221" i="3"/>
  <c r="H221" i="3" s="1"/>
  <c r="G209" i="3"/>
  <c r="H209" i="3" s="1"/>
  <c r="G197" i="3"/>
  <c r="H197" i="3" s="1"/>
  <c r="G185" i="3"/>
  <c r="H185" i="3" s="1"/>
  <c r="G173" i="3"/>
  <c r="H173" i="3" s="1"/>
  <c r="G161" i="3"/>
  <c r="H161" i="3" s="1"/>
  <c r="G149" i="3"/>
  <c r="H149" i="3" s="1"/>
  <c r="G137" i="3"/>
  <c r="H137" i="3" s="1"/>
  <c r="G125" i="3"/>
  <c r="H125" i="3" s="1"/>
  <c r="G113" i="3"/>
  <c r="H113" i="3" s="1"/>
  <c r="G101" i="3"/>
  <c r="H101" i="3" s="1"/>
  <c r="G89" i="3"/>
  <c r="H89" i="3" s="1"/>
  <c r="G77" i="3"/>
  <c r="H77" i="3" s="1"/>
  <c r="G65" i="3"/>
  <c r="H65" i="3" s="1"/>
  <c r="G53" i="3"/>
  <c r="H53" i="3" s="1"/>
  <c r="G41" i="3"/>
  <c r="H41" i="3" s="1"/>
  <c r="G29" i="3"/>
  <c r="H29" i="3" s="1"/>
  <c r="G17" i="3"/>
  <c r="H17" i="3" s="1"/>
  <c r="G5" i="3"/>
  <c r="H5" i="3" s="1"/>
  <c r="G3340" i="3"/>
  <c r="G3328" i="3"/>
  <c r="H3328" i="3" s="1"/>
  <c r="G3316" i="3"/>
  <c r="G3304" i="3"/>
  <c r="G3292" i="3"/>
  <c r="G3280" i="3"/>
  <c r="H3280" i="3" s="1"/>
  <c r="G3268" i="3"/>
  <c r="H3268" i="3" s="1"/>
  <c r="G3256" i="3"/>
  <c r="H3256" i="3" s="1"/>
  <c r="G3244" i="3"/>
  <c r="H3244" i="3" s="1"/>
  <c r="G3232" i="3"/>
  <c r="G3220" i="3"/>
  <c r="H3220" i="3" s="1"/>
  <c r="G3208" i="3"/>
  <c r="H3208" i="3" s="1"/>
  <c r="G3196" i="3"/>
  <c r="H3196" i="3" s="1"/>
  <c r="G3184" i="3"/>
  <c r="H3184" i="3" s="1"/>
  <c r="G3172" i="3"/>
  <c r="G3160" i="3"/>
  <c r="G3148" i="3"/>
  <c r="G3136" i="3"/>
  <c r="H3136" i="3" s="1"/>
  <c r="G3124" i="3"/>
  <c r="H3124" i="3" s="1"/>
  <c r="G3112" i="3"/>
  <c r="H3112" i="3" s="1"/>
  <c r="G3100" i="3"/>
  <c r="H3100" i="3" s="1"/>
  <c r="G3088" i="3"/>
  <c r="H3088" i="3" s="1"/>
  <c r="G3076" i="3"/>
  <c r="H3076" i="3" s="1"/>
  <c r="G3064" i="3"/>
  <c r="H3064" i="3" s="1"/>
  <c r="G3052" i="3"/>
  <c r="H3052" i="3" s="1"/>
  <c r="G3040" i="3"/>
  <c r="H3040" i="3" s="1"/>
  <c r="G3028" i="3"/>
  <c r="H3028" i="3" s="1"/>
  <c r="G3016" i="3"/>
  <c r="H3016" i="3" s="1"/>
  <c r="G3004" i="3"/>
  <c r="H3004" i="3" s="1"/>
  <c r="G2992" i="3"/>
  <c r="H2992" i="3" s="1"/>
  <c r="G2980" i="3"/>
  <c r="H2980" i="3" s="1"/>
  <c r="G2968" i="3"/>
  <c r="H2968" i="3" s="1"/>
  <c r="G2956" i="3"/>
  <c r="H2956" i="3" s="1"/>
  <c r="G2944" i="3"/>
  <c r="H2944" i="3" s="1"/>
  <c r="G2932" i="3"/>
  <c r="H2932" i="3" s="1"/>
  <c r="G2920" i="3"/>
  <c r="H2920" i="3" s="1"/>
  <c r="G2908" i="3"/>
  <c r="H2908" i="3" s="1"/>
  <c r="G2896" i="3"/>
  <c r="H2896" i="3" s="1"/>
  <c r="G2884" i="3"/>
  <c r="H2884" i="3" s="1"/>
  <c r="G2872" i="3"/>
  <c r="H2872" i="3" s="1"/>
  <c r="G2860" i="3"/>
  <c r="H2860" i="3" s="1"/>
  <c r="G2848" i="3"/>
  <c r="H2848" i="3" s="1"/>
  <c r="G2836" i="3"/>
  <c r="H2836" i="3" s="1"/>
  <c r="G2824" i="3"/>
  <c r="H2824" i="3" s="1"/>
  <c r="G2812" i="3"/>
  <c r="H2812" i="3" s="1"/>
  <c r="G2800" i="3"/>
  <c r="H2800" i="3" s="1"/>
  <c r="G2788" i="3"/>
  <c r="H2788" i="3" s="1"/>
  <c r="G2776" i="3"/>
  <c r="H2776" i="3" s="1"/>
  <c r="G2764" i="3"/>
  <c r="H2764" i="3" s="1"/>
  <c r="G2752" i="3"/>
  <c r="H2752" i="3" s="1"/>
  <c r="G2740" i="3"/>
  <c r="H2740" i="3" s="1"/>
  <c r="G2728" i="3"/>
  <c r="H2728" i="3" s="1"/>
  <c r="G2716" i="3"/>
  <c r="H2716" i="3" s="1"/>
  <c r="G2704" i="3"/>
  <c r="H2704" i="3" s="1"/>
  <c r="G2692" i="3"/>
  <c r="H2692" i="3" s="1"/>
  <c r="G2680" i="3"/>
  <c r="H2680" i="3" s="1"/>
  <c r="G2668" i="3"/>
  <c r="H2668" i="3" s="1"/>
  <c r="G2656" i="3"/>
  <c r="H2656" i="3" s="1"/>
  <c r="G2644" i="3"/>
  <c r="H2644" i="3" s="1"/>
  <c r="G2632" i="3"/>
  <c r="H2632" i="3" s="1"/>
  <c r="G2620" i="3"/>
  <c r="H2620" i="3" s="1"/>
  <c r="G2608" i="3"/>
  <c r="H2608" i="3" s="1"/>
  <c r="G2596" i="3"/>
  <c r="H2596" i="3" s="1"/>
  <c r="G2584" i="3"/>
  <c r="H2584" i="3" s="1"/>
  <c r="G2572" i="3"/>
  <c r="H2572" i="3" s="1"/>
  <c r="G2560" i="3"/>
  <c r="H2560" i="3" s="1"/>
  <c r="G2548" i="3"/>
  <c r="H2548" i="3" s="1"/>
  <c r="G2536" i="3"/>
  <c r="H2536" i="3" s="1"/>
  <c r="G2524" i="3"/>
  <c r="H2524" i="3" s="1"/>
  <c r="G2512" i="3"/>
  <c r="H2512" i="3" s="1"/>
  <c r="G2500" i="3"/>
  <c r="H2500" i="3" s="1"/>
  <c r="G2488" i="3"/>
  <c r="H2488" i="3" s="1"/>
  <c r="G2476" i="3"/>
  <c r="H2476" i="3" s="1"/>
  <c r="G2464" i="3"/>
  <c r="H2464" i="3" s="1"/>
  <c r="G2452" i="3"/>
  <c r="H2452" i="3" s="1"/>
  <c r="G2440" i="3"/>
  <c r="H2440" i="3" s="1"/>
  <c r="G2428" i="3"/>
  <c r="H2428" i="3" s="1"/>
  <c r="G2416" i="3"/>
  <c r="H2416" i="3" s="1"/>
  <c r="G2404" i="3"/>
  <c r="H2404" i="3" s="1"/>
  <c r="G2392" i="3"/>
  <c r="H2392" i="3" s="1"/>
  <c r="G2380" i="3"/>
  <c r="H2380" i="3" s="1"/>
  <c r="G2368" i="3"/>
  <c r="H2368" i="3" s="1"/>
  <c r="G2356" i="3"/>
  <c r="H2356" i="3" s="1"/>
  <c r="G2344" i="3"/>
  <c r="H2344" i="3" s="1"/>
  <c r="G2332" i="3"/>
  <c r="H2332" i="3" s="1"/>
  <c r="G2320" i="3"/>
  <c r="H2320" i="3" s="1"/>
  <c r="G2308" i="3"/>
  <c r="H2308" i="3" s="1"/>
  <c r="G2296" i="3"/>
  <c r="H2296" i="3" s="1"/>
  <c r="G2284" i="3"/>
  <c r="H2284" i="3" s="1"/>
  <c r="G2272" i="3"/>
  <c r="H2272" i="3" s="1"/>
  <c r="G2260" i="3"/>
  <c r="H2260" i="3" s="1"/>
  <c r="G2248" i="3"/>
  <c r="H2248" i="3" s="1"/>
  <c r="G2236" i="3"/>
  <c r="H2236" i="3" s="1"/>
  <c r="G2224" i="3"/>
  <c r="H2224" i="3" s="1"/>
  <c r="G2212" i="3"/>
  <c r="H2212" i="3" s="1"/>
  <c r="G2200" i="3"/>
  <c r="H2200" i="3" s="1"/>
  <c r="G2188" i="3"/>
  <c r="H2188" i="3" s="1"/>
  <c r="G2176" i="3"/>
  <c r="H2176" i="3" s="1"/>
  <c r="G2164" i="3"/>
  <c r="H2164" i="3" s="1"/>
  <c r="G2152" i="3"/>
  <c r="H2152" i="3" s="1"/>
  <c r="G2140" i="3"/>
  <c r="H2140" i="3" s="1"/>
  <c r="G2128" i="3"/>
  <c r="H2128" i="3" s="1"/>
  <c r="G2116" i="3"/>
  <c r="H2116" i="3" s="1"/>
  <c r="G2104" i="3"/>
  <c r="H2104" i="3" s="1"/>
  <c r="G2092" i="3"/>
  <c r="H2092" i="3" s="1"/>
  <c r="G2080" i="3"/>
  <c r="H2080" i="3" s="1"/>
  <c r="G2068" i="3"/>
  <c r="H2068" i="3" s="1"/>
  <c r="G2056" i="3"/>
  <c r="H2056" i="3" s="1"/>
  <c r="G2044" i="3"/>
  <c r="H2044" i="3" s="1"/>
  <c r="G2032" i="3"/>
  <c r="H2032" i="3" s="1"/>
  <c r="G2020" i="3"/>
  <c r="H2020" i="3" s="1"/>
  <c r="G2008" i="3"/>
  <c r="H2008" i="3" s="1"/>
  <c r="G1996" i="3"/>
  <c r="H1996" i="3" s="1"/>
  <c r="G1984" i="3"/>
  <c r="H1984" i="3" s="1"/>
  <c r="G1972" i="3"/>
  <c r="H1972" i="3" s="1"/>
  <c r="G1960" i="3"/>
  <c r="H1960" i="3" s="1"/>
  <c r="G1948" i="3"/>
  <c r="H1948" i="3" s="1"/>
  <c r="G1936" i="3"/>
  <c r="H1936" i="3" s="1"/>
  <c r="G1924" i="3"/>
  <c r="H1924" i="3" s="1"/>
  <c r="G1912" i="3"/>
  <c r="H1912" i="3" s="1"/>
  <c r="G1900" i="3"/>
  <c r="H1900" i="3" s="1"/>
  <c r="G1888" i="3"/>
  <c r="H1888" i="3" s="1"/>
  <c r="G1876" i="3"/>
  <c r="H1876" i="3" s="1"/>
  <c r="G1864" i="3"/>
  <c r="H1864" i="3" s="1"/>
  <c r="G1852" i="3"/>
  <c r="H1852" i="3" s="1"/>
  <c r="G1840" i="3"/>
  <c r="H1840" i="3" s="1"/>
  <c r="G1828" i="3"/>
  <c r="H1828" i="3" s="1"/>
  <c r="G1816" i="3"/>
  <c r="H1816" i="3" s="1"/>
  <c r="G1804" i="3"/>
  <c r="H1804" i="3" s="1"/>
  <c r="G1792" i="3"/>
  <c r="H1792" i="3" s="1"/>
  <c r="G1780" i="3"/>
  <c r="H1780" i="3" s="1"/>
  <c r="G1768" i="3"/>
  <c r="H1768" i="3" s="1"/>
  <c r="G1756" i="3"/>
  <c r="H1756" i="3" s="1"/>
  <c r="G1744" i="3"/>
  <c r="H1744" i="3" s="1"/>
  <c r="G1732" i="3"/>
  <c r="H1732" i="3" s="1"/>
  <c r="G1720" i="3"/>
  <c r="H1720" i="3" s="1"/>
  <c r="G1708" i="3"/>
  <c r="H1708" i="3" s="1"/>
  <c r="G1696" i="3"/>
  <c r="H1696" i="3" s="1"/>
  <c r="G1684" i="3"/>
  <c r="H1684" i="3" s="1"/>
  <c r="G1672" i="3"/>
  <c r="H1672" i="3" s="1"/>
  <c r="G1660" i="3"/>
  <c r="H1660" i="3" s="1"/>
  <c r="G1648" i="3"/>
  <c r="H1648" i="3" s="1"/>
  <c r="G1636" i="3"/>
  <c r="H1636" i="3" s="1"/>
  <c r="G1624" i="3"/>
  <c r="H1624" i="3" s="1"/>
  <c r="G1612" i="3"/>
  <c r="H1612" i="3" s="1"/>
  <c r="G1600" i="3"/>
  <c r="H1600" i="3" s="1"/>
  <c r="G1588" i="3"/>
  <c r="H1588" i="3" s="1"/>
  <c r="G1576" i="3"/>
  <c r="H1576" i="3" s="1"/>
  <c r="G1564" i="3"/>
  <c r="H1564" i="3" s="1"/>
  <c r="G1552" i="3"/>
  <c r="H1552" i="3" s="1"/>
  <c r="G1540" i="3"/>
  <c r="H1540" i="3" s="1"/>
  <c r="G1528" i="3"/>
  <c r="H1528" i="3" s="1"/>
  <c r="G1516" i="3"/>
  <c r="H1516" i="3" s="1"/>
  <c r="G1504" i="3"/>
  <c r="H1504" i="3" s="1"/>
  <c r="G1492" i="3"/>
  <c r="H1492" i="3" s="1"/>
  <c r="G1480" i="3"/>
  <c r="H1480" i="3" s="1"/>
  <c r="G1468" i="3"/>
  <c r="H1468" i="3" s="1"/>
  <c r="G1456" i="3"/>
  <c r="H1456" i="3" s="1"/>
  <c r="G1444" i="3"/>
  <c r="H1444" i="3" s="1"/>
  <c r="G1432" i="3"/>
  <c r="H1432" i="3" s="1"/>
  <c r="G1420" i="3"/>
  <c r="H1420" i="3" s="1"/>
  <c r="G1408" i="3"/>
  <c r="H1408" i="3" s="1"/>
  <c r="G1396" i="3"/>
  <c r="H1396" i="3" s="1"/>
  <c r="G1384" i="3"/>
  <c r="H1384" i="3" s="1"/>
  <c r="G1372" i="3"/>
  <c r="H1372" i="3" s="1"/>
  <c r="G1360" i="3"/>
  <c r="H1360" i="3" s="1"/>
  <c r="G1348" i="3"/>
  <c r="H1348" i="3" s="1"/>
  <c r="G1336" i="3"/>
  <c r="H1336" i="3" s="1"/>
  <c r="G1324" i="3"/>
  <c r="H1324" i="3" s="1"/>
  <c r="G1312" i="3"/>
  <c r="H1312" i="3" s="1"/>
  <c r="G1300" i="3"/>
  <c r="H1300" i="3" s="1"/>
  <c r="G1288" i="3"/>
  <c r="H1288" i="3" s="1"/>
  <c r="G1276" i="3"/>
  <c r="H1276" i="3" s="1"/>
  <c r="G1264" i="3"/>
  <c r="H1264" i="3" s="1"/>
  <c r="G1252" i="3"/>
  <c r="H1252" i="3" s="1"/>
  <c r="G1240" i="3"/>
  <c r="H1240" i="3" s="1"/>
  <c r="G1228" i="3"/>
  <c r="H1228" i="3" s="1"/>
  <c r="G1216" i="3"/>
  <c r="H1216" i="3" s="1"/>
  <c r="G1204" i="3"/>
  <c r="H1204" i="3" s="1"/>
  <c r="G1192" i="3"/>
  <c r="H1192" i="3" s="1"/>
  <c r="G1180" i="3"/>
  <c r="H1180" i="3" s="1"/>
  <c r="G1168" i="3"/>
  <c r="H1168" i="3" s="1"/>
  <c r="G1156" i="3"/>
  <c r="H1156" i="3" s="1"/>
  <c r="G1144" i="3"/>
  <c r="H1144" i="3" s="1"/>
  <c r="G1132" i="3"/>
  <c r="H1132" i="3" s="1"/>
  <c r="G1120" i="3"/>
  <c r="H1120" i="3" s="1"/>
  <c r="G1108" i="3"/>
  <c r="H1108" i="3" s="1"/>
  <c r="G1096" i="3"/>
  <c r="H1096" i="3" s="1"/>
  <c r="G1084" i="3"/>
  <c r="H1084" i="3" s="1"/>
  <c r="G1072" i="3"/>
  <c r="H1072" i="3" s="1"/>
  <c r="G1060" i="3"/>
  <c r="H1060" i="3" s="1"/>
  <c r="G1048" i="3"/>
  <c r="H1048" i="3" s="1"/>
  <c r="G1036" i="3"/>
  <c r="H1036" i="3" s="1"/>
  <c r="G1024" i="3"/>
  <c r="H1024" i="3" s="1"/>
  <c r="G1012" i="3"/>
  <c r="H1012" i="3" s="1"/>
  <c r="G1000" i="3"/>
  <c r="H1000" i="3" s="1"/>
  <c r="G988" i="3"/>
  <c r="H988" i="3" s="1"/>
  <c r="G976" i="3"/>
  <c r="H976" i="3" s="1"/>
  <c r="G964" i="3"/>
  <c r="H964" i="3" s="1"/>
  <c r="G952" i="3"/>
  <c r="H952" i="3" s="1"/>
  <c r="G940" i="3"/>
  <c r="H940" i="3" s="1"/>
  <c r="G928" i="3"/>
  <c r="H928" i="3" s="1"/>
  <c r="G916" i="3"/>
  <c r="H916" i="3" s="1"/>
  <c r="G904" i="3"/>
  <c r="H904" i="3" s="1"/>
  <c r="G892" i="3"/>
  <c r="H892" i="3" s="1"/>
  <c r="G880" i="3"/>
  <c r="H880" i="3" s="1"/>
  <c r="G868" i="3"/>
  <c r="H868" i="3" s="1"/>
  <c r="G856" i="3"/>
  <c r="H856" i="3" s="1"/>
  <c r="G844" i="3"/>
  <c r="H844" i="3" s="1"/>
  <c r="G832" i="3"/>
  <c r="H832" i="3" s="1"/>
  <c r="G820" i="3"/>
  <c r="H820" i="3" s="1"/>
  <c r="G808" i="3"/>
  <c r="H808" i="3" s="1"/>
  <c r="G796" i="3"/>
  <c r="H796" i="3" s="1"/>
  <c r="G784" i="3"/>
  <c r="H784" i="3" s="1"/>
  <c r="G772" i="3"/>
  <c r="H772" i="3" s="1"/>
  <c r="G760" i="3"/>
  <c r="H760" i="3" s="1"/>
  <c r="G748" i="3"/>
  <c r="H748" i="3" s="1"/>
  <c r="G736" i="3"/>
  <c r="H736" i="3" s="1"/>
  <c r="G724" i="3"/>
  <c r="H724" i="3" s="1"/>
  <c r="G712" i="3"/>
  <c r="H712" i="3" s="1"/>
  <c r="G700" i="3"/>
  <c r="H700" i="3" s="1"/>
  <c r="G688" i="3"/>
  <c r="H688" i="3" s="1"/>
  <c r="G676" i="3"/>
  <c r="H676" i="3" s="1"/>
  <c r="G664" i="3"/>
  <c r="H664" i="3" s="1"/>
  <c r="G652" i="3"/>
  <c r="H652" i="3" s="1"/>
  <c r="G640" i="3"/>
  <c r="H640" i="3" s="1"/>
  <c r="G628" i="3"/>
  <c r="H628" i="3" s="1"/>
  <c r="G616" i="3"/>
  <c r="H616" i="3" s="1"/>
  <c r="G604" i="3"/>
  <c r="H604" i="3" s="1"/>
  <c r="G592" i="3"/>
  <c r="H592" i="3" s="1"/>
  <c r="G580" i="3"/>
  <c r="H580" i="3" s="1"/>
  <c r="G568" i="3"/>
  <c r="H568" i="3" s="1"/>
  <c r="G556" i="3"/>
  <c r="H556" i="3" s="1"/>
  <c r="G544" i="3"/>
  <c r="H544" i="3" s="1"/>
  <c r="G532" i="3"/>
  <c r="H532" i="3" s="1"/>
  <c r="G520" i="3"/>
  <c r="H520" i="3" s="1"/>
  <c r="G508" i="3"/>
  <c r="H508" i="3" s="1"/>
  <c r="G496" i="3"/>
  <c r="H496" i="3" s="1"/>
  <c r="G484" i="3"/>
  <c r="H484" i="3" s="1"/>
  <c r="G472" i="3"/>
  <c r="H472" i="3" s="1"/>
  <c r="G460" i="3"/>
  <c r="H460" i="3" s="1"/>
  <c r="G448" i="3"/>
  <c r="H448" i="3" s="1"/>
  <c r="G436" i="3"/>
  <c r="H436" i="3" s="1"/>
  <c r="G424" i="3"/>
  <c r="H424" i="3" s="1"/>
  <c r="G412" i="3"/>
  <c r="H412" i="3" s="1"/>
  <c r="G400" i="3"/>
  <c r="H400" i="3" s="1"/>
  <c r="G388" i="3"/>
  <c r="H388" i="3" s="1"/>
  <c r="G376" i="3"/>
  <c r="H376" i="3" s="1"/>
  <c r="G364" i="3"/>
  <c r="H364" i="3" s="1"/>
  <c r="G352" i="3"/>
  <c r="H352" i="3" s="1"/>
  <c r="G340" i="3"/>
  <c r="H340" i="3" s="1"/>
  <c r="G328" i="3"/>
  <c r="H328" i="3" s="1"/>
  <c r="G316" i="3"/>
  <c r="H316" i="3" s="1"/>
  <c r="G304" i="3"/>
  <c r="H304" i="3" s="1"/>
  <c r="G292" i="3"/>
  <c r="H292" i="3" s="1"/>
  <c r="G280" i="3"/>
  <c r="H280" i="3" s="1"/>
  <c r="G268" i="3"/>
  <c r="H268" i="3" s="1"/>
  <c r="G256" i="3"/>
  <c r="H256" i="3" s="1"/>
  <c r="G244" i="3"/>
  <c r="H244" i="3" s="1"/>
  <c r="G232" i="3"/>
  <c r="H232" i="3" s="1"/>
  <c r="G220" i="3"/>
  <c r="H220" i="3" s="1"/>
  <c r="G208" i="3"/>
  <c r="H208" i="3" s="1"/>
  <c r="G196" i="3"/>
  <c r="H196" i="3" s="1"/>
  <c r="G184" i="3"/>
  <c r="H184" i="3" s="1"/>
  <c r="G172" i="3"/>
  <c r="H172" i="3" s="1"/>
  <c r="G160" i="3"/>
  <c r="H160" i="3" s="1"/>
  <c r="G148" i="3"/>
  <c r="H148" i="3" s="1"/>
  <c r="G136" i="3"/>
  <c r="H136" i="3" s="1"/>
  <c r="G124" i="3"/>
  <c r="H124" i="3" s="1"/>
  <c r="G112" i="3"/>
  <c r="H112" i="3" s="1"/>
  <c r="G100" i="3"/>
  <c r="H100" i="3" s="1"/>
  <c r="G88" i="3"/>
  <c r="H88" i="3" s="1"/>
  <c r="G76" i="3"/>
  <c r="H76" i="3" s="1"/>
  <c r="G64" i="3"/>
  <c r="H64" i="3" s="1"/>
  <c r="G52" i="3"/>
  <c r="H52" i="3" s="1"/>
  <c r="G40" i="3"/>
  <c r="H40" i="3" s="1"/>
  <c r="G28" i="3"/>
  <c r="H28" i="3" s="1"/>
  <c r="G16" i="3"/>
  <c r="H16" i="3" s="1"/>
  <c r="G4" i="3"/>
  <c r="H4" i="3" s="1"/>
  <c r="G1574" i="3"/>
  <c r="G1562" i="3"/>
  <c r="H1562" i="3" s="1"/>
  <c r="G1550" i="3"/>
  <c r="H1550" i="3" s="1"/>
  <c r="G1538" i="3"/>
  <c r="H1538" i="3" s="1"/>
  <c r="G1526" i="3"/>
  <c r="G1514" i="3"/>
  <c r="G1502" i="3"/>
  <c r="G1490" i="3"/>
  <c r="G1478" i="3"/>
  <c r="H1478" i="3" s="1"/>
  <c r="G1466" i="3"/>
  <c r="G1454" i="3"/>
  <c r="G1442" i="3"/>
  <c r="G1430" i="3"/>
  <c r="G1418" i="3"/>
  <c r="H1418" i="3" s="1"/>
  <c r="G1406" i="3"/>
  <c r="H1406" i="3" s="1"/>
  <c r="G1394" i="3"/>
  <c r="H1394" i="3" s="1"/>
  <c r="G1382" i="3"/>
  <c r="G1370" i="3"/>
  <c r="G1358" i="3"/>
  <c r="H1358" i="3" s="1"/>
  <c r="G1346" i="3"/>
  <c r="H1346" i="3" s="1"/>
  <c r="G1334" i="3"/>
  <c r="H1334" i="3" s="1"/>
  <c r="G1322" i="3"/>
  <c r="H1322" i="3" s="1"/>
  <c r="G1310" i="3"/>
  <c r="G1298" i="3"/>
  <c r="H1298" i="3" s="1"/>
  <c r="G1286" i="3"/>
  <c r="G1274" i="3"/>
  <c r="H1274" i="3" s="1"/>
  <c r="G1262" i="3"/>
  <c r="G1250" i="3"/>
  <c r="H1250" i="3" s="1"/>
  <c r="G1238" i="3"/>
  <c r="H1238" i="3" s="1"/>
  <c r="G1226" i="3"/>
  <c r="G1214" i="3"/>
  <c r="G1202" i="3"/>
  <c r="G1190" i="3"/>
  <c r="H1190" i="3" s="1"/>
  <c r="G1178" i="3"/>
  <c r="H1178" i="3" s="1"/>
  <c r="G1166" i="3"/>
  <c r="H1166" i="3" s="1"/>
  <c r="G1154" i="3"/>
  <c r="G1142" i="3"/>
  <c r="G1130" i="3"/>
  <c r="G1118" i="3"/>
  <c r="H1118" i="3" s="1"/>
  <c r="G1106" i="3"/>
  <c r="H1106" i="3" s="1"/>
  <c r="G1094" i="3"/>
  <c r="G1082" i="3"/>
  <c r="H1082" i="3" s="1"/>
  <c r="G1070" i="3"/>
  <c r="H1070" i="3" s="1"/>
  <c r="G1058" i="3"/>
  <c r="G1046" i="3"/>
  <c r="H1046" i="3" s="1"/>
  <c r="G1034" i="3"/>
  <c r="G1022" i="3"/>
  <c r="G1010" i="3"/>
  <c r="H1010" i="3" s="1"/>
  <c r="G998" i="3"/>
  <c r="G986" i="3"/>
  <c r="G974" i="3"/>
  <c r="H974" i="3" s="1"/>
  <c r="G962" i="3"/>
  <c r="H962" i="3" s="1"/>
  <c r="G950" i="3"/>
  <c r="G938" i="3"/>
  <c r="H938" i="3" s="1"/>
  <c r="G926" i="3"/>
  <c r="H926" i="3" s="1"/>
  <c r="G914" i="3"/>
  <c r="H914" i="3" s="1"/>
  <c r="G902" i="3"/>
  <c r="H902" i="3" s="1"/>
  <c r="G890" i="3"/>
  <c r="G878" i="3"/>
  <c r="H878" i="3" s="1"/>
  <c r="G866" i="3"/>
  <c r="H866" i="3" s="1"/>
  <c r="G854" i="3"/>
  <c r="G842" i="3"/>
  <c r="G830" i="3"/>
  <c r="H830" i="3" s="1"/>
  <c r="G818" i="3"/>
  <c r="H818" i="3" s="1"/>
  <c r="G806" i="3"/>
  <c r="G794" i="3"/>
  <c r="H794" i="3" s="1"/>
  <c r="G782" i="3"/>
  <c r="H782" i="3" s="1"/>
  <c r="G770" i="3"/>
  <c r="H770" i="3" s="1"/>
  <c r="G758" i="3"/>
  <c r="G746" i="3"/>
  <c r="H746" i="3" s="1"/>
  <c r="G734" i="3"/>
  <c r="G722" i="3"/>
  <c r="H722" i="3" s="1"/>
  <c r="G710" i="3"/>
  <c r="H710" i="3" s="1"/>
  <c r="G698" i="3"/>
  <c r="H698" i="3" s="1"/>
  <c r="G686" i="3"/>
  <c r="H686" i="3" s="1"/>
  <c r="G674" i="3"/>
  <c r="H674" i="3" s="1"/>
  <c r="G662" i="3"/>
  <c r="G650" i="3"/>
  <c r="H650" i="3" s="1"/>
  <c r="G638" i="3"/>
  <c r="G626" i="3"/>
  <c r="H626" i="3" s="1"/>
  <c r="G614" i="3"/>
  <c r="H614" i="3" s="1"/>
  <c r="G602" i="3"/>
  <c r="H602" i="3" s="1"/>
  <c r="G590" i="3"/>
  <c r="G578" i="3"/>
  <c r="G566" i="3"/>
  <c r="G554" i="3"/>
  <c r="H554" i="3" s="1"/>
  <c r="G542" i="3"/>
  <c r="H542" i="3" s="1"/>
  <c r="G530" i="3"/>
  <c r="H530" i="3" s="1"/>
  <c r="G518" i="3"/>
  <c r="H518" i="3" s="1"/>
  <c r="G506" i="3"/>
  <c r="G494" i="3"/>
  <c r="G482" i="3"/>
  <c r="H482" i="3" s="1"/>
  <c r="G470" i="3"/>
  <c r="H470" i="3" s="1"/>
  <c r="G458" i="3"/>
  <c r="H458" i="3" s="1"/>
  <c r="G446" i="3"/>
  <c r="G434" i="3"/>
  <c r="H434" i="3" s="1"/>
  <c r="G422" i="3"/>
  <c r="H422" i="3" s="1"/>
  <c r="G410" i="3"/>
  <c r="G398" i="3"/>
  <c r="H398" i="3" s="1"/>
  <c r="G386" i="3"/>
  <c r="H386" i="3" s="1"/>
  <c r="G374" i="3"/>
  <c r="G362" i="3"/>
  <c r="H362" i="3" s="1"/>
  <c r="G350" i="3"/>
  <c r="G338" i="3"/>
  <c r="H338" i="3" s="1"/>
  <c r="G326" i="3"/>
  <c r="H326" i="3" s="1"/>
  <c r="G314" i="3"/>
  <c r="H314" i="3" s="1"/>
  <c r="G302" i="3"/>
  <c r="H302" i="3" s="1"/>
  <c r="G290" i="3"/>
  <c r="G278" i="3"/>
  <c r="G266" i="3"/>
  <c r="G254" i="3"/>
  <c r="G242" i="3"/>
  <c r="H242" i="3" s="1"/>
  <c r="G230" i="3"/>
  <c r="G218" i="3"/>
  <c r="H218" i="3" s="1"/>
  <c r="G206" i="3"/>
  <c r="H206" i="3" s="1"/>
  <c r="G194" i="3"/>
  <c r="G182" i="3"/>
  <c r="H182" i="3" s="1"/>
  <c r="G170" i="3"/>
  <c r="H170" i="3" s="1"/>
  <c r="G158" i="3"/>
  <c r="G146" i="3"/>
  <c r="H146" i="3" s="1"/>
  <c r="G134" i="3"/>
  <c r="G122" i="3"/>
  <c r="H122" i="3" s="1"/>
  <c r="G110" i="3"/>
  <c r="H110" i="3" s="1"/>
  <c r="G98" i="3"/>
  <c r="H98" i="3" s="1"/>
  <c r="G86" i="3"/>
  <c r="H86" i="3" s="1"/>
  <c r="G74" i="3"/>
  <c r="H74" i="3" s="1"/>
  <c r="G62" i="3"/>
  <c r="H62" i="3" s="1"/>
  <c r="G50" i="3"/>
  <c r="G38" i="3"/>
  <c r="H38" i="3" s="1"/>
  <c r="G26" i="3"/>
  <c r="H26" i="3" s="1"/>
  <c r="G14" i="3"/>
  <c r="H14" i="3" s="1"/>
  <c r="G3342" i="3"/>
  <c r="G3330" i="3"/>
  <c r="G3318" i="3"/>
  <c r="G3306" i="3"/>
  <c r="H3306" i="3" s="1"/>
  <c r="G3294" i="3"/>
  <c r="H3294" i="3" s="1"/>
  <c r="G3282" i="3"/>
  <c r="G3270" i="3"/>
  <c r="G3258" i="3"/>
  <c r="G3246" i="3"/>
  <c r="G3234" i="3"/>
  <c r="G3222" i="3"/>
  <c r="G3210" i="3"/>
  <c r="G3198" i="3"/>
  <c r="G3186" i="3"/>
  <c r="G3174" i="3"/>
  <c r="G3162" i="3"/>
  <c r="H3162" i="3" s="1"/>
  <c r="G3150" i="3"/>
  <c r="H3150" i="3" s="1"/>
  <c r="G3138" i="3"/>
  <c r="G3126" i="3"/>
  <c r="G3114" i="3"/>
  <c r="G3102" i="3"/>
  <c r="G3090" i="3"/>
  <c r="G3078" i="3"/>
  <c r="G3066" i="3"/>
  <c r="G3054" i="3"/>
  <c r="G3042" i="3"/>
  <c r="G3030" i="3"/>
  <c r="G3018" i="3"/>
  <c r="H3018" i="3" s="1"/>
  <c r="G3006" i="3"/>
  <c r="H3006" i="3" s="1"/>
  <c r="G2994" i="3"/>
  <c r="G2982" i="3"/>
  <c r="G2970" i="3"/>
  <c r="G2958" i="3"/>
  <c r="G2946" i="3"/>
  <c r="G2934" i="3"/>
  <c r="G2922" i="3"/>
  <c r="G2910" i="3"/>
  <c r="G2898" i="3"/>
  <c r="G2886" i="3"/>
  <c r="G2874" i="3"/>
  <c r="H2874" i="3" s="1"/>
  <c r="G2862" i="3"/>
  <c r="H2862" i="3" s="1"/>
  <c r="G2850" i="3"/>
  <c r="G2838" i="3"/>
  <c r="G2826" i="3"/>
  <c r="G2814" i="3"/>
  <c r="G2802" i="3"/>
  <c r="G2790" i="3"/>
  <c r="G2778" i="3"/>
  <c r="G2766" i="3"/>
  <c r="G2754" i="3"/>
  <c r="G2742" i="3"/>
  <c r="G2730" i="3"/>
  <c r="H2730" i="3" s="1"/>
  <c r="G2718" i="3"/>
  <c r="H2718" i="3" s="1"/>
  <c r="G2706" i="3"/>
  <c r="G2694" i="3"/>
  <c r="G2682" i="3"/>
  <c r="G2670" i="3"/>
  <c r="G2658" i="3"/>
  <c r="G2646" i="3"/>
  <c r="G2634" i="3"/>
  <c r="G2622" i="3"/>
  <c r="G2610" i="3"/>
  <c r="G2598" i="3"/>
  <c r="G2586" i="3"/>
  <c r="H2586" i="3" s="1"/>
  <c r="G2574" i="3"/>
  <c r="H2574" i="3" s="1"/>
  <c r="G2562" i="3"/>
  <c r="G2550" i="3"/>
  <c r="G2538" i="3"/>
  <c r="G2526" i="3"/>
  <c r="G2514" i="3"/>
  <c r="G2502" i="3"/>
  <c r="G2490" i="3"/>
  <c r="G2478" i="3"/>
  <c r="G2466" i="3"/>
  <c r="G2454" i="3"/>
  <c r="G2442" i="3"/>
  <c r="H2442" i="3" s="1"/>
  <c r="G2430" i="3"/>
  <c r="H2430" i="3" s="1"/>
  <c r="G2418" i="3"/>
  <c r="G2406" i="3"/>
  <c r="G2394" i="3"/>
  <c r="G2382" i="3"/>
  <c r="G2370" i="3"/>
  <c r="H2370" i="3" s="1"/>
  <c r="G2358" i="3"/>
  <c r="H2358" i="3" s="1"/>
  <c r="G2346" i="3"/>
  <c r="H2346" i="3" s="1"/>
  <c r="G2334" i="3"/>
  <c r="G2322" i="3"/>
  <c r="H2322" i="3" s="1"/>
  <c r="G2310" i="3"/>
  <c r="H2310" i="3" s="1"/>
  <c r="G2298" i="3"/>
  <c r="H2298" i="3" s="1"/>
  <c r="G2286" i="3"/>
  <c r="H2286" i="3" s="1"/>
  <c r="G2274" i="3"/>
  <c r="H2274" i="3" s="1"/>
  <c r="G2262" i="3"/>
  <c r="G2250" i="3"/>
  <c r="H2250" i="3" s="1"/>
  <c r="G2238" i="3"/>
  <c r="H2238" i="3" s="1"/>
  <c r="G2226" i="3"/>
  <c r="H2226" i="3" s="1"/>
  <c r="G2214" i="3"/>
  <c r="H2214" i="3" s="1"/>
  <c r="G2202" i="3"/>
  <c r="H2202" i="3" s="1"/>
  <c r="G2190" i="3"/>
  <c r="H2190" i="3" s="1"/>
  <c r="G2178" i="3"/>
  <c r="G2166" i="3"/>
  <c r="H2166" i="3" s="1"/>
  <c r="G2154" i="3"/>
  <c r="H2154" i="3" s="1"/>
  <c r="G2142" i="3"/>
  <c r="H2142" i="3" s="1"/>
  <c r="G2130" i="3"/>
  <c r="G2118" i="3"/>
  <c r="G2106" i="3"/>
  <c r="H2106" i="3" s="1"/>
  <c r="G2094" i="3"/>
  <c r="H2094" i="3" s="1"/>
  <c r="G2082" i="3"/>
  <c r="H2082" i="3" s="1"/>
  <c r="G2070" i="3"/>
  <c r="H2070" i="3" s="1"/>
  <c r="G2058" i="3"/>
  <c r="H2058" i="3" s="1"/>
  <c r="G2046" i="3"/>
  <c r="H2046" i="3" s="1"/>
  <c r="G2034" i="3"/>
  <c r="H2034" i="3" s="1"/>
  <c r="G2022" i="3"/>
  <c r="H2022" i="3" s="1"/>
  <c r="G2010" i="3"/>
  <c r="H2010" i="3" s="1"/>
  <c r="G1998" i="3"/>
  <c r="H1998" i="3" s="1"/>
  <c r="G1986" i="3"/>
  <c r="H1986" i="3" s="1"/>
  <c r="G1974" i="3"/>
  <c r="H1974" i="3" s="1"/>
  <c r="G1962" i="3"/>
  <c r="G1950" i="3"/>
  <c r="H1950" i="3" s="1"/>
  <c r="G1938" i="3"/>
  <c r="H1938" i="3" s="1"/>
  <c r="G1926" i="3"/>
  <c r="H1926" i="3" s="1"/>
  <c r="G1914" i="3"/>
  <c r="H1914" i="3" s="1"/>
  <c r="G1902" i="3"/>
  <c r="G1890" i="3"/>
  <c r="H1890" i="3" s="1"/>
  <c r="G1878" i="3"/>
  <c r="H1878" i="3" s="1"/>
  <c r="G1866" i="3"/>
  <c r="H1866" i="3" s="1"/>
  <c r="G1854" i="3"/>
  <c r="H1854" i="3" s="1"/>
  <c r="G1842" i="3"/>
  <c r="H1842" i="3" s="1"/>
  <c r="G1830" i="3"/>
  <c r="H1830" i="3" s="1"/>
  <c r="G1818" i="3"/>
  <c r="G1806" i="3"/>
  <c r="H1806" i="3" s="1"/>
  <c r="G1794" i="3"/>
  <c r="H1794" i="3" s="1"/>
  <c r="G1782" i="3"/>
  <c r="H1782" i="3" s="1"/>
  <c r="G1770" i="3"/>
  <c r="H1770" i="3" s="1"/>
  <c r="G1758" i="3"/>
  <c r="H1758" i="3" s="1"/>
  <c r="G1746" i="3"/>
  <c r="H1746" i="3" s="1"/>
  <c r="G1734" i="3"/>
  <c r="H1734" i="3" s="1"/>
  <c r="G1722" i="3"/>
  <c r="H1722" i="3" s="1"/>
  <c r="G1710" i="3"/>
  <c r="H1710" i="3" s="1"/>
  <c r="G1698" i="3"/>
  <c r="H1698" i="3" s="1"/>
  <c r="G1686" i="3"/>
  <c r="H1686" i="3" s="1"/>
  <c r="G1674" i="3"/>
  <c r="H1674" i="3" s="1"/>
  <c r="G1662" i="3"/>
  <c r="H1662" i="3" s="1"/>
  <c r="G1650" i="3"/>
  <c r="H1650" i="3" s="1"/>
  <c r="G1638" i="3"/>
  <c r="H1638" i="3" s="1"/>
  <c r="G1626" i="3"/>
  <c r="H1626" i="3" s="1"/>
  <c r="G1614" i="3"/>
  <c r="H1614" i="3" s="1"/>
  <c r="G1602" i="3"/>
  <c r="H1602" i="3" s="1"/>
  <c r="G1590" i="3"/>
  <c r="H1590" i="3" s="1"/>
  <c r="G1578" i="3"/>
  <c r="H1578" i="3" s="1"/>
  <c r="G1566" i="3"/>
  <c r="H1566" i="3" s="1"/>
  <c r="G1554" i="3"/>
  <c r="H1554" i="3" s="1"/>
  <c r="G1542" i="3"/>
  <c r="H1542" i="3" s="1"/>
  <c r="G1530" i="3"/>
  <c r="H1530" i="3" s="1"/>
  <c r="G1518" i="3"/>
  <c r="H1518" i="3" s="1"/>
  <c r="G1506" i="3"/>
  <c r="H1506" i="3" s="1"/>
  <c r="G1494" i="3"/>
  <c r="H1494" i="3" s="1"/>
  <c r="G1482" i="3"/>
  <c r="H1482" i="3" s="1"/>
  <c r="G1470" i="3"/>
  <c r="H1470" i="3" s="1"/>
  <c r="G1458" i="3"/>
  <c r="H1458" i="3" s="1"/>
  <c r="G1446" i="3"/>
  <c r="H1446" i="3" s="1"/>
  <c r="G1434" i="3"/>
  <c r="H1434" i="3" s="1"/>
  <c r="G1422" i="3"/>
  <c r="H1422" i="3" s="1"/>
  <c r="G1410" i="3"/>
  <c r="H1410" i="3" s="1"/>
  <c r="G1398" i="3"/>
  <c r="H1398" i="3" s="1"/>
  <c r="G1386" i="3"/>
  <c r="H1386" i="3" s="1"/>
  <c r="G1374" i="3"/>
  <c r="H1374" i="3" s="1"/>
  <c r="G1362" i="3"/>
  <c r="H1362" i="3" s="1"/>
  <c r="G1350" i="3"/>
  <c r="H1350" i="3" s="1"/>
  <c r="G1338" i="3"/>
  <c r="H1338" i="3" s="1"/>
  <c r="G1326" i="3"/>
  <c r="H1326" i="3" s="1"/>
  <c r="G1314" i="3"/>
  <c r="H1314" i="3" s="1"/>
  <c r="G1302" i="3"/>
  <c r="H1302" i="3" s="1"/>
  <c r="G1290" i="3"/>
  <c r="H1290" i="3" s="1"/>
  <c r="G1278" i="3"/>
  <c r="H1278" i="3" s="1"/>
  <c r="G1266" i="3"/>
  <c r="H1266" i="3" s="1"/>
  <c r="G1254" i="3"/>
  <c r="H1254" i="3" s="1"/>
  <c r="G1242" i="3"/>
  <c r="H1242" i="3" s="1"/>
  <c r="G1230" i="3"/>
  <c r="H1230" i="3" s="1"/>
  <c r="G1218" i="3"/>
  <c r="H1218" i="3" s="1"/>
  <c r="G1206" i="3"/>
  <c r="H1206" i="3" s="1"/>
  <c r="G1194" i="3"/>
  <c r="H1194" i="3" s="1"/>
  <c r="G1182" i="3"/>
  <c r="H1182" i="3" s="1"/>
  <c r="G1170" i="3"/>
  <c r="H1170" i="3" s="1"/>
  <c r="G1158" i="3"/>
  <c r="H1158" i="3" s="1"/>
  <c r="G1146" i="3"/>
  <c r="H1146" i="3" s="1"/>
  <c r="G1134" i="3"/>
  <c r="H1134" i="3" s="1"/>
  <c r="G1122" i="3"/>
  <c r="H1122" i="3" s="1"/>
  <c r="G1110" i="3"/>
  <c r="H1110" i="3" s="1"/>
  <c r="G1098" i="3"/>
  <c r="H1098" i="3" s="1"/>
  <c r="G1086" i="3"/>
  <c r="H1086" i="3" s="1"/>
  <c r="G1074" i="3"/>
  <c r="H1074" i="3" s="1"/>
  <c r="G1062" i="3"/>
  <c r="H1062" i="3" s="1"/>
  <c r="G1050" i="3"/>
  <c r="H1050" i="3" s="1"/>
  <c r="G1038" i="3"/>
  <c r="H1038" i="3" s="1"/>
  <c r="G1026" i="3"/>
  <c r="H1026" i="3" s="1"/>
  <c r="G1014" i="3"/>
  <c r="H1014" i="3" s="1"/>
  <c r="G1002" i="3"/>
  <c r="H1002" i="3" s="1"/>
  <c r="G990" i="3"/>
  <c r="H990" i="3" s="1"/>
  <c r="G978" i="3"/>
  <c r="H978" i="3" s="1"/>
  <c r="G966" i="3"/>
  <c r="H966" i="3" s="1"/>
  <c r="G954" i="3"/>
  <c r="H954" i="3" s="1"/>
  <c r="G942" i="3"/>
  <c r="H942" i="3" s="1"/>
  <c r="G930" i="3"/>
  <c r="H930" i="3" s="1"/>
  <c r="G918" i="3"/>
  <c r="H918" i="3" s="1"/>
  <c r="G906" i="3"/>
  <c r="H906" i="3" s="1"/>
  <c r="G894" i="3"/>
  <c r="H894" i="3" s="1"/>
  <c r="G882" i="3"/>
  <c r="H882" i="3" s="1"/>
  <c r="G870" i="3"/>
  <c r="H870" i="3" s="1"/>
  <c r="G858" i="3"/>
  <c r="H858" i="3" s="1"/>
  <c r="G846" i="3"/>
  <c r="H846" i="3" s="1"/>
  <c r="G834" i="3"/>
  <c r="H834" i="3" s="1"/>
  <c r="G822" i="3"/>
  <c r="H822" i="3" s="1"/>
  <c r="G810" i="3"/>
  <c r="H810" i="3" s="1"/>
  <c r="G798" i="3"/>
  <c r="H798" i="3" s="1"/>
  <c r="G786" i="3"/>
  <c r="H786" i="3" s="1"/>
  <c r="G774" i="3"/>
  <c r="H774" i="3" s="1"/>
  <c r="G762" i="3"/>
  <c r="H762" i="3" s="1"/>
  <c r="G750" i="3"/>
  <c r="H750" i="3" s="1"/>
  <c r="G738" i="3"/>
  <c r="H738" i="3" s="1"/>
  <c r="G726" i="3"/>
  <c r="H726" i="3" s="1"/>
  <c r="G714" i="3"/>
  <c r="H714" i="3" s="1"/>
  <c r="G702" i="3"/>
  <c r="H702" i="3" s="1"/>
  <c r="G690" i="3"/>
  <c r="H690" i="3" s="1"/>
  <c r="G678" i="3"/>
  <c r="H678" i="3" s="1"/>
  <c r="G666" i="3"/>
  <c r="H666" i="3" s="1"/>
  <c r="G654" i="3"/>
  <c r="H654" i="3" s="1"/>
  <c r="G642" i="3"/>
  <c r="H642" i="3" s="1"/>
  <c r="G630" i="3"/>
  <c r="H630" i="3" s="1"/>
  <c r="G618" i="3"/>
  <c r="H618" i="3" s="1"/>
  <c r="G606" i="3"/>
  <c r="H606" i="3" s="1"/>
  <c r="G594" i="3"/>
  <c r="H594" i="3" s="1"/>
  <c r="G582" i="3"/>
  <c r="H582" i="3" s="1"/>
  <c r="G570" i="3"/>
  <c r="H570" i="3" s="1"/>
  <c r="G558" i="3"/>
  <c r="H558" i="3" s="1"/>
  <c r="G546" i="3"/>
  <c r="H546" i="3" s="1"/>
  <c r="G534" i="3"/>
  <c r="H534" i="3" s="1"/>
  <c r="G522" i="3"/>
  <c r="H522" i="3" s="1"/>
  <c r="G510" i="3"/>
  <c r="H510" i="3" s="1"/>
  <c r="G498" i="3"/>
  <c r="H498" i="3" s="1"/>
  <c r="G486" i="3"/>
  <c r="H486" i="3" s="1"/>
  <c r="G474" i="3"/>
  <c r="H474" i="3" s="1"/>
  <c r="G462" i="3"/>
  <c r="H462" i="3" s="1"/>
  <c r="G450" i="3"/>
  <c r="H450" i="3" s="1"/>
  <c r="G438" i="3"/>
  <c r="H438" i="3" s="1"/>
  <c r="G426" i="3"/>
  <c r="H426" i="3" s="1"/>
  <c r="G414" i="3"/>
  <c r="H414" i="3" s="1"/>
  <c r="G402" i="3"/>
  <c r="H402" i="3" s="1"/>
  <c r="G390" i="3"/>
  <c r="H390" i="3" s="1"/>
  <c r="G378" i="3"/>
  <c r="H378" i="3" s="1"/>
  <c r="G366" i="3"/>
  <c r="H366" i="3" s="1"/>
  <c r="G354" i="3"/>
  <c r="H354" i="3" s="1"/>
  <c r="G342" i="3"/>
  <c r="H342" i="3" s="1"/>
  <c r="G330" i="3"/>
  <c r="H330" i="3" s="1"/>
  <c r="G318" i="3"/>
  <c r="H318" i="3" s="1"/>
  <c r="G306" i="3"/>
  <c r="H306" i="3" s="1"/>
  <c r="G294" i="3"/>
  <c r="H294" i="3" s="1"/>
  <c r="G282" i="3"/>
  <c r="H282" i="3" s="1"/>
  <c r="G270" i="3"/>
  <c r="H270" i="3" s="1"/>
  <c r="G258" i="3"/>
  <c r="H258" i="3" s="1"/>
  <c r="G246" i="3"/>
  <c r="H246" i="3" s="1"/>
  <c r="G234" i="3"/>
  <c r="H234" i="3" s="1"/>
  <c r="G222" i="3"/>
  <c r="H222" i="3" s="1"/>
  <c r="G210" i="3"/>
  <c r="H210" i="3" s="1"/>
  <c r="G198" i="3"/>
  <c r="H198" i="3" s="1"/>
  <c r="G186" i="3"/>
  <c r="H186" i="3" s="1"/>
  <c r="G174" i="3"/>
  <c r="H174" i="3" s="1"/>
  <c r="G162" i="3"/>
  <c r="H162" i="3" s="1"/>
  <c r="G150" i="3"/>
  <c r="H150" i="3" s="1"/>
  <c r="G138" i="3"/>
  <c r="H138" i="3" s="1"/>
  <c r="G126" i="3"/>
  <c r="H126" i="3" s="1"/>
  <c r="G114" i="3"/>
  <c r="H114" i="3" s="1"/>
  <c r="G102" i="3"/>
  <c r="H102" i="3" s="1"/>
  <c r="G90" i="3"/>
  <c r="H90" i="3" s="1"/>
  <c r="G78" i="3"/>
  <c r="H78" i="3" s="1"/>
  <c r="G66" i="3"/>
  <c r="H66" i="3" s="1"/>
  <c r="G54" i="3"/>
  <c r="H54" i="3" s="1"/>
  <c r="G42" i="3"/>
  <c r="H42" i="3" s="1"/>
  <c r="G30" i="3"/>
  <c r="H30" i="3" s="1"/>
  <c r="G18" i="3"/>
  <c r="H18" i="3" s="1"/>
  <c r="G6" i="3"/>
  <c r="H6" i="3" s="1"/>
  <c r="G1261" i="3"/>
  <c r="H1261" i="3" s="1"/>
  <c r="G1249" i="3"/>
  <c r="H1249" i="3" s="1"/>
  <c r="G1237" i="3"/>
  <c r="H1237" i="3" s="1"/>
  <c r="G1225" i="3"/>
  <c r="H1225" i="3" s="1"/>
  <c r="G1213" i="3"/>
  <c r="G1201" i="3"/>
  <c r="H1201" i="3" s="1"/>
  <c r="G1189" i="3"/>
  <c r="G1177" i="3"/>
  <c r="G1165" i="3"/>
  <c r="H1165" i="3" s="1"/>
  <c r="G1153" i="3"/>
  <c r="G1141" i="3"/>
  <c r="G1129" i="3"/>
  <c r="G1117" i="3"/>
  <c r="H1117" i="3" s="1"/>
  <c r="G1105" i="3"/>
  <c r="H1105" i="3" s="1"/>
  <c r="G1093" i="3"/>
  <c r="G1081" i="3"/>
  <c r="G1069" i="3"/>
  <c r="G1057" i="3"/>
  <c r="G1045" i="3"/>
  <c r="H1045" i="3" s="1"/>
  <c r="G1033" i="3"/>
  <c r="H1033" i="3" s="1"/>
  <c r="G1021" i="3"/>
  <c r="H1021" i="3" s="1"/>
  <c r="G1009" i="3"/>
  <c r="G997" i="3"/>
  <c r="G985" i="3"/>
  <c r="G973" i="3"/>
  <c r="H973" i="3" s="1"/>
  <c r="G961" i="3"/>
  <c r="H961" i="3" s="1"/>
  <c r="G949" i="3"/>
  <c r="H949" i="3" s="1"/>
  <c r="G937" i="3"/>
  <c r="H937" i="3" s="1"/>
  <c r="G925" i="3"/>
  <c r="G913" i="3"/>
  <c r="G901" i="3"/>
  <c r="H901" i="3" s="1"/>
  <c r="G889" i="3"/>
  <c r="G877" i="3"/>
  <c r="H877" i="3" s="1"/>
  <c r="G865" i="3"/>
  <c r="G853" i="3"/>
  <c r="G841" i="3"/>
  <c r="H841" i="3" s="1"/>
  <c r="G829" i="3"/>
  <c r="H829" i="3" s="1"/>
  <c r="G817" i="3"/>
  <c r="H817" i="3" s="1"/>
  <c r="G805" i="3"/>
  <c r="G793" i="3"/>
  <c r="G781" i="3"/>
  <c r="G769" i="3"/>
  <c r="G757" i="3"/>
  <c r="H757" i="3" s="1"/>
  <c r="G745" i="3"/>
  <c r="H745" i="3" s="1"/>
  <c r="G733" i="3"/>
  <c r="G721" i="3"/>
  <c r="G709" i="3"/>
  <c r="H709" i="3" s="1"/>
  <c r="G697" i="3"/>
  <c r="G685" i="3"/>
  <c r="H685" i="3" s="1"/>
  <c r="G673" i="3"/>
  <c r="H673" i="3" s="1"/>
  <c r="G661" i="3"/>
  <c r="H661" i="3" s="1"/>
  <c r="G649" i="3"/>
  <c r="H649" i="3" s="1"/>
  <c r="G637" i="3"/>
  <c r="G625" i="3"/>
  <c r="H625" i="3" s="1"/>
  <c r="G613" i="3"/>
  <c r="G601" i="3"/>
  <c r="G589" i="3"/>
  <c r="H589" i="3" s="1"/>
  <c r="G577" i="3"/>
  <c r="H577" i="3" s="1"/>
  <c r="G565" i="3"/>
  <c r="G553" i="3"/>
  <c r="G541" i="3"/>
  <c r="H541" i="3" s="1"/>
  <c r="G529" i="3"/>
  <c r="H529" i="3" s="1"/>
  <c r="G517" i="3"/>
  <c r="G505" i="3"/>
  <c r="H505" i="3" s="1"/>
  <c r="G493" i="3"/>
  <c r="G481" i="3"/>
  <c r="H481" i="3" s="1"/>
  <c r="G469" i="3"/>
  <c r="H469" i="3" s="1"/>
  <c r="G457" i="3"/>
  <c r="H457" i="3" s="1"/>
  <c r="G445" i="3"/>
  <c r="H445" i="3" s="1"/>
  <c r="G433" i="3"/>
  <c r="G421" i="3"/>
  <c r="G409" i="3"/>
  <c r="G397" i="3"/>
  <c r="H397" i="3" s="1"/>
  <c r="G385" i="3"/>
  <c r="H385" i="3" s="1"/>
  <c r="G373" i="3"/>
  <c r="G361" i="3"/>
  <c r="G349" i="3"/>
  <c r="G337" i="3"/>
  <c r="G325" i="3"/>
  <c r="H325" i="3" s="1"/>
  <c r="G313" i="3"/>
  <c r="H313" i="3" s="1"/>
  <c r="G301" i="3"/>
  <c r="H301" i="3" s="1"/>
  <c r="G289" i="3"/>
  <c r="G277" i="3"/>
  <c r="G265" i="3"/>
  <c r="G253" i="3"/>
  <c r="H253" i="3" s="1"/>
  <c r="G241" i="3"/>
  <c r="H241" i="3" s="1"/>
  <c r="G229" i="3"/>
  <c r="H229" i="3" s="1"/>
  <c r="G217" i="3"/>
  <c r="H217" i="3" s="1"/>
  <c r="G205" i="3"/>
  <c r="G193" i="3"/>
  <c r="H193" i="3" s="1"/>
  <c r="G181" i="3"/>
  <c r="G169" i="3"/>
  <c r="H169" i="3" s="1"/>
  <c r="G157" i="3"/>
  <c r="H157" i="3" s="1"/>
  <c r="G145" i="3"/>
  <c r="G133" i="3"/>
  <c r="G121" i="3"/>
  <c r="H121" i="3" s="1"/>
  <c r="G109" i="3"/>
  <c r="H109" i="3" s="1"/>
  <c r="G97" i="3"/>
  <c r="H97" i="3" s="1"/>
  <c r="G85" i="3"/>
  <c r="G73" i="3"/>
  <c r="H73" i="3" s="1"/>
  <c r="G61" i="3"/>
  <c r="H61" i="3" s="1"/>
  <c r="G49" i="3"/>
  <c r="H49" i="3" s="1"/>
  <c r="G37" i="3"/>
  <c r="H37" i="3" s="1"/>
  <c r="G25" i="3"/>
  <c r="H25" i="3" s="1"/>
  <c r="G13" i="3"/>
  <c r="H13" i="3" s="1"/>
  <c r="G1047" i="3"/>
  <c r="H1047" i="3" s="1"/>
  <c r="G1035" i="3"/>
  <c r="H1035" i="3" s="1"/>
  <c r="G1023" i="3"/>
  <c r="H1023" i="3" s="1"/>
  <c r="G1011" i="3"/>
  <c r="H1011" i="3" s="1"/>
  <c r="G999" i="3"/>
  <c r="H999" i="3" s="1"/>
  <c r="G987" i="3"/>
  <c r="H987" i="3" s="1"/>
  <c r="G975" i="3"/>
  <c r="H975" i="3" s="1"/>
  <c r="G963" i="3"/>
  <c r="H963" i="3" s="1"/>
  <c r="G951" i="3"/>
  <c r="G939" i="3"/>
  <c r="H939" i="3" s="1"/>
  <c r="G927" i="3"/>
  <c r="H927" i="3" s="1"/>
  <c r="G915" i="3"/>
  <c r="H915" i="3" s="1"/>
  <c r="G903" i="3"/>
  <c r="G891" i="3"/>
  <c r="H891" i="3" s="1"/>
  <c r="G879" i="3"/>
  <c r="G867" i="3"/>
  <c r="H867" i="3" s="1"/>
  <c r="G855" i="3"/>
  <c r="H855" i="3" s="1"/>
  <c r="G843" i="3"/>
  <c r="H843" i="3" s="1"/>
  <c r="G831" i="3"/>
  <c r="G819" i="3"/>
  <c r="H819" i="3" s="1"/>
  <c r="G807" i="3"/>
  <c r="G795" i="3"/>
  <c r="H795" i="3" s="1"/>
  <c r="G783" i="3"/>
  <c r="H783" i="3" s="1"/>
  <c r="G771" i="3"/>
  <c r="H771" i="3" s="1"/>
  <c r="G759" i="3"/>
  <c r="H759" i="3" s="1"/>
  <c r="G747" i="3"/>
  <c r="H747" i="3" s="1"/>
  <c r="G735" i="3"/>
  <c r="G723" i="3"/>
  <c r="H723" i="3" s="1"/>
  <c r="G711" i="3"/>
  <c r="H711" i="3" s="1"/>
  <c r="G699" i="3"/>
  <c r="G687" i="3"/>
  <c r="H687" i="3" s="1"/>
  <c r="G675" i="3"/>
  <c r="H675" i="3" s="1"/>
  <c r="G663" i="3"/>
  <c r="H663" i="3" s="1"/>
  <c r="G651" i="3"/>
  <c r="H651" i="3" s="1"/>
  <c r="G639" i="3"/>
  <c r="H639" i="3" s="1"/>
  <c r="G627" i="3"/>
  <c r="H627" i="3" s="1"/>
  <c r="G615" i="3"/>
  <c r="H615" i="3" s="1"/>
  <c r="G603" i="3"/>
  <c r="H603" i="3" s="1"/>
  <c r="G591" i="3"/>
  <c r="H591" i="3" s="1"/>
  <c r="G579" i="3"/>
  <c r="H579" i="3" s="1"/>
  <c r="G567" i="3"/>
  <c r="H567" i="3" s="1"/>
  <c r="G555" i="3"/>
  <c r="H555" i="3" s="1"/>
  <c r="G543" i="3"/>
  <c r="G531" i="3"/>
  <c r="H531" i="3" s="1"/>
  <c r="G519" i="3"/>
  <c r="H519" i="3" s="1"/>
  <c r="G507" i="3"/>
  <c r="H507" i="3" s="1"/>
  <c r="G495" i="3"/>
  <c r="H495" i="3" s="1"/>
  <c r="G483" i="3"/>
  <c r="H483" i="3" s="1"/>
  <c r="G471" i="3"/>
  <c r="H471" i="3" s="1"/>
  <c r="G459" i="3"/>
  <c r="G447" i="3"/>
  <c r="H447" i="3" s="1"/>
  <c r="G435" i="3"/>
  <c r="H435" i="3" s="1"/>
  <c r="G423" i="3"/>
  <c r="H423" i="3" s="1"/>
  <c r="G411" i="3"/>
  <c r="H411" i="3" s="1"/>
  <c r="G399" i="3"/>
  <c r="H399" i="3" s="1"/>
  <c r="G387" i="3"/>
  <c r="H387" i="3" s="1"/>
  <c r="G375" i="3"/>
  <c r="H375" i="3" s="1"/>
  <c r="G363" i="3"/>
  <c r="H363" i="3" s="1"/>
  <c r="G351" i="3"/>
  <c r="H351" i="3" s="1"/>
  <c r="G339" i="3"/>
  <c r="H339" i="3" s="1"/>
  <c r="G327" i="3"/>
  <c r="G315" i="3"/>
  <c r="H315" i="3" s="1"/>
  <c r="G303" i="3"/>
  <c r="H303" i="3" s="1"/>
  <c r="G291" i="3"/>
  <c r="H291" i="3" s="1"/>
  <c r="G279" i="3"/>
  <c r="H279" i="3" s="1"/>
  <c r="G267" i="3"/>
  <c r="H267" i="3" s="1"/>
  <c r="G255" i="3"/>
  <c r="H255" i="3" s="1"/>
  <c r="G243" i="3"/>
  <c r="H243" i="3" s="1"/>
  <c r="G231" i="3"/>
  <c r="H231" i="3" s="1"/>
  <c r="G219" i="3"/>
  <c r="H219" i="3" s="1"/>
  <c r="G207" i="3"/>
  <c r="G195" i="3"/>
  <c r="H195" i="3" s="1"/>
  <c r="G183" i="3"/>
  <c r="H183" i="3" s="1"/>
  <c r="G171" i="3"/>
  <c r="H171" i="3" s="1"/>
  <c r="G159" i="3"/>
  <c r="H159" i="3" s="1"/>
  <c r="G147" i="3"/>
  <c r="H147" i="3" s="1"/>
  <c r="G135" i="3"/>
  <c r="H135" i="3" s="1"/>
  <c r="G123" i="3"/>
  <c r="H123" i="3" s="1"/>
  <c r="G111" i="3"/>
  <c r="H111" i="3" s="1"/>
  <c r="G99" i="3"/>
  <c r="H99" i="3" s="1"/>
  <c r="G87" i="3"/>
  <c r="H87" i="3" s="1"/>
  <c r="G75" i="3"/>
  <c r="H75" i="3" s="1"/>
  <c r="G63" i="3"/>
  <c r="H63" i="3" s="1"/>
  <c r="G51" i="3"/>
  <c r="H51" i="3" s="1"/>
  <c r="G39" i="3"/>
  <c r="H39" i="3" s="1"/>
  <c r="G27" i="3"/>
  <c r="H27" i="3" s="1"/>
  <c r="G15" i="3"/>
  <c r="H15" i="3" s="1"/>
  <c r="G3" i="3"/>
  <c r="H3" i="3" s="1"/>
  <c r="D3322" i="3"/>
  <c r="H3322" i="3" s="1"/>
  <c r="D2625" i="3"/>
  <c r="H2625" i="3" s="1"/>
  <c r="D3108" i="3"/>
  <c r="H3108" i="3" s="1"/>
  <c r="D2916" i="3"/>
  <c r="H2916" i="3" s="1"/>
  <c r="D3341" i="3"/>
  <c r="D3221" i="3"/>
  <c r="D3340" i="3"/>
  <c r="D3232" i="3"/>
  <c r="D3220" i="3"/>
  <c r="D3183" i="3"/>
  <c r="H3183" i="3" s="1"/>
  <c r="D3182" i="3"/>
  <c r="H3182" i="3" s="1"/>
  <c r="D3026" i="3"/>
  <c r="H3026" i="3" s="1"/>
  <c r="D2990" i="3"/>
  <c r="H2990" i="3" s="1"/>
  <c r="D3281" i="3"/>
  <c r="D2025" i="3"/>
  <c r="H2025" i="3" s="1"/>
  <c r="D1977" i="3"/>
  <c r="H1977" i="3" s="1"/>
  <c r="D1713" i="3"/>
  <c r="H1713" i="3" s="1"/>
  <c r="D1689" i="3"/>
  <c r="H1689" i="3" s="1"/>
  <c r="D1677" i="3"/>
  <c r="H1677" i="3" s="1"/>
  <c r="D1617" i="3"/>
  <c r="H1617" i="3" s="1"/>
  <c r="D1485" i="3"/>
  <c r="H1485" i="3" s="1"/>
  <c r="D1293" i="3"/>
  <c r="H1293" i="3" s="1"/>
  <c r="D3314" i="3"/>
  <c r="H3314" i="3" s="1"/>
  <c r="D3266" i="3"/>
  <c r="H3266" i="3" s="1"/>
  <c r="D3206" i="3"/>
  <c r="H3206" i="3" s="1"/>
  <c r="D3122" i="3"/>
  <c r="D3062" i="3"/>
  <c r="H3062" i="3" s="1"/>
  <c r="D2918" i="3"/>
  <c r="H2918" i="3" s="1"/>
  <c r="D2846" i="3"/>
  <c r="H2846" i="3" s="1"/>
  <c r="D2678" i="3"/>
  <c r="H2678" i="3" s="1"/>
  <c r="D2606" i="3"/>
  <c r="H2606" i="3" s="1"/>
  <c r="D2486" i="3"/>
  <c r="H2486" i="3" s="1"/>
  <c r="D2138" i="3"/>
  <c r="H2138" i="3" s="1"/>
  <c r="D2851" i="3"/>
  <c r="D1459" i="3"/>
  <c r="D787" i="3"/>
  <c r="D595" i="3"/>
  <c r="D415" i="3"/>
  <c r="D3230" i="3"/>
  <c r="H3230" i="3" s="1"/>
  <c r="D3170" i="3"/>
  <c r="H3170" i="3" s="1"/>
  <c r="D3110" i="3"/>
  <c r="H3110" i="3" s="1"/>
  <c r="D3038" i="3"/>
  <c r="H3038" i="3" s="1"/>
  <c r="D2966" i="3"/>
  <c r="H2966" i="3" s="1"/>
  <c r="D2906" i="3"/>
  <c r="H2906" i="3" s="1"/>
  <c r="D2834" i="3"/>
  <c r="H2834" i="3" s="1"/>
  <c r="D2786" i="3"/>
  <c r="H2786" i="3" s="1"/>
  <c r="D2714" i="3"/>
  <c r="H2714" i="3" s="1"/>
  <c r="D2654" i="3"/>
  <c r="H2654" i="3" s="1"/>
  <c r="D2582" i="3"/>
  <c r="H2582" i="3" s="1"/>
  <c r="D2534" i="3"/>
  <c r="H2534" i="3" s="1"/>
  <c r="D2462" i="3"/>
  <c r="H2462" i="3" s="1"/>
  <c r="D2414" i="3"/>
  <c r="H2414" i="3" s="1"/>
  <c r="D2306" i="3"/>
  <c r="H2306" i="3" s="1"/>
  <c r="D2246" i="3"/>
  <c r="H2246" i="3" s="1"/>
  <c r="D2198" i="3"/>
  <c r="H2198" i="3" s="1"/>
  <c r="D2126" i="3"/>
  <c r="H2126" i="3" s="1"/>
  <c r="D2078" i="3"/>
  <c r="H2078" i="3" s="1"/>
  <c r="D1970" i="3"/>
  <c r="H1970" i="3" s="1"/>
  <c r="D1910" i="3"/>
  <c r="H1910" i="3" s="1"/>
  <c r="D1814" i="3"/>
  <c r="H1814" i="3" s="1"/>
  <c r="D1766" i="3"/>
  <c r="H1766" i="3" s="1"/>
  <c r="D1706" i="3"/>
  <c r="H1706" i="3" s="1"/>
  <c r="D1658" i="3"/>
  <c r="H1658" i="3" s="1"/>
  <c r="D1598" i="3"/>
  <c r="H1598" i="3" s="1"/>
  <c r="D1490" i="3"/>
  <c r="D1430" i="3"/>
  <c r="D1370" i="3"/>
  <c r="D1250" i="3"/>
  <c r="D1190" i="3"/>
  <c r="D1154" i="3"/>
  <c r="D1118" i="3"/>
  <c r="D1058" i="3"/>
  <c r="D1022" i="3"/>
  <c r="D986" i="3"/>
  <c r="D950" i="3"/>
  <c r="D878" i="3"/>
  <c r="D842" i="3"/>
  <c r="D806" i="3"/>
  <c r="D734" i="3"/>
  <c r="D686" i="3"/>
  <c r="D650" i="3"/>
  <c r="D614" i="3"/>
  <c r="D566" i="3"/>
  <c r="D506" i="3"/>
  <c r="D254" i="3"/>
  <c r="D3338" i="3"/>
  <c r="H3338" i="3" s="1"/>
  <c r="D3302" i="3"/>
  <c r="H3302" i="3" s="1"/>
  <c r="D3254" i="3"/>
  <c r="H3254" i="3" s="1"/>
  <c r="D3194" i="3"/>
  <c r="H3194" i="3" s="1"/>
  <c r="D3134" i="3"/>
  <c r="H3134" i="3" s="1"/>
  <c r="D3074" i="3"/>
  <c r="H3074" i="3" s="1"/>
  <c r="D3002" i="3"/>
  <c r="H3002" i="3" s="1"/>
  <c r="D2954" i="3"/>
  <c r="H2954" i="3" s="1"/>
  <c r="D2882" i="3"/>
  <c r="H2882" i="3" s="1"/>
  <c r="D2810" i="3"/>
  <c r="H2810" i="3" s="1"/>
  <c r="D2738" i="3"/>
  <c r="H2738" i="3" s="1"/>
  <c r="D2666" i="3"/>
  <c r="H2666" i="3" s="1"/>
  <c r="D2618" i="3"/>
  <c r="H2618" i="3" s="1"/>
  <c r="D2546" i="3"/>
  <c r="H2546" i="3" s="1"/>
  <c r="D2498" i="3"/>
  <c r="H2498" i="3" s="1"/>
  <c r="D2438" i="3"/>
  <c r="H2438" i="3" s="1"/>
  <c r="D2378" i="3"/>
  <c r="H2378" i="3" s="1"/>
  <c r="D2330" i="3"/>
  <c r="H2330" i="3" s="1"/>
  <c r="D2270" i="3"/>
  <c r="H2270" i="3" s="1"/>
  <c r="D2210" i="3"/>
  <c r="H2210" i="3" s="1"/>
  <c r="D2090" i="3"/>
  <c r="H2090" i="3" s="1"/>
  <c r="D2042" i="3"/>
  <c r="H2042" i="3" s="1"/>
  <c r="D1982" i="3"/>
  <c r="H1982" i="3" s="1"/>
  <c r="D1946" i="3"/>
  <c r="H1946" i="3" s="1"/>
  <c r="D1886" i="3"/>
  <c r="H1886" i="3" s="1"/>
  <c r="D1838" i="3"/>
  <c r="H1838" i="3" s="1"/>
  <c r="D1634" i="3"/>
  <c r="D1574" i="3"/>
  <c r="D1514" i="3"/>
  <c r="D1454" i="3"/>
  <c r="D1394" i="3"/>
  <c r="D1346" i="3"/>
  <c r="D1214" i="3"/>
  <c r="D1082" i="3"/>
  <c r="D242" i="3"/>
  <c r="D3146" i="3"/>
  <c r="H3146" i="3" s="1"/>
  <c r="D3086" i="3"/>
  <c r="H3086" i="3" s="1"/>
  <c r="D3014" i="3"/>
  <c r="H3014" i="3" s="1"/>
  <c r="D2942" i="3"/>
  <c r="H2942" i="3" s="1"/>
  <c r="D2870" i="3"/>
  <c r="H2870" i="3" s="1"/>
  <c r="D2798" i="3"/>
  <c r="H2798" i="3" s="1"/>
  <c r="D2750" i="3"/>
  <c r="H2750" i="3" s="1"/>
  <c r="D2630" i="3"/>
  <c r="H2630" i="3" s="1"/>
  <c r="D2570" i="3"/>
  <c r="H2570" i="3" s="1"/>
  <c r="D2510" i="3"/>
  <c r="H2510" i="3" s="1"/>
  <c r="D2450" i="3"/>
  <c r="D2390" i="3"/>
  <c r="H2390" i="3" s="1"/>
  <c r="D2282" i="3"/>
  <c r="H2282" i="3" s="1"/>
  <c r="D2222" i="3"/>
  <c r="D2162" i="3"/>
  <c r="H2162" i="3" s="1"/>
  <c r="D2054" i="3"/>
  <c r="H2054" i="3" s="1"/>
  <c r="D1922" i="3"/>
  <c r="H1922" i="3" s="1"/>
  <c r="D1862" i="3"/>
  <c r="H1862" i="3" s="1"/>
  <c r="D1802" i="3"/>
  <c r="H1802" i="3" s="1"/>
  <c r="D1742" i="3"/>
  <c r="H1742" i="3" s="1"/>
  <c r="D1682" i="3"/>
  <c r="H1682" i="3" s="1"/>
  <c r="D1622" i="3"/>
  <c r="H1622" i="3" s="1"/>
  <c r="D1526" i="3"/>
  <c r="D1466" i="3"/>
  <c r="D1286" i="3"/>
  <c r="D1226" i="3"/>
  <c r="D1094" i="3"/>
  <c r="D230" i="3"/>
  <c r="D3326" i="3"/>
  <c r="H3326" i="3" s="1"/>
  <c r="D3290" i="3"/>
  <c r="H3290" i="3" s="1"/>
  <c r="D3278" i="3"/>
  <c r="H3278" i="3" s="1"/>
  <c r="D3242" i="3"/>
  <c r="H3242" i="3" s="1"/>
  <c r="D3218" i="3"/>
  <c r="H3218" i="3" s="1"/>
  <c r="D3158" i="3"/>
  <c r="H3158" i="3" s="1"/>
  <c r="D3098" i="3"/>
  <c r="H3098" i="3" s="1"/>
  <c r="D3050" i="3"/>
  <c r="H3050" i="3" s="1"/>
  <c r="D2978" i="3"/>
  <c r="H2978" i="3" s="1"/>
  <c r="D2930" i="3"/>
  <c r="H2930" i="3" s="1"/>
  <c r="D2894" i="3"/>
  <c r="H2894" i="3" s="1"/>
  <c r="D2858" i="3"/>
  <c r="H2858" i="3" s="1"/>
  <c r="D2822" i="3"/>
  <c r="H2822" i="3" s="1"/>
  <c r="D2774" i="3"/>
  <c r="H2774" i="3" s="1"/>
  <c r="D2726" i="3"/>
  <c r="H2726" i="3" s="1"/>
  <c r="D2690" i="3"/>
  <c r="H2690" i="3" s="1"/>
  <c r="D2642" i="3"/>
  <c r="H2642" i="3" s="1"/>
  <c r="D2594" i="3"/>
  <c r="H2594" i="3" s="1"/>
  <c r="D2522" i="3"/>
  <c r="H2522" i="3" s="1"/>
  <c r="D2474" i="3"/>
  <c r="H2474" i="3" s="1"/>
  <c r="D2402" i="3"/>
  <c r="H2402" i="3" s="1"/>
  <c r="D2366" i="3"/>
  <c r="H2366" i="3" s="1"/>
  <c r="D2318" i="3"/>
  <c r="H2318" i="3" s="1"/>
  <c r="D2258" i="3"/>
  <c r="H2258" i="3" s="1"/>
  <c r="D2186" i="3"/>
  <c r="H2186" i="3" s="1"/>
  <c r="D2114" i="3"/>
  <c r="H2114" i="3" s="1"/>
  <c r="D1994" i="3"/>
  <c r="H1994" i="3" s="1"/>
  <c r="D1958" i="3"/>
  <c r="D1934" i="3"/>
  <c r="D1898" i="3"/>
  <c r="H1898" i="3" s="1"/>
  <c r="D1850" i="3"/>
  <c r="H1850" i="3" s="1"/>
  <c r="D1826" i="3"/>
  <c r="H1826" i="3" s="1"/>
  <c r="D1790" i="3"/>
  <c r="H1790" i="3" s="1"/>
  <c r="D1754" i="3"/>
  <c r="H1754" i="3" s="1"/>
  <c r="D1670" i="3"/>
  <c r="H1670" i="3" s="1"/>
  <c r="D1646" i="3"/>
  <c r="H1646" i="3" s="1"/>
  <c r="D1610" i="3"/>
  <c r="H1610" i="3" s="1"/>
  <c r="D1538" i="3"/>
  <c r="D1502" i="3"/>
  <c r="D1442" i="3"/>
  <c r="D1406" i="3"/>
  <c r="D1382" i="3"/>
  <c r="D1334" i="3"/>
  <c r="D1310" i="3"/>
  <c r="D1262" i="3"/>
  <c r="D1202" i="3"/>
  <c r="D1178" i="3"/>
  <c r="D1142" i="3"/>
  <c r="D1130" i="3"/>
  <c r="D1106" i="3"/>
  <c r="D1034" i="3"/>
  <c r="D998" i="3"/>
  <c r="D962" i="3"/>
  <c r="D938" i="3"/>
  <c r="D902" i="3"/>
  <c r="D890" i="3"/>
  <c r="D854" i="3"/>
  <c r="D818" i="3"/>
  <c r="D758" i="3"/>
  <c r="D662" i="3"/>
  <c r="D638" i="3"/>
  <c r="D590" i="3"/>
  <c r="D578" i="3"/>
  <c r="D494" i="3"/>
  <c r="D410" i="3"/>
  <c r="D350" i="3"/>
  <c r="D326" i="3"/>
  <c r="D1821" i="3"/>
  <c r="H1821" i="3" s="1"/>
  <c r="D1521" i="3"/>
  <c r="H1521" i="3" s="1"/>
  <c r="D1509" i="3"/>
  <c r="H1509" i="3" s="1"/>
  <c r="D1437" i="3"/>
  <c r="H1437" i="3" s="1"/>
  <c r="D1329" i="3"/>
  <c r="H1329" i="3" s="1"/>
  <c r="D919" i="3"/>
  <c r="D871" i="3"/>
  <c r="D55" i="3"/>
  <c r="D178" i="3"/>
  <c r="H178" i="3" s="1"/>
  <c r="D573" i="3"/>
  <c r="H573" i="3" s="1"/>
  <c r="D561" i="3"/>
  <c r="H561" i="3" s="1"/>
  <c r="D453" i="3"/>
  <c r="H453" i="3" s="1"/>
  <c r="D201" i="3"/>
  <c r="H201" i="3" s="1"/>
  <c r="D189" i="3"/>
  <c r="H189" i="3" s="1"/>
  <c r="D3339" i="3"/>
  <c r="H3339" i="3" s="1"/>
  <c r="D3327" i="3"/>
  <c r="H3327" i="3" s="1"/>
  <c r="D3315" i="3"/>
  <c r="H3315" i="3" s="1"/>
  <c r="D3267" i="3"/>
  <c r="H3267" i="3" s="1"/>
  <c r="D3255" i="3"/>
  <c r="H3255" i="3" s="1"/>
  <c r="D3231" i="3"/>
  <c r="H3231" i="3" s="1"/>
  <c r="D3219" i="3"/>
  <c r="H3219" i="3" s="1"/>
  <c r="D3195" i="3"/>
  <c r="H3195" i="3" s="1"/>
  <c r="D3171" i="3"/>
  <c r="H3171" i="3" s="1"/>
  <c r="D3159" i="3"/>
  <c r="H3159" i="3" s="1"/>
  <c r="D3147" i="3"/>
  <c r="H3147" i="3" s="1"/>
  <c r="D3135" i="3"/>
  <c r="H3135" i="3" s="1"/>
  <c r="D3123" i="3"/>
  <c r="H3123" i="3" s="1"/>
  <c r="D3111" i="3"/>
  <c r="H3111" i="3" s="1"/>
  <c r="D3099" i="3"/>
  <c r="H3099" i="3" s="1"/>
  <c r="D3075" i="3"/>
  <c r="H3075" i="3" s="1"/>
  <c r="D3063" i="3"/>
  <c r="H3063" i="3" s="1"/>
  <c r="D3051" i="3"/>
  <c r="H3051" i="3" s="1"/>
  <c r="D3039" i="3"/>
  <c r="H3039" i="3" s="1"/>
  <c r="D3027" i="3"/>
  <c r="H3027" i="3" s="1"/>
  <c r="D3003" i="3"/>
  <c r="H3003" i="3" s="1"/>
  <c r="D2979" i="3"/>
  <c r="H2979" i="3" s="1"/>
  <c r="D2955" i="3"/>
  <c r="H2955" i="3" s="1"/>
  <c r="D2907" i="3"/>
  <c r="H2907" i="3" s="1"/>
  <c r="D2895" i="3"/>
  <c r="H2895" i="3" s="1"/>
  <c r="D2883" i="3"/>
  <c r="H2883" i="3" s="1"/>
  <c r="D2859" i="3"/>
  <c r="H2859" i="3" s="1"/>
  <c r="D2847" i="3"/>
  <c r="H2847" i="3" s="1"/>
  <c r="D2823" i="3"/>
  <c r="H2823" i="3" s="1"/>
  <c r="D2763" i="3"/>
  <c r="D2751" i="3"/>
  <c r="H2751" i="3" s="1"/>
  <c r="D2715" i="3"/>
  <c r="H2715" i="3" s="1"/>
  <c r="D2691" i="3"/>
  <c r="H2691" i="3" s="1"/>
  <c r="D2679" i="3"/>
  <c r="H2679" i="3" s="1"/>
  <c r="D2667" i="3"/>
  <c r="H2667" i="3" s="1"/>
  <c r="D2655" i="3"/>
  <c r="H2655" i="3" s="1"/>
  <c r="D2643" i="3"/>
  <c r="H2643" i="3" s="1"/>
  <c r="D2631" i="3"/>
  <c r="H2631" i="3" s="1"/>
  <c r="D2619" i="3"/>
  <c r="H2619" i="3" s="1"/>
  <c r="D2607" i="3"/>
  <c r="H2607" i="3" s="1"/>
  <c r="D2583" i="3"/>
  <c r="H2583" i="3" s="1"/>
  <c r="D2571" i="3"/>
  <c r="H2571" i="3" s="1"/>
  <c r="D2547" i="3"/>
  <c r="H2547" i="3" s="1"/>
  <c r="D2535" i="3"/>
  <c r="H2535" i="3" s="1"/>
  <c r="D2523" i="3"/>
  <c r="H2523" i="3" s="1"/>
  <c r="D2511" i="3"/>
  <c r="H2511" i="3" s="1"/>
  <c r="D2499" i="3"/>
  <c r="H2499" i="3" s="1"/>
  <c r="D2487" i="3"/>
  <c r="H2487" i="3" s="1"/>
  <c r="D2475" i="3"/>
  <c r="H2475" i="3" s="1"/>
  <c r="D3337" i="3"/>
  <c r="H3337" i="3" s="1"/>
  <c r="D3325" i="3"/>
  <c r="H3325" i="3" s="1"/>
  <c r="D3313" i="3"/>
  <c r="H3313" i="3" s="1"/>
  <c r="D3301" i="3"/>
  <c r="H3301" i="3" s="1"/>
  <c r="D3289" i="3"/>
  <c r="H3289" i="3" s="1"/>
  <c r="D3277" i="3"/>
  <c r="H3277" i="3" s="1"/>
  <c r="D3265" i="3"/>
  <c r="H3265" i="3" s="1"/>
  <c r="D3253" i="3"/>
  <c r="H3253" i="3" s="1"/>
  <c r="D3241" i="3"/>
  <c r="H3241" i="3" s="1"/>
  <c r="D3229" i="3"/>
  <c r="H3229" i="3" s="1"/>
  <c r="D3217" i="3"/>
  <c r="H3217" i="3" s="1"/>
  <c r="D3205" i="3"/>
  <c r="H3205" i="3" s="1"/>
  <c r="D3181" i="3"/>
  <c r="H3181" i="3" s="1"/>
  <c r="D3169" i="3"/>
  <c r="H3169" i="3" s="1"/>
  <c r="D3157" i="3"/>
  <c r="H3157" i="3" s="1"/>
  <c r="D3145" i="3"/>
  <c r="H3145" i="3" s="1"/>
  <c r="D3133" i="3"/>
  <c r="H3133" i="3" s="1"/>
  <c r="D3121" i="3"/>
  <c r="H3121" i="3" s="1"/>
  <c r="D3109" i="3"/>
  <c r="H3109" i="3" s="1"/>
  <c r="D3097" i="3"/>
  <c r="H3097" i="3" s="1"/>
  <c r="D3085" i="3"/>
  <c r="H3085" i="3" s="1"/>
  <c r="D3073" i="3"/>
  <c r="H3073" i="3" s="1"/>
  <c r="D3061" i="3"/>
  <c r="H3061" i="3" s="1"/>
  <c r="D3037" i="3"/>
  <c r="H3037" i="3" s="1"/>
  <c r="D3025" i="3"/>
  <c r="H3025" i="3" s="1"/>
  <c r="D3013" i="3"/>
  <c r="H3013" i="3" s="1"/>
  <c r="D3001" i="3"/>
  <c r="H3001" i="3" s="1"/>
  <c r="D2989" i="3"/>
  <c r="H2989" i="3" s="1"/>
  <c r="D2977" i="3"/>
  <c r="H2977" i="3" s="1"/>
  <c r="D2965" i="3"/>
  <c r="H2965" i="3" s="1"/>
  <c r="D2953" i="3"/>
  <c r="H2953" i="3" s="1"/>
  <c r="D2929" i="3"/>
  <c r="H2929" i="3" s="1"/>
  <c r="D2917" i="3"/>
  <c r="H2917" i="3" s="1"/>
  <c r="D2905" i="3"/>
  <c r="H2905" i="3" s="1"/>
  <c r="D2881" i="3"/>
  <c r="H2881" i="3" s="1"/>
  <c r="D2857" i="3"/>
  <c r="H2857" i="3" s="1"/>
  <c r="D2845" i="3"/>
  <c r="H2845" i="3" s="1"/>
  <c r="D2833" i="3"/>
  <c r="D2809" i="3"/>
  <c r="H2809" i="3" s="1"/>
  <c r="D2785" i="3"/>
  <c r="H2785" i="3" s="1"/>
  <c r="D2773" i="3"/>
  <c r="H2773" i="3" s="1"/>
  <c r="D2761" i="3"/>
  <c r="H2761" i="3" s="1"/>
  <c r="D2749" i="3"/>
  <c r="H2749" i="3" s="1"/>
  <c r="D2737" i="3"/>
  <c r="H2737" i="3" s="1"/>
  <c r="D2725" i="3"/>
  <c r="H2725" i="3" s="1"/>
  <c r="D2701" i="3"/>
  <c r="H2701" i="3" s="1"/>
  <c r="D2689" i="3"/>
  <c r="H2689" i="3" s="1"/>
  <c r="D2677" i="3"/>
  <c r="H2677" i="3" s="1"/>
  <c r="D2653" i="3"/>
  <c r="H2653" i="3" s="1"/>
  <c r="D2629" i="3"/>
  <c r="H2629" i="3" s="1"/>
  <c r="D2617" i="3"/>
  <c r="H2617" i="3" s="1"/>
  <c r="D2593" i="3"/>
  <c r="H2593" i="3" s="1"/>
  <c r="D2581" i="3"/>
  <c r="H2581" i="3" s="1"/>
  <c r="D2569" i="3"/>
  <c r="H2569" i="3" s="1"/>
  <c r="D2557" i="3"/>
  <c r="H2557" i="3" s="1"/>
  <c r="D2545" i="3"/>
  <c r="H2545" i="3" s="1"/>
  <c r="D2533" i="3"/>
  <c r="H2533" i="3" s="1"/>
  <c r="D2509" i="3"/>
  <c r="H2509" i="3" s="1"/>
  <c r="D2497" i="3"/>
  <c r="H2497" i="3" s="1"/>
  <c r="D2485" i="3"/>
  <c r="H2485" i="3" s="1"/>
  <c r="D2473" i="3"/>
  <c r="H2473" i="3" s="1"/>
  <c r="D2461" i="3"/>
  <c r="H2461" i="3" s="1"/>
  <c r="D2449" i="3"/>
  <c r="D2437" i="3"/>
  <c r="H2437" i="3" s="1"/>
  <c r="D2425" i="3"/>
  <c r="H2425" i="3" s="1"/>
  <c r="D2413" i="3"/>
  <c r="H2413" i="3" s="1"/>
  <c r="D2401" i="3"/>
  <c r="H2401" i="3" s="1"/>
  <c r="D2389" i="3"/>
  <c r="H2389" i="3" s="1"/>
  <c r="D2377" i="3"/>
  <c r="H2377" i="3" s="1"/>
  <c r="D2365" i="3"/>
  <c r="H2365" i="3" s="1"/>
  <c r="D2353" i="3"/>
  <c r="H2353" i="3" s="1"/>
  <c r="D2341" i="3"/>
  <c r="H2341" i="3" s="1"/>
  <c r="D2329" i="3"/>
  <c r="H2329" i="3" s="1"/>
  <c r="D2317" i="3"/>
  <c r="H2317" i="3" s="1"/>
  <c r="D2305" i="3"/>
  <c r="H2305" i="3" s="1"/>
  <c r="D2281" i="3"/>
  <c r="H2281" i="3" s="1"/>
  <c r="D2269" i="3"/>
  <c r="H2269" i="3" s="1"/>
  <c r="D2257" i="3"/>
  <c r="H2257" i="3" s="1"/>
  <c r="D2245" i="3"/>
  <c r="H2245" i="3" s="1"/>
  <c r="D2233" i="3"/>
  <c r="H2233" i="3" s="1"/>
  <c r="D2209" i="3"/>
  <c r="H2209" i="3" s="1"/>
  <c r="D2197" i="3"/>
  <c r="H2197" i="3" s="1"/>
  <c r="D2185" i="3"/>
  <c r="H2185" i="3" s="1"/>
  <c r="D2173" i="3"/>
  <c r="H2173" i="3" s="1"/>
  <c r="D2161" i="3"/>
  <c r="H2161" i="3" s="1"/>
  <c r="D2149" i="3"/>
  <c r="H2149" i="3" s="1"/>
  <c r="D2137" i="3"/>
  <c r="H2137" i="3" s="1"/>
  <c r="D2125" i="3"/>
  <c r="H2125" i="3" s="1"/>
  <c r="D2113" i="3"/>
  <c r="H2113" i="3" s="1"/>
  <c r="D2101" i="3"/>
  <c r="H2101" i="3" s="1"/>
  <c r="D2089" i="3"/>
  <c r="H2089" i="3" s="1"/>
  <c r="D2077" i="3"/>
  <c r="H2077" i="3" s="1"/>
  <c r="D2065" i="3"/>
  <c r="H2065" i="3" s="1"/>
  <c r="D2041" i="3"/>
  <c r="H2041" i="3" s="1"/>
  <c r="D2029" i="3"/>
  <c r="H2029" i="3" s="1"/>
  <c r="D2017" i="3"/>
  <c r="H2017" i="3" s="1"/>
  <c r="D2005" i="3"/>
  <c r="H2005" i="3" s="1"/>
  <c r="D1993" i="3"/>
  <c r="H1993" i="3" s="1"/>
  <c r="D1981" i="3"/>
  <c r="H1981" i="3" s="1"/>
  <c r="D1969" i="3"/>
  <c r="D1957" i="3"/>
  <c r="H1957" i="3" s="1"/>
  <c r="D1945" i="3"/>
  <c r="H1945" i="3" s="1"/>
  <c r="D1933" i="3"/>
  <c r="H1933" i="3" s="1"/>
  <c r="D1921" i="3"/>
  <c r="H1921" i="3" s="1"/>
  <c r="D1909" i="3"/>
  <c r="D1885" i="3"/>
  <c r="H1885" i="3" s="1"/>
  <c r="D1873" i="3"/>
  <c r="H1873" i="3" s="1"/>
  <c r="D1849" i="3"/>
  <c r="H1849" i="3" s="1"/>
  <c r="D1825" i="3"/>
  <c r="H1825" i="3" s="1"/>
  <c r="D1813" i="3"/>
  <c r="H1813" i="3" s="1"/>
  <c r="D1801" i="3"/>
  <c r="H1801" i="3" s="1"/>
  <c r="D1789" i="3"/>
  <c r="H1789" i="3" s="1"/>
  <c r="D1777" i="3"/>
  <c r="H1777" i="3" s="1"/>
  <c r="D1765" i="3"/>
  <c r="H1765" i="3" s="1"/>
  <c r="D1753" i="3"/>
  <c r="H1753" i="3" s="1"/>
  <c r="D1741" i="3"/>
  <c r="H1741" i="3" s="1"/>
  <c r="D1729" i="3"/>
  <c r="H1729" i="3" s="1"/>
  <c r="D1717" i="3"/>
  <c r="H1717" i="3" s="1"/>
  <c r="D1705" i="3"/>
  <c r="H1705" i="3" s="1"/>
  <c r="D1681" i="3"/>
  <c r="H1681" i="3" s="1"/>
  <c r="D1657" i="3"/>
  <c r="H1657" i="3" s="1"/>
  <c r="D1633" i="3"/>
  <c r="H1633" i="3" s="1"/>
  <c r="D1609" i="3"/>
  <c r="H1609" i="3" s="1"/>
  <c r="D1597" i="3"/>
  <c r="H1597" i="3" s="1"/>
  <c r="D1585" i="3"/>
  <c r="H1585" i="3" s="1"/>
  <c r="D1573" i="3"/>
  <c r="H1573" i="3" s="1"/>
  <c r="D1561" i="3"/>
  <c r="D1549" i="3"/>
  <c r="H1549" i="3" s="1"/>
  <c r="D1537" i="3"/>
  <c r="H1537" i="3" s="1"/>
  <c r="D1525" i="3"/>
  <c r="H1525" i="3" s="1"/>
  <c r="D1513" i="3"/>
  <c r="H1513" i="3" s="1"/>
  <c r="D1501" i="3"/>
  <c r="H1501" i="3" s="1"/>
  <c r="D1489" i="3"/>
  <c r="H1489" i="3" s="1"/>
  <c r="D1477" i="3"/>
  <c r="H1477" i="3" s="1"/>
  <c r="D1453" i="3"/>
  <c r="H1453" i="3" s="1"/>
  <c r="D1441" i="3"/>
  <c r="H1441" i="3" s="1"/>
  <c r="D1429" i="3"/>
  <c r="H1429" i="3" s="1"/>
  <c r="D1417" i="3"/>
  <c r="H1417" i="3" s="1"/>
  <c r="D1393" i="3"/>
  <c r="H1393" i="3" s="1"/>
  <c r="D1369" i="3"/>
  <c r="H1369" i="3" s="1"/>
  <c r="D1357" i="3"/>
  <c r="H1357" i="3" s="1"/>
  <c r="D1345" i="3"/>
  <c r="H1345" i="3" s="1"/>
  <c r="D1333" i="3"/>
  <c r="H1333" i="3" s="1"/>
  <c r="D1321" i="3"/>
  <c r="H1321" i="3" s="1"/>
  <c r="D1309" i="3"/>
  <c r="H1309" i="3" s="1"/>
  <c r="D1297" i="3"/>
  <c r="H1297" i="3" s="1"/>
  <c r="D1285" i="3"/>
  <c r="H1285" i="3" s="1"/>
  <c r="D1273" i="3"/>
  <c r="H1273" i="3" s="1"/>
  <c r="D1261" i="3"/>
  <c r="D1249" i="3"/>
  <c r="D1237" i="3"/>
  <c r="D1213" i="3"/>
  <c r="D1201" i="3"/>
  <c r="D1189" i="3"/>
  <c r="D1177" i="3"/>
  <c r="D1165" i="3"/>
  <c r="D1153" i="3"/>
  <c r="D1141" i="3"/>
  <c r="D1129" i="3"/>
  <c r="D1117" i="3"/>
  <c r="D3336" i="3"/>
  <c r="H3336" i="3" s="1"/>
  <c r="D3312" i="3"/>
  <c r="H3312" i="3" s="1"/>
  <c r="D3288" i="3"/>
  <c r="H3288" i="3" s="1"/>
  <c r="D3276" i="3"/>
  <c r="H3276" i="3" s="1"/>
  <c r="D3264" i="3"/>
  <c r="H3264" i="3" s="1"/>
  <c r="D3252" i="3"/>
  <c r="H3252" i="3" s="1"/>
  <c r="D3216" i="3"/>
  <c r="H3216" i="3" s="1"/>
  <c r="D3192" i="3"/>
  <c r="H3192" i="3" s="1"/>
  <c r="D3180" i="3"/>
  <c r="H3180" i="3" s="1"/>
  <c r="D1105" i="3"/>
  <c r="D1093" i="3"/>
  <c r="D1081" i="3"/>
  <c r="D1069" i="3"/>
  <c r="D1057" i="3"/>
  <c r="D1045" i="3"/>
  <c r="D1033" i="3"/>
  <c r="D1021" i="3"/>
  <c r="D1009" i="3"/>
  <c r="D997" i="3"/>
  <c r="D985" i="3"/>
  <c r="D961" i="3"/>
  <c r="D937" i="3"/>
  <c r="D925" i="3"/>
  <c r="D913" i="3"/>
  <c r="D889" i="3"/>
  <c r="D865" i="3"/>
  <c r="D853" i="3"/>
  <c r="D829" i="3"/>
  <c r="D817" i="3"/>
  <c r="D805" i="3"/>
  <c r="D793" i="3"/>
  <c r="D781" i="3"/>
  <c r="D769" i="3"/>
  <c r="D757" i="3"/>
  <c r="D745" i="3"/>
  <c r="D733" i="3"/>
  <c r="D721" i="3"/>
  <c r="D697" i="3"/>
  <c r="D661" i="3"/>
  <c r="D637" i="3"/>
  <c r="D625" i="3"/>
  <c r="D613" i="3"/>
  <c r="D601" i="3"/>
  <c r="D589" i="3"/>
  <c r="D565" i="3"/>
  <c r="D553" i="3"/>
  <c r="D541" i="3"/>
  <c r="D529" i="3"/>
  <c r="D517" i="3"/>
  <c r="D493" i="3"/>
  <c r="D481" i="3"/>
  <c r="D469" i="3"/>
  <c r="D457" i="3"/>
  <c r="D433" i="3"/>
  <c r="D421" i="3"/>
  <c r="D409" i="3"/>
  <c r="D397" i="3"/>
  <c r="D385" i="3"/>
  <c r="D373" i="3"/>
  <c r="D361" i="3"/>
  <c r="D349" i="3"/>
  <c r="D337" i="3"/>
  <c r="D313" i="3"/>
  <c r="D301" i="3"/>
  <c r="D289" i="3"/>
  <c r="D277" i="3"/>
  <c r="D265" i="3"/>
  <c r="D253" i="3"/>
  <c r="D241" i="3"/>
  <c r="D217" i="3"/>
  <c r="D205" i="3"/>
  <c r="D181" i="3"/>
  <c r="D145" i="3"/>
  <c r="D133" i="3"/>
  <c r="D109" i="3"/>
  <c r="D85" i="3"/>
  <c r="D49" i="3"/>
  <c r="D2382" i="3"/>
  <c r="D2334" i="3"/>
  <c r="D2298" i="3"/>
  <c r="D2286" i="3"/>
  <c r="D2262" i="3"/>
  <c r="D2226" i="3"/>
  <c r="D2178" i="3"/>
  <c r="D2130" i="3"/>
  <c r="D2118" i="3"/>
  <c r="D2070" i="3"/>
  <c r="D2058" i="3"/>
  <c r="D2010" i="3"/>
  <c r="D1962" i="3"/>
  <c r="D1902" i="3"/>
  <c r="D1866" i="3"/>
  <c r="D1854" i="3"/>
  <c r="D1818" i="3"/>
  <c r="D3132" i="3"/>
  <c r="H3132" i="3" s="1"/>
  <c r="D3084" i="3"/>
  <c r="H3084" i="3" s="1"/>
  <c r="D3060" i="3"/>
  <c r="H3060" i="3" s="1"/>
  <c r="D3048" i="3"/>
  <c r="H3048" i="3" s="1"/>
  <c r="D3024" i="3"/>
  <c r="H3024" i="3" s="1"/>
  <c r="D2976" i="3"/>
  <c r="H2976" i="3" s="1"/>
  <c r="D2964" i="3"/>
  <c r="H2964" i="3" s="1"/>
  <c r="D2952" i="3"/>
  <c r="H2952" i="3" s="1"/>
  <c r="D2940" i="3"/>
  <c r="H2940" i="3" s="1"/>
  <c r="D2868" i="3"/>
  <c r="H2868" i="3" s="1"/>
  <c r="D2832" i="3"/>
  <c r="H2832" i="3" s="1"/>
  <c r="D2820" i="3"/>
  <c r="H2820" i="3" s="1"/>
  <c r="D2808" i="3"/>
  <c r="H2808" i="3" s="1"/>
  <c r="D2796" i="3"/>
  <c r="H2796" i="3" s="1"/>
  <c r="D2772" i="3"/>
  <c r="H2772" i="3" s="1"/>
  <c r="D2760" i="3"/>
  <c r="H2760" i="3" s="1"/>
  <c r="D2736" i="3"/>
  <c r="H2736" i="3" s="1"/>
  <c r="D2724" i="3"/>
  <c r="H2724" i="3" s="1"/>
  <c r="D2652" i="3"/>
  <c r="H2652" i="3" s="1"/>
  <c r="D2412" i="3"/>
  <c r="H2412" i="3" s="1"/>
  <c r="D2376" i="3"/>
  <c r="H2376" i="3" s="1"/>
  <c r="D2364" i="3"/>
  <c r="H2364" i="3" s="1"/>
  <c r="D2352" i="3"/>
  <c r="H2352" i="3" s="1"/>
  <c r="D2328" i="3"/>
  <c r="H2328" i="3" s="1"/>
  <c r="D2100" i="3"/>
  <c r="H2100" i="3" s="1"/>
  <c r="D2088" i="3"/>
  <c r="H2088" i="3" s="1"/>
  <c r="D2076" i="3"/>
  <c r="H2076" i="3" s="1"/>
  <c r="D1944" i="3"/>
  <c r="H1944" i="3" s="1"/>
  <c r="D1824" i="3"/>
  <c r="H1824" i="3" s="1"/>
  <c r="D1716" i="3"/>
  <c r="H1716" i="3" s="1"/>
  <c r="D192" i="3"/>
  <c r="H192" i="3" s="1"/>
  <c r="D2451" i="3"/>
  <c r="H2451" i="3" s="1"/>
  <c r="D2439" i="3"/>
  <c r="H2439" i="3" s="1"/>
  <c r="D2427" i="3"/>
  <c r="H2427" i="3" s="1"/>
  <c r="D2415" i="3"/>
  <c r="H2415" i="3" s="1"/>
  <c r="D2403" i="3"/>
  <c r="H2403" i="3" s="1"/>
  <c r="D2379" i="3"/>
  <c r="H2379" i="3" s="1"/>
  <c r="D2367" i="3"/>
  <c r="H2367" i="3" s="1"/>
  <c r="D2343" i="3"/>
  <c r="H2343" i="3" s="1"/>
  <c r="D2331" i="3"/>
  <c r="H2331" i="3" s="1"/>
  <c r="D2307" i="3"/>
  <c r="H2307" i="3" s="1"/>
  <c r="D2295" i="3"/>
  <c r="H2295" i="3" s="1"/>
  <c r="D2283" i="3"/>
  <c r="H2283" i="3" s="1"/>
  <c r="D2271" i="3"/>
  <c r="H2271" i="3" s="1"/>
  <c r="D2247" i="3"/>
  <c r="H2247" i="3" s="1"/>
  <c r="D2235" i="3"/>
  <c r="H2235" i="3" s="1"/>
  <c r="D2223" i="3"/>
  <c r="H2223" i="3" s="1"/>
  <c r="D2211" i="3"/>
  <c r="H2211" i="3" s="1"/>
  <c r="D2199" i="3"/>
  <c r="H2199" i="3" s="1"/>
  <c r="D2187" i="3"/>
  <c r="H2187" i="3" s="1"/>
  <c r="D2163" i="3"/>
  <c r="H2163" i="3" s="1"/>
  <c r="D2127" i="3"/>
  <c r="H2127" i="3" s="1"/>
  <c r="D2115" i="3"/>
  <c r="H2115" i="3" s="1"/>
  <c r="D2079" i="3"/>
  <c r="H2079" i="3" s="1"/>
  <c r="D2031" i="3"/>
  <c r="H2031" i="3" s="1"/>
  <c r="D2019" i="3"/>
  <c r="H2019" i="3" s="1"/>
  <c r="D2007" i="3"/>
  <c r="H2007" i="3" s="1"/>
  <c r="D1983" i="3"/>
  <c r="H1983" i="3" s="1"/>
  <c r="D1971" i="3"/>
  <c r="H1971" i="3" s="1"/>
  <c r="D1959" i="3"/>
  <c r="H1959" i="3" s="1"/>
  <c r="D1947" i="3"/>
  <c r="H1947" i="3" s="1"/>
  <c r="D1923" i="3"/>
  <c r="H1923" i="3" s="1"/>
  <c r="D1911" i="3"/>
  <c r="H1911" i="3" s="1"/>
  <c r="D1899" i="3"/>
  <c r="D1875" i="3"/>
  <c r="H1875" i="3" s="1"/>
  <c r="D1863" i="3"/>
  <c r="H1863" i="3" s="1"/>
  <c r="D1839" i="3"/>
  <c r="H1839" i="3" s="1"/>
  <c r="D1791" i="3"/>
  <c r="H1791" i="3" s="1"/>
  <c r="D1767" i="3"/>
  <c r="H1767" i="3" s="1"/>
  <c r="D1743" i="3"/>
  <c r="H1743" i="3" s="1"/>
  <c r="D1731" i="3"/>
  <c r="H1731" i="3" s="1"/>
  <c r="D1707" i="3"/>
  <c r="H1707" i="3" s="1"/>
  <c r="D1683" i="3"/>
  <c r="H1683" i="3" s="1"/>
  <c r="D1671" i="3"/>
  <c r="H1671" i="3" s="1"/>
  <c r="D1647" i="3"/>
  <c r="H1647" i="3" s="1"/>
  <c r="D1623" i="3"/>
  <c r="H1623" i="3" s="1"/>
  <c r="D1599" i="3"/>
  <c r="H1599" i="3" s="1"/>
  <c r="D1587" i="3"/>
  <c r="H1587" i="3" s="1"/>
  <c r="D1551" i="3"/>
  <c r="H1551" i="3" s="1"/>
  <c r="D1527" i="3"/>
  <c r="H1527" i="3" s="1"/>
  <c r="D1515" i="3"/>
  <c r="H1515" i="3" s="1"/>
  <c r="D1491" i="3"/>
  <c r="H1491" i="3" s="1"/>
  <c r="D1479" i="3"/>
  <c r="H1479" i="3" s="1"/>
  <c r="D1467" i="3"/>
  <c r="H1467" i="3" s="1"/>
  <c r="D1455" i="3"/>
  <c r="H1455" i="3" s="1"/>
  <c r="D1443" i="3"/>
  <c r="H1443" i="3" s="1"/>
  <c r="D1395" i="3"/>
  <c r="H1395" i="3" s="1"/>
  <c r="D1371" i="3"/>
  <c r="H1371" i="3" s="1"/>
  <c r="D1359" i="3"/>
  <c r="H1359" i="3" s="1"/>
  <c r="D1335" i="3"/>
  <c r="H1335" i="3" s="1"/>
  <c r="D1311" i="3"/>
  <c r="H1311" i="3" s="1"/>
  <c r="D1287" i="3"/>
  <c r="H1287" i="3" s="1"/>
  <c r="D1263" i="3"/>
  <c r="H1263" i="3" s="1"/>
  <c r="D1239" i="3"/>
  <c r="H1239" i="3" s="1"/>
  <c r="D1227" i="3"/>
  <c r="H1227" i="3" s="1"/>
  <c r="D1179" i="3"/>
  <c r="H1179" i="3" s="1"/>
  <c r="D1131" i="3"/>
  <c r="H1131" i="3" s="1"/>
  <c r="D1083" i="3"/>
  <c r="H1083" i="3" s="1"/>
  <c r="D999" i="3"/>
  <c r="D951" i="3"/>
  <c r="D903" i="3"/>
  <c r="D879" i="3"/>
  <c r="D855" i="3"/>
  <c r="D831" i="3"/>
  <c r="D807" i="3"/>
  <c r="D783" i="3"/>
  <c r="D735" i="3"/>
  <c r="D699" i="3"/>
  <c r="D651" i="3"/>
  <c r="D567" i="3"/>
  <c r="D543" i="3"/>
  <c r="D459" i="3"/>
  <c r="D327" i="3"/>
  <c r="D291" i="3"/>
  <c r="D267" i="3"/>
  <c r="D207" i="3"/>
  <c r="D2037" i="3"/>
  <c r="H2037" i="3" s="1"/>
  <c r="D1809" i="3"/>
  <c r="H1809" i="3" s="1"/>
  <c r="D1701" i="3"/>
  <c r="H1701" i="3" s="1"/>
  <c r="D1425" i="3"/>
  <c r="H1425" i="3" s="1"/>
  <c r="D609" i="3"/>
  <c r="H609" i="3" s="1"/>
  <c r="D429" i="3"/>
  <c r="H429" i="3" s="1"/>
  <c r="D369" i="3"/>
  <c r="H369" i="3" s="1"/>
  <c r="D3284" i="3"/>
  <c r="D2912" i="3"/>
  <c r="D2708" i="3"/>
  <c r="D2624" i="3"/>
  <c r="D2576" i="3"/>
  <c r="D2456" i="3"/>
  <c r="D2444" i="3"/>
  <c r="D2420" i="3"/>
  <c r="D2144" i="3"/>
  <c r="D2120" i="3"/>
  <c r="D2060" i="3"/>
  <c r="D2012" i="3"/>
  <c r="D2000" i="3"/>
  <c r="D1916" i="3"/>
  <c r="D3259" i="3"/>
  <c r="D3247" i="3"/>
  <c r="D3223" i="3"/>
  <c r="D3211" i="3"/>
  <c r="D3127" i="3"/>
  <c r="D3115" i="3"/>
  <c r="D3091" i="3"/>
  <c r="D3067" i="3"/>
  <c r="D2899" i="3"/>
  <c r="D2875" i="3"/>
  <c r="D2827" i="3"/>
  <c r="D2803" i="3"/>
  <c r="D2779" i="3"/>
  <c r="D2767" i="3"/>
  <c r="D2743" i="3"/>
  <c r="D2719" i="3"/>
  <c r="D2575" i="3"/>
  <c r="D2551" i="3"/>
  <c r="D2527" i="3"/>
  <c r="D2455" i="3"/>
  <c r="D2431" i="3"/>
  <c r="D2311" i="3"/>
  <c r="D2299" i="3"/>
  <c r="D2275" i="3"/>
  <c r="D2263" i="3"/>
  <c r="D2239" i="3"/>
  <c r="D2215" i="3"/>
  <c r="D2203" i="3"/>
  <c r="D2107" i="3"/>
  <c r="D2083" i="3"/>
  <c r="D2023" i="3"/>
  <c r="D1999" i="3"/>
  <c r="D1951" i="3"/>
  <c r="D1879" i="3"/>
  <c r="D1819" i="3"/>
  <c r="D1795" i="3"/>
  <c r="D1759" i="3"/>
  <c r="D1687" i="3"/>
  <c r="D1651" i="3"/>
  <c r="D1603" i="3"/>
  <c r="D1591" i="3"/>
  <c r="D1411" i="3"/>
  <c r="D530" i="3"/>
  <c r="D458" i="3"/>
  <c r="D446" i="3"/>
  <c r="D386" i="3"/>
  <c r="D374" i="3"/>
  <c r="D362" i="3"/>
  <c r="D314" i="3"/>
  <c r="D302" i="3"/>
  <c r="D290" i="3"/>
  <c r="D278" i="3"/>
  <c r="D266" i="3"/>
  <c r="D194" i="3"/>
  <c r="D182" i="3"/>
  <c r="D170" i="3"/>
  <c r="D158" i="3"/>
  <c r="D134" i="3"/>
  <c r="D98" i="3"/>
  <c r="D50" i="3"/>
  <c r="D38" i="3"/>
  <c r="D2757" i="3"/>
  <c r="H2757" i="3" s="1"/>
  <c r="D2577" i="3"/>
  <c r="H2577" i="3" s="1"/>
  <c r="D2445" i="3"/>
  <c r="H2445" i="3" s="1"/>
  <c r="D2049" i="3"/>
  <c r="H2049" i="3" s="1"/>
  <c r="D3272" i="3"/>
  <c r="D3248" i="3"/>
  <c r="D3104" i="3"/>
  <c r="D3080" i="3"/>
  <c r="D2984" i="3"/>
  <c r="D2900" i="3"/>
  <c r="D2876" i="3"/>
  <c r="D2864" i="3"/>
  <c r="D2852" i="3"/>
  <c r="D2911" i="3"/>
  <c r="D2887" i="3"/>
  <c r="D2863" i="3"/>
  <c r="D2839" i="3"/>
  <c r="D2815" i="3"/>
  <c r="D2755" i="3"/>
  <c r="D2731" i="3"/>
  <c r="D2695" i="3"/>
  <c r="D2683" i="3"/>
  <c r="D1953" i="3"/>
  <c r="H1953" i="3" s="1"/>
  <c r="D1893" i="3"/>
  <c r="H1893" i="3" s="1"/>
  <c r="D1833" i="3"/>
  <c r="H1833" i="3" s="1"/>
  <c r="D1797" i="3"/>
  <c r="H1797" i="3" s="1"/>
  <c r="D1725" i="3"/>
  <c r="H1725" i="3" s="1"/>
  <c r="D1665" i="3"/>
  <c r="H1665" i="3" s="1"/>
  <c r="D1605" i="3"/>
  <c r="H1605" i="3" s="1"/>
  <c r="D1593" i="3"/>
  <c r="H1593" i="3" s="1"/>
  <c r="D1569" i="3"/>
  <c r="H1569" i="3" s="1"/>
  <c r="D1557" i="3"/>
  <c r="H1557" i="3" s="1"/>
  <c r="D1545" i="3"/>
  <c r="H1545" i="3" s="1"/>
  <c r="D1533" i="3"/>
  <c r="H1533" i="3" s="1"/>
  <c r="D1473" i="3"/>
  <c r="H1473" i="3" s="1"/>
  <c r="D1449" i="3"/>
  <c r="H1449" i="3" s="1"/>
  <c r="D1413" i="3"/>
  <c r="H1413" i="3" s="1"/>
  <c r="D1401" i="3"/>
  <c r="H1401" i="3" s="1"/>
  <c r="D1365" i="3"/>
  <c r="H1365" i="3" s="1"/>
  <c r="D1341" i="3"/>
  <c r="H1341" i="3" s="1"/>
  <c r="D1281" i="3"/>
  <c r="H1281" i="3" s="1"/>
  <c r="D1269" i="3"/>
  <c r="H1269" i="3" s="1"/>
  <c r="D1257" i="3"/>
  <c r="H1257" i="3" s="1"/>
  <c r="D1197" i="3"/>
  <c r="H1197" i="3" s="1"/>
  <c r="D1185" i="3"/>
  <c r="H1185" i="3" s="1"/>
  <c r="D1149" i="3"/>
  <c r="H1149" i="3" s="1"/>
  <c r="D1137" i="3"/>
  <c r="H1137" i="3" s="1"/>
  <c r="D1125" i="3"/>
  <c r="H1125" i="3" s="1"/>
  <c r="D1113" i="3"/>
  <c r="H1113" i="3" s="1"/>
  <c r="D1101" i="3"/>
  <c r="H1101" i="3" s="1"/>
  <c r="D1089" i="3"/>
  <c r="H1089" i="3" s="1"/>
  <c r="D1077" i="3"/>
  <c r="H1077" i="3" s="1"/>
  <c r="D1065" i="3"/>
  <c r="H1065" i="3" s="1"/>
  <c r="D1053" i="3"/>
  <c r="H1053" i="3" s="1"/>
  <c r="D1041" i="3"/>
  <c r="H1041" i="3" s="1"/>
  <c r="D1029" i="3"/>
  <c r="H1029" i="3" s="1"/>
  <c r="D1017" i="3"/>
  <c r="H1017" i="3" s="1"/>
  <c r="D1005" i="3"/>
  <c r="H1005" i="3" s="1"/>
  <c r="D993" i="3"/>
  <c r="D981" i="3"/>
  <c r="H981" i="3" s="1"/>
  <c r="D969" i="3"/>
  <c r="H969" i="3" s="1"/>
  <c r="D957" i="3"/>
  <c r="H957" i="3" s="1"/>
  <c r="D945" i="3"/>
  <c r="H945" i="3" s="1"/>
  <c r="D933" i="3"/>
  <c r="H933" i="3" s="1"/>
  <c r="D921" i="3"/>
  <c r="H921" i="3" s="1"/>
  <c r="D909" i="3"/>
  <c r="H909" i="3" s="1"/>
  <c r="D897" i="3"/>
  <c r="H897" i="3" s="1"/>
  <c r="D885" i="3"/>
  <c r="H885" i="3" s="1"/>
  <c r="D873" i="3"/>
  <c r="D861" i="3"/>
  <c r="H861" i="3" s="1"/>
  <c r="D849" i="3"/>
  <c r="D837" i="3"/>
  <c r="H837" i="3" s="1"/>
  <c r="D825" i="3"/>
  <c r="H825" i="3" s="1"/>
  <c r="D813" i="3"/>
  <c r="H813" i="3" s="1"/>
  <c r="D801" i="3"/>
  <c r="H801" i="3" s="1"/>
  <c r="D789" i="3"/>
  <c r="H789" i="3" s="1"/>
  <c r="D777" i="3"/>
  <c r="H777" i="3" s="1"/>
  <c r="D765" i="3"/>
  <c r="H765" i="3" s="1"/>
  <c r="D753" i="3"/>
  <c r="H753" i="3" s="1"/>
  <c r="D741" i="3"/>
  <c r="H741" i="3" s="1"/>
  <c r="D729" i="3"/>
  <c r="D717" i="3"/>
  <c r="H717" i="3" s="1"/>
  <c r="D705" i="3"/>
  <c r="H705" i="3" s="1"/>
  <c r="D693" i="3"/>
  <c r="H693" i="3" s="1"/>
  <c r="D681" i="3"/>
  <c r="H681" i="3" s="1"/>
  <c r="D669" i="3"/>
  <c r="H669" i="3" s="1"/>
  <c r="D657" i="3"/>
  <c r="H657" i="3" s="1"/>
  <c r="D597" i="3"/>
  <c r="H597" i="3" s="1"/>
  <c r="D585" i="3"/>
  <c r="H585" i="3" s="1"/>
  <c r="D537" i="3"/>
  <c r="H537" i="3" s="1"/>
  <c r="D525" i="3"/>
  <c r="H525" i="3" s="1"/>
  <c r="D501" i="3"/>
  <c r="H501" i="3" s="1"/>
  <c r="D489" i="3"/>
  <c r="H489" i="3" s="1"/>
  <c r="D417" i="3"/>
  <c r="H417" i="3" s="1"/>
  <c r="D405" i="3"/>
  <c r="H405" i="3" s="1"/>
  <c r="D393" i="3"/>
  <c r="H393" i="3" s="1"/>
  <c r="D381" i="3"/>
  <c r="H381" i="3" s="1"/>
  <c r="D321" i="3"/>
  <c r="H321" i="3" s="1"/>
  <c r="D249" i="3"/>
  <c r="H249" i="3" s="1"/>
  <c r="D237" i="3"/>
  <c r="H237" i="3" s="1"/>
  <c r="D165" i="3"/>
  <c r="H165" i="3" s="1"/>
  <c r="D153" i="3"/>
  <c r="H153" i="3" s="1"/>
  <c r="D105" i="3"/>
  <c r="H105" i="3" s="1"/>
  <c r="D93" i="3"/>
  <c r="H93" i="3" s="1"/>
  <c r="D69" i="3"/>
  <c r="H69" i="3" s="1"/>
  <c r="D21" i="3"/>
  <c r="H21" i="3" s="1"/>
  <c r="D9" i="3"/>
  <c r="H9" i="3" s="1"/>
  <c r="D2768" i="3"/>
  <c r="D2756" i="3"/>
  <c r="D2744" i="3"/>
  <c r="D2732" i="3"/>
  <c r="D2720" i="3"/>
  <c r="D2612" i="3"/>
  <c r="D2588" i="3"/>
  <c r="D2564" i="3"/>
  <c r="D2480" i="3"/>
  <c r="D2468" i="3"/>
  <c r="D2432" i="3"/>
  <c r="D2156" i="3"/>
  <c r="D2132" i="3"/>
  <c r="D2108" i="3"/>
  <c r="D2096" i="3"/>
  <c r="D2084" i="3"/>
  <c r="D2072" i="3"/>
  <c r="D2036" i="3"/>
  <c r="D2024" i="3"/>
  <c r="D1988" i="3"/>
  <c r="D1976" i="3"/>
  <c r="D1952" i="3"/>
  <c r="D1928" i="3"/>
  <c r="D1904" i="3"/>
  <c r="D1868" i="3"/>
  <c r="D1844" i="3"/>
  <c r="D1832" i="3"/>
  <c r="D1820" i="3"/>
  <c r="D1808" i="3"/>
  <c r="D1772" i="3"/>
  <c r="D1760" i="3"/>
  <c r="D1748" i="3"/>
  <c r="D1736" i="3"/>
  <c r="D1700" i="3"/>
  <c r="D1652" i="3"/>
  <c r="D1640" i="3"/>
  <c r="D1628" i="3"/>
  <c r="D1556" i="3"/>
  <c r="D1544" i="3"/>
  <c r="D1532" i="3"/>
  <c r="D1520" i="3"/>
  <c r="D1508" i="3"/>
  <c r="D1496" i="3"/>
  <c r="D1484" i="3"/>
  <c r="D1436" i="3"/>
  <c r="D1412" i="3"/>
  <c r="D1400" i="3"/>
  <c r="D1340" i="3"/>
  <c r="D1268" i="3"/>
  <c r="D1256" i="3"/>
  <c r="D1196" i="3"/>
  <c r="D1184" i="3"/>
  <c r="D1172" i="3"/>
  <c r="D1064" i="3"/>
  <c r="D1052" i="3"/>
  <c r="D1040" i="3"/>
  <c r="D920" i="3"/>
  <c r="D908" i="3"/>
  <c r="D896" i="3"/>
  <c r="D776" i="3"/>
  <c r="D764" i="3"/>
  <c r="D752" i="3"/>
  <c r="D668" i="3"/>
  <c r="D656" i="3"/>
  <c r="D584" i="3"/>
  <c r="D572" i="3"/>
  <c r="D524" i="3"/>
  <c r="D512" i="3"/>
  <c r="D500" i="3"/>
  <c r="D488" i="3"/>
  <c r="D476" i="3"/>
  <c r="D404" i="3"/>
  <c r="D392" i="3"/>
  <c r="D380" i="3"/>
  <c r="D368" i="3"/>
  <c r="D320" i="3"/>
  <c r="D236" i="3"/>
  <c r="D224" i="3"/>
  <c r="D92" i="3"/>
  <c r="D2659" i="3"/>
  <c r="D2647" i="3"/>
  <c r="D2623" i="3"/>
  <c r="D2599" i="3"/>
  <c r="D2587" i="3"/>
  <c r="D2563" i="3"/>
  <c r="D2503" i="3"/>
  <c r="D2467" i="3"/>
  <c r="D2443" i="3"/>
  <c r="D2419" i="3"/>
  <c r="D2407" i="3"/>
  <c r="D2383" i="3"/>
  <c r="D2347" i="3"/>
  <c r="D2335" i="3"/>
  <c r="D2287" i="3"/>
  <c r="D2227" i="3"/>
  <c r="D2179" i="3"/>
  <c r="D2131" i="3"/>
  <c r="D2071" i="3"/>
  <c r="D2059" i="3"/>
  <c r="D1987" i="3"/>
  <c r="D1975" i="3"/>
  <c r="D1915" i="3"/>
  <c r="D1867" i="3"/>
  <c r="D1831" i="3"/>
  <c r="D1807" i="3"/>
  <c r="D1747" i="3"/>
  <c r="D1735" i="3"/>
  <c r="D1723" i="3"/>
  <c r="D1699" i="3"/>
  <c r="D1639" i="3"/>
  <c r="D1627" i="3"/>
  <c r="D1615" i="3"/>
  <c r="D1543" i="3"/>
  <c r="D1519" i="3"/>
  <c r="D1507" i="3"/>
  <c r="D1483" i="3"/>
  <c r="D1399" i="3"/>
  <c r="D1387" i="3"/>
  <c r="D1339" i="3"/>
  <c r="D1327" i="3"/>
  <c r="D1255" i="3"/>
  <c r="D1183" i="3"/>
  <c r="D1171" i="3"/>
  <c r="D1159" i="3"/>
  <c r="D1051" i="3"/>
  <c r="D1039" i="3"/>
  <c r="D1027" i="3"/>
  <c r="D907" i="3"/>
  <c r="D895" i="3"/>
  <c r="D883" i="3"/>
  <c r="D811" i="3"/>
  <c r="D763" i="3"/>
  <c r="D751" i="3"/>
  <c r="D739" i="3"/>
  <c r="D655" i="3"/>
  <c r="D643" i="3"/>
  <c r="D583" i="3"/>
  <c r="D2973" i="3"/>
  <c r="H2973" i="3" s="1"/>
  <c r="D2769" i="3"/>
  <c r="H2769" i="3" s="1"/>
  <c r="D2205" i="3"/>
  <c r="H2205" i="3" s="1"/>
  <c r="D2181" i="3"/>
  <c r="H2181" i="3" s="1"/>
  <c r="D2073" i="3"/>
  <c r="H2073" i="3" s="1"/>
  <c r="D3296" i="3"/>
  <c r="D3260" i="3"/>
  <c r="D3092" i="3"/>
  <c r="D3297" i="3"/>
  <c r="H3297" i="3" s="1"/>
  <c r="D3261" i="3"/>
  <c r="H3261" i="3" s="1"/>
  <c r="D3237" i="3"/>
  <c r="H3237" i="3" s="1"/>
  <c r="D3141" i="3"/>
  <c r="H3141" i="3" s="1"/>
  <c r="D3105" i="3"/>
  <c r="H3105" i="3" s="1"/>
  <c r="D3009" i="3"/>
  <c r="H3009" i="3" s="1"/>
  <c r="D2913" i="3"/>
  <c r="H2913" i="3" s="1"/>
  <c r="D2865" i="3"/>
  <c r="H2865" i="3" s="1"/>
  <c r="D2781" i="3"/>
  <c r="H2781" i="3" s="1"/>
  <c r="D2745" i="3"/>
  <c r="H2745" i="3" s="1"/>
  <c r="D2721" i="3"/>
  <c r="H2721" i="3" s="1"/>
  <c r="D2637" i="3"/>
  <c r="H2637" i="3" s="1"/>
  <c r="D2601" i="3"/>
  <c r="H2601" i="3" s="1"/>
  <c r="D2481" i="3"/>
  <c r="H2481" i="3" s="1"/>
  <c r="D2457" i="3"/>
  <c r="H2457" i="3" s="1"/>
  <c r="D2193" i="3"/>
  <c r="H2193" i="3" s="1"/>
  <c r="D2169" i="3"/>
  <c r="H2169" i="3" s="1"/>
  <c r="D2157" i="3"/>
  <c r="D2145" i="3"/>
  <c r="H2145" i="3" s="1"/>
  <c r="D2133" i="3"/>
  <c r="H2133" i="3" s="1"/>
  <c r="D2121" i="3"/>
  <c r="H2121" i="3" s="1"/>
  <c r="D2109" i="3"/>
  <c r="H2109" i="3" s="1"/>
  <c r="D2097" i="3"/>
  <c r="H2097" i="3" s="1"/>
  <c r="D2085" i="3"/>
  <c r="H2085" i="3" s="1"/>
  <c r="D2013" i="3"/>
  <c r="H2013" i="3" s="1"/>
  <c r="D2001" i="3"/>
  <c r="H2001" i="3" s="1"/>
  <c r="D1989" i="3"/>
  <c r="H1989" i="3" s="1"/>
  <c r="D1929" i="3"/>
  <c r="H1929" i="3" s="1"/>
  <c r="D1917" i="3"/>
  <c r="H1917" i="3" s="1"/>
  <c r="D1881" i="3"/>
  <c r="H1881" i="3" s="1"/>
  <c r="D1845" i="3"/>
  <c r="H1845" i="3" s="1"/>
  <c r="D1785" i="3"/>
  <c r="H1785" i="3" s="1"/>
  <c r="D1761" i="3"/>
  <c r="H1761" i="3" s="1"/>
  <c r="D1749" i="3"/>
  <c r="H1749" i="3" s="1"/>
  <c r="D1653" i="3"/>
  <c r="H1653" i="3" s="1"/>
  <c r="D1641" i="3"/>
  <c r="H1641" i="3" s="1"/>
  <c r="D3273" i="3"/>
  <c r="H3273" i="3" s="1"/>
  <c r="D3129" i="3"/>
  <c r="H3129" i="3" s="1"/>
  <c r="D2985" i="3"/>
  <c r="H2985" i="3" s="1"/>
  <c r="D2889" i="3"/>
  <c r="H2889" i="3" s="1"/>
  <c r="D2733" i="3"/>
  <c r="H2733" i="3" s="1"/>
  <c r="D2613" i="3"/>
  <c r="H2613" i="3" s="1"/>
  <c r="D2589" i="3"/>
  <c r="H2589" i="3" s="1"/>
  <c r="D2493" i="3"/>
  <c r="H2493" i="3" s="1"/>
  <c r="D2469" i="3"/>
  <c r="H2469" i="3" s="1"/>
  <c r="D2433" i="3"/>
  <c r="H2433" i="3" s="1"/>
  <c r="D3236" i="3"/>
  <c r="D3224" i="3"/>
  <c r="D3140" i="3"/>
  <c r="D3128" i="3"/>
  <c r="D3116" i="3"/>
  <c r="D2996" i="3"/>
  <c r="D3309" i="3"/>
  <c r="H3309" i="3" s="1"/>
  <c r="D3285" i="3"/>
  <c r="H3285" i="3" s="1"/>
  <c r="D3249" i="3"/>
  <c r="H3249" i="3" s="1"/>
  <c r="D3153" i="3"/>
  <c r="H3153" i="3" s="1"/>
  <c r="D3117" i="3"/>
  <c r="H3117" i="3" s="1"/>
  <c r="D3093" i="3"/>
  <c r="H3093" i="3" s="1"/>
  <c r="D2997" i="3"/>
  <c r="H2997" i="3" s="1"/>
  <c r="D2961" i="3"/>
  <c r="H2961" i="3" s="1"/>
  <c r="D2901" i="3"/>
  <c r="H2901" i="3" s="1"/>
  <c r="D2877" i="3"/>
  <c r="H2877" i="3" s="1"/>
  <c r="D3271" i="3"/>
  <c r="D3235" i="3"/>
  <c r="D3103" i="3"/>
  <c r="D3079" i="3"/>
  <c r="D2983" i="3"/>
  <c r="D2972" i="3"/>
  <c r="D2960" i="3"/>
  <c r="D1497" i="3"/>
  <c r="H1497" i="3" s="1"/>
  <c r="D2888" i="3"/>
  <c r="D2791" i="3"/>
  <c r="D2707" i="3"/>
  <c r="D2600" i="3"/>
  <c r="D2671" i="3"/>
  <c r="D2539" i="3"/>
  <c r="D2479" i="3"/>
  <c r="D2395" i="3"/>
  <c r="D3251" i="3"/>
  <c r="H3251" i="3" s="1"/>
  <c r="D3239" i="3"/>
  <c r="H3239" i="3" s="1"/>
  <c r="D3227" i="3"/>
  <c r="H3227" i="3" s="1"/>
  <c r="D3215" i="3"/>
  <c r="H3215" i="3" s="1"/>
  <c r="D3203" i="3"/>
  <c r="H3203" i="3" s="1"/>
  <c r="D3191" i="3"/>
  <c r="H3191" i="3" s="1"/>
  <c r="D3107" i="3"/>
  <c r="H3107" i="3" s="1"/>
  <c r="D3095" i="3"/>
  <c r="H3095" i="3" s="1"/>
  <c r="D3083" i="3"/>
  <c r="H3083" i="3" s="1"/>
  <c r="D3071" i="3"/>
  <c r="H3071" i="3" s="1"/>
  <c r="D3059" i="3"/>
  <c r="H3059" i="3" s="1"/>
  <c r="D3047" i="3"/>
  <c r="H3047" i="3" s="1"/>
  <c r="D2963" i="3"/>
  <c r="H2963" i="3" s="1"/>
  <c r="D2951" i="3"/>
  <c r="H2951" i="3" s="1"/>
  <c r="D2939" i="3"/>
  <c r="H2939" i="3" s="1"/>
  <c r="D2879" i="3"/>
  <c r="H2879" i="3" s="1"/>
  <c r="D2867" i="3"/>
  <c r="H2867" i="3" s="1"/>
  <c r="D2855" i="3"/>
  <c r="H2855" i="3" s="1"/>
  <c r="D2843" i="3"/>
  <c r="H2843" i="3" s="1"/>
  <c r="D2831" i="3"/>
  <c r="H2831" i="3" s="1"/>
  <c r="D2819" i="3"/>
  <c r="H2819" i="3" s="1"/>
  <c r="D2735" i="3"/>
  <c r="H2735" i="3" s="1"/>
  <c r="D2723" i="3"/>
  <c r="H2723" i="3" s="1"/>
  <c r="D2711" i="3"/>
  <c r="H2711" i="3" s="1"/>
  <c r="D2699" i="3"/>
  <c r="H2699" i="3" s="1"/>
  <c r="D2687" i="3"/>
  <c r="H2687" i="3" s="1"/>
  <c r="D2675" i="3"/>
  <c r="H2675" i="3" s="1"/>
  <c r="D2591" i="3"/>
  <c r="H2591" i="3" s="1"/>
  <c r="D2579" i="3"/>
  <c r="H2579" i="3" s="1"/>
  <c r="D2567" i="3"/>
  <c r="H2567" i="3" s="1"/>
  <c r="D3334" i="3"/>
  <c r="D3238" i="3"/>
  <c r="H3238" i="3" s="1"/>
  <c r="D3226" i="3"/>
  <c r="H3226" i="3" s="1"/>
  <c r="D3214" i="3"/>
  <c r="H3214" i="3" s="1"/>
  <c r="D3333" i="3"/>
  <c r="H3333" i="3" s="1"/>
  <c r="D3321" i="3"/>
  <c r="H3321" i="3" s="1"/>
  <c r="D3225" i="3"/>
  <c r="H3225" i="3" s="1"/>
  <c r="D3213" i="3"/>
  <c r="H3213" i="3" s="1"/>
  <c r="D3201" i="3"/>
  <c r="H3201" i="3" s="1"/>
  <c r="D3189" i="3"/>
  <c r="H3189" i="3" s="1"/>
  <c r="D3177" i="3"/>
  <c r="H3177" i="3" s="1"/>
  <c r="D3165" i="3"/>
  <c r="H3165" i="3" s="1"/>
  <c r="D3081" i="3"/>
  <c r="D3069" i="3"/>
  <c r="H3069" i="3" s="1"/>
  <c r="D3057" i="3"/>
  <c r="H3057" i="3" s="1"/>
  <c r="D3045" i="3"/>
  <c r="H3045" i="3" s="1"/>
  <c r="D3033" i="3"/>
  <c r="H3033" i="3" s="1"/>
  <c r="D3021" i="3"/>
  <c r="H3021" i="3" s="1"/>
  <c r="D2949" i="3"/>
  <c r="D2937" i="3"/>
  <c r="H2937" i="3" s="1"/>
  <c r="D2925" i="3"/>
  <c r="H2925" i="3" s="1"/>
  <c r="D2853" i="3"/>
  <c r="H2853" i="3" s="1"/>
  <c r="D2841" i="3"/>
  <c r="H2841" i="3" s="1"/>
  <c r="D2829" i="3"/>
  <c r="H2829" i="3" s="1"/>
  <c r="D2817" i="3"/>
  <c r="H2817" i="3" s="1"/>
  <c r="D2805" i="3"/>
  <c r="H2805" i="3" s="1"/>
  <c r="D2793" i="3"/>
  <c r="H2793" i="3" s="1"/>
  <c r="D2709" i="3"/>
  <c r="H2709" i="3" s="1"/>
  <c r="D2697" i="3"/>
  <c r="H2697" i="3" s="1"/>
  <c r="D2685" i="3"/>
  <c r="H2685" i="3" s="1"/>
  <c r="D2673" i="3"/>
  <c r="H2673" i="3" s="1"/>
  <c r="D2661" i="3"/>
  <c r="H2661" i="3" s="1"/>
  <c r="D2649" i="3"/>
  <c r="H2649" i="3" s="1"/>
  <c r="D2565" i="3"/>
  <c r="H2565" i="3" s="1"/>
  <c r="D2553" i="3"/>
  <c r="H2553" i="3" s="1"/>
  <c r="D2541" i="3"/>
  <c r="H2541" i="3" s="1"/>
  <c r="D2529" i="3"/>
  <c r="H2529" i="3" s="1"/>
  <c r="D2517" i="3"/>
  <c r="H2517" i="3" s="1"/>
  <c r="D2505" i="3"/>
  <c r="H2505" i="3" s="1"/>
  <c r="D2421" i="3"/>
  <c r="H2421" i="3" s="1"/>
  <c r="D2409" i="3"/>
  <c r="H2409" i="3" s="1"/>
  <c r="D2397" i="3"/>
  <c r="H2397" i="3" s="1"/>
  <c r="D2385" i="3"/>
  <c r="H2385" i="3" s="1"/>
  <c r="D2373" i="3"/>
  <c r="H2373" i="3" s="1"/>
  <c r="D2361" i="3"/>
  <c r="H2361" i="3" s="1"/>
  <c r="D2349" i="3"/>
  <c r="H2349" i="3" s="1"/>
  <c r="D2337" i="3"/>
  <c r="H2337" i="3" s="1"/>
  <c r="D2325" i="3"/>
  <c r="D2313" i="3"/>
  <c r="H2313" i="3" s="1"/>
  <c r="D2301" i="3"/>
  <c r="H2301" i="3" s="1"/>
  <c r="D2289" i="3"/>
  <c r="H2289" i="3" s="1"/>
  <c r="D2277" i="3"/>
  <c r="H2277" i="3" s="1"/>
  <c r="D2265" i="3"/>
  <c r="H2265" i="3" s="1"/>
  <c r="D2253" i="3"/>
  <c r="H2253" i="3" s="1"/>
  <c r="D2241" i="3"/>
  <c r="H2241" i="3" s="1"/>
  <c r="D2229" i="3"/>
  <c r="H2229" i="3" s="1"/>
  <c r="D2217" i="3"/>
  <c r="H2217" i="3" s="1"/>
  <c r="D3342" i="3"/>
  <c r="D3330" i="3"/>
  <c r="D3318" i="3"/>
  <c r="D3306" i="3"/>
  <c r="D3294" i="3"/>
  <c r="D3282" i="3"/>
  <c r="D3270" i="3"/>
  <c r="D3258" i="3"/>
  <c r="D3246" i="3"/>
  <c r="D3234" i="3"/>
  <c r="D3222" i="3"/>
  <c r="D3210" i="3"/>
  <c r="D3198" i="3"/>
  <c r="D3186" i="3"/>
  <c r="D3174" i="3"/>
  <c r="D3162" i="3"/>
  <c r="D3150" i="3"/>
  <c r="D3138" i="3"/>
  <c r="D3126" i="3"/>
  <c r="D3114" i="3"/>
  <c r="D3102" i="3"/>
  <c r="D3090" i="3"/>
  <c r="D3078" i="3"/>
  <c r="D3066" i="3"/>
  <c r="D3054" i="3"/>
  <c r="D3042" i="3"/>
  <c r="D3030" i="3"/>
  <c r="D3018" i="3"/>
  <c r="D3006" i="3"/>
  <c r="D2994" i="3"/>
  <c r="D2982" i="3"/>
  <c r="D2970" i="3"/>
  <c r="D2958" i="3"/>
  <c r="D2946" i="3"/>
  <c r="D2934" i="3"/>
  <c r="D2922" i="3"/>
  <c r="D2910" i="3"/>
  <c r="D2898" i="3"/>
  <c r="D2886" i="3"/>
  <c r="D2874" i="3"/>
  <c r="D2862" i="3"/>
  <c r="D2850" i="3"/>
  <c r="D2838" i="3"/>
  <c r="D2826" i="3"/>
  <c r="D2814" i="3"/>
  <c r="D2802" i="3"/>
  <c r="D2790" i="3"/>
  <c r="D2778" i="3"/>
  <c r="D2766" i="3"/>
  <c r="D2754" i="3"/>
  <c r="D2742" i="3"/>
  <c r="D2730" i="3"/>
  <c r="D2718" i="3"/>
  <c r="D2706" i="3"/>
  <c r="D2694" i="3"/>
  <c r="D2682" i="3"/>
  <c r="D2670" i="3"/>
  <c r="D2658" i="3"/>
  <c r="D2646" i="3"/>
  <c r="D2634" i="3"/>
  <c r="D2622" i="3"/>
  <c r="D2610" i="3"/>
  <c r="D2598" i="3"/>
  <c r="D2586" i="3"/>
  <c r="D2574" i="3"/>
  <c r="D2562" i="3"/>
  <c r="D2550" i="3"/>
  <c r="D2538" i="3"/>
  <c r="D2526" i="3"/>
  <c r="D2514" i="3"/>
  <c r="D2502" i="3"/>
  <c r="D2490" i="3"/>
  <c r="D2478" i="3"/>
  <c r="D2466" i="3"/>
  <c r="D2454" i="3"/>
  <c r="D2442" i="3"/>
  <c r="D2430" i="3"/>
  <c r="D2418" i="3"/>
  <c r="D2406" i="3"/>
  <c r="D2394" i="3"/>
  <c r="D3316" i="3"/>
  <c r="D3304" i="3"/>
  <c r="D3292" i="3"/>
  <c r="D3280" i="3"/>
  <c r="D3172" i="3"/>
  <c r="D3160" i="3"/>
  <c r="D3148" i="3"/>
  <c r="D3303" i="3"/>
  <c r="H3303" i="3" s="1"/>
  <c r="D3291" i="3"/>
  <c r="H3291" i="3" s="1"/>
  <c r="D3279" i="3"/>
  <c r="H3279" i="3" s="1"/>
  <c r="D3332" i="3"/>
  <c r="D3320" i="3"/>
  <c r="D3308" i="3"/>
  <c r="D3212" i="3"/>
  <c r="D3200" i="3"/>
  <c r="D3188" i="3"/>
  <c r="D3176" i="3"/>
  <c r="D3164" i="3"/>
  <c r="D3152" i="3"/>
  <c r="D3068" i="3"/>
  <c r="D3056" i="3"/>
  <c r="D3044" i="3"/>
  <c r="D3032" i="3"/>
  <c r="D3020" i="3"/>
  <c r="D3008" i="3"/>
  <c r="D2948" i="3"/>
  <c r="D2936" i="3"/>
  <c r="D2924" i="3"/>
  <c r="D2840" i="3"/>
  <c r="D2828" i="3"/>
  <c r="D2816" i="3"/>
  <c r="D2804" i="3"/>
  <c r="D2792" i="3"/>
  <c r="D2780" i="3"/>
  <c r="D2696" i="3"/>
  <c r="D2684" i="3"/>
  <c r="D2672" i="3"/>
  <c r="D2660" i="3"/>
  <c r="D2648" i="3"/>
  <c r="D2636" i="3"/>
  <c r="D2552" i="3"/>
  <c r="D2540" i="3"/>
  <c r="D2528" i="3"/>
  <c r="D2516" i="3"/>
  <c r="D2504" i="3"/>
  <c r="D2492" i="3"/>
  <c r="D2408" i="3"/>
  <c r="D2396" i="3"/>
  <c r="D2384" i="3"/>
  <c r="D2372" i="3"/>
  <c r="D2360" i="3"/>
  <c r="D2348" i="3"/>
  <c r="D2336" i="3"/>
  <c r="D2324" i="3"/>
  <c r="D2312" i="3"/>
  <c r="D2300" i="3"/>
  <c r="D2288" i="3"/>
  <c r="D2276" i="3"/>
  <c r="D2264" i="3"/>
  <c r="D2252" i="3"/>
  <c r="D2240" i="3"/>
  <c r="D2228" i="3"/>
  <c r="D3343" i="3"/>
  <c r="D3331" i="3"/>
  <c r="D3319" i="3"/>
  <c r="D3307" i="3"/>
  <c r="D3295" i="3"/>
  <c r="D3283" i="3"/>
  <c r="D3199" i="3"/>
  <c r="D3187" i="3"/>
  <c r="D3175" i="3"/>
  <c r="D3163" i="3"/>
  <c r="D3151" i="3"/>
  <c r="D3139" i="3"/>
  <c r="D3055" i="3"/>
  <c r="D3043" i="3"/>
  <c r="D3031" i="3"/>
  <c r="D3019" i="3"/>
  <c r="D3007" i="3"/>
  <c r="D2995" i="3"/>
  <c r="D2971" i="3"/>
  <c r="D2959" i="3"/>
  <c r="D2947" i="3"/>
  <c r="D2935" i="3"/>
  <c r="D2923" i="3"/>
  <c r="D2216" i="3"/>
  <c r="D2204" i="3"/>
  <c r="D2192" i="3"/>
  <c r="D2180" i="3"/>
  <c r="D2168" i="3"/>
  <c r="D3329" i="3"/>
  <c r="D3317" i="3"/>
  <c r="D3305" i="3"/>
  <c r="D3293" i="3"/>
  <c r="D3185" i="3"/>
  <c r="D3173" i="3"/>
  <c r="A2" i="3"/>
  <c r="H181" i="3" l="1"/>
  <c r="H613" i="3"/>
  <c r="H1189" i="3"/>
  <c r="H2514" i="3"/>
  <c r="H2658" i="3"/>
  <c r="H2802" i="3"/>
  <c r="H2946" i="3"/>
  <c r="H3090" i="3"/>
  <c r="H3234" i="3"/>
  <c r="H758" i="3"/>
  <c r="H3173" i="3"/>
  <c r="H3317" i="3"/>
  <c r="H1411" i="3"/>
  <c r="H1699" i="3"/>
  <c r="H1987" i="3"/>
  <c r="H2131" i="3"/>
  <c r="H2419" i="3"/>
  <c r="H2563" i="3"/>
  <c r="H2707" i="3"/>
  <c r="H2995" i="3"/>
  <c r="H3139" i="3"/>
  <c r="H3283" i="3"/>
  <c r="H1556" i="3"/>
  <c r="H1844" i="3"/>
  <c r="H476" i="3"/>
  <c r="H764" i="3"/>
  <c r="H908" i="3"/>
  <c r="H1052" i="3"/>
  <c r="H1196" i="3"/>
  <c r="H1340" i="3"/>
  <c r="H1544" i="3"/>
  <c r="H1832" i="3"/>
  <c r="H2408" i="3"/>
  <c r="H2708" i="3"/>
  <c r="H3032" i="3"/>
  <c r="H2072" i="3"/>
  <c r="H2276" i="3"/>
  <c r="H2564" i="3"/>
  <c r="H2864" i="3"/>
  <c r="H3164" i="3"/>
  <c r="H807" i="3"/>
  <c r="H951" i="3"/>
  <c r="H337" i="3"/>
  <c r="H769" i="3"/>
  <c r="H913" i="3"/>
  <c r="H1057" i="3"/>
  <c r="H2382" i="3"/>
  <c r="H2526" i="3"/>
  <c r="H2670" i="3"/>
  <c r="H2814" i="3"/>
  <c r="H2958" i="3"/>
  <c r="H3102" i="3"/>
  <c r="H3246" i="3"/>
  <c r="H50" i="3"/>
  <c r="H194" i="3"/>
  <c r="H1058" i="3"/>
  <c r="H1202" i="3"/>
  <c r="H1490" i="3"/>
  <c r="H3185" i="3"/>
  <c r="H3329" i="3"/>
  <c r="H415" i="3"/>
  <c r="H1999" i="3"/>
  <c r="H2287" i="3"/>
  <c r="H2431" i="3"/>
  <c r="H2575" i="3"/>
  <c r="H2719" i="3"/>
  <c r="H2863" i="3"/>
  <c r="H3007" i="3"/>
  <c r="H3151" i="3"/>
  <c r="H3295" i="3"/>
  <c r="H1868" i="3"/>
  <c r="H488" i="3"/>
  <c r="H776" i="3"/>
  <c r="H920" i="3"/>
  <c r="H1064" i="3"/>
  <c r="C2" i="3"/>
  <c r="B2" i="3"/>
  <c r="H205" i="3"/>
  <c r="H349" i="3"/>
  <c r="H493" i="3"/>
  <c r="H637" i="3"/>
  <c r="H781" i="3"/>
  <c r="H925" i="3"/>
  <c r="H1069" i="3"/>
  <c r="H1213" i="3"/>
  <c r="H1818" i="3"/>
  <c r="H1962" i="3"/>
  <c r="H2394" i="3"/>
  <c r="H2538" i="3"/>
  <c r="H2682" i="3"/>
  <c r="H2826" i="3"/>
  <c r="H2970" i="3"/>
  <c r="H3114" i="3"/>
  <c r="H3258" i="3"/>
  <c r="H350" i="3"/>
  <c r="H494" i="3"/>
  <c r="H638" i="3"/>
  <c r="H1214" i="3"/>
  <c r="H1502" i="3"/>
  <c r="H3232" i="3"/>
  <c r="H3341" i="3"/>
  <c r="H2203" i="3"/>
  <c r="H3211" i="3"/>
  <c r="H543" i="3"/>
  <c r="H831" i="3"/>
  <c r="H361" i="3"/>
  <c r="H793" i="3"/>
  <c r="H1081" i="3"/>
  <c r="H2118" i="3"/>
  <c r="H2262" i="3"/>
  <c r="H2406" i="3"/>
  <c r="H2550" i="3"/>
  <c r="H2694" i="3"/>
  <c r="H2838" i="3"/>
  <c r="H2982" i="3"/>
  <c r="H3126" i="3"/>
  <c r="H3270" i="3"/>
  <c r="H506" i="3"/>
  <c r="H1226" i="3"/>
  <c r="H1370" i="3"/>
  <c r="H1514" i="3"/>
  <c r="H583" i="3"/>
  <c r="H871" i="3"/>
  <c r="H1159" i="3"/>
  <c r="H1591" i="3"/>
  <c r="H1735" i="3"/>
  <c r="H699" i="3"/>
  <c r="H85" i="3"/>
  <c r="H373" i="3"/>
  <c r="H517" i="3"/>
  <c r="H805" i="3"/>
  <c r="H1093" i="3"/>
  <c r="H2130" i="3"/>
  <c r="H2418" i="3"/>
  <c r="H2562" i="3"/>
  <c r="H2706" i="3"/>
  <c r="H2850" i="3"/>
  <c r="H2994" i="3"/>
  <c r="H3138" i="3"/>
  <c r="H3282" i="3"/>
  <c r="H230" i="3"/>
  <c r="H374" i="3"/>
  <c r="H662" i="3"/>
  <c r="H806" i="3"/>
  <c r="H950" i="3"/>
  <c r="H1094" i="3"/>
  <c r="H1382" i="3"/>
  <c r="H1526" i="3"/>
  <c r="H3221" i="3"/>
  <c r="H595" i="3"/>
  <c r="H739" i="3"/>
  <c r="H883" i="3"/>
  <c r="H1027" i="3"/>
  <c r="H1171" i="3"/>
  <c r="H735" i="3"/>
  <c r="H879" i="3"/>
  <c r="H265" i="3"/>
  <c r="H409" i="3"/>
  <c r="H553" i="3"/>
  <c r="H697" i="3"/>
  <c r="H985" i="3"/>
  <c r="H1129" i="3"/>
  <c r="H2454" i="3"/>
  <c r="H2598" i="3"/>
  <c r="H2742" i="3"/>
  <c r="H2886" i="3"/>
  <c r="H3030" i="3"/>
  <c r="H3174" i="3"/>
  <c r="H3318" i="3"/>
  <c r="H266" i="3"/>
  <c r="H410" i="3"/>
  <c r="H842" i="3"/>
  <c r="H986" i="3"/>
  <c r="H1130" i="3"/>
  <c r="H3148" i="3"/>
  <c r="H3292" i="3"/>
  <c r="H3260" i="3"/>
  <c r="H254" i="3"/>
  <c r="H1262" i="3"/>
  <c r="H459" i="3"/>
  <c r="H133" i="3"/>
  <c r="H277" i="3"/>
  <c r="H421" i="3"/>
  <c r="H565" i="3"/>
  <c r="H853" i="3"/>
  <c r="H997" i="3"/>
  <c r="H1141" i="3"/>
  <c r="H2178" i="3"/>
  <c r="H2466" i="3"/>
  <c r="H2610" i="3"/>
  <c r="H2754" i="3"/>
  <c r="H2898" i="3"/>
  <c r="H3042" i="3"/>
  <c r="H3186" i="3"/>
  <c r="H3330" i="3"/>
  <c r="H134" i="3"/>
  <c r="H278" i="3"/>
  <c r="H566" i="3"/>
  <c r="H854" i="3"/>
  <c r="H998" i="3"/>
  <c r="H1142" i="3"/>
  <c r="H1286" i="3"/>
  <c r="H1430" i="3"/>
  <c r="H1574" i="3"/>
  <c r="H3160" i="3"/>
  <c r="H3304" i="3"/>
  <c r="H2059" i="3"/>
  <c r="H327" i="3"/>
  <c r="H903" i="3"/>
  <c r="H145" i="3"/>
  <c r="H289" i="3"/>
  <c r="H433" i="3"/>
  <c r="H721" i="3"/>
  <c r="H865" i="3"/>
  <c r="H1009" i="3"/>
  <c r="H1153" i="3"/>
  <c r="H1902" i="3"/>
  <c r="H2334" i="3"/>
  <c r="H2478" i="3"/>
  <c r="H2622" i="3"/>
  <c r="H2766" i="3"/>
  <c r="H2910" i="3"/>
  <c r="H3054" i="3"/>
  <c r="H3198" i="3"/>
  <c r="H3342" i="3"/>
  <c r="H290" i="3"/>
  <c r="H578" i="3"/>
  <c r="H1154" i="3"/>
  <c r="H1442" i="3"/>
  <c r="H3172" i="3"/>
  <c r="H3316" i="3"/>
  <c r="H733" i="3"/>
  <c r="H2490" i="3"/>
  <c r="H2634" i="3"/>
  <c r="H2778" i="3"/>
  <c r="H2922" i="3"/>
  <c r="H3066" i="3"/>
  <c r="H3210" i="3"/>
  <c r="H158" i="3"/>
  <c r="H446" i="3"/>
  <c r="H590" i="3"/>
  <c r="H734" i="3"/>
  <c r="H1022" i="3"/>
  <c r="H1310" i="3"/>
  <c r="H1454" i="3"/>
  <c r="H3293" i="3"/>
  <c r="H811" i="3"/>
  <c r="H1387" i="3"/>
  <c r="H1627" i="3"/>
  <c r="H207" i="3"/>
  <c r="H601" i="3"/>
  <c r="H889" i="3"/>
  <c r="H1177" i="3"/>
  <c r="H2502" i="3"/>
  <c r="H2646" i="3"/>
  <c r="H2790" i="3"/>
  <c r="H2934" i="3"/>
  <c r="H3078" i="3"/>
  <c r="H3222" i="3"/>
  <c r="H890" i="3"/>
  <c r="H1034" i="3"/>
  <c r="H1466" i="3"/>
  <c r="H3340" i="3"/>
  <c r="H3305" i="3"/>
  <c r="H1399" i="3"/>
  <c r="H1543" i="3"/>
  <c r="H1831" i="3"/>
  <c r="H1975" i="3"/>
  <c r="H2407" i="3"/>
  <c r="H2551" i="3"/>
  <c r="H2695" i="3"/>
  <c r="H2839" i="3"/>
  <c r="H2983" i="3"/>
  <c r="H3127" i="3"/>
  <c r="H3271" i="3"/>
  <c r="H1532" i="3"/>
  <c r="H1820" i="3"/>
  <c r="H320" i="3"/>
  <c r="H896" i="3"/>
  <c r="H1040" i="3"/>
  <c r="H1184" i="3"/>
  <c r="H1520" i="3"/>
  <c r="H1808" i="3"/>
  <c r="H1723" i="3"/>
  <c r="H1867" i="3"/>
  <c r="H2299" i="3"/>
  <c r="H2443" i="3"/>
  <c r="H2587" i="3"/>
  <c r="H2731" i="3"/>
  <c r="H2875" i="3"/>
  <c r="H3019" i="3"/>
  <c r="H3163" i="3"/>
  <c r="H3307" i="3"/>
  <c r="H500" i="3"/>
  <c r="H2432" i="3"/>
  <c r="H2732" i="3"/>
  <c r="H3056" i="3"/>
  <c r="H2084" i="3"/>
  <c r="H2300" i="3"/>
  <c r="H2588" i="3"/>
  <c r="H2888" i="3"/>
  <c r="H3188" i="3"/>
  <c r="H2252" i="3"/>
  <c r="H1879" i="3"/>
  <c r="H2023" i="3"/>
  <c r="H2311" i="3"/>
  <c r="H2455" i="3"/>
  <c r="H2599" i="3"/>
  <c r="H2743" i="3"/>
  <c r="H2887" i="3"/>
  <c r="H3031" i="3"/>
  <c r="H3175" i="3"/>
  <c r="H3319" i="3"/>
  <c r="H1628" i="3"/>
  <c r="H1904" i="3"/>
  <c r="H224" i="3"/>
  <c r="H368" i="3"/>
  <c r="H512" i="3"/>
  <c r="H656" i="3"/>
  <c r="H1916" i="3"/>
  <c r="H2456" i="3"/>
  <c r="H2756" i="3"/>
  <c r="H3080" i="3"/>
  <c r="H2108" i="3"/>
  <c r="H2324" i="3"/>
  <c r="H2612" i="3"/>
  <c r="H2912" i="3"/>
  <c r="H3212" i="3"/>
  <c r="H2972" i="3"/>
  <c r="H1459" i="3"/>
  <c r="H1603" i="3"/>
  <c r="H1747" i="3"/>
  <c r="H2179" i="3"/>
  <c r="H2467" i="3"/>
  <c r="H2755" i="3"/>
  <c r="H2899" i="3"/>
  <c r="H3043" i="3"/>
  <c r="H3187" i="3"/>
  <c r="H3331" i="3"/>
  <c r="H1652" i="3"/>
  <c r="H1928" i="3"/>
  <c r="H236" i="3"/>
  <c r="H380" i="3"/>
  <c r="H524" i="3"/>
  <c r="H668" i="3"/>
  <c r="H1640" i="3"/>
  <c r="H2480" i="3"/>
  <c r="H2792" i="3"/>
  <c r="H3116" i="3"/>
  <c r="H2120" i="3"/>
  <c r="H2360" i="3"/>
  <c r="H2636" i="3"/>
  <c r="H2936" i="3"/>
  <c r="H3236" i="3"/>
  <c r="H1615" i="3"/>
  <c r="H1759" i="3"/>
  <c r="H2335" i="3"/>
  <c r="H2479" i="3"/>
  <c r="H2623" i="3"/>
  <c r="H2767" i="3"/>
  <c r="H2911" i="3"/>
  <c r="H3055" i="3"/>
  <c r="H3199" i="3"/>
  <c r="H3343" i="3"/>
  <c r="H1952" i="3"/>
  <c r="H92" i="3"/>
  <c r="H392" i="3"/>
  <c r="H1256" i="3"/>
  <c r="H1400" i="3"/>
  <c r="H2504" i="3"/>
  <c r="H2816" i="3"/>
  <c r="H3152" i="3"/>
  <c r="H2132" i="3"/>
  <c r="H2372" i="3"/>
  <c r="H2672" i="3"/>
  <c r="H2960" i="3"/>
  <c r="H3272" i="3"/>
  <c r="H55" i="3"/>
  <c r="H919" i="3"/>
  <c r="H1639" i="3"/>
  <c r="H2071" i="3"/>
  <c r="H2215" i="3"/>
  <c r="H2503" i="3"/>
  <c r="H2647" i="3"/>
  <c r="H2791" i="3"/>
  <c r="H2935" i="3"/>
  <c r="H3079" i="3"/>
  <c r="H3223" i="3"/>
  <c r="H1412" i="3"/>
  <c r="H2000" i="3"/>
  <c r="H1436" i="3"/>
  <c r="H2012" i="3"/>
  <c r="H2228" i="3"/>
  <c r="H2552" i="3"/>
  <c r="H2876" i="3"/>
  <c r="H3200" i="3"/>
  <c r="H2156" i="3"/>
  <c r="H2420" i="3"/>
  <c r="H2720" i="3"/>
  <c r="H3020" i="3"/>
  <c r="H3320" i="3"/>
  <c r="H643" i="3"/>
  <c r="H787" i="3"/>
  <c r="H1507" i="3"/>
  <c r="H1651" i="3"/>
  <c r="H1795" i="3"/>
  <c r="H2083" i="3"/>
  <c r="H2227" i="3"/>
  <c r="H2659" i="3"/>
  <c r="H2803" i="3"/>
  <c r="H2947" i="3"/>
  <c r="H3091" i="3"/>
  <c r="H3235" i="3"/>
  <c r="H1748" i="3"/>
  <c r="H2024" i="3"/>
  <c r="H572" i="3"/>
  <c r="H1736" i="3"/>
  <c r="H2036" i="3"/>
  <c r="H2264" i="3"/>
  <c r="H2576" i="3"/>
  <c r="H2900" i="3"/>
  <c r="H3224" i="3"/>
  <c r="H2168" i="3"/>
  <c r="H2444" i="3"/>
  <c r="H2744" i="3"/>
  <c r="H3044" i="3"/>
  <c r="H3281" i="3"/>
  <c r="H655" i="3"/>
  <c r="H1519" i="3"/>
  <c r="H1807" i="3"/>
  <c r="H1951" i="3"/>
  <c r="H2239" i="3"/>
  <c r="H2383" i="3"/>
  <c r="H2527" i="3"/>
  <c r="H2671" i="3"/>
  <c r="H2815" i="3"/>
  <c r="H2959" i="3"/>
  <c r="H3103" i="3"/>
  <c r="H3247" i="3"/>
  <c r="H1484" i="3"/>
  <c r="H1772" i="3"/>
  <c r="H584" i="3"/>
  <c r="H1760" i="3"/>
  <c r="H2288" i="3"/>
  <c r="H2600" i="3"/>
  <c r="H2924" i="3"/>
  <c r="H3248" i="3"/>
  <c r="H2192" i="3"/>
  <c r="H2468" i="3"/>
  <c r="H2768" i="3"/>
  <c r="H3068" i="3"/>
  <c r="H2096" i="3"/>
  <c r="H1819" i="3"/>
  <c r="H2107" i="3"/>
  <c r="H2395" i="3"/>
  <c r="H2539" i="3"/>
  <c r="H2683" i="3"/>
  <c r="H2827" i="3"/>
  <c r="H2971" i="3"/>
  <c r="H3115" i="3"/>
  <c r="H3259" i="3"/>
  <c r="H1508" i="3"/>
  <c r="H1172" i="3"/>
  <c r="H1496" i="3"/>
  <c r="H2312" i="3"/>
  <c r="H2624" i="3"/>
  <c r="H2948" i="3"/>
  <c r="H3284" i="3"/>
  <c r="H2204" i="3"/>
  <c r="H2492" i="3"/>
  <c r="H2804" i="3"/>
  <c r="H3092" i="3"/>
  <c r="H2060" i="3"/>
  <c r="H2648" i="3"/>
  <c r="H2348" i="3"/>
  <c r="H2660" i="3"/>
  <c r="H2984" i="3"/>
  <c r="H3308" i="3"/>
  <c r="H2216" i="3"/>
  <c r="H2516" i="3"/>
  <c r="H2828" i="3"/>
  <c r="H3104" i="3"/>
  <c r="H2336" i="3"/>
  <c r="H3140" i="3"/>
  <c r="H2384" i="3"/>
  <c r="H2684" i="3"/>
  <c r="H3008" i="3"/>
  <c r="H3332" i="3"/>
  <c r="H2240" i="3"/>
  <c r="H2540" i="3"/>
  <c r="H2852" i="3"/>
  <c r="H3128" i="3"/>
  <c r="H2780" i="3"/>
  <c r="E2" i="3"/>
  <c r="F2" i="3"/>
  <c r="G2" i="3" l="1"/>
  <c r="D2" i="3"/>
  <c r="H2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<sst xmlns="http://schemas.openxmlformats.org/spreadsheetml/2006/main" count="35" uniqueCount="22">
  <si>
    <t>timestamp</t>
  </si>
  <si>
    <t>unrealised_pnl</t>
  </si>
  <si>
    <t>gross_exposure</t>
  </si>
  <si>
    <t>long_exposure</t>
  </si>
  <si>
    <t>short_exposure</t>
  </si>
  <si>
    <t>realised_pnl</t>
  </si>
  <si>
    <t>cumulative_realised_pnl</t>
  </si>
  <si>
    <t>total_pnl</t>
  </si>
  <si>
    <t>cfd_margin_required</t>
  </si>
  <si>
    <t>capital_required</t>
  </si>
  <si>
    <t>Timestamp</t>
  </si>
  <si>
    <t>Bank PnL TOTAL</t>
  </si>
  <si>
    <t>Energy PnL TOTAL</t>
  </si>
  <si>
    <t>Combined total PnL</t>
  </si>
  <si>
    <t>Bank margin</t>
  </si>
  <si>
    <t>Energy margin</t>
  </si>
  <si>
    <t>combined margin</t>
  </si>
  <si>
    <t>combined capital</t>
  </si>
  <si>
    <t>ROC</t>
  </si>
  <si>
    <t>Max bank margin</t>
  </si>
  <si>
    <t>Max energy margin</t>
  </si>
  <si>
    <t>theoretical 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</si>
</sst>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h:mm:ss"/>
  </numFmts>
  <fonts count="4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vertical="center"/>
    </xf>
    <xf numFmtId="164" fontId="0" fillId="0" borderId="0" xfId="0" applyNumberFormat="1" applyBorder="1"/>
    <xf numFmtId="0" fontId="0" fillId="0" borderId="0" xfId="0" applyBorder="1"/>
    <xf numFmtId="43" fontId="0" fillId="0" borderId="0" xfId="1" applyFont="1"/>
    <xf numFmtId="9" fontId="0" fillId="0" borderId="0" xfId="2" applyFont="1"/>
    <xf numFmtId="43" fontId="0" fillId="0" borderId="0" xfId="1" applyFont="1" applyBorder="1"/>
  </cellXfs>
  <cellStyles count="3">
    <cellStyle name="Comma" xfId="1" builtinId="3"/>
    <cellStyle name="Normal" xfId="0" builtinId="0"/>
    <cellStyle name="Per cent" xfId="2" builtinId="5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theme="1"/>
        </bottom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2F0AEB-F48D-4FD2-86A9-518E22A6C33C}" name="Table1" displayName="Table1" ref="A1:J1320" totalsRowShown="0" headerRowDxfId="7" headerRowBorderDxfId="5" tableBorderDxfId="6">
  <autoFilter ref="A1:J1320" xr:uid="{5C2F0AEB-F48D-4FD2-86A9-518E22A6C33C}"/>
  <sortState xmlns:xlrd2="http://schemas.microsoft.com/office/spreadsheetml/2017/richdata2" ref="A2:J1320">
    <sortCondition ref="A1:A1320"/>
  </sortState>
  <tableColumns count="10">
    <tableColumn id="1" xr3:uid="{2B8D3C69-295D-4336-810C-724A47F970AA}" name="timestamp" dataDxfId="4"/>
    <tableColumn id="2" xr3:uid="{20F74242-A8C2-45A6-A293-F2FCD185C1AB}" name="unrealised_pnl"/>
    <tableColumn id="3" xr3:uid="{C61F838B-0DC2-431C-B821-C11A9F33FECD}" name="gross_exposure"/>
    <tableColumn id="4" xr3:uid="{C926107B-35B5-47E2-A603-673A6A293FE4}" name="long_exposure"/>
    <tableColumn id="5" xr3:uid="{6C475E2D-5EB9-4CDC-B547-B3ACF703F939}" name="short_exposure"/>
    <tableColumn id="6" xr3:uid="{3DD99D6C-458F-4AC7-AA47-1B1A1CED2EFD}" name="realised_pnl"/>
    <tableColumn id="7" xr3:uid="{3137B6F6-5031-403D-A733-CA15C4FB042C}" name="cumulative_realised_pnl"/>
    <tableColumn id="8" xr3:uid="{5CA6A8E8-BE97-4AF5-8B0D-A06998B5CCDE}" name="total_pnl"/>
    <tableColumn id="9" xr3:uid="{1812EF3D-6432-4CC3-8030-D5944515213C}" name="cfd_margin_required"/>
    <tableColumn id="10" xr3:uid="{0E03F069-AAF3-4AC3-A7C4-3356C01F506C}" name="capital_require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765AF7-2E35-4659-9319-851118227D0C}" name="Table2" displayName="Table2" ref="A1:J2167" totalsRowShown="0" headerRowDxfId="0" headerRowBorderDxfId="2" tableBorderDxfId="3">
  <autoFilter ref="A1:J2167" xr:uid="{A4765AF7-2E35-4659-9319-851118227D0C}"/>
  <sortState xmlns:xlrd2="http://schemas.microsoft.com/office/spreadsheetml/2017/richdata2" ref="A2:J2167">
    <sortCondition ref="A1:A2167"/>
  </sortState>
  <tableColumns count="10">
    <tableColumn id="1" xr3:uid="{A8B7FC2B-E096-43D0-ADD7-92F4718920F0}" name="timestamp" dataDxfId="1"/>
    <tableColumn id="2" xr3:uid="{6D82C5C9-8C6D-4674-B32F-945DC6A2D8C8}" name="unrealised_pnl"/>
    <tableColumn id="3" xr3:uid="{E2173E04-B761-462D-A939-FB15E4134E30}" name="gross_exposure"/>
    <tableColumn id="4" xr3:uid="{4A5F9FE3-CD9D-4096-A3C4-4E42B9074C08}" name="long_exposure"/>
    <tableColumn id="5" xr3:uid="{EE84DAEB-2F15-4937-B683-65100E66A0D4}" name="short_exposure"/>
    <tableColumn id="6" xr3:uid="{FC26BCF8-62A6-4656-8E7D-65839B23DEDB}" name="realised_pnl"/>
    <tableColumn id="7" xr3:uid="{8B325EE9-D921-43E5-949E-3A54A0504182}" name="cumulative_realised_pnl"/>
    <tableColumn id="8" xr3:uid="{78822E37-E354-4CBF-A1F3-57E1555FB2BE}" name="total_pnl"/>
    <tableColumn id="9" xr3:uid="{1530356B-731B-4DD4-9C04-9E749B15F472}" name="cfd_margin_required"/>
    <tableColumn id="10" xr3:uid="{BBB85B31-77A6-4F4B-B107-2BF5863E4588}" name="capital_require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0B0165-4EC6-4CCE-9E67-63260075D4DA}" name="Table5" displayName="Table5" ref="A1:A3343" totalsRowShown="0">
  <autoFilter ref="A1:A3343" xr:uid="{6B0B0165-4EC6-4CCE-9E67-63260075D4DA}"/>
  <sortState xmlns:xlrd2="http://schemas.microsoft.com/office/spreadsheetml/2017/richdata2" ref="A2:A3343">
    <sortCondition descending="1" ref="A1:A3343"/>
  </sortState>
  <tableColumns count="1">
    <tableColumn id="1" xr3:uid="{82588E2A-88B6-46EB-92E4-C90051F2937B}" name="combined capit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20"/>
  <sheetViews>
    <sheetView workbookViewId="0">
      <selection activeCell="M3" sqref="M3:M5"/>
    </sheetView>
  </sheetViews>
  <sheetFormatPr defaultRowHeight="14.4"/>
  <cols>
    <col min="1" max="1" width="18" bestFit="1" customWidth="1"/>
    <col min="2" max="2" width="15.109375" customWidth="1"/>
    <col min="3" max="3" width="15.5546875" customWidth="1"/>
    <col min="4" max="4" width="14.6640625" customWidth="1"/>
    <col min="5" max="5" width="15.44140625" customWidth="1"/>
    <col min="6" max="6" width="13.109375" customWidth="1"/>
    <col min="7" max="7" width="23.21875" customWidth="1"/>
    <col min="8" max="8" width="12.6640625" bestFit="1" customWidth="1"/>
    <col min="9" max="9" width="20" customWidth="1"/>
    <col min="10" max="10" width="16.6640625" customWidth="1"/>
    <col min="13" max="13" width="10.44140625" bestFit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3">
      <c r="A2" s="1">
        <v>45960.759722222218</v>
      </c>
      <c r="B2">
        <v>0</v>
      </c>
      <c r="C2">
        <v>160009.13956242631</v>
      </c>
      <c r="D2">
        <v>60009.139562426251</v>
      </c>
      <c r="E2">
        <v>100000</v>
      </c>
      <c r="F2">
        <v>0</v>
      </c>
      <c r="G2">
        <v>0</v>
      </c>
      <c r="H2">
        <v>0</v>
      </c>
      <c r="I2">
        <v>32001.827912485249</v>
      </c>
      <c r="J2">
        <v>32001.827912485249</v>
      </c>
    </row>
    <row r="3" spans="1:13">
      <c r="A3" s="1">
        <v>45960.760416666657</v>
      </c>
      <c r="B3">
        <v>-17.244352474561151</v>
      </c>
      <c r="C3">
        <v>160026.3839149008</v>
      </c>
      <c r="D3">
        <v>60009.139562426251</v>
      </c>
      <c r="E3">
        <v>100017.2443524746</v>
      </c>
      <c r="F3">
        <v>0</v>
      </c>
      <c r="G3">
        <v>0</v>
      </c>
      <c r="H3">
        <v>-17.244352474561151</v>
      </c>
      <c r="I3">
        <v>32005.276782980171</v>
      </c>
      <c r="J3">
        <v>32022.521135454728</v>
      </c>
      <c r="M3" s="8">
        <f>MAX(Table1[capital_required])</f>
        <v>43320.743698502927</v>
      </c>
    </row>
    <row r="4" spans="1:13">
      <c r="A4" s="1">
        <v>45960.761111111111</v>
      </c>
      <c r="B4">
        <v>17.2443524745734</v>
      </c>
      <c r="C4">
        <v>159991.8952099517</v>
      </c>
      <c r="D4">
        <v>60009.139562426251</v>
      </c>
      <c r="E4">
        <v>99982.755647525424</v>
      </c>
      <c r="F4">
        <v>0</v>
      </c>
      <c r="G4">
        <v>0</v>
      </c>
      <c r="H4">
        <v>17.2443524745734</v>
      </c>
      <c r="I4">
        <v>31998.379041990342</v>
      </c>
      <c r="J4">
        <v>31981.134689515769</v>
      </c>
    </row>
    <row r="5" spans="1:13">
      <c r="A5" s="1">
        <v>45960.761805555558</v>
      </c>
      <c r="B5">
        <v>-56.141166018807233</v>
      </c>
      <c r="C5">
        <v>159987.48710135659</v>
      </c>
      <c r="D5">
        <v>59970.24274888201</v>
      </c>
      <c r="E5">
        <v>100017.2443524746</v>
      </c>
      <c r="F5">
        <v>0</v>
      </c>
      <c r="G5">
        <v>0</v>
      </c>
      <c r="H5">
        <v>-56.141166018807233</v>
      </c>
      <c r="I5">
        <v>31997.497420271309</v>
      </c>
      <c r="J5">
        <v>32053.638586290119</v>
      </c>
      <c r="L5" t="s">
        <v>18</v>
      </c>
      <c r="M5" s="9">
        <f>H1320/M3</f>
        <v>0.26902175867468164</v>
      </c>
    </row>
    <row r="6" spans="1:13">
      <c r="A6" s="1">
        <v>45960.762499999997</v>
      </c>
      <c r="B6">
        <v>-73.38551849336838</v>
      </c>
      <c r="C6">
        <v>160004.7314538311</v>
      </c>
      <c r="D6">
        <v>59970.24274888201</v>
      </c>
      <c r="E6">
        <v>100034.48870494909</v>
      </c>
      <c r="F6">
        <v>0</v>
      </c>
      <c r="G6">
        <v>0</v>
      </c>
      <c r="H6">
        <v>-73.38551849336838</v>
      </c>
      <c r="I6">
        <v>32000.946290766231</v>
      </c>
      <c r="J6">
        <v>32074.331809259591</v>
      </c>
    </row>
    <row r="7" spans="1:13">
      <c r="A7" s="1">
        <v>45960.763194444437</v>
      </c>
      <c r="B7">
        <v>26.1036898765628</v>
      </c>
      <c r="C7">
        <v>160173.1980720993</v>
      </c>
      <c r="D7">
        <v>60104.220662201071</v>
      </c>
      <c r="E7">
        <v>100068.9774098983</v>
      </c>
      <c r="F7">
        <v>0</v>
      </c>
      <c r="G7">
        <v>0</v>
      </c>
      <c r="H7">
        <v>26.1036898765628</v>
      </c>
      <c r="I7">
        <v>32034.63961441987</v>
      </c>
      <c r="J7">
        <v>32008.535924543299</v>
      </c>
    </row>
    <row r="8" spans="1:13">
      <c r="A8" s="1">
        <v>45960.763888888891</v>
      </c>
      <c r="B8">
        <v>107.98202397191881</v>
      </c>
      <c r="C8">
        <v>160065.38852897449</v>
      </c>
      <c r="D8">
        <v>60091.255057686321</v>
      </c>
      <c r="E8">
        <v>99974.133471288151</v>
      </c>
      <c r="F8">
        <v>0</v>
      </c>
      <c r="G8">
        <v>0</v>
      </c>
      <c r="H8">
        <v>107.98202397191881</v>
      </c>
      <c r="I8">
        <v>32013.077705794891</v>
      </c>
      <c r="J8">
        <v>31905.095681822979</v>
      </c>
    </row>
    <row r="9" spans="1:13">
      <c r="A9" s="1">
        <v>45960.76458333333</v>
      </c>
      <c r="B9">
        <v>163.92914903777739</v>
      </c>
      <c r="C9">
        <v>159931.64777682009</v>
      </c>
      <c r="D9">
        <v>60052.35824414208</v>
      </c>
      <c r="E9">
        <v>99879.289532678056</v>
      </c>
      <c r="F9">
        <v>0</v>
      </c>
      <c r="G9">
        <v>0</v>
      </c>
      <c r="H9">
        <v>163.92914903777739</v>
      </c>
      <c r="I9">
        <v>31986.329555364031</v>
      </c>
      <c r="J9">
        <v>31822.400406326251</v>
      </c>
    </row>
    <row r="10" spans="1:13">
      <c r="A10" s="1">
        <v>45960.765277777777</v>
      </c>
      <c r="B10">
        <v>0</v>
      </c>
      <c r="C10">
        <v>0</v>
      </c>
      <c r="D10">
        <v>0</v>
      </c>
      <c r="E10">
        <v>0</v>
      </c>
      <c r="F10">
        <v>153.463346200008</v>
      </c>
      <c r="G10">
        <v>153.463346200008</v>
      </c>
      <c r="H10">
        <v>153.463346200008</v>
      </c>
      <c r="I10">
        <v>0</v>
      </c>
      <c r="J10">
        <v>-153.463346200008</v>
      </c>
    </row>
    <row r="11" spans="1:13">
      <c r="A11" s="1">
        <v>45961.5625</v>
      </c>
      <c r="B11">
        <v>0</v>
      </c>
      <c r="C11">
        <v>160009.13956242631</v>
      </c>
      <c r="D11">
        <v>100000</v>
      </c>
      <c r="E11">
        <v>60009.139562426259</v>
      </c>
      <c r="F11">
        <v>0</v>
      </c>
      <c r="G11">
        <v>153.463346200008</v>
      </c>
      <c r="H11">
        <v>153.463346200008</v>
      </c>
      <c r="I11">
        <v>32001.827912485249</v>
      </c>
      <c r="J11">
        <v>31848.36456628524</v>
      </c>
    </row>
    <row r="12" spans="1:13">
      <c r="A12" s="1">
        <v>45961.563194444447</v>
      </c>
      <c r="B12">
        <v>371.34830525883689</v>
      </c>
      <c r="C12">
        <v>160367.3653792612</v>
      </c>
      <c r="D12">
        <v>100364.7870610469</v>
      </c>
      <c r="E12">
        <v>60002.57831821432</v>
      </c>
      <c r="F12">
        <v>0</v>
      </c>
      <c r="G12">
        <v>153.463346200008</v>
      </c>
      <c r="H12">
        <v>524.81165145884484</v>
      </c>
      <c r="I12">
        <v>32073.473075852238</v>
      </c>
      <c r="J12">
        <v>31548.661424393398</v>
      </c>
    </row>
    <row r="13" spans="1:13">
      <c r="A13" s="1">
        <v>45961.563888888893</v>
      </c>
      <c r="B13">
        <v>223.06144118212541</v>
      </c>
      <c r="C13">
        <v>159777.28807158029</v>
      </c>
      <c r="D13">
        <v>99995.604975168113</v>
      </c>
      <c r="E13">
        <v>59781.683096412242</v>
      </c>
      <c r="F13">
        <v>0</v>
      </c>
      <c r="G13">
        <v>153.463346200008</v>
      </c>
      <c r="H13">
        <v>376.52478738213341</v>
      </c>
      <c r="I13">
        <v>31955.45761431607</v>
      </c>
      <c r="J13">
        <v>31578.932826933938</v>
      </c>
    </row>
    <row r="14" spans="1:13">
      <c r="A14" s="1">
        <v>45961.564583333333</v>
      </c>
      <c r="B14">
        <v>371.88728677245462</v>
      </c>
      <c r="C14">
        <v>159672.41247430889</v>
      </c>
      <c r="D14">
        <v>100017.5800993275</v>
      </c>
      <c r="E14">
        <v>59654.832374981357</v>
      </c>
      <c r="F14">
        <v>0</v>
      </c>
      <c r="G14">
        <v>153.463346200008</v>
      </c>
      <c r="H14">
        <v>525.35063297246256</v>
      </c>
      <c r="I14">
        <v>31934.48249486179</v>
      </c>
      <c r="J14">
        <v>31409.13186188932</v>
      </c>
    </row>
    <row r="15" spans="1:13">
      <c r="A15" s="1">
        <v>45961.56527777778</v>
      </c>
      <c r="B15">
        <v>260.63477239590799</v>
      </c>
      <c r="C15">
        <v>158983.77046928139</v>
      </c>
      <c r="D15">
        <v>99617.632839625541</v>
      </c>
      <c r="E15">
        <v>59366.137629655888</v>
      </c>
      <c r="F15">
        <v>0</v>
      </c>
      <c r="G15">
        <v>153.463346200008</v>
      </c>
      <c r="H15">
        <v>414.09811859591599</v>
      </c>
      <c r="I15">
        <v>31796.754093856289</v>
      </c>
      <c r="J15">
        <v>31382.655975260372</v>
      </c>
    </row>
    <row r="16" spans="1:13">
      <c r="A16" s="1">
        <v>45961.565972222219</v>
      </c>
      <c r="B16">
        <v>243.0546730683503</v>
      </c>
      <c r="C16">
        <v>158966.1903699539</v>
      </c>
      <c r="D16">
        <v>99600.052740297979</v>
      </c>
      <c r="E16">
        <v>59366.137629655888</v>
      </c>
      <c r="F16">
        <v>0</v>
      </c>
      <c r="G16">
        <v>153.463346200008</v>
      </c>
      <c r="H16">
        <v>396.51801926835827</v>
      </c>
      <c r="I16">
        <v>31793.238073990771</v>
      </c>
      <c r="J16">
        <v>31396.72005472242</v>
      </c>
    </row>
    <row r="17" spans="1:10">
      <c r="A17" s="1">
        <v>45961.566666666673</v>
      </c>
      <c r="B17">
        <v>0</v>
      </c>
      <c r="C17">
        <v>0</v>
      </c>
      <c r="D17">
        <v>0</v>
      </c>
      <c r="E17">
        <v>0</v>
      </c>
      <c r="F17">
        <v>804.44570306154787</v>
      </c>
      <c r="G17">
        <v>957.90904926155588</v>
      </c>
      <c r="H17">
        <v>957.90904926155588</v>
      </c>
      <c r="I17">
        <v>0</v>
      </c>
      <c r="J17">
        <v>-957.90904926155588</v>
      </c>
    </row>
    <row r="18" spans="1:10">
      <c r="A18" s="1">
        <v>45964.604166666657</v>
      </c>
      <c r="B18">
        <v>0</v>
      </c>
      <c r="C18">
        <v>160009.13956242631</v>
      </c>
      <c r="D18">
        <v>100000</v>
      </c>
      <c r="E18">
        <v>60009.139562426237</v>
      </c>
      <c r="F18">
        <v>0</v>
      </c>
      <c r="G18">
        <v>957.90904926155588</v>
      </c>
      <c r="H18">
        <v>957.90904926155588</v>
      </c>
      <c r="I18">
        <v>32001.827912485249</v>
      </c>
      <c r="J18">
        <v>31043.918863223698</v>
      </c>
    </row>
    <row r="19" spans="1:10">
      <c r="A19" s="1">
        <v>45964.604861111111</v>
      </c>
      <c r="B19">
        <v>-257.24940440030838</v>
      </c>
      <c r="C19">
        <v>159279.2738761954</v>
      </c>
      <c r="D19">
        <v>99506.442454684424</v>
      </c>
      <c r="E19">
        <v>59772.831421510993</v>
      </c>
      <c r="F19">
        <v>0</v>
      </c>
      <c r="G19">
        <v>957.90904926155588</v>
      </c>
      <c r="H19">
        <v>700.65964486124744</v>
      </c>
      <c r="I19">
        <v>31855.854775239091</v>
      </c>
      <c r="J19">
        <v>31155.195130377841</v>
      </c>
    </row>
    <row r="20" spans="1:10">
      <c r="A20" s="1">
        <v>45964.605555555558</v>
      </c>
      <c r="B20">
        <v>-97.771929324347923</v>
      </c>
      <c r="C20">
        <v>159381.86235438439</v>
      </c>
      <c r="D20">
        <v>99637.475431316881</v>
      </c>
      <c r="E20">
        <v>59744.386923067483</v>
      </c>
      <c r="F20">
        <v>0</v>
      </c>
      <c r="G20">
        <v>957.90904926155588</v>
      </c>
      <c r="H20">
        <v>860.1371199372079</v>
      </c>
      <c r="I20">
        <v>31876.372470876871</v>
      </c>
      <c r="J20">
        <v>31016.23535093966</v>
      </c>
    </row>
    <row r="21" spans="1:10">
      <c r="A21" s="1">
        <v>45964.606249999997</v>
      </c>
      <c r="B21">
        <v>79.658635462922746</v>
      </c>
      <c r="C21">
        <v>158994.7790269852</v>
      </c>
      <c r="D21">
        <v>99532.649050010921</v>
      </c>
      <c r="E21">
        <v>59462.129976974247</v>
      </c>
      <c r="F21">
        <v>0</v>
      </c>
      <c r="G21">
        <v>957.90904926155588</v>
      </c>
      <c r="H21">
        <v>1037.567684724479</v>
      </c>
      <c r="I21">
        <v>31798.95580539704</v>
      </c>
      <c r="J21">
        <v>30761.38812067256</v>
      </c>
    </row>
    <row r="22" spans="1:10">
      <c r="A22" s="1">
        <v>45964.606944444437</v>
      </c>
      <c r="B22">
        <v>315.71745250216833</v>
      </c>
      <c r="C22">
        <v>159020.78616321081</v>
      </c>
      <c r="D22">
        <v>99663.682026643379</v>
      </c>
      <c r="E22">
        <v>59357.104136567461</v>
      </c>
      <c r="F22">
        <v>0</v>
      </c>
      <c r="G22">
        <v>957.90904926155588</v>
      </c>
      <c r="H22">
        <v>1273.626501763724</v>
      </c>
      <c r="I22">
        <v>31804.15723264217</v>
      </c>
      <c r="J22">
        <v>30530.53073087845</v>
      </c>
    </row>
    <row r="23" spans="1:10">
      <c r="A23" s="1">
        <v>45964.607638888891</v>
      </c>
      <c r="B23">
        <v>0</v>
      </c>
      <c r="C23">
        <v>0</v>
      </c>
      <c r="D23">
        <v>0</v>
      </c>
      <c r="E23">
        <v>0</v>
      </c>
      <c r="F23">
        <v>458.72763275348012</v>
      </c>
      <c r="G23">
        <v>1416.6366820150361</v>
      </c>
      <c r="H23">
        <v>1416.6366820150361</v>
      </c>
      <c r="I23">
        <v>0</v>
      </c>
      <c r="J23">
        <v>-1416.6366820150361</v>
      </c>
    </row>
    <row r="24" spans="1:10">
      <c r="A24" s="1">
        <v>45964.708333333343</v>
      </c>
      <c r="B24">
        <v>0</v>
      </c>
      <c r="C24">
        <v>160009.13956242631</v>
      </c>
      <c r="D24">
        <v>100000</v>
      </c>
      <c r="E24">
        <v>60009.139562426251</v>
      </c>
      <c r="F24">
        <v>0</v>
      </c>
      <c r="G24">
        <v>1416.6366820150361</v>
      </c>
      <c r="H24">
        <v>1416.6366820150361</v>
      </c>
      <c r="I24">
        <v>32001.827912485249</v>
      </c>
      <c r="J24">
        <v>30585.19123047022</v>
      </c>
    </row>
    <row r="25" spans="1:10">
      <c r="A25" s="1">
        <v>45964.709027777782</v>
      </c>
      <c r="B25">
        <v>110.1033580430112</v>
      </c>
      <c r="C25">
        <v>159960.31339613709</v>
      </c>
      <c r="D25">
        <v>100030.6385958769</v>
      </c>
      <c r="E25">
        <v>59929.674800260153</v>
      </c>
      <c r="F25">
        <v>0</v>
      </c>
      <c r="G25">
        <v>1416.6366820150361</v>
      </c>
      <c r="H25">
        <v>1526.740040058047</v>
      </c>
      <c r="I25">
        <v>31992.06267922742</v>
      </c>
      <c r="J25">
        <v>30465.322639169372</v>
      </c>
    </row>
    <row r="26" spans="1:10">
      <c r="A26" s="1">
        <v>45964.709722222222</v>
      </c>
      <c r="B26">
        <v>173.3613038548954</v>
      </c>
      <c r="C26">
        <v>160072.13314105049</v>
      </c>
      <c r="D26">
        <v>100118.1774412396</v>
      </c>
      <c r="E26">
        <v>59953.955699810911</v>
      </c>
      <c r="F26">
        <v>0</v>
      </c>
      <c r="G26">
        <v>1416.6366820150361</v>
      </c>
      <c r="H26">
        <v>1589.997985869931</v>
      </c>
      <c r="I26">
        <v>32014.426628210091</v>
      </c>
      <c r="J26">
        <v>30424.428642340161</v>
      </c>
    </row>
    <row r="27" spans="1:10">
      <c r="A27" s="1">
        <v>45964.710416666669</v>
      </c>
      <c r="B27">
        <v>129.59188117357061</v>
      </c>
      <c r="C27">
        <v>160028.36371836919</v>
      </c>
      <c r="D27">
        <v>100074.4080185582</v>
      </c>
      <c r="E27">
        <v>59953.955699810911</v>
      </c>
      <c r="F27">
        <v>0</v>
      </c>
      <c r="G27">
        <v>1416.6366820150361</v>
      </c>
      <c r="H27">
        <v>1546.228563188607</v>
      </c>
      <c r="I27">
        <v>32005.672743673829</v>
      </c>
      <c r="J27">
        <v>30459.444180485221</v>
      </c>
    </row>
    <row r="28" spans="1:10">
      <c r="A28" s="1">
        <v>45964.711111111108</v>
      </c>
      <c r="B28">
        <v>0.64203459864083356</v>
      </c>
      <c r="C28">
        <v>159859.68149071111</v>
      </c>
      <c r="D28">
        <v>99925.591981441772</v>
      </c>
      <c r="E28">
        <v>59934.089509269383</v>
      </c>
      <c r="F28">
        <v>0</v>
      </c>
      <c r="G28">
        <v>1416.6366820150361</v>
      </c>
      <c r="H28">
        <v>1417.278716613677</v>
      </c>
      <c r="I28">
        <v>31971.936298142231</v>
      </c>
      <c r="J28">
        <v>30554.657581528551</v>
      </c>
    </row>
    <row r="29" spans="1:10">
      <c r="A29" s="1">
        <v>45964.711805555547</v>
      </c>
      <c r="B29">
        <v>-29.996561278289011</v>
      </c>
      <c r="C29">
        <v>159829.04289483419</v>
      </c>
      <c r="D29">
        <v>99894.953385564848</v>
      </c>
      <c r="E29">
        <v>59934.089509269383</v>
      </c>
      <c r="F29">
        <v>0</v>
      </c>
      <c r="G29">
        <v>1416.6366820150361</v>
      </c>
      <c r="H29">
        <v>1386.6401207367469</v>
      </c>
      <c r="I29">
        <v>31965.80857896684</v>
      </c>
      <c r="J29">
        <v>30579.168458230091</v>
      </c>
    </row>
    <row r="30" spans="1:10">
      <c r="A30" s="1">
        <v>45964.712500000001</v>
      </c>
      <c r="B30">
        <v>-25.468552045778409</v>
      </c>
      <c r="C30">
        <v>159798.25323199289</v>
      </c>
      <c r="D30">
        <v>99881.822558760454</v>
      </c>
      <c r="E30">
        <v>59916.430673232469</v>
      </c>
      <c r="F30">
        <v>0</v>
      </c>
      <c r="G30">
        <v>1416.6366820150361</v>
      </c>
      <c r="H30">
        <v>1391.168129969258</v>
      </c>
      <c r="I30">
        <v>31959.65064639859</v>
      </c>
      <c r="J30">
        <v>30568.482516429329</v>
      </c>
    </row>
    <row r="31" spans="1:10">
      <c r="A31" s="1">
        <v>45964.713194444441</v>
      </c>
      <c r="B31">
        <v>55.259396097532438</v>
      </c>
      <c r="C31">
        <v>159936.3723972562</v>
      </c>
      <c r="D31">
        <v>99991.246115463742</v>
      </c>
      <c r="E31">
        <v>59945.126281792451</v>
      </c>
      <c r="F31">
        <v>0</v>
      </c>
      <c r="G31">
        <v>1416.6366820150361</v>
      </c>
      <c r="H31">
        <v>1471.8960781125691</v>
      </c>
      <c r="I31">
        <v>31987.27447945124</v>
      </c>
      <c r="J31">
        <v>30515.378401338668</v>
      </c>
    </row>
    <row r="32" spans="1:10">
      <c r="A32" s="1">
        <v>45964.713888888888</v>
      </c>
      <c r="B32">
        <v>74.559085522625395</v>
      </c>
      <c r="C32">
        <v>160048.38097587501</v>
      </c>
      <c r="D32">
        <v>100056.9002494857</v>
      </c>
      <c r="E32">
        <v>59991.480726389331</v>
      </c>
      <c r="F32">
        <v>0</v>
      </c>
      <c r="G32">
        <v>1416.6366820150361</v>
      </c>
      <c r="H32">
        <v>1491.1957675376609</v>
      </c>
      <c r="I32">
        <v>32009.676195175009</v>
      </c>
      <c r="J32">
        <v>30518.480427637351</v>
      </c>
    </row>
    <row r="33" spans="1:10">
      <c r="A33" s="1">
        <v>45964.714583333327</v>
      </c>
      <c r="B33">
        <v>-30.865196323492111</v>
      </c>
      <c r="C33">
        <v>160031.2508742135</v>
      </c>
      <c r="D33">
        <v>99995.623057731878</v>
      </c>
      <c r="E33">
        <v>60035.62781648161</v>
      </c>
      <c r="F33">
        <v>0</v>
      </c>
      <c r="G33">
        <v>1416.6366820150361</v>
      </c>
      <c r="H33">
        <v>1385.7714856915441</v>
      </c>
      <c r="I33">
        <v>32006.250174842698</v>
      </c>
      <c r="J33">
        <v>30620.478689151161</v>
      </c>
    </row>
    <row r="34" spans="1:10">
      <c r="A34" s="1">
        <v>45964.715277777781</v>
      </c>
      <c r="B34">
        <v>17.621069295809811</v>
      </c>
      <c r="C34">
        <v>160000.2723776667</v>
      </c>
      <c r="D34">
        <v>100004.37694226811</v>
      </c>
      <c r="E34">
        <v>59995.895435398568</v>
      </c>
      <c r="F34">
        <v>0</v>
      </c>
      <c r="G34">
        <v>1416.6366820150361</v>
      </c>
      <c r="H34">
        <v>1434.2577513108461</v>
      </c>
      <c r="I34">
        <v>32000.054475533339</v>
      </c>
      <c r="J34">
        <v>30565.796724222491</v>
      </c>
    </row>
    <row r="35" spans="1:10">
      <c r="A35" s="1">
        <v>45964.71597222222</v>
      </c>
      <c r="B35">
        <v>0</v>
      </c>
      <c r="C35">
        <v>160009.13956242631</v>
      </c>
      <c r="D35">
        <v>100000</v>
      </c>
      <c r="E35">
        <v>60009.139562426251</v>
      </c>
      <c r="F35">
        <v>0</v>
      </c>
      <c r="G35">
        <v>1416.6366820150361</v>
      </c>
      <c r="H35">
        <v>1416.6366820150361</v>
      </c>
      <c r="I35">
        <v>32001.827912485249</v>
      </c>
      <c r="J35">
        <v>30585.19123047022</v>
      </c>
    </row>
    <row r="36" spans="1:10">
      <c r="A36" s="1">
        <v>45964.716666666667</v>
      </c>
      <c r="B36">
        <v>-48.410732137110323</v>
      </c>
      <c r="C36">
        <v>160022.53475641829</v>
      </c>
      <c r="D36">
        <v>99982.492230927484</v>
      </c>
      <c r="E36">
        <v>60040.042525490833</v>
      </c>
      <c r="F36">
        <v>0</v>
      </c>
      <c r="G36">
        <v>1416.6366820150361</v>
      </c>
      <c r="H36">
        <v>1368.225949877926</v>
      </c>
      <c r="I36">
        <v>32004.50695128366</v>
      </c>
      <c r="J36">
        <v>30636.28100140574</v>
      </c>
    </row>
    <row r="37" spans="1:10">
      <c r="A37" s="1">
        <v>45964.717361111107</v>
      </c>
      <c r="B37">
        <v>87.123411210583555</v>
      </c>
      <c r="C37">
        <v>160193.3865718398</v>
      </c>
      <c r="D37">
        <v>100135.68521031211</v>
      </c>
      <c r="E37">
        <v>60057.701361527739</v>
      </c>
      <c r="F37">
        <v>0</v>
      </c>
      <c r="G37">
        <v>1416.6366820150361</v>
      </c>
      <c r="H37">
        <v>1503.76009322562</v>
      </c>
      <c r="I37">
        <v>32038.67731436796</v>
      </c>
      <c r="J37">
        <v>30534.917221142339</v>
      </c>
    </row>
    <row r="38" spans="1:10">
      <c r="A38" s="1">
        <v>45964.718055555553</v>
      </c>
      <c r="B38">
        <v>0</v>
      </c>
      <c r="C38">
        <v>0</v>
      </c>
      <c r="D38">
        <v>0</v>
      </c>
      <c r="E38">
        <v>0</v>
      </c>
      <c r="F38">
        <v>85.699610790732152</v>
      </c>
      <c r="G38">
        <v>1502.3362928057679</v>
      </c>
      <c r="H38">
        <v>1502.3362928057679</v>
      </c>
      <c r="I38">
        <v>0</v>
      </c>
      <c r="J38">
        <v>-1502.3362928057679</v>
      </c>
    </row>
    <row r="39" spans="1:10">
      <c r="A39" s="1">
        <v>45965.604166666657</v>
      </c>
      <c r="B39">
        <v>0</v>
      </c>
      <c r="C39">
        <v>160009.13956242631</v>
      </c>
      <c r="D39">
        <v>60009.139562426251</v>
      </c>
      <c r="E39">
        <v>100000</v>
      </c>
      <c r="F39">
        <v>0</v>
      </c>
      <c r="G39">
        <v>1502.3362928057679</v>
      </c>
      <c r="H39">
        <v>1502.3362928057679</v>
      </c>
      <c r="I39">
        <v>32001.827912485249</v>
      </c>
      <c r="J39">
        <v>30499.49161967948</v>
      </c>
    </row>
    <row r="40" spans="1:10">
      <c r="A40" s="1">
        <v>45965.604861111111</v>
      </c>
      <c r="B40">
        <v>427.94040864483668</v>
      </c>
      <c r="C40">
        <v>159785.6141730255</v>
      </c>
      <c r="D40">
        <v>60111.34707204828</v>
      </c>
      <c r="E40">
        <v>99674.267100977188</v>
      </c>
      <c r="F40">
        <v>0</v>
      </c>
      <c r="G40">
        <v>1502.3362928057679</v>
      </c>
      <c r="H40">
        <v>1930.2767014506051</v>
      </c>
      <c r="I40">
        <v>31957.122834605099</v>
      </c>
      <c r="J40">
        <v>30026.84613315449</v>
      </c>
    </row>
    <row r="41" spans="1:10">
      <c r="A41" s="1">
        <v>45965.605555555558</v>
      </c>
      <c r="B41">
        <v>646.13980777730524</v>
      </c>
      <c r="C41">
        <v>159167.47234493721</v>
      </c>
      <c r="D41">
        <v>59911.375857570412</v>
      </c>
      <c r="E41">
        <v>99256.096487366842</v>
      </c>
      <c r="F41">
        <v>0</v>
      </c>
      <c r="G41">
        <v>1502.3362928057679</v>
      </c>
      <c r="H41">
        <v>2148.4761005830728</v>
      </c>
      <c r="I41">
        <v>31833.49446898745</v>
      </c>
      <c r="J41">
        <v>29685.01836840438</v>
      </c>
    </row>
    <row r="42" spans="1:10">
      <c r="A42" s="1">
        <v>45965.606249999997</v>
      </c>
      <c r="B42">
        <v>369.11616005976902</v>
      </c>
      <c r="C42">
        <v>159040.1097589329</v>
      </c>
      <c r="D42">
        <v>59709.182740709453</v>
      </c>
      <c r="E42">
        <v>99330.927018223418</v>
      </c>
      <c r="F42">
        <v>0</v>
      </c>
      <c r="G42">
        <v>1502.3362928057679</v>
      </c>
      <c r="H42">
        <v>1871.452452865537</v>
      </c>
      <c r="I42">
        <v>31808.021951786581</v>
      </c>
      <c r="J42">
        <v>29936.569498921039</v>
      </c>
    </row>
    <row r="43" spans="1:10">
      <c r="A43" s="1">
        <v>45965.606944444437</v>
      </c>
      <c r="B43">
        <v>423.23541930018712</v>
      </c>
      <c r="C43">
        <v>158794.90689474691</v>
      </c>
      <c r="D43">
        <v>59613.640938236691</v>
      </c>
      <c r="E43">
        <v>99181.265956510251</v>
      </c>
      <c r="F43">
        <v>0</v>
      </c>
      <c r="G43">
        <v>1502.3362928057679</v>
      </c>
      <c r="H43">
        <v>1925.5717121059549</v>
      </c>
      <c r="I43">
        <v>31758.981378949389</v>
      </c>
      <c r="J43">
        <v>29833.409666843439</v>
      </c>
    </row>
    <row r="44" spans="1:10">
      <c r="A44" s="1">
        <v>45965.607638888891</v>
      </c>
      <c r="B44">
        <v>194.34203079767349</v>
      </c>
      <c r="C44">
        <v>159023.80028324941</v>
      </c>
      <c r="D44">
        <v>59613.640938236691</v>
      </c>
      <c r="E44">
        <v>99410.159345012755</v>
      </c>
      <c r="F44">
        <v>0</v>
      </c>
      <c r="G44">
        <v>1502.3362928057679</v>
      </c>
      <c r="H44">
        <v>1696.6783236034421</v>
      </c>
      <c r="I44">
        <v>31804.760056649891</v>
      </c>
      <c r="J44">
        <v>30108.081733046449</v>
      </c>
    </row>
    <row r="45" spans="1:10">
      <c r="A45" s="1">
        <v>45965.60833333333</v>
      </c>
      <c r="B45">
        <v>299.98513318345101</v>
      </c>
      <c r="C45">
        <v>158918.15718086369</v>
      </c>
      <c r="D45">
        <v>59613.640938236691</v>
      </c>
      <c r="E45">
        <v>99304.516242626982</v>
      </c>
      <c r="F45">
        <v>0</v>
      </c>
      <c r="G45">
        <v>1502.3362928057679</v>
      </c>
      <c r="H45">
        <v>1802.3214259892191</v>
      </c>
      <c r="I45">
        <v>31783.631436172731</v>
      </c>
      <c r="J45">
        <v>29981.310010183519</v>
      </c>
    </row>
    <row r="46" spans="1:10">
      <c r="A46" s="1">
        <v>45965.609027777777</v>
      </c>
      <c r="B46">
        <v>245.56724632005611</v>
      </c>
      <c r="C46">
        <v>158634.84590549779</v>
      </c>
      <c r="D46">
        <v>59444.776357122042</v>
      </c>
      <c r="E46">
        <v>99190.06954837573</v>
      </c>
      <c r="F46">
        <v>0</v>
      </c>
      <c r="G46">
        <v>1502.3362928057679</v>
      </c>
      <c r="H46">
        <v>1747.903539125824</v>
      </c>
      <c r="I46">
        <v>31726.969181099561</v>
      </c>
      <c r="J46">
        <v>29979.065641973732</v>
      </c>
    </row>
    <row r="47" spans="1:10">
      <c r="A47" s="1">
        <v>45965.609722222223</v>
      </c>
      <c r="B47">
        <v>148.7277357997643</v>
      </c>
      <c r="C47">
        <v>158731.6854160181</v>
      </c>
      <c r="D47">
        <v>59444.776357122042</v>
      </c>
      <c r="E47">
        <v>99286.909058896024</v>
      </c>
      <c r="F47">
        <v>0</v>
      </c>
      <c r="G47">
        <v>1502.3362928057679</v>
      </c>
      <c r="H47">
        <v>1651.064028605532</v>
      </c>
      <c r="I47">
        <v>31746.33708320362</v>
      </c>
      <c r="J47">
        <v>30095.273054598081</v>
      </c>
    </row>
    <row r="48" spans="1:10">
      <c r="A48" s="1">
        <v>45965.61041666667</v>
      </c>
      <c r="B48">
        <v>-19.212650979324739</v>
      </c>
      <c r="C48">
        <v>158757.4240502796</v>
      </c>
      <c r="D48">
        <v>59373.675480863247</v>
      </c>
      <c r="E48">
        <v>99383.748569416319</v>
      </c>
      <c r="F48">
        <v>0</v>
      </c>
      <c r="G48">
        <v>1502.3362928057679</v>
      </c>
      <c r="H48">
        <v>1483.123641826443</v>
      </c>
      <c r="I48">
        <v>31751.484810055921</v>
      </c>
      <c r="J48">
        <v>30268.361168229469</v>
      </c>
    </row>
    <row r="49" spans="1:10">
      <c r="A49" s="1">
        <v>45965.611111111109</v>
      </c>
      <c r="B49">
        <v>184.3621915960255</v>
      </c>
      <c r="C49">
        <v>158784.9270555453</v>
      </c>
      <c r="D49">
        <v>59489.214404783786</v>
      </c>
      <c r="E49">
        <v>99295.712650761503</v>
      </c>
      <c r="F49">
        <v>0</v>
      </c>
      <c r="G49">
        <v>1502.3362928057679</v>
      </c>
      <c r="H49">
        <v>1686.6984844017941</v>
      </c>
      <c r="I49">
        <v>31756.985411109061</v>
      </c>
      <c r="J49">
        <v>30070.286926707271</v>
      </c>
    </row>
    <row r="50" spans="1:10">
      <c r="A50" s="1">
        <v>45965.611805555563</v>
      </c>
      <c r="B50">
        <v>166.7550078650668</v>
      </c>
      <c r="C50">
        <v>158802.53423927631</v>
      </c>
      <c r="D50">
        <v>59489.214404783786</v>
      </c>
      <c r="E50">
        <v>99313.31983449246</v>
      </c>
      <c r="F50">
        <v>0</v>
      </c>
      <c r="G50">
        <v>1502.3362928057679</v>
      </c>
      <c r="H50">
        <v>1669.0913006708349</v>
      </c>
      <c r="I50">
        <v>31760.506847855249</v>
      </c>
      <c r="J50">
        <v>30091.415547184421</v>
      </c>
    </row>
    <row r="51" spans="1:10">
      <c r="A51" s="1">
        <v>45965.612500000003</v>
      </c>
      <c r="B51">
        <v>238.90610495972339</v>
      </c>
      <c r="C51">
        <v>159094.7751330079</v>
      </c>
      <c r="D51">
        <v>59671.410400196961</v>
      </c>
      <c r="E51">
        <v>99423.36473281098</v>
      </c>
      <c r="F51">
        <v>0</v>
      </c>
      <c r="G51">
        <v>1502.3362928057679</v>
      </c>
      <c r="H51">
        <v>1741.2423977654919</v>
      </c>
      <c r="I51">
        <v>31818.95502660159</v>
      </c>
      <c r="J51">
        <v>30077.7126288361</v>
      </c>
    </row>
    <row r="52" spans="1:10">
      <c r="A52" s="1">
        <v>45965.613194444442</v>
      </c>
      <c r="B52">
        <v>75.367514113370817</v>
      </c>
      <c r="C52">
        <v>159116.11197133671</v>
      </c>
      <c r="D52">
        <v>59600.309523938173</v>
      </c>
      <c r="E52">
        <v>99515.802447398542</v>
      </c>
      <c r="F52">
        <v>0</v>
      </c>
      <c r="G52">
        <v>1502.3362928057679</v>
      </c>
      <c r="H52">
        <v>1577.703806919139</v>
      </c>
      <c r="I52">
        <v>31823.222394267341</v>
      </c>
      <c r="J52">
        <v>30245.518587348201</v>
      </c>
    </row>
    <row r="53" spans="1:10">
      <c r="A53" s="1">
        <v>45965.613888888889</v>
      </c>
      <c r="B53">
        <v>102.28239571104019</v>
      </c>
      <c r="C53">
        <v>159195.8484041272</v>
      </c>
      <c r="D53">
        <v>59653.635181132267</v>
      </c>
      <c r="E53">
        <v>99542.213222994964</v>
      </c>
      <c r="F53">
        <v>0</v>
      </c>
      <c r="G53">
        <v>1502.3362928057679</v>
      </c>
      <c r="H53">
        <v>1604.6186885168081</v>
      </c>
      <c r="I53">
        <v>31839.169680825449</v>
      </c>
      <c r="J53">
        <v>30234.550992308639</v>
      </c>
    </row>
    <row r="54" spans="1:10">
      <c r="A54" s="1">
        <v>45965.614583333343</v>
      </c>
      <c r="B54">
        <v>140.6428598915993</v>
      </c>
      <c r="C54">
        <v>159357.45915442449</v>
      </c>
      <c r="D54">
        <v>59753.620788371198</v>
      </c>
      <c r="E54">
        <v>99603.838366053344</v>
      </c>
      <c r="F54">
        <v>0</v>
      </c>
      <c r="G54">
        <v>1502.3362928057679</v>
      </c>
      <c r="H54">
        <v>1642.979152697367</v>
      </c>
      <c r="I54">
        <v>31871.491830884908</v>
      </c>
      <c r="J54">
        <v>30228.512678187541</v>
      </c>
    </row>
    <row r="55" spans="1:10">
      <c r="A55" s="1">
        <v>45965.615277777782</v>
      </c>
      <c r="B55">
        <v>94.402998181110775</v>
      </c>
      <c r="C55">
        <v>159399.2552113689</v>
      </c>
      <c r="D55">
        <v>59751.398885988106</v>
      </c>
      <c r="E55">
        <v>99647.856325380752</v>
      </c>
      <c r="F55">
        <v>0</v>
      </c>
      <c r="G55">
        <v>1502.3362928057679</v>
      </c>
      <c r="H55">
        <v>1596.739290986879</v>
      </c>
      <c r="I55">
        <v>31879.851042273771</v>
      </c>
      <c r="J55">
        <v>30283.111751286899</v>
      </c>
    </row>
    <row r="56" spans="1:10">
      <c r="A56" s="1">
        <v>45965.615972222222</v>
      </c>
      <c r="B56">
        <v>271.1049679922512</v>
      </c>
      <c r="C56">
        <v>159355.867384543</v>
      </c>
      <c r="D56">
        <v>59818.055957480741</v>
      </c>
      <c r="E56">
        <v>99537.811427062232</v>
      </c>
      <c r="F56">
        <v>0</v>
      </c>
      <c r="G56">
        <v>1502.3362928057679</v>
      </c>
      <c r="H56">
        <v>1773.4412607980189</v>
      </c>
      <c r="I56">
        <v>31871.1734769086</v>
      </c>
      <c r="J56">
        <v>30097.73221611058</v>
      </c>
    </row>
    <row r="57" spans="1:10">
      <c r="A57" s="1">
        <v>45965.616666666669</v>
      </c>
      <c r="B57">
        <v>164.91575077181429</v>
      </c>
      <c r="C57">
        <v>159346.51767784281</v>
      </c>
      <c r="D57">
        <v>59760.286495520457</v>
      </c>
      <c r="E57">
        <v>99586.231182322386</v>
      </c>
      <c r="F57">
        <v>0</v>
      </c>
      <c r="G57">
        <v>1502.3362928057679</v>
      </c>
      <c r="H57">
        <v>1667.252043577583</v>
      </c>
      <c r="I57">
        <v>31869.303535568572</v>
      </c>
      <c r="J57">
        <v>30202.051491990991</v>
      </c>
    </row>
    <row r="58" spans="1:10">
      <c r="A58" s="1">
        <v>45965.617361111108</v>
      </c>
      <c r="B58">
        <v>0</v>
      </c>
      <c r="C58">
        <v>0</v>
      </c>
      <c r="D58">
        <v>0</v>
      </c>
      <c r="E58">
        <v>0</v>
      </c>
      <c r="F58">
        <v>308.9055684263916</v>
      </c>
      <c r="G58">
        <v>1811.2418612321601</v>
      </c>
      <c r="H58">
        <v>1811.2418612321601</v>
      </c>
      <c r="I58">
        <v>0</v>
      </c>
      <c r="J58">
        <v>-1811.2418612321601</v>
      </c>
    </row>
    <row r="59" spans="1:10">
      <c r="A59" s="1">
        <v>45966.811805555553</v>
      </c>
      <c r="B59">
        <v>0</v>
      </c>
      <c r="C59">
        <v>160009.13956242631</v>
      </c>
      <c r="D59">
        <v>60009.139562426259</v>
      </c>
      <c r="E59">
        <v>100000</v>
      </c>
      <c r="F59">
        <v>0</v>
      </c>
      <c r="G59">
        <v>1811.2418612321601</v>
      </c>
      <c r="H59">
        <v>1811.2418612321601</v>
      </c>
      <c r="I59">
        <v>32001.827912485249</v>
      </c>
      <c r="J59">
        <v>30190.586051253089</v>
      </c>
    </row>
    <row r="60" spans="1:10">
      <c r="A60" s="1">
        <v>45966.8125</v>
      </c>
      <c r="B60">
        <v>-6.4100838906361206</v>
      </c>
      <c r="C60">
        <v>160046.4548829956</v>
      </c>
      <c r="D60">
        <v>60024.59218076562</v>
      </c>
      <c r="E60">
        <v>100021.86270223001</v>
      </c>
      <c r="F60">
        <v>0</v>
      </c>
      <c r="G60">
        <v>1811.2418612321601</v>
      </c>
      <c r="H60">
        <v>1804.831777341524</v>
      </c>
      <c r="I60">
        <v>32009.290976599121</v>
      </c>
      <c r="J60">
        <v>30204.459199257599</v>
      </c>
    </row>
    <row r="61" spans="1:10">
      <c r="A61" s="1">
        <v>45966.813194444447</v>
      </c>
      <c r="B61">
        <v>79.385621871902771</v>
      </c>
      <c r="C61">
        <v>160071.0350225142</v>
      </c>
      <c r="D61">
        <v>60079.78010340617</v>
      </c>
      <c r="E61">
        <v>99991.254919108003</v>
      </c>
      <c r="F61">
        <v>0</v>
      </c>
      <c r="G61">
        <v>1811.2418612321601</v>
      </c>
      <c r="H61">
        <v>1890.627483104063</v>
      </c>
      <c r="I61">
        <v>32014.207004502841</v>
      </c>
      <c r="J61">
        <v>30123.57952139878</v>
      </c>
    </row>
    <row r="62" spans="1:10">
      <c r="A62" s="1">
        <v>45966.813888888893</v>
      </c>
      <c r="B62">
        <v>101.24832410190341</v>
      </c>
      <c r="C62">
        <v>160049.17232028421</v>
      </c>
      <c r="D62">
        <v>60079.78010340617</v>
      </c>
      <c r="E62">
        <v>99969.392216878012</v>
      </c>
      <c r="F62">
        <v>0</v>
      </c>
      <c r="G62">
        <v>1811.2418612321601</v>
      </c>
      <c r="H62">
        <v>1912.490185334063</v>
      </c>
      <c r="I62">
        <v>32009.834464056839</v>
      </c>
      <c r="J62">
        <v>30097.34427872278</v>
      </c>
    </row>
    <row r="63" spans="1:10">
      <c r="A63" s="1">
        <v>45966.814583333333</v>
      </c>
      <c r="B63">
        <v>167.17637771383801</v>
      </c>
      <c r="C63">
        <v>160053.8848076521</v>
      </c>
      <c r="D63">
        <v>60115.100373896108</v>
      </c>
      <c r="E63">
        <v>99938.784433756009</v>
      </c>
      <c r="F63">
        <v>0</v>
      </c>
      <c r="G63">
        <v>1811.2418612321601</v>
      </c>
      <c r="H63">
        <v>1978.4182389459979</v>
      </c>
      <c r="I63">
        <v>32010.776961530431</v>
      </c>
      <c r="J63">
        <v>30032.358722584431</v>
      </c>
    </row>
    <row r="64" spans="1:10">
      <c r="A64" s="1">
        <v>45966.81527777778</v>
      </c>
      <c r="B64">
        <v>206.44425499734211</v>
      </c>
      <c r="C64">
        <v>159996.95679512361</v>
      </c>
      <c r="D64">
        <v>60106.270306273618</v>
      </c>
      <c r="E64">
        <v>99890.686488850013</v>
      </c>
      <c r="F64">
        <v>0</v>
      </c>
      <c r="G64">
        <v>1811.2418612321601</v>
      </c>
      <c r="H64">
        <v>2017.686116229502</v>
      </c>
      <c r="I64">
        <v>31999.391359024728</v>
      </c>
      <c r="J64">
        <v>29981.705242795229</v>
      </c>
    </row>
    <row r="65" spans="1:10">
      <c r="A65" s="1">
        <v>45966.815972222219</v>
      </c>
      <c r="B65">
        <v>263.28728079532868</v>
      </c>
      <c r="C65">
        <v>159940.11376932569</v>
      </c>
      <c r="D65">
        <v>60106.270306273618</v>
      </c>
      <c r="E65">
        <v>99833.843463052035</v>
      </c>
      <c r="F65">
        <v>0</v>
      </c>
      <c r="G65">
        <v>1811.2418612321601</v>
      </c>
      <c r="H65">
        <v>2074.529142027488</v>
      </c>
      <c r="I65">
        <v>31988.022753865131</v>
      </c>
      <c r="J65">
        <v>29913.49361183765</v>
      </c>
    </row>
    <row r="66" spans="1:10">
      <c r="A66" s="1">
        <v>45966.816666666673</v>
      </c>
      <c r="B66">
        <v>188.1467192736871</v>
      </c>
      <c r="C66">
        <v>159847.48304602</v>
      </c>
      <c r="D66">
        <v>60022.384663859993</v>
      </c>
      <c r="E66">
        <v>99825.098382160038</v>
      </c>
      <c r="F66">
        <v>0</v>
      </c>
      <c r="G66">
        <v>1811.2418612321601</v>
      </c>
      <c r="H66">
        <v>1999.3885805058469</v>
      </c>
      <c r="I66">
        <v>31969.496609204009</v>
      </c>
      <c r="J66">
        <v>29970.10802869816</v>
      </c>
    </row>
    <row r="67" spans="1:10">
      <c r="A67" s="1">
        <v>45966.817361111112</v>
      </c>
      <c r="B67">
        <v>223.12704284168561</v>
      </c>
      <c r="C67">
        <v>159812.50272245199</v>
      </c>
      <c r="D67">
        <v>60022.384663859993</v>
      </c>
      <c r="E67">
        <v>99790.118058592037</v>
      </c>
      <c r="F67">
        <v>0</v>
      </c>
      <c r="G67">
        <v>1811.2418612321601</v>
      </c>
      <c r="H67">
        <v>2034.368904073845</v>
      </c>
      <c r="I67">
        <v>31962.500544490409</v>
      </c>
      <c r="J67">
        <v>29928.131640416559</v>
      </c>
    </row>
    <row r="68" spans="1:10">
      <c r="A68" s="1">
        <v>45966.818055555559</v>
      </c>
      <c r="B68">
        <v>244.94725170644151</v>
      </c>
      <c r="C68">
        <v>159781.85244596479</v>
      </c>
      <c r="D68">
        <v>60017.969630048749</v>
      </c>
      <c r="E68">
        <v>99763.882815916048</v>
      </c>
      <c r="F68">
        <v>0</v>
      </c>
      <c r="G68">
        <v>1811.2418612321601</v>
      </c>
      <c r="H68">
        <v>2056.1891129386008</v>
      </c>
      <c r="I68">
        <v>31956.370489192959</v>
      </c>
      <c r="J68">
        <v>29900.181376254361</v>
      </c>
    </row>
    <row r="69" spans="1:10">
      <c r="A69" s="1">
        <v>45966.818749999999</v>
      </c>
      <c r="B69">
        <v>0</v>
      </c>
      <c r="C69">
        <v>0</v>
      </c>
      <c r="D69">
        <v>0</v>
      </c>
      <c r="E69">
        <v>0</v>
      </c>
      <c r="F69">
        <v>281.22830785091941</v>
      </c>
      <c r="G69">
        <v>2092.4701690830789</v>
      </c>
      <c r="H69">
        <v>2092.4701690830789</v>
      </c>
      <c r="I69">
        <v>0</v>
      </c>
      <c r="J69">
        <v>-2092.4701690830789</v>
      </c>
    </row>
    <row r="70" spans="1:10">
      <c r="A70" s="1">
        <v>45967.604861111111</v>
      </c>
      <c r="B70">
        <v>0</v>
      </c>
      <c r="C70">
        <v>160009.13956242631</v>
      </c>
      <c r="D70">
        <v>100000</v>
      </c>
      <c r="E70">
        <v>60009.139562426251</v>
      </c>
      <c r="F70">
        <v>0</v>
      </c>
      <c r="G70">
        <v>2092.4701690830789</v>
      </c>
      <c r="H70">
        <v>2092.4701690830789</v>
      </c>
      <c r="I70">
        <v>32001.827912485249</v>
      </c>
      <c r="J70">
        <v>29909.357743402172</v>
      </c>
    </row>
    <row r="71" spans="1:10">
      <c r="A71" s="1">
        <v>45967.605555555558</v>
      </c>
      <c r="B71">
        <v>7.053919735473734</v>
      </c>
      <c r="C71">
        <v>160142.67082852681</v>
      </c>
      <c r="D71">
        <v>100070.29259291801</v>
      </c>
      <c r="E71">
        <v>60072.378235608798</v>
      </c>
      <c r="F71">
        <v>0</v>
      </c>
      <c r="G71">
        <v>2092.4701690830789</v>
      </c>
      <c r="H71">
        <v>2099.5240888185531</v>
      </c>
      <c r="I71">
        <v>32028.534165705369</v>
      </c>
      <c r="J71">
        <v>29929.010076886811</v>
      </c>
    </row>
    <row r="72" spans="1:10">
      <c r="A72" s="1">
        <v>45967.606249999997</v>
      </c>
      <c r="B72">
        <v>-8.7912689031024911</v>
      </c>
      <c r="C72">
        <v>160597.84472290301</v>
      </c>
      <c r="D72">
        <v>100289.95694578681</v>
      </c>
      <c r="E72">
        <v>60307.887777116193</v>
      </c>
      <c r="F72">
        <v>0</v>
      </c>
      <c r="G72">
        <v>2092.4701690830789</v>
      </c>
      <c r="H72">
        <v>2083.6789001799771</v>
      </c>
      <c r="I72">
        <v>32119.568944580609</v>
      </c>
      <c r="J72">
        <v>30035.890044400629</v>
      </c>
    </row>
    <row r="73" spans="1:10">
      <c r="A73" s="1">
        <v>45967.606944444437</v>
      </c>
      <c r="B73">
        <v>262.28055933519579</v>
      </c>
      <c r="C73">
        <v>160511.29095107451</v>
      </c>
      <c r="D73">
        <v>100382.2159739917</v>
      </c>
      <c r="E73">
        <v>60129.074977082797</v>
      </c>
      <c r="F73">
        <v>0</v>
      </c>
      <c r="G73">
        <v>2092.4701690830789</v>
      </c>
      <c r="H73">
        <v>2354.7507284182748</v>
      </c>
      <c r="I73">
        <v>32102.25819021491</v>
      </c>
      <c r="J73">
        <v>29747.507461796631</v>
      </c>
    </row>
    <row r="74" spans="1:10">
      <c r="A74" s="1">
        <v>45967.607638888891</v>
      </c>
      <c r="B74">
        <v>15.25981253157693</v>
      </c>
      <c r="C74">
        <v>160591.3667896979</v>
      </c>
      <c r="D74">
        <v>100298.7435199016</v>
      </c>
      <c r="E74">
        <v>60292.62326979627</v>
      </c>
      <c r="F74">
        <v>0</v>
      </c>
      <c r="G74">
        <v>2092.4701690830789</v>
      </c>
      <c r="H74">
        <v>2107.729981614656</v>
      </c>
      <c r="I74">
        <v>32118.273357939579</v>
      </c>
      <c r="J74">
        <v>30010.54337632492</v>
      </c>
    </row>
    <row r="75" spans="1:10">
      <c r="A75" s="1">
        <v>45967.60833333333</v>
      </c>
      <c r="B75">
        <v>83.499758553487652</v>
      </c>
      <c r="C75">
        <v>160698.858325971</v>
      </c>
      <c r="D75">
        <v>100386.6092610491</v>
      </c>
      <c r="E75">
        <v>60312.249064921882</v>
      </c>
      <c r="F75">
        <v>0</v>
      </c>
      <c r="G75">
        <v>2092.4701690830789</v>
      </c>
      <c r="H75">
        <v>2175.9699276365668</v>
      </c>
      <c r="I75">
        <v>32139.771665194199</v>
      </c>
      <c r="J75">
        <v>29963.801737557631</v>
      </c>
    </row>
    <row r="76" spans="1:10">
      <c r="A76" s="1">
        <v>45967.609027777777</v>
      </c>
      <c r="B76">
        <v>182.71670873881641</v>
      </c>
      <c r="C76">
        <v>160898.38489568731</v>
      </c>
      <c r="D76">
        <v>100535.9810209999</v>
      </c>
      <c r="E76">
        <v>60362.403874687348</v>
      </c>
      <c r="F76">
        <v>0</v>
      </c>
      <c r="G76">
        <v>2092.4701690830789</v>
      </c>
      <c r="H76">
        <v>2275.1868778218959</v>
      </c>
      <c r="I76">
        <v>32179.67697913745</v>
      </c>
      <c r="J76">
        <v>29904.490101315561</v>
      </c>
    </row>
    <row r="77" spans="1:10">
      <c r="A77" s="1">
        <v>45967.609722222223</v>
      </c>
      <c r="B77">
        <v>-94.481060936137624</v>
      </c>
      <c r="C77">
        <v>161105.29007244419</v>
      </c>
      <c r="D77">
        <v>100500.83472454089</v>
      </c>
      <c r="E77">
        <v>60604.455347903277</v>
      </c>
      <c r="F77">
        <v>0</v>
      </c>
      <c r="G77">
        <v>2092.4701690830789</v>
      </c>
      <c r="H77">
        <v>1997.989108146942</v>
      </c>
      <c r="I77">
        <v>32221.058014488841</v>
      </c>
      <c r="J77">
        <v>30223.06890634189</v>
      </c>
    </row>
    <row r="78" spans="1:10">
      <c r="A78" s="1">
        <v>45967.61041666667</v>
      </c>
      <c r="B78">
        <v>13.33046785385773</v>
      </c>
      <c r="C78">
        <v>161261.0757670968</v>
      </c>
      <c r="D78">
        <v>100632.6333362622</v>
      </c>
      <c r="E78">
        <v>60628.442430834577</v>
      </c>
      <c r="F78">
        <v>0</v>
      </c>
      <c r="G78">
        <v>2092.4701690830789</v>
      </c>
      <c r="H78">
        <v>2105.8006369369368</v>
      </c>
      <c r="I78">
        <v>32252.215153419351</v>
      </c>
      <c r="J78">
        <v>30146.414516482419</v>
      </c>
    </row>
    <row r="79" spans="1:10">
      <c r="A79" s="1">
        <v>45967.611111111109</v>
      </c>
      <c r="B79">
        <v>-191.39406500023219</v>
      </c>
      <c r="C79">
        <v>161536.09289286891</v>
      </c>
      <c r="D79">
        <v>100667.7796327212</v>
      </c>
      <c r="E79">
        <v>60868.313260147683</v>
      </c>
      <c r="F79">
        <v>0</v>
      </c>
      <c r="G79">
        <v>2092.4701690830789</v>
      </c>
      <c r="H79">
        <v>1901.076104082847</v>
      </c>
      <c r="I79">
        <v>32307.218578573778</v>
      </c>
      <c r="J79">
        <v>30406.142474490931</v>
      </c>
    </row>
    <row r="80" spans="1:10">
      <c r="A80" s="1">
        <v>45967.611805555563</v>
      </c>
      <c r="B80">
        <v>-156.24776854121609</v>
      </c>
      <c r="C80">
        <v>161571.2391893279</v>
      </c>
      <c r="D80">
        <v>100702.9259291802</v>
      </c>
      <c r="E80">
        <v>60868.313260147683</v>
      </c>
      <c r="F80">
        <v>0</v>
      </c>
      <c r="G80">
        <v>2092.4701690830789</v>
      </c>
      <c r="H80">
        <v>1936.222400541863</v>
      </c>
      <c r="I80">
        <v>32314.24783786558</v>
      </c>
      <c r="J80">
        <v>30378.025437323711</v>
      </c>
    </row>
    <row r="81" spans="1:10">
      <c r="A81" s="1">
        <v>45967.612500000003</v>
      </c>
      <c r="B81">
        <v>-145.15255351687949</v>
      </c>
      <c r="C81">
        <v>161612.86341899211</v>
      </c>
      <c r="D81">
        <v>100729.28565152449</v>
      </c>
      <c r="E81">
        <v>60883.577767467599</v>
      </c>
      <c r="F81">
        <v>0</v>
      </c>
      <c r="G81">
        <v>2092.4701690830789</v>
      </c>
      <c r="H81">
        <v>1947.3176155661999</v>
      </c>
      <c r="I81">
        <v>32322.572683798418</v>
      </c>
      <c r="J81">
        <v>30375.255068232222</v>
      </c>
    </row>
    <row r="82" spans="1:10">
      <c r="A82" s="1">
        <v>45967.613194444442</v>
      </c>
      <c r="B82">
        <v>-88.039821770989192</v>
      </c>
      <c r="C82">
        <v>161669.97615073799</v>
      </c>
      <c r="D82">
        <v>100786.3983832704</v>
      </c>
      <c r="E82">
        <v>60883.577767467599</v>
      </c>
      <c r="F82">
        <v>0</v>
      </c>
      <c r="G82">
        <v>2092.4701690830789</v>
      </c>
      <c r="H82">
        <v>2004.4303473120899</v>
      </c>
      <c r="I82">
        <v>32333.99523014759</v>
      </c>
      <c r="J82">
        <v>30329.564882835501</v>
      </c>
    </row>
    <row r="83" spans="1:10">
      <c r="A83" s="1">
        <v>45967.613888888889</v>
      </c>
      <c r="B83">
        <v>-101.475676956589</v>
      </c>
      <c r="C83">
        <v>161586.7596906613</v>
      </c>
      <c r="D83">
        <v>100738.0722256392</v>
      </c>
      <c r="E83">
        <v>60848.687465022071</v>
      </c>
      <c r="F83">
        <v>0</v>
      </c>
      <c r="G83">
        <v>2092.4701690830789</v>
      </c>
      <c r="H83">
        <v>1990.9944921264901</v>
      </c>
      <c r="I83">
        <v>32317.351938132259</v>
      </c>
      <c r="J83">
        <v>30326.357446005772</v>
      </c>
    </row>
    <row r="84" spans="1:10">
      <c r="A84" s="1">
        <v>45967.614583333343</v>
      </c>
      <c r="B84">
        <v>-125.2707643777858</v>
      </c>
      <c r="C84">
        <v>161663.274222771</v>
      </c>
      <c r="D84">
        <v>100764.4319479835</v>
      </c>
      <c r="E84">
        <v>60898.842274787523</v>
      </c>
      <c r="F84">
        <v>0</v>
      </c>
      <c r="G84">
        <v>2092.4701690830789</v>
      </c>
      <c r="H84">
        <v>1967.199404705294</v>
      </c>
      <c r="I84">
        <v>32332.654844554199</v>
      </c>
      <c r="J84">
        <v>30365.455439848909</v>
      </c>
    </row>
    <row r="85" spans="1:10">
      <c r="A85" s="1">
        <v>45967.615277777782</v>
      </c>
      <c r="B85">
        <v>-263.99999361617682</v>
      </c>
      <c r="C85">
        <v>162030.45437899299</v>
      </c>
      <c r="D85">
        <v>100878.6574114753</v>
      </c>
      <c r="E85">
        <v>61151.796967517686</v>
      </c>
      <c r="F85">
        <v>0</v>
      </c>
      <c r="G85">
        <v>2092.4701690830789</v>
      </c>
      <c r="H85">
        <v>1828.4701754669029</v>
      </c>
      <c r="I85">
        <v>32406.090875798589</v>
      </c>
      <c r="J85">
        <v>30577.620700331689</v>
      </c>
    </row>
    <row r="86" spans="1:10">
      <c r="A86" s="1">
        <v>45967.615972222222</v>
      </c>
      <c r="B86">
        <v>-275.22320564723628</v>
      </c>
      <c r="C86">
        <v>161953.81184987651</v>
      </c>
      <c r="D86">
        <v>100834.7245409015</v>
      </c>
      <c r="E86">
        <v>61119.087308974988</v>
      </c>
      <c r="F86">
        <v>0</v>
      </c>
      <c r="G86">
        <v>2092.4701690830789</v>
      </c>
      <c r="H86">
        <v>1817.2469634358431</v>
      </c>
      <c r="I86">
        <v>32390.762369975298</v>
      </c>
      <c r="J86">
        <v>30573.51540653946</v>
      </c>
    </row>
    <row r="87" spans="1:10">
      <c r="A87" s="1">
        <v>45967.616666666669</v>
      </c>
      <c r="B87">
        <v>-121.1014720822</v>
      </c>
      <c r="C87">
        <v>161606.38548578689</v>
      </c>
      <c r="D87">
        <v>100738.0722256392</v>
      </c>
      <c r="E87">
        <v>60868.313260147683</v>
      </c>
      <c r="F87">
        <v>0</v>
      </c>
      <c r="G87">
        <v>2092.4701690830789</v>
      </c>
      <c r="H87">
        <v>1971.3686970008789</v>
      </c>
      <c r="I87">
        <v>32321.277097157381</v>
      </c>
      <c r="J87">
        <v>30349.90840015651</v>
      </c>
    </row>
    <row r="88" spans="1:10">
      <c r="A88" s="1">
        <v>45967.617361111108</v>
      </c>
      <c r="B88">
        <v>-230.9336485166082</v>
      </c>
      <c r="C88">
        <v>161496.55330935249</v>
      </c>
      <c r="D88">
        <v>100628.2400492048</v>
      </c>
      <c r="E88">
        <v>60868.313260147683</v>
      </c>
      <c r="F88">
        <v>0</v>
      </c>
      <c r="G88">
        <v>2092.4701690830789</v>
      </c>
      <c r="H88">
        <v>1861.5365205664709</v>
      </c>
      <c r="I88">
        <v>32299.310661870499</v>
      </c>
      <c r="J88">
        <v>30437.774141304031</v>
      </c>
    </row>
    <row r="89" spans="1:10">
      <c r="A89" s="1">
        <v>45967.618055555547</v>
      </c>
      <c r="B89">
        <v>-347.37175516292928</v>
      </c>
      <c r="C89">
        <v>161375.7539149005</v>
      </c>
      <c r="D89">
        <v>100509.62129865561</v>
      </c>
      <c r="E89">
        <v>60866.132616244831</v>
      </c>
      <c r="F89">
        <v>0</v>
      </c>
      <c r="G89">
        <v>2092.4701690830789</v>
      </c>
      <c r="H89">
        <v>1745.0984139201501</v>
      </c>
      <c r="I89">
        <v>32275.150782980101</v>
      </c>
      <c r="J89">
        <v>30530.052369059951</v>
      </c>
    </row>
    <row r="90" spans="1:10">
      <c r="A90" s="1">
        <v>45967.618750000001</v>
      </c>
      <c r="B90">
        <v>-311.48947591518572</v>
      </c>
      <c r="C90">
        <v>161612.25543321011</v>
      </c>
      <c r="D90">
        <v>100645.8131974343</v>
      </c>
      <c r="E90">
        <v>60966.442235775758</v>
      </c>
      <c r="F90">
        <v>0</v>
      </c>
      <c r="G90">
        <v>2092.4701690830789</v>
      </c>
      <c r="H90">
        <v>1780.9806931678941</v>
      </c>
      <c r="I90">
        <v>32322.451086642021</v>
      </c>
      <c r="J90">
        <v>30541.470393474119</v>
      </c>
    </row>
    <row r="91" spans="1:10">
      <c r="A91" s="1">
        <v>45967.619444444441</v>
      </c>
      <c r="B91">
        <v>-423.27830149066398</v>
      </c>
      <c r="C91">
        <v>161565.88592472</v>
      </c>
      <c r="D91">
        <v>100566.7340304016</v>
      </c>
      <c r="E91">
        <v>60999.151894318456</v>
      </c>
      <c r="F91">
        <v>0</v>
      </c>
      <c r="G91">
        <v>2092.4701690830789</v>
      </c>
      <c r="H91">
        <v>1669.1918675924151</v>
      </c>
      <c r="I91">
        <v>32313.177184944001</v>
      </c>
      <c r="J91">
        <v>30643.985317351591</v>
      </c>
    </row>
    <row r="92" spans="1:10">
      <c r="A92" s="1">
        <v>45967.620138888888</v>
      </c>
      <c r="B92">
        <v>-408.045793422413</v>
      </c>
      <c r="C92">
        <v>161541.86684253701</v>
      </c>
      <c r="D92">
        <v>100562.3407433442</v>
      </c>
      <c r="E92">
        <v>60979.526099192837</v>
      </c>
      <c r="F92">
        <v>0</v>
      </c>
      <c r="G92">
        <v>2092.4701690830789</v>
      </c>
      <c r="H92">
        <v>1684.4243756606661</v>
      </c>
      <c r="I92">
        <v>32308.3733685074</v>
      </c>
      <c r="J92">
        <v>30623.948992846741</v>
      </c>
    </row>
    <row r="93" spans="1:10">
      <c r="A93" s="1">
        <v>45967.620833333327</v>
      </c>
      <c r="B93">
        <v>-583.74527646579736</v>
      </c>
      <c r="C93">
        <v>161374.88993510499</v>
      </c>
      <c r="D93">
        <v>100391.00254810649</v>
      </c>
      <c r="E93">
        <v>60983.88738699854</v>
      </c>
      <c r="F93">
        <v>0</v>
      </c>
      <c r="G93">
        <v>2092.4701690830789</v>
      </c>
      <c r="H93">
        <v>1508.724892617282</v>
      </c>
      <c r="I93">
        <v>32274.977987021011</v>
      </c>
      <c r="J93">
        <v>30766.253094403732</v>
      </c>
    </row>
    <row r="94" spans="1:10">
      <c r="A94" s="1">
        <v>45967.621527777781</v>
      </c>
      <c r="B94">
        <v>-443.16009062974518</v>
      </c>
      <c r="C94">
        <v>161515.47512094109</v>
      </c>
      <c r="D94">
        <v>100531.58773394251</v>
      </c>
      <c r="E94">
        <v>60983.88738699854</v>
      </c>
      <c r="F94">
        <v>0</v>
      </c>
      <c r="G94">
        <v>2092.4701690830789</v>
      </c>
      <c r="H94">
        <v>1649.310078453334</v>
      </c>
      <c r="I94">
        <v>32303.095024188209</v>
      </c>
      <c r="J94">
        <v>30653.784945734878</v>
      </c>
    </row>
    <row r="95" spans="1:10">
      <c r="A95" s="1">
        <v>45967.62222222222</v>
      </c>
      <c r="B95">
        <v>-277.27115775501238</v>
      </c>
      <c r="C95">
        <v>161393.51905864009</v>
      </c>
      <c r="D95">
        <v>100553.55416922941</v>
      </c>
      <c r="E95">
        <v>60839.964889410679</v>
      </c>
      <c r="F95">
        <v>0</v>
      </c>
      <c r="G95">
        <v>2092.4701690830789</v>
      </c>
      <c r="H95">
        <v>1815.1990113280669</v>
      </c>
      <c r="I95">
        <v>32278.703811728021</v>
      </c>
      <c r="J95">
        <v>30463.504800399958</v>
      </c>
    </row>
    <row r="96" spans="1:10">
      <c r="A96" s="1">
        <v>45967.622916666667</v>
      </c>
      <c r="B96">
        <v>0</v>
      </c>
      <c r="C96">
        <v>0</v>
      </c>
      <c r="D96">
        <v>0</v>
      </c>
      <c r="E96">
        <v>0</v>
      </c>
      <c r="F96">
        <v>-221.1814260419643</v>
      </c>
      <c r="G96">
        <v>1871.2887430411149</v>
      </c>
      <c r="H96">
        <v>1871.2887430411149</v>
      </c>
      <c r="I96">
        <v>0</v>
      </c>
      <c r="J96">
        <v>-1871.2887430411149</v>
      </c>
    </row>
    <row r="97" spans="1:10">
      <c r="A97" s="1">
        <v>45968.873611111107</v>
      </c>
      <c r="B97">
        <v>0</v>
      </c>
      <c r="C97">
        <v>160009.13956242631</v>
      </c>
      <c r="D97">
        <v>100000</v>
      </c>
      <c r="E97">
        <v>60009.139562426251</v>
      </c>
      <c r="F97">
        <v>0</v>
      </c>
      <c r="G97">
        <v>1871.2887430411149</v>
      </c>
      <c r="H97">
        <v>1871.2887430411149</v>
      </c>
      <c r="I97">
        <v>32001.827912485249</v>
      </c>
      <c r="J97">
        <v>30130.539169444139</v>
      </c>
    </row>
    <row r="98" spans="1:10">
      <c r="A98" s="1">
        <v>45968.874305555553</v>
      </c>
      <c r="B98">
        <v>22.8068558202506</v>
      </c>
      <c r="C98">
        <v>160097.263673412</v>
      </c>
      <c r="D98">
        <v>100055.46548340299</v>
      </c>
      <c r="E98">
        <v>60041.798190009024</v>
      </c>
      <c r="F98">
        <v>0</v>
      </c>
      <c r="G98">
        <v>1871.2887430411149</v>
      </c>
      <c r="H98">
        <v>1894.0955988613659</v>
      </c>
      <c r="I98">
        <v>32019.452734682411</v>
      </c>
      <c r="J98">
        <v>30125.357135821039</v>
      </c>
    </row>
    <row r="99" spans="1:10">
      <c r="A99" s="1">
        <v>45971.604166666657</v>
      </c>
      <c r="B99">
        <v>0</v>
      </c>
      <c r="C99">
        <v>0</v>
      </c>
      <c r="D99">
        <v>0</v>
      </c>
      <c r="E99">
        <v>0</v>
      </c>
      <c r="F99">
        <v>169.52502207331281</v>
      </c>
      <c r="G99">
        <v>2040.813765114428</v>
      </c>
      <c r="H99">
        <v>2040.813765114428</v>
      </c>
      <c r="I99">
        <v>0</v>
      </c>
      <c r="J99">
        <v>-2040.813765114428</v>
      </c>
    </row>
    <row r="100" spans="1:10">
      <c r="A100" s="1">
        <v>45971.609722222223</v>
      </c>
      <c r="B100">
        <v>0</v>
      </c>
      <c r="C100">
        <v>160009.13956242631</v>
      </c>
      <c r="D100">
        <v>100000</v>
      </c>
      <c r="E100">
        <v>60009.139562426251</v>
      </c>
      <c r="F100">
        <v>0</v>
      </c>
      <c r="G100">
        <v>2040.813765114428</v>
      </c>
      <c r="H100">
        <v>2040.813765114428</v>
      </c>
      <c r="I100">
        <v>32001.827912485249</v>
      </c>
      <c r="J100">
        <v>29961.014147370821</v>
      </c>
    </row>
    <row r="101" spans="1:10">
      <c r="A101" s="1">
        <v>45971.61041666667</v>
      </c>
      <c r="B101">
        <v>0</v>
      </c>
      <c r="C101">
        <v>160009.13956242631</v>
      </c>
      <c r="D101">
        <v>100000</v>
      </c>
      <c r="E101">
        <v>60009.139562426251</v>
      </c>
      <c r="F101">
        <v>0</v>
      </c>
      <c r="G101">
        <v>2040.813765114428</v>
      </c>
      <c r="H101">
        <v>2040.813765114428</v>
      </c>
      <c r="I101">
        <v>32001.827912485249</v>
      </c>
      <c r="J101">
        <v>29961.014147370821</v>
      </c>
    </row>
    <row r="102" spans="1:10">
      <c r="A102" s="1">
        <v>45971.611111111109</v>
      </c>
      <c r="B102">
        <v>91.33502257812107</v>
      </c>
      <c r="C102">
        <v>160003.85565421011</v>
      </c>
      <c r="D102">
        <v>100043.025557181</v>
      </c>
      <c r="E102">
        <v>59960.830097029102</v>
      </c>
      <c r="F102">
        <v>0</v>
      </c>
      <c r="G102">
        <v>2040.813765114428</v>
      </c>
      <c r="H102">
        <v>2132.1487876925489</v>
      </c>
      <c r="I102">
        <v>32000.771130842018</v>
      </c>
      <c r="J102">
        <v>29868.622343149469</v>
      </c>
    </row>
    <row r="103" spans="1:10">
      <c r="A103" s="1">
        <v>45971.611805555563</v>
      </c>
      <c r="B103">
        <v>-235.65921199722499</v>
      </c>
      <c r="C103">
        <v>159676.86141963469</v>
      </c>
      <c r="D103">
        <v>99716.031322605631</v>
      </c>
      <c r="E103">
        <v>59960.830097029102</v>
      </c>
      <c r="F103">
        <v>0</v>
      </c>
      <c r="G103">
        <v>2040.813765114428</v>
      </c>
      <c r="H103">
        <v>1805.154553117203</v>
      </c>
      <c r="I103">
        <v>31935.37228392695</v>
      </c>
      <c r="J103">
        <v>30130.217730809749</v>
      </c>
    </row>
    <row r="104" spans="1:10">
      <c r="A104" s="1">
        <v>45971.612500000003</v>
      </c>
      <c r="B104">
        <v>-215.59414549403431</v>
      </c>
      <c r="C104">
        <v>159415.8532329181</v>
      </c>
      <c r="D104">
        <v>99595.559762498917</v>
      </c>
      <c r="E104">
        <v>59820.293470419208</v>
      </c>
      <c r="F104">
        <v>0</v>
      </c>
      <c r="G104">
        <v>2040.813765114428</v>
      </c>
      <c r="H104">
        <v>1825.219619620394</v>
      </c>
      <c r="I104">
        <v>31883.170646583629</v>
      </c>
      <c r="J104">
        <v>30057.95102696323</v>
      </c>
    </row>
    <row r="105" spans="1:10">
      <c r="A105" s="1">
        <v>45971.613194444442</v>
      </c>
      <c r="B105">
        <v>-57.202508695624829</v>
      </c>
      <c r="C105">
        <v>159653.2967221846</v>
      </c>
      <c r="D105">
        <v>99793.477325531363</v>
      </c>
      <c r="E105">
        <v>59859.819396653249</v>
      </c>
      <c r="F105">
        <v>0</v>
      </c>
      <c r="G105">
        <v>2040.813765114428</v>
      </c>
      <c r="H105">
        <v>1983.6112564188029</v>
      </c>
      <c r="I105">
        <v>31930.659344436921</v>
      </c>
      <c r="J105">
        <v>29947.04808801812</v>
      </c>
    </row>
    <row r="106" spans="1:10">
      <c r="A106" s="1">
        <v>45971.613888888889</v>
      </c>
      <c r="B106">
        <v>-117.43828874897061</v>
      </c>
      <c r="C106">
        <v>159593.0609421313</v>
      </c>
      <c r="D106">
        <v>99733.241545478028</v>
      </c>
      <c r="E106">
        <v>59859.819396653249</v>
      </c>
      <c r="F106">
        <v>0</v>
      </c>
      <c r="G106">
        <v>2040.813765114428</v>
      </c>
      <c r="H106">
        <v>1923.375476365457</v>
      </c>
      <c r="I106">
        <v>31918.61218842625</v>
      </c>
      <c r="J106">
        <v>29995.2367120608</v>
      </c>
    </row>
    <row r="107" spans="1:10">
      <c r="A107" s="1">
        <v>45971.614583333343</v>
      </c>
      <c r="B107">
        <v>-117.43828874897061</v>
      </c>
      <c r="C107">
        <v>159593.0609421313</v>
      </c>
      <c r="D107">
        <v>99733.241545478028</v>
      </c>
      <c r="E107">
        <v>59859.819396653249</v>
      </c>
      <c r="F107">
        <v>0</v>
      </c>
      <c r="G107">
        <v>2040.813765114428</v>
      </c>
      <c r="H107">
        <v>1923.375476365457</v>
      </c>
      <c r="I107">
        <v>31918.61218842625</v>
      </c>
      <c r="J107">
        <v>29995.2367120608</v>
      </c>
    </row>
    <row r="108" spans="1:10">
      <c r="A108" s="1">
        <v>45971.615277777782</v>
      </c>
      <c r="B108">
        <v>-579.10937799346607</v>
      </c>
      <c r="C108">
        <v>160106.3626999929</v>
      </c>
      <c r="D108">
        <v>99759.0568797866</v>
      </c>
      <c r="E108">
        <v>60347.305820206318</v>
      </c>
      <c r="F108">
        <v>0</v>
      </c>
      <c r="G108">
        <v>2040.813765114428</v>
      </c>
      <c r="H108">
        <v>1461.7043871209621</v>
      </c>
      <c r="I108">
        <v>32021.27253999859</v>
      </c>
      <c r="J108">
        <v>30559.568152877629</v>
      </c>
    </row>
    <row r="109" spans="1:10">
      <c r="A109" s="1">
        <v>45971.615972222222</v>
      </c>
      <c r="B109">
        <v>-443.62347980515699</v>
      </c>
      <c r="C109">
        <v>160246.2403677628</v>
      </c>
      <c r="D109">
        <v>99896.738662765696</v>
      </c>
      <c r="E109">
        <v>60349.501704997099</v>
      </c>
      <c r="F109">
        <v>0</v>
      </c>
      <c r="G109">
        <v>2040.813765114428</v>
      </c>
      <c r="H109">
        <v>1597.1902853092711</v>
      </c>
      <c r="I109">
        <v>32049.248073552561</v>
      </c>
      <c r="J109">
        <v>30452.057788243292</v>
      </c>
    </row>
    <row r="110" spans="1:10">
      <c r="A110" s="1">
        <v>45971.616666666669</v>
      </c>
      <c r="B110">
        <v>-528.19242028401982</v>
      </c>
      <c r="C110">
        <v>160227.5479710073</v>
      </c>
      <c r="D110">
        <v>99845.107994148522</v>
      </c>
      <c r="E110">
        <v>60382.439976858797</v>
      </c>
      <c r="F110">
        <v>0</v>
      </c>
      <c r="G110">
        <v>2040.813765114428</v>
      </c>
      <c r="H110">
        <v>1512.6213448304079</v>
      </c>
      <c r="I110">
        <v>32045.50959420147</v>
      </c>
      <c r="J110">
        <v>30532.888249371059</v>
      </c>
    </row>
    <row r="111" spans="1:10">
      <c r="A111" s="1">
        <v>45971.617361111108</v>
      </c>
      <c r="B111">
        <v>-562.61286602879761</v>
      </c>
      <c r="C111">
        <v>160193.12752526251</v>
      </c>
      <c r="D111">
        <v>99810.687548403745</v>
      </c>
      <c r="E111">
        <v>60382.439976858797</v>
      </c>
      <c r="F111">
        <v>0</v>
      </c>
      <c r="G111">
        <v>2040.813765114428</v>
      </c>
      <c r="H111">
        <v>1478.20089908563</v>
      </c>
      <c r="I111">
        <v>32038.625505052511</v>
      </c>
      <c r="J111">
        <v>30560.42460596688</v>
      </c>
    </row>
    <row r="112" spans="1:10">
      <c r="A112" s="1">
        <v>45971.618055555547</v>
      </c>
      <c r="B112">
        <v>-601.06822590126751</v>
      </c>
      <c r="C112">
        <v>160128.3215479007</v>
      </c>
      <c r="D112">
        <v>99759.0568797866</v>
      </c>
      <c r="E112">
        <v>60369.26466811412</v>
      </c>
      <c r="F112">
        <v>0</v>
      </c>
      <c r="G112">
        <v>2040.813765114428</v>
      </c>
      <c r="H112">
        <v>1439.745539213161</v>
      </c>
      <c r="I112">
        <v>32025.664309580148</v>
      </c>
      <c r="J112">
        <v>30585.918770366989</v>
      </c>
    </row>
    <row r="113" spans="1:10">
      <c r="A113" s="1">
        <v>45971.618750000001</v>
      </c>
      <c r="B113">
        <v>-547.11799683407526</v>
      </c>
      <c r="C113">
        <v>159953.89975872679</v>
      </c>
      <c r="D113">
        <v>99698.82109973325</v>
      </c>
      <c r="E113">
        <v>60255.078658993567</v>
      </c>
      <c r="F113">
        <v>0</v>
      </c>
      <c r="G113">
        <v>2040.813765114428</v>
      </c>
      <c r="H113">
        <v>1493.6957682803529</v>
      </c>
      <c r="I113">
        <v>31990.779951745371</v>
      </c>
      <c r="J113">
        <v>30497.08418346502</v>
      </c>
    </row>
    <row r="114" spans="1:10">
      <c r="A114" s="1">
        <v>45971.619444444441</v>
      </c>
      <c r="B114">
        <v>-530.79991259632027</v>
      </c>
      <c r="C114">
        <v>160058.05323459581</v>
      </c>
      <c r="D114">
        <v>99759.0568797866</v>
      </c>
      <c r="E114">
        <v>60298.996354809176</v>
      </c>
      <c r="F114">
        <v>0</v>
      </c>
      <c r="G114">
        <v>2040.813765114428</v>
      </c>
      <c r="H114">
        <v>1510.013852518108</v>
      </c>
      <c r="I114">
        <v>32011.610646919162</v>
      </c>
      <c r="J114">
        <v>30501.596794401052</v>
      </c>
    </row>
    <row r="115" spans="1:10">
      <c r="A115" s="1">
        <v>45971.620138888888</v>
      </c>
      <c r="B115">
        <v>-441.89395460357372</v>
      </c>
      <c r="C115">
        <v>159865.88593936869</v>
      </c>
      <c r="D115">
        <v>99707.426211169441</v>
      </c>
      <c r="E115">
        <v>60158.459728199268</v>
      </c>
      <c r="F115">
        <v>0</v>
      </c>
      <c r="G115">
        <v>2040.813765114428</v>
      </c>
      <c r="H115">
        <v>1598.9198105108539</v>
      </c>
      <c r="I115">
        <v>31973.177187873749</v>
      </c>
      <c r="J115">
        <v>30374.25737736289</v>
      </c>
    </row>
    <row r="116" spans="1:10">
      <c r="A116" s="1">
        <v>45971.620833333327</v>
      </c>
      <c r="B116">
        <v>-459.6394606567452</v>
      </c>
      <c r="C116">
        <v>159900.84166829419</v>
      </c>
      <c r="D116">
        <v>99716.031322605631</v>
      </c>
      <c r="E116">
        <v>60184.810345688617</v>
      </c>
      <c r="F116">
        <v>0</v>
      </c>
      <c r="G116">
        <v>2040.813765114428</v>
      </c>
      <c r="H116">
        <v>1581.1743044576831</v>
      </c>
      <c r="I116">
        <v>31980.16833365885</v>
      </c>
      <c r="J116">
        <v>30398.994029201171</v>
      </c>
    </row>
    <row r="117" spans="1:10">
      <c r="A117" s="1">
        <v>45971.621527777781</v>
      </c>
      <c r="B117">
        <v>-410.25942889804639</v>
      </c>
      <c r="C117">
        <v>159748.20029930121</v>
      </c>
      <c r="D117">
        <v>99664.400653988472</v>
      </c>
      <c r="E117">
        <v>60083.799645312763</v>
      </c>
      <c r="F117">
        <v>0</v>
      </c>
      <c r="G117">
        <v>2040.813765114428</v>
      </c>
      <c r="H117">
        <v>1630.5543362163819</v>
      </c>
      <c r="I117">
        <v>31949.640059860249</v>
      </c>
      <c r="J117">
        <v>30319.085723643871</v>
      </c>
    </row>
    <row r="118" spans="1:10">
      <c r="A118" s="1">
        <v>45971.62222222222</v>
      </c>
      <c r="B118">
        <v>-472.27948622064707</v>
      </c>
      <c r="C118">
        <v>159861.85102524099</v>
      </c>
      <c r="D118">
        <v>99690.215988297045</v>
      </c>
      <c r="E118">
        <v>60171.635036943953</v>
      </c>
      <c r="F118">
        <v>0</v>
      </c>
      <c r="G118">
        <v>2040.813765114428</v>
      </c>
      <c r="H118">
        <v>1568.534278893781</v>
      </c>
      <c r="I118">
        <v>31972.370205048199</v>
      </c>
      <c r="J118">
        <v>30403.835926154421</v>
      </c>
    </row>
    <row r="119" spans="1:10">
      <c r="A119" s="1">
        <v>45971.622916666667</v>
      </c>
      <c r="B119">
        <v>-382.37188545792998</v>
      </c>
      <c r="C119">
        <v>159995.67632181931</v>
      </c>
      <c r="D119">
        <v>99802.082436967568</v>
      </c>
      <c r="E119">
        <v>60193.593884851747</v>
      </c>
      <c r="F119">
        <v>0</v>
      </c>
      <c r="G119">
        <v>2040.813765114428</v>
      </c>
      <c r="H119">
        <v>1658.441879656498</v>
      </c>
      <c r="I119">
        <v>31999.13526436386</v>
      </c>
      <c r="J119">
        <v>30340.693384707371</v>
      </c>
    </row>
    <row r="120" spans="1:10">
      <c r="A120" s="1">
        <v>45971.623611111107</v>
      </c>
      <c r="B120">
        <v>-615.06674968899119</v>
      </c>
      <c r="C120">
        <v>159798.1156142407</v>
      </c>
      <c r="D120">
        <v>99586.954651062741</v>
      </c>
      <c r="E120">
        <v>60211.160963177979</v>
      </c>
      <c r="F120">
        <v>0</v>
      </c>
      <c r="G120">
        <v>2040.813765114428</v>
      </c>
      <c r="H120">
        <v>1425.747015425437</v>
      </c>
      <c r="I120">
        <v>31959.623122848148</v>
      </c>
      <c r="J120">
        <v>30533.876107422711</v>
      </c>
    </row>
    <row r="121" spans="1:10">
      <c r="A121" s="1">
        <v>45971.624305555553</v>
      </c>
      <c r="B121">
        <v>-597.5888852262201</v>
      </c>
      <c r="C121">
        <v>159789.24286121421</v>
      </c>
      <c r="D121">
        <v>99591.257206780836</v>
      </c>
      <c r="E121">
        <v>60197.985654433302</v>
      </c>
      <c r="F121">
        <v>0</v>
      </c>
      <c r="G121">
        <v>2040.813765114428</v>
      </c>
      <c r="H121">
        <v>1443.2248798882081</v>
      </c>
      <c r="I121">
        <v>31957.84857224283</v>
      </c>
      <c r="J121">
        <v>30514.62369235462</v>
      </c>
    </row>
    <row r="122" spans="1:10">
      <c r="A122" s="1">
        <v>45971.625</v>
      </c>
      <c r="B122">
        <v>-526.87450260397145</v>
      </c>
      <c r="C122">
        <v>159675.50292141089</v>
      </c>
      <c r="D122">
        <v>99569.744428190344</v>
      </c>
      <c r="E122">
        <v>60105.758493220557</v>
      </c>
      <c r="F122">
        <v>0</v>
      </c>
      <c r="G122">
        <v>2040.813765114428</v>
      </c>
      <c r="H122">
        <v>1513.939262510457</v>
      </c>
      <c r="I122">
        <v>31935.10058428218</v>
      </c>
      <c r="J122">
        <v>30421.16132177172</v>
      </c>
    </row>
    <row r="123" spans="1:10">
      <c r="A123" s="1">
        <v>45971.625694444447</v>
      </c>
      <c r="B123">
        <v>-604.32050552970009</v>
      </c>
      <c r="C123">
        <v>159598.05691848521</v>
      </c>
      <c r="D123">
        <v>99492.298425264613</v>
      </c>
      <c r="E123">
        <v>60105.758493220557</v>
      </c>
      <c r="F123">
        <v>0</v>
      </c>
      <c r="G123">
        <v>2040.813765114428</v>
      </c>
      <c r="H123">
        <v>1436.4932595847281</v>
      </c>
      <c r="I123">
        <v>31919.61138369704</v>
      </c>
      <c r="J123">
        <v>30483.118124112309</v>
      </c>
    </row>
    <row r="124" spans="1:10">
      <c r="A124" s="1">
        <v>45971.626388888893</v>
      </c>
      <c r="B124">
        <v>-604.32050552970009</v>
      </c>
      <c r="C124">
        <v>159598.05691848521</v>
      </c>
      <c r="D124">
        <v>99492.298425264613</v>
      </c>
      <c r="E124">
        <v>60105.758493220557</v>
      </c>
      <c r="F124">
        <v>0</v>
      </c>
      <c r="G124">
        <v>2040.813765114428</v>
      </c>
      <c r="H124">
        <v>1436.4932595847281</v>
      </c>
      <c r="I124">
        <v>31919.61138369704</v>
      </c>
      <c r="J124">
        <v>30483.118124112309</v>
      </c>
    </row>
    <row r="125" spans="1:10">
      <c r="A125" s="1">
        <v>45971.627083333333</v>
      </c>
      <c r="B125">
        <v>0</v>
      </c>
      <c r="C125">
        <v>0</v>
      </c>
      <c r="D125">
        <v>0</v>
      </c>
      <c r="E125">
        <v>0</v>
      </c>
      <c r="F125">
        <v>-453.9708777580617</v>
      </c>
      <c r="G125">
        <v>1586.842887356366</v>
      </c>
      <c r="H125">
        <v>1586.842887356366</v>
      </c>
      <c r="I125">
        <v>0</v>
      </c>
      <c r="J125">
        <v>-1586.842887356366</v>
      </c>
    </row>
    <row r="126" spans="1:10">
      <c r="A126" s="1">
        <v>45972.75</v>
      </c>
      <c r="B126">
        <v>0</v>
      </c>
      <c r="C126">
        <v>160009.13956242631</v>
      </c>
      <c r="D126">
        <v>100000</v>
      </c>
      <c r="E126">
        <v>60009.139562426251</v>
      </c>
      <c r="F126">
        <v>0</v>
      </c>
      <c r="G126">
        <v>1586.842887356366</v>
      </c>
      <c r="H126">
        <v>1586.842887356366</v>
      </c>
      <c r="I126">
        <v>32001.827912485249</v>
      </c>
      <c r="J126">
        <v>30414.985025128892</v>
      </c>
    </row>
    <row r="127" spans="1:10">
      <c r="A127" s="1">
        <v>45972.750694444447</v>
      </c>
      <c r="B127">
        <v>31.602350633896229</v>
      </c>
      <c r="C127">
        <v>159969.2198201264</v>
      </c>
      <c r="D127">
        <v>99995.841304166999</v>
      </c>
      <c r="E127">
        <v>59973.378515959361</v>
      </c>
      <c r="F127">
        <v>0</v>
      </c>
      <c r="G127">
        <v>1586.842887356366</v>
      </c>
      <c r="H127">
        <v>1618.445237990263</v>
      </c>
      <c r="I127">
        <v>31993.84396402528</v>
      </c>
      <c r="J127">
        <v>30375.398726035011</v>
      </c>
    </row>
    <row r="128" spans="1:10">
      <c r="A128" s="1">
        <v>45972.751388888893</v>
      </c>
      <c r="B128">
        <v>48.770481113102811</v>
      </c>
      <c r="C128">
        <v>159893.82994798539</v>
      </c>
      <c r="D128">
        <v>99966.730433336095</v>
      </c>
      <c r="E128">
        <v>59927.09951464925</v>
      </c>
      <c r="F128">
        <v>0</v>
      </c>
      <c r="G128">
        <v>1586.842887356366</v>
      </c>
      <c r="H128">
        <v>1635.6133684694689</v>
      </c>
      <c r="I128">
        <v>31978.765989597068</v>
      </c>
      <c r="J128">
        <v>30343.1526211276</v>
      </c>
    </row>
    <row r="129" spans="1:10">
      <c r="A129" s="1">
        <v>45972.752083333333</v>
      </c>
      <c r="B129">
        <v>57.08787277908062</v>
      </c>
      <c r="C129">
        <v>159902.1473396513</v>
      </c>
      <c r="D129">
        <v>99975.047825002082</v>
      </c>
      <c r="E129">
        <v>59927.09951464925</v>
      </c>
      <c r="F129">
        <v>0</v>
      </c>
      <c r="G129">
        <v>1586.842887356366</v>
      </c>
      <c r="H129">
        <v>1643.9307601354469</v>
      </c>
      <c r="I129">
        <v>31980.429467930269</v>
      </c>
      <c r="J129">
        <v>30336.498707794821</v>
      </c>
    </row>
    <row r="130" spans="1:10">
      <c r="A130" s="1">
        <v>45972.75277777778</v>
      </c>
      <c r="B130">
        <v>-31.359920112442271</v>
      </c>
      <c r="C130">
        <v>160007.22991587481</v>
      </c>
      <c r="D130">
        <v>99983.36521666804</v>
      </c>
      <c r="E130">
        <v>60023.864699206737</v>
      </c>
      <c r="F130">
        <v>0</v>
      </c>
      <c r="G130">
        <v>1586.842887356366</v>
      </c>
      <c r="H130">
        <v>1555.4829672439239</v>
      </c>
      <c r="I130">
        <v>32001.445983174959</v>
      </c>
      <c r="J130">
        <v>30445.963015931029</v>
      </c>
    </row>
    <row r="131" spans="1:10">
      <c r="A131" s="1">
        <v>45972.753472222219</v>
      </c>
      <c r="B131">
        <v>-55.972692380295143</v>
      </c>
      <c r="C131">
        <v>159923.716596485</v>
      </c>
      <c r="D131">
        <v>99929.302170839219</v>
      </c>
      <c r="E131">
        <v>59994.414425645773</v>
      </c>
      <c r="F131">
        <v>0</v>
      </c>
      <c r="G131">
        <v>1586.842887356366</v>
      </c>
      <c r="H131">
        <v>1530.8701949760709</v>
      </c>
      <c r="I131">
        <v>31984.743319296998</v>
      </c>
      <c r="J131">
        <v>30453.873124320929</v>
      </c>
    </row>
    <row r="132" spans="1:10">
      <c r="A132" s="1">
        <v>45972.754166666673</v>
      </c>
      <c r="B132">
        <v>-74.856524993764793</v>
      </c>
      <c r="C132">
        <v>159934.2830374325</v>
      </c>
      <c r="D132">
        <v>99925.143475006233</v>
      </c>
      <c r="E132">
        <v>60009.139562426251</v>
      </c>
      <c r="F132">
        <v>0</v>
      </c>
      <c r="G132">
        <v>1586.842887356366</v>
      </c>
      <c r="H132">
        <v>1511.9863623626011</v>
      </c>
      <c r="I132">
        <v>31986.85660748649</v>
      </c>
      <c r="J132">
        <v>30474.87024512389</v>
      </c>
    </row>
    <row r="133" spans="1:10">
      <c r="A133" s="1">
        <v>45972.754861111112</v>
      </c>
      <c r="B133">
        <v>-26.5709049236055</v>
      </c>
      <c r="C133">
        <v>159902.63220069429</v>
      </c>
      <c r="D133">
        <v>99933.46086667222</v>
      </c>
      <c r="E133">
        <v>59969.171334022067</v>
      </c>
      <c r="F133">
        <v>0</v>
      </c>
      <c r="G133">
        <v>1586.842887356366</v>
      </c>
      <c r="H133">
        <v>1560.271982432761</v>
      </c>
      <c r="I133">
        <v>31980.526440138859</v>
      </c>
      <c r="J133">
        <v>30420.254457706102</v>
      </c>
    </row>
    <row r="134" spans="1:10">
      <c r="A134" s="1">
        <v>45972.755555555559</v>
      </c>
      <c r="B134">
        <v>-26.5709049236055</v>
      </c>
      <c r="C134">
        <v>159902.63220069429</v>
      </c>
      <c r="D134">
        <v>99933.46086667222</v>
      </c>
      <c r="E134">
        <v>59969.171334022067</v>
      </c>
      <c r="F134">
        <v>0</v>
      </c>
      <c r="G134">
        <v>1586.842887356366</v>
      </c>
      <c r="H134">
        <v>1560.271982432761</v>
      </c>
      <c r="I134">
        <v>31980.526440138859</v>
      </c>
      <c r="J134">
        <v>30420.254457706102</v>
      </c>
    </row>
    <row r="135" spans="1:10">
      <c r="A135" s="1">
        <v>45972.756249999999</v>
      </c>
      <c r="B135">
        <v>31.650836738203679</v>
      </c>
      <c r="C135">
        <v>159960.8539423561</v>
      </c>
      <c r="D135">
        <v>99991.682608334027</v>
      </c>
      <c r="E135">
        <v>59969.171334022067</v>
      </c>
      <c r="F135">
        <v>0</v>
      </c>
      <c r="G135">
        <v>1586.842887356366</v>
      </c>
      <c r="H135">
        <v>1618.4937240945701</v>
      </c>
      <c r="I135">
        <v>31992.17078847122</v>
      </c>
      <c r="J135">
        <v>30373.67706437665</v>
      </c>
    </row>
    <row r="136" spans="1:10">
      <c r="A136" s="1">
        <v>45972.756944444453</v>
      </c>
      <c r="B136">
        <v>23.333445072225881</v>
      </c>
      <c r="C136">
        <v>159952.5365506901</v>
      </c>
      <c r="D136">
        <v>99983.36521666804</v>
      </c>
      <c r="E136">
        <v>59969.171334022067</v>
      </c>
      <c r="F136">
        <v>0</v>
      </c>
      <c r="G136">
        <v>1586.842887356366</v>
      </c>
      <c r="H136">
        <v>1610.1763324285921</v>
      </c>
      <c r="I136">
        <v>31990.507310138029</v>
      </c>
      <c r="J136">
        <v>30380.330977709429</v>
      </c>
    </row>
    <row r="137" spans="1:10">
      <c r="A137" s="1">
        <v>45972.757638888892</v>
      </c>
      <c r="B137">
        <v>14.919081197656951</v>
      </c>
      <c r="C137">
        <v>159960.95091456469</v>
      </c>
      <c r="D137">
        <v>99983.36521666804</v>
      </c>
      <c r="E137">
        <v>59977.58569789664</v>
      </c>
      <c r="F137">
        <v>0</v>
      </c>
      <c r="G137">
        <v>1586.842887356366</v>
      </c>
      <c r="H137">
        <v>1601.761968554023</v>
      </c>
      <c r="I137">
        <v>31992.190182912938</v>
      </c>
      <c r="J137">
        <v>30390.428214358919</v>
      </c>
    </row>
    <row r="138" spans="1:10">
      <c r="A138" s="1">
        <v>45972.758333333331</v>
      </c>
      <c r="B138">
        <v>64.823431193500141</v>
      </c>
      <c r="C138">
        <v>160010.85526456049</v>
      </c>
      <c r="D138">
        <v>100033.2695666639</v>
      </c>
      <c r="E138">
        <v>59977.58569789664</v>
      </c>
      <c r="F138">
        <v>0</v>
      </c>
      <c r="G138">
        <v>1586.842887356366</v>
      </c>
      <c r="H138">
        <v>1651.666318549866</v>
      </c>
      <c r="I138">
        <v>32002.171052912101</v>
      </c>
      <c r="J138">
        <v>30350.504734362239</v>
      </c>
    </row>
    <row r="139" spans="1:10">
      <c r="A139" s="1">
        <v>45972.759027777778</v>
      </c>
      <c r="B139">
        <v>0</v>
      </c>
      <c r="C139">
        <v>0</v>
      </c>
      <c r="D139">
        <v>0</v>
      </c>
      <c r="E139">
        <v>0</v>
      </c>
      <c r="F139">
        <v>150.33795889073431</v>
      </c>
      <c r="G139">
        <v>1737.1808462470999</v>
      </c>
      <c r="H139">
        <v>1737.1808462470999</v>
      </c>
      <c r="I139">
        <v>0</v>
      </c>
      <c r="J139">
        <v>-1737.1808462470999</v>
      </c>
    </row>
    <row r="140" spans="1:10">
      <c r="A140" s="1">
        <v>45973.604861111111</v>
      </c>
      <c r="B140">
        <v>0</v>
      </c>
      <c r="C140">
        <v>160009.13956242631</v>
      </c>
      <c r="D140">
        <v>100000</v>
      </c>
      <c r="E140">
        <v>60009.139562426251</v>
      </c>
      <c r="F140">
        <v>0</v>
      </c>
      <c r="G140">
        <v>1737.1808462470999</v>
      </c>
      <c r="H140">
        <v>1737.1808462470999</v>
      </c>
      <c r="I140">
        <v>32001.827912485249</v>
      </c>
      <c r="J140">
        <v>30264.647066238151</v>
      </c>
    </row>
    <row r="141" spans="1:10">
      <c r="A141" s="1">
        <v>45973.605555555558</v>
      </c>
      <c r="B141">
        <v>0</v>
      </c>
      <c r="C141">
        <v>160009.13956242631</v>
      </c>
      <c r="D141">
        <v>100000</v>
      </c>
      <c r="E141">
        <v>60009.139562426251</v>
      </c>
      <c r="F141">
        <v>0</v>
      </c>
      <c r="G141">
        <v>1737.1808462470999</v>
      </c>
      <c r="H141">
        <v>1737.1808462470999</v>
      </c>
      <c r="I141">
        <v>32001.827912485249</v>
      </c>
      <c r="J141">
        <v>30264.647066238151</v>
      </c>
    </row>
    <row r="142" spans="1:10">
      <c r="A142" s="1">
        <v>45973.606249999997</v>
      </c>
      <c r="B142">
        <v>0</v>
      </c>
      <c r="C142">
        <v>160009.13956242631</v>
      </c>
      <c r="D142">
        <v>100000</v>
      </c>
      <c r="E142">
        <v>60009.139562426251</v>
      </c>
      <c r="F142">
        <v>0</v>
      </c>
      <c r="G142">
        <v>1737.1808462470999</v>
      </c>
      <c r="H142">
        <v>1737.1808462470999</v>
      </c>
      <c r="I142">
        <v>32001.827912485249</v>
      </c>
      <c r="J142">
        <v>30264.647066238151</v>
      </c>
    </row>
    <row r="143" spans="1:10">
      <c r="A143" s="1">
        <v>45973.606944444437</v>
      </c>
      <c r="B143">
        <v>-369.52750073545178</v>
      </c>
      <c r="C143">
        <v>159874.42300903951</v>
      </c>
      <c r="D143">
        <v>99747.877972938906</v>
      </c>
      <c r="E143">
        <v>60126.545036100608</v>
      </c>
      <c r="F143">
        <v>0</v>
      </c>
      <c r="G143">
        <v>1737.1808462470999</v>
      </c>
      <c r="H143">
        <v>1367.6533455116489</v>
      </c>
      <c r="I143">
        <v>31974.884601807909</v>
      </c>
      <c r="J143">
        <v>30607.231256296262</v>
      </c>
    </row>
    <row r="144" spans="1:10">
      <c r="A144" s="1">
        <v>45973.607638888891</v>
      </c>
      <c r="B144">
        <v>-188.03297399901211</v>
      </c>
      <c r="C144">
        <v>159953.45457693291</v>
      </c>
      <c r="D144">
        <v>99878.141020253795</v>
      </c>
      <c r="E144">
        <v>60075.313556679073</v>
      </c>
      <c r="F144">
        <v>0</v>
      </c>
      <c r="G144">
        <v>1737.1808462470999</v>
      </c>
      <c r="H144">
        <v>1549.1478722480881</v>
      </c>
      <c r="I144">
        <v>31990.690915386571</v>
      </c>
      <c r="J144">
        <v>30441.543043138481</v>
      </c>
    </row>
    <row r="145" spans="1:10">
      <c r="A145" s="1">
        <v>45973.60833333333</v>
      </c>
      <c r="B145">
        <v>-3.327703607587928</v>
      </c>
      <c r="C145">
        <v>159894.81032007199</v>
      </c>
      <c r="D145">
        <v>99941.171527019076</v>
      </c>
      <c r="E145">
        <v>59953.638793052924</v>
      </c>
      <c r="F145">
        <v>0</v>
      </c>
      <c r="G145">
        <v>1737.1808462470999</v>
      </c>
      <c r="H145">
        <v>1733.853142639512</v>
      </c>
      <c r="I145">
        <v>31978.962064014398</v>
      </c>
      <c r="J145">
        <v>30245.108921374889</v>
      </c>
    </row>
    <row r="146" spans="1:10">
      <c r="A146" s="1">
        <v>45973.609027777777</v>
      </c>
      <c r="B146">
        <v>-66.694491210068009</v>
      </c>
      <c r="C146">
        <v>159874.13643198751</v>
      </c>
      <c r="D146">
        <v>99899.151189175565</v>
      </c>
      <c r="E146">
        <v>59974.985242811883</v>
      </c>
      <c r="F146">
        <v>0</v>
      </c>
      <c r="G146">
        <v>1737.1808462470999</v>
      </c>
      <c r="H146">
        <v>1670.4863550370319</v>
      </c>
      <c r="I146">
        <v>31974.827286397489</v>
      </c>
      <c r="J146">
        <v>30304.340931360461</v>
      </c>
    </row>
    <row r="147" spans="1:10">
      <c r="A147" s="1">
        <v>45973.609722222223</v>
      </c>
      <c r="B147">
        <v>-179.56165026287351</v>
      </c>
      <c r="C147">
        <v>159953.38732076541</v>
      </c>
      <c r="D147">
        <v>99882.343054038152</v>
      </c>
      <c r="E147">
        <v>60071.04426672728</v>
      </c>
      <c r="F147">
        <v>0</v>
      </c>
      <c r="G147">
        <v>1737.1808462470999</v>
      </c>
      <c r="H147">
        <v>1557.619195984227</v>
      </c>
      <c r="I147">
        <v>31990.67746415309</v>
      </c>
      <c r="J147">
        <v>30433.058268168861</v>
      </c>
    </row>
    <row r="148" spans="1:10">
      <c r="A148" s="1">
        <v>45973.61041666667</v>
      </c>
      <c r="B148">
        <v>-151.94577791108301</v>
      </c>
      <c r="C148">
        <v>159942.57958355101</v>
      </c>
      <c r="D148">
        <v>99890.747121606852</v>
      </c>
      <c r="E148">
        <v>60051.832461944192</v>
      </c>
      <c r="F148">
        <v>0</v>
      </c>
      <c r="G148">
        <v>1737.1808462470999</v>
      </c>
      <c r="H148">
        <v>1585.2350683360171</v>
      </c>
      <c r="I148">
        <v>31988.51591671021</v>
      </c>
      <c r="J148">
        <v>30403.28084837419</v>
      </c>
    </row>
    <row r="149" spans="1:10">
      <c r="A149" s="1">
        <v>45973.611111111109</v>
      </c>
      <c r="B149">
        <v>-88.865567360645983</v>
      </c>
      <c r="C149">
        <v>160266.08648116101</v>
      </c>
      <c r="D149">
        <v>100084.04067568701</v>
      </c>
      <c r="E149">
        <v>60182.045805473943</v>
      </c>
      <c r="F149">
        <v>0</v>
      </c>
      <c r="G149">
        <v>1737.1808462470999</v>
      </c>
      <c r="H149">
        <v>1648.3152788864541</v>
      </c>
      <c r="I149">
        <v>32053.2172962322</v>
      </c>
      <c r="J149">
        <v>30404.902017345739</v>
      </c>
    </row>
    <row r="150" spans="1:10">
      <c r="A150" s="1">
        <v>45973.611805555563</v>
      </c>
      <c r="B150">
        <v>-164.5021754789781</v>
      </c>
      <c r="C150">
        <v>160190.44987304261</v>
      </c>
      <c r="D150">
        <v>100008.4040675687</v>
      </c>
      <c r="E150">
        <v>60182.045805473943</v>
      </c>
      <c r="F150">
        <v>0</v>
      </c>
      <c r="G150">
        <v>1737.1808462470999</v>
      </c>
      <c r="H150">
        <v>1572.6786707681219</v>
      </c>
      <c r="I150">
        <v>32038.089974608531</v>
      </c>
      <c r="J150">
        <v>30465.41130384041</v>
      </c>
    </row>
    <row r="151" spans="1:10">
      <c r="A151" s="1">
        <v>45973.612500000003</v>
      </c>
      <c r="B151">
        <v>-88.798311193214914</v>
      </c>
      <c r="C151">
        <v>160257.61515742479</v>
      </c>
      <c r="D151">
        <v>100079.83864190269</v>
      </c>
      <c r="E151">
        <v>60177.776515522142</v>
      </c>
      <c r="F151">
        <v>0</v>
      </c>
      <c r="G151">
        <v>1737.1808462470999</v>
      </c>
      <c r="H151">
        <v>1648.382535053885</v>
      </c>
      <c r="I151">
        <v>32051.523031484969</v>
      </c>
      <c r="J151">
        <v>30403.140496431079</v>
      </c>
    </row>
    <row r="152" spans="1:10">
      <c r="A152" s="1">
        <v>45973.613194444442</v>
      </c>
      <c r="B152">
        <v>-56.424803335237272</v>
      </c>
      <c r="C152">
        <v>159914.29114952491</v>
      </c>
      <c r="D152">
        <v>99924.363391881678</v>
      </c>
      <c r="E152">
        <v>59989.927757643163</v>
      </c>
      <c r="F152">
        <v>0</v>
      </c>
      <c r="G152">
        <v>1737.1808462470999</v>
      </c>
      <c r="H152">
        <v>1680.756042911863</v>
      </c>
      <c r="I152">
        <v>31982.85822990497</v>
      </c>
      <c r="J152">
        <v>30302.10218699311</v>
      </c>
    </row>
    <row r="153" spans="1:10">
      <c r="A153" s="1">
        <v>45973.613888888889</v>
      </c>
      <c r="B153">
        <v>-333.75903310245508</v>
      </c>
      <c r="C153">
        <v>159636.95691975759</v>
      </c>
      <c r="D153">
        <v>99647.029162114457</v>
      </c>
      <c r="E153">
        <v>59989.927757643163</v>
      </c>
      <c r="F153">
        <v>0</v>
      </c>
      <c r="G153">
        <v>1737.1808462470999</v>
      </c>
      <c r="H153">
        <v>1403.4218131446451</v>
      </c>
      <c r="I153">
        <v>31927.39138395153</v>
      </c>
      <c r="J153">
        <v>30523.969570806879</v>
      </c>
    </row>
    <row r="154" spans="1:10">
      <c r="A154" s="1">
        <v>45973.614583333343</v>
      </c>
      <c r="B154">
        <v>-476.62818177039992</v>
      </c>
      <c r="C154">
        <v>159494.08777108969</v>
      </c>
      <c r="D154">
        <v>99504.160013446512</v>
      </c>
      <c r="E154">
        <v>59989.927757643163</v>
      </c>
      <c r="F154">
        <v>0</v>
      </c>
      <c r="G154">
        <v>1737.1808462470999</v>
      </c>
      <c r="H154">
        <v>1260.552664476701</v>
      </c>
      <c r="I154">
        <v>31898.817554217942</v>
      </c>
      <c r="J154">
        <v>30638.26488974124</v>
      </c>
    </row>
    <row r="155" spans="1:10">
      <c r="A155" s="1">
        <v>45973.615277777782</v>
      </c>
      <c r="B155">
        <v>-728.76776121378998</v>
      </c>
      <c r="C155">
        <v>159510.9134586094</v>
      </c>
      <c r="D155">
        <v>99386.503067484664</v>
      </c>
      <c r="E155">
        <v>60124.410391124708</v>
      </c>
      <c r="F155">
        <v>0</v>
      </c>
      <c r="G155">
        <v>1737.1808462470999</v>
      </c>
      <c r="H155">
        <v>1008.41308503331</v>
      </c>
      <c r="I155">
        <v>31902.182691721879</v>
      </c>
      <c r="J155">
        <v>30893.769606688569</v>
      </c>
    </row>
    <row r="156" spans="1:10">
      <c r="A156" s="1">
        <v>45973.615972222222</v>
      </c>
      <c r="B156">
        <v>-645.13062253140856</v>
      </c>
      <c r="C156">
        <v>159645.78207671331</v>
      </c>
      <c r="D156">
        <v>99495.755945877812</v>
      </c>
      <c r="E156">
        <v>60150.026130835467</v>
      </c>
      <c r="F156">
        <v>0</v>
      </c>
      <c r="G156">
        <v>1737.1808462470999</v>
      </c>
      <c r="H156">
        <v>1092.050223715692</v>
      </c>
      <c r="I156">
        <v>31929.156415342659</v>
      </c>
      <c r="J156">
        <v>30837.106191626968</v>
      </c>
    </row>
    <row r="157" spans="1:10">
      <c r="A157" s="1">
        <v>45973.616666666669</v>
      </c>
      <c r="B157">
        <v>-619.91841982529786</v>
      </c>
      <c r="C157">
        <v>159670.99427941939</v>
      </c>
      <c r="D157">
        <v>99520.96814858391</v>
      </c>
      <c r="E157">
        <v>60150.026130835467</v>
      </c>
      <c r="F157">
        <v>0</v>
      </c>
      <c r="G157">
        <v>1737.1808462470999</v>
      </c>
      <c r="H157">
        <v>1117.262426421803</v>
      </c>
      <c r="I157">
        <v>31934.198855883871</v>
      </c>
      <c r="J157">
        <v>30816.936429462068</v>
      </c>
    </row>
    <row r="158" spans="1:10">
      <c r="A158" s="1">
        <v>45973.617361111108</v>
      </c>
      <c r="B158">
        <v>-538.01238911417761</v>
      </c>
      <c r="C158">
        <v>159757.1696000823</v>
      </c>
      <c r="D158">
        <v>99605.008824270946</v>
      </c>
      <c r="E158">
        <v>60152.160775811382</v>
      </c>
      <c r="F158">
        <v>0</v>
      </c>
      <c r="G158">
        <v>1737.1808462470999</v>
      </c>
      <c r="H158">
        <v>1199.1684571329231</v>
      </c>
      <c r="I158">
        <v>31951.433920016469</v>
      </c>
      <c r="J158">
        <v>30752.265462883541</v>
      </c>
    </row>
    <row r="159" spans="1:10">
      <c r="A159" s="1">
        <v>45973.618055555547</v>
      </c>
      <c r="B159">
        <v>-573.22525502533472</v>
      </c>
      <c r="C159">
        <v>159657.91738489419</v>
      </c>
      <c r="D159">
        <v>99537.776283721323</v>
      </c>
      <c r="E159">
        <v>60120.141101172907</v>
      </c>
      <c r="F159">
        <v>0</v>
      </c>
      <c r="G159">
        <v>1737.1808462470999</v>
      </c>
      <c r="H159">
        <v>1163.9555912217661</v>
      </c>
      <c r="I159">
        <v>31931.583476978849</v>
      </c>
      <c r="J159">
        <v>30767.62788575708</v>
      </c>
    </row>
    <row r="160" spans="1:10">
      <c r="A160" s="1">
        <v>45973.618750000001</v>
      </c>
      <c r="B160">
        <v>-636.25576179061147</v>
      </c>
      <c r="C160">
        <v>159594.88687812889</v>
      </c>
      <c r="D160">
        <v>99474.745776956042</v>
      </c>
      <c r="E160">
        <v>60120.141101172907</v>
      </c>
      <c r="F160">
        <v>0</v>
      </c>
      <c r="G160">
        <v>1737.1808462470999</v>
      </c>
      <c r="H160">
        <v>1100.925084456489</v>
      </c>
      <c r="I160">
        <v>31918.977375625789</v>
      </c>
      <c r="J160">
        <v>30818.052291169301</v>
      </c>
    </row>
    <row r="161" spans="1:10">
      <c r="A161" s="1">
        <v>45973.619444444441</v>
      </c>
      <c r="B161">
        <v>-627.38090104980256</v>
      </c>
      <c r="C161">
        <v>159543.99167954459</v>
      </c>
      <c r="D161">
        <v>99453.735608034287</v>
      </c>
      <c r="E161">
        <v>60090.256071510346</v>
      </c>
      <c r="F161">
        <v>0</v>
      </c>
      <c r="G161">
        <v>1737.1808462470999</v>
      </c>
      <c r="H161">
        <v>1109.799945197298</v>
      </c>
      <c r="I161">
        <v>31908.79833590893</v>
      </c>
      <c r="J161">
        <v>30798.998390711629</v>
      </c>
    </row>
    <row r="162" spans="1:10">
      <c r="A162" s="1">
        <v>45973.620138888888</v>
      </c>
      <c r="B162">
        <v>-606.37073212805149</v>
      </c>
      <c r="C162">
        <v>159565.0018484664</v>
      </c>
      <c r="D162">
        <v>99474.745776956042</v>
      </c>
      <c r="E162">
        <v>60090.256071510346</v>
      </c>
      <c r="F162">
        <v>0</v>
      </c>
      <c r="G162">
        <v>1737.1808462470999</v>
      </c>
      <c r="H162">
        <v>1130.8101141190491</v>
      </c>
      <c r="I162">
        <v>31913.00036969328</v>
      </c>
      <c r="J162">
        <v>30782.190255574231</v>
      </c>
    </row>
    <row r="163" spans="1:10">
      <c r="A163" s="1">
        <v>45973.620833333327</v>
      </c>
      <c r="B163">
        <v>-686.2093740307314</v>
      </c>
      <c r="C163">
        <v>159485.16320656371</v>
      </c>
      <c r="D163">
        <v>99394.907135053363</v>
      </c>
      <c r="E163">
        <v>60090.256071510346</v>
      </c>
      <c r="F163">
        <v>0</v>
      </c>
      <c r="G163">
        <v>1737.1808462470999</v>
      </c>
      <c r="H163">
        <v>1050.971472216369</v>
      </c>
      <c r="I163">
        <v>31897.03264131274</v>
      </c>
      <c r="J163">
        <v>30846.061169096371</v>
      </c>
    </row>
    <row r="164" spans="1:10">
      <c r="A164" s="1">
        <v>45973.621527777781</v>
      </c>
      <c r="B164">
        <v>-677.53628179225166</v>
      </c>
      <c r="C164">
        <v>159459.68197918779</v>
      </c>
      <c r="D164">
        <v>99386.503067484664</v>
      </c>
      <c r="E164">
        <v>60073.178911703173</v>
      </c>
      <c r="F164">
        <v>0</v>
      </c>
      <c r="G164">
        <v>1737.1808462470999</v>
      </c>
      <c r="H164">
        <v>1059.6445644548489</v>
      </c>
      <c r="I164">
        <v>31891.936395837569</v>
      </c>
      <c r="J164">
        <v>30832.291831382721</v>
      </c>
    </row>
    <row r="165" spans="1:10">
      <c r="A165" s="1">
        <v>45973.62222222222</v>
      </c>
      <c r="B165">
        <v>-593.47805372294113</v>
      </c>
      <c r="C165">
        <v>159274.7749402941</v>
      </c>
      <c r="D165">
        <v>99336.078662072439</v>
      </c>
      <c r="E165">
        <v>59938.696278221643</v>
      </c>
      <c r="F165">
        <v>0</v>
      </c>
      <c r="G165">
        <v>1737.1808462470999</v>
      </c>
      <c r="H165">
        <v>1143.7027925241589</v>
      </c>
      <c r="I165">
        <v>31854.95498805882</v>
      </c>
      <c r="J165">
        <v>30711.25219553466</v>
      </c>
    </row>
    <row r="166" spans="1:10">
      <c r="A166" s="1">
        <v>45973.622916666667</v>
      </c>
      <c r="B166">
        <v>-572.93867797327971</v>
      </c>
      <c r="C166">
        <v>159355.0843753689</v>
      </c>
      <c r="D166">
        <v>99386.503067484664</v>
      </c>
      <c r="E166">
        <v>59968.581307884197</v>
      </c>
      <c r="F166">
        <v>0</v>
      </c>
      <c r="G166">
        <v>1737.1808462470999</v>
      </c>
      <c r="H166">
        <v>1164.2421682738211</v>
      </c>
      <c r="I166">
        <v>31871.016875073779</v>
      </c>
      <c r="J166">
        <v>30706.774706799959</v>
      </c>
    </row>
    <row r="167" spans="1:10">
      <c r="A167" s="1">
        <v>45973.623611111107</v>
      </c>
      <c r="B167">
        <v>-547.72647526716901</v>
      </c>
      <c r="C167">
        <v>159380.29657807501</v>
      </c>
      <c r="D167">
        <v>99411.715270190776</v>
      </c>
      <c r="E167">
        <v>59968.581307884197</v>
      </c>
      <c r="F167">
        <v>0</v>
      </c>
      <c r="G167">
        <v>1737.1808462470999</v>
      </c>
      <c r="H167">
        <v>1189.4543709799309</v>
      </c>
      <c r="I167">
        <v>31876.059315614999</v>
      </c>
      <c r="J167">
        <v>30686.60494463507</v>
      </c>
    </row>
    <row r="168" spans="1:10">
      <c r="A168" s="1">
        <v>45973.624305555553</v>
      </c>
      <c r="B168">
        <v>-567.20730472002413</v>
      </c>
      <c r="C168">
        <v>159433.39367780261</v>
      </c>
      <c r="D168">
        <v>99428.523405328175</v>
      </c>
      <c r="E168">
        <v>60004.870272474458</v>
      </c>
      <c r="F168">
        <v>0</v>
      </c>
      <c r="G168">
        <v>1737.1808462470999</v>
      </c>
      <c r="H168">
        <v>1169.9735415270759</v>
      </c>
      <c r="I168">
        <v>31886.67873556053</v>
      </c>
      <c r="J168">
        <v>30716.70519403345</v>
      </c>
    </row>
    <row r="169" spans="1:10">
      <c r="A169" s="1">
        <v>45973.625</v>
      </c>
      <c r="B169">
        <v>0</v>
      </c>
      <c r="C169">
        <v>0</v>
      </c>
      <c r="D169">
        <v>0</v>
      </c>
      <c r="E169">
        <v>0</v>
      </c>
      <c r="F169">
        <v>-489.02467551887759</v>
      </c>
      <c r="G169">
        <v>1248.1561707282231</v>
      </c>
      <c r="H169">
        <v>1248.1561707282231</v>
      </c>
      <c r="I169">
        <v>0</v>
      </c>
      <c r="J169">
        <v>-1248.1561707282231</v>
      </c>
    </row>
    <row r="170" spans="1:10">
      <c r="A170" s="1">
        <v>45974.708333333343</v>
      </c>
      <c r="B170">
        <v>0</v>
      </c>
      <c r="C170">
        <v>174400.12208004459</v>
      </c>
      <c r="D170">
        <v>100000</v>
      </c>
      <c r="E170">
        <v>74400.122080044646</v>
      </c>
      <c r="F170">
        <v>0</v>
      </c>
      <c r="G170">
        <v>1248.1561707282231</v>
      </c>
      <c r="H170">
        <v>1248.1561707282231</v>
      </c>
      <c r="I170">
        <v>34880.024416008928</v>
      </c>
      <c r="J170">
        <v>33631.868245280697</v>
      </c>
    </row>
    <row r="171" spans="1:10">
      <c r="A171" s="1">
        <v>45974.709027777782</v>
      </c>
      <c r="B171">
        <v>92.332456499206003</v>
      </c>
      <c r="C171">
        <v>174622.11155003469</v>
      </c>
      <c r="D171">
        <v>100157.16096324461</v>
      </c>
      <c r="E171">
        <v>74464.950586790059</v>
      </c>
      <c r="F171">
        <v>0</v>
      </c>
      <c r="G171">
        <v>1248.1561707282231</v>
      </c>
      <c r="H171">
        <v>1340.4886272274291</v>
      </c>
      <c r="I171">
        <v>34924.422310006943</v>
      </c>
      <c r="J171">
        <v>33583.933682779512</v>
      </c>
    </row>
    <row r="172" spans="1:10">
      <c r="A172" s="1">
        <v>45974.709722222222</v>
      </c>
      <c r="B172">
        <v>92.332456499206003</v>
      </c>
      <c r="C172">
        <v>174622.11155003469</v>
      </c>
      <c r="D172">
        <v>100157.16096324461</v>
      </c>
      <c r="E172">
        <v>74464.950586790059</v>
      </c>
      <c r="F172">
        <v>0</v>
      </c>
      <c r="G172">
        <v>1248.1561707282231</v>
      </c>
      <c r="H172">
        <v>1340.4886272274291</v>
      </c>
      <c r="I172">
        <v>34924.422310006943</v>
      </c>
      <c r="J172">
        <v>33583.933682779512</v>
      </c>
    </row>
    <row r="173" spans="1:10">
      <c r="A173" s="1">
        <v>45974.710416666669</v>
      </c>
      <c r="B173">
        <v>196.89456415308999</v>
      </c>
      <c r="C173">
        <v>174517.54944238081</v>
      </c>
      <c r="D173">
        <v>100157.16096324461</v>
      </c>
      <c r="E173">
        <v>74360.388479136178</v>
      </c>
      <c r="F173">
        <v>0</v>
      </c>
      <c r="G173">
        <v>1248.1561707282231</v>
      </c>
      <c r="H173">
        <v>1445.050734881313</v>
      </c>
      <c r="I173">
        <v>34903.509888476161</v>
      </c>
      <c r="J173">
        <v>33458.459153594849</v>
      </c>
    </row>
    <row r="174" spans="1:10">
      <c r="A174" s="1">
        <v>45974.711111111108</v>
      </c>
      <c r="B174">
        <v>351.64648348084029</v>
      </c>
      <c r="C174">
        <v>174362.79752305301</v>
      </c>
      <c r="D174">
        <v>100157.16096324461</v>
      </c>
      <c r="E174">
        <v>74205.636559808423</v>
      </c>
      <c r="F174">
        <v>0</v>
      </c>
      <c r="G174">
        <v>1248.1561707282231</v>
      </c>
      <c r="H174">
        <v>1599.8026542090629</v>
      </c>
      <c r="I174">
        <v>34872.559504610603</v>
      </c>
      <c r="J174">
        <v>33272.756850401543</v>
      </c>
    </row>
    <row r="175" spans="1:10">
      <c r="A175" s="1">
        <v>45974.711805555547</v>
      </c>
      <c r="B175">
        <v>113.24487802997569</v>
      </c>
      <c r="C175">
        <v>174601.19912850391</v>
      </c>
      <c r="D175">
        <v>100157.16096324461</v>
      </c>
      <c r="E175">
        <v>74444.038165259291</v>
      </c>
      <c r="F175">
        <v>0</v>
      </c>
      <c r="G175">
        <v>1248.1561707282231</v>
      </c>
      <c r="H175">
        <v>1361.4010487581979</v>
      </c>
      <c r="I175">
        <v>34920.239825700781</v>
      </c>
      <c r="J175">
        <v>33558.838776942583</v>
      </c>
    </row>
    <row r="176" spans="1:10">
      <c r="A176" s="1">
        <v>45974.712500000001</v>
      </c>
      <c r="B176">
        <v>113.24487802997569</v>
      </c>
      <c r="C176">
        <v>174601.19912850391</v>
      </c>
      <c r="D176">
        <v>100157.16096324461</v>
      </c>
      <c r="E176">
        <v>74444.038165259291</v>
      </c>
      <c r="F176">
        <v>0</v>
      </c>
      <c r="G176">
        <v>1248.1561707282231</v>
      </c>
      <c r="H176">
        <v>1361.4010487581979</v>
      </c>
      <c r="I176">
        <v>34920.239825700781</v>
      </c>
      <c r="J176">
        <v>33558.838776942583</v>
      </c>
    </row>
    <row r="177" spans="1:10">
      <c r="A177" s="1">
        <v>45974.713194444441</v>
      </c>
      <c r="B177">
        <v>79.785003580739442</v>
      </c>
      <c r="C177">
        <v>174634.65900295309</v>
      </c>
      <c r="D177">
        <v>100157.16096324461</v>
      </c>
      <c r="E177">
        <v>74477.498039708516</v>
      </c>
      <c r="F177">
        <v>0</v>
      </c>
      <c r="G177">
        <v>1248.1561707282231</v>
      </c>
      <c r="H177">
        <v>1327.941174308962</v>
      </c>
      <c r="I177">
        <v>34926.931800590617</v>
      </c>
      <c r="J177">
        <v>33598.990626281673</v>
      </c>
    </row>
    <row r="178" spans="1:10">
      <c r="A178" s="1">
        <v>45974.713888888888</v>
      </c>
      <c r="B178">
        <v>113.24487802997569</v>
      </c>
      <c r="C178">
        <v>174601.19912850391</v>
      </c>
      <c r="D178">
        <v>100157.16096324461</v>
      </c>
      <c r="E178">
        <v>74444.038165259291</v>
      </c>
      <c r="F178">
        <v>0</v>
      </c>
      <c r="G178">
        <v>1248.1561707282231</v>
      </c>
      <c r="H178">
        <v>1361.4010487581979</v>
      </c>
      <c r="I178">
        <v>34920.239825700781</v>
      </c>
      <c r="J178">
        <v>33558.838776942583</v>
      </c>
    </row>
    <row r="179" spans="1:10">
      <c r="A179" s="1">
        <v>45974.714583333327</v>
      </c>
      <c r="B179">
        <v>113.24487802997569</v>
      </c>
      <c r="C179">
        <v>174601.19912850391</v>
      </c>
      <c r="D179">
        <v>100157.16096324461</v>
      </c>
      <c r="E179">
        <v>74444.038165259291</v>
      </c>
      <c r="F179">
        <v>0</v>
      </c>
      <c r="G179">
        <v>1248.1561707282231</v>
      </c>
      <c r="H179">
        <v>1361.4010487581979</v>
      </c>
      <c r="I179">
        <v>34920.239825700781</v>
      </c>
      <c r="J179">
        <v>33558.838776942583</v>
      </c>
    </row>
    <row r="180" spans="1:10">
      <c r="A180" s="1">
        <v>45974.715277777781</v>
      </c>
      <c r="B180">
        <v>124.14419689720729</v>
      </c>
      <c r="C180">
        <v>174428.06913790031</v>
      </c>
      <c r="D180">
        <v>100076.0456273764</v>
      </c>
      <c r="E180">
        <v>74352.023510523868</v>
      </c>
      <c r="F180">
        <v>0</v>
      </c>
      <c r="G180">
        <v>1248.1561707282231</v>
      </c>
      <c r="H180">
        <v>1372.30036762543</v>
      </c>
      <c r="I180">
        <v>34885.613827580062</v>
      </c>
      <c r="J180">
        <v>33513.313459954632</v>
      </c>
    </row>
    <row r="181" spans="1:10">
      <c r="A181" s="1">
        <v>45974.71597222222</v>
      </c>
      <c r="B181">
        <v>124.14419689720729</v>
      </c>
      <c r="C181">
        <v>174428.06913790031</v>
      </c>
      <c r="D181">
        <v>100076.0456273764</v>
      </c>
      <c r="E181">
        <v>74352.023510523868</v>
      </c>
      <c r="F181">
        <v>0</v>
      </c>
      <c r="G181">
        <v>1248.1561707282231</v>
      </c>
      <c r="H181">
        <v>1372.30036762543</v>
      </c>
      <c r="I181">
        <v>34885.613827580062</v>
      </c>
      <c r="J181">
        <v>33513.313459954632</v>
      </c>
    </row>
    <row r="182" spans="1:10">
      <c r="A182" s="1">
        <v>45974.716666666667</v>
      </c>
      <c r="B182">
        <v>165.96903995877051</v>
      </c>
      <c r="C182">
        <v>174386.24429483869</v>
      </c>
      <c r="D182">
        <v>100076.0456273764</v>
      </c>
      <c r="E182">
        <v>74310.198667462304</v>
      </c>
      <c r="F182">
        <v>0</v>
      </c>
      <c r="G182">
        <v>1248.1561707282231</v>
      </c>
      <c r="H182">
        <v>1414.1252106869929</v>
      </c>
      <c r="I182">
        <v>34877.248858967752</v>
      </c>
      <c r="J182">
        <v>33463.123648280758</v>
      </c>
    </row>
    <row r="183" spans="1:10">
      <c r="A183" s="1">
        <v>45974.717361111107</v>
      </c>
      <c r="B183">
        <v>111.5967439787408</v>
      </c>
      <c r="C183">
        <v>174440.6165908188</v>
      </c>
      <c r="D183">
        <v>100076.0456273764</v>
      </c>
      <c r="E183">
        <v>74364.57096344234</v>
      </c>
      <c r="F183">
        <v>0</v>
      </c>
      <c r="G183">
        <v>1248.1561707282231</v>
      </c>
      <c r="H183">
        <v>1359.7529147069631</v>
      </c>
      <c r="I183">
        <v>34888.123318163758</v>
      </c>
      <c r="J183">
        <v>33528.370403456793</v>
      </c>
    </row>
    <row r="184" spans="1:10">
      <c r="A184" s="1">
        <v>45974.718055555553</v>
      </c>
      <c r="B184">
        <v>111.5967439787408</v>
      </c>
      <c r="C184">
        <v>174440.6165908188</v>
      </c>
      <c r="D184">
        <v>100076.0456273764</v>
      </c>
      <c r="E184">
        <v>74364.57096344234</v>
      </c>
      <c r="F184">
        <v>0</v>
      </c>
      <c r="G184">
        <v>1248.1561707282231</v>
      </c>
      <c r="H184">
        <v>1359.7529147069631</v>
      </c>
      <c r="I184">
        <v>34888.123318163758</v>
      </c>
      <c r="J184">
        <v>33528.370403456793</v>
      </c>
    </row>
    <row r="185" spans="1:10">
      <c r="A185" s="1">
        <v>45974.71875</v>
      </c>
      <c r="B185">
        <v>145.05661842798889</v>
      </c>
      <c r="C185">
        <v>174407.1567163695</v>
      </c>
      <c r="D185">
        <v>100076.0456273764</v>
      </c>
      <c r="E185">
        <v>74331.111088993086</v>
      </c>
      <c r="F185">
        <v>0</v>
      </c>
      <c r="G185">
        <v>1248.1561707282231</v>
      </c>
      <c r="H185">
        <v>1393.212789156212</v>
      </c>
      <c r="I185">
        <v>34881.4313432739</v>
      </c>
      <c r="J185">
        <v>33488.218554117688</v>
      </c>
    </row>
    <row r="186" spans="1:10">
      <c r="A186" s="1">
        <v>45974.719444444447</v>
      </c>
      <c r="B186">
        <v>94.866806754122635</v>
      </c>
      <c r="C186">
        <v>174457.34652804339</v>
      </c>
      <c r="D186">
        <v>100076.0456273764</v>
      </c>
      <c r="E186">
        <v>74381.30090066696</v>
      </c>
      <c r="F186">
        <v>0</v>
      </c>
      <c r="G186">
        <v>1248.1561707282231</v>
      </c>
      <c r="H186">
        <v>1343.0229774823449</v>
      </c>
      <c r="I186">
        <v>34891.469305608683</v>
      </c>
      <c r="J186">
        <v>33548.446328126331</v>
      </c>
    </row>
    <row r="187" spans="1:10">
      <c r="A187" s="1">
        <v>45974.720138888893</v>
      </c>
      <c r="B187">
        <v>115.77922828490421</v>
      </c>
      <c r="C187">
        <v>174436.43410651261</v>
      </c>
      <c r="D187">
        <v>100076.0456273764</v>
      </c>
      <c r="E187">
        <v>74360.388479136178</v>
      </c>
      <c r="F187">
        <v>0</v>
      </c>
      <c r="G187">
        <v>1248.1561707282231</v>
      </c>
      <c r="H187">
        <v>1363.9353990131269</v>
      </c>
      <c r="I187">
        <v>34887.286821302521</v>
      </c>
      <c r="J187">
        <v>33523.351422289386</v>
      </c>
    </row>
    <row r="188" spans="1:10">
      <c r="A188" s="1">
        <v>45974.720833333333</v>
      </c>
      <c r="B188">
        <v>0</v>
      </c>
      <c r="C188">
        <v>0</v>
      </c>
      <c r="D188">
        <v>0</v>
      </c>
      <c r="E188">
        <v>0</v>
      </c>
      <c r="F188">
        <v>105.1066003050213</v>
      </c>
      <c r="G188">
        <v>1353.262771033244</v>
      </c>
      <c r="H188">
        <v>1353.262771033244</v>
      </c>
      <c r="I188">
        <v>0</v>
      </c>
      <c r="J188">
        <v>-1353.262771033244</v>
      </c>
    </row>
    <row r="189" spans="1:10">
      <c r="A189" s="1">
        <v>45974.737500000003</v>
      </c>
      <c r="B189">
        <v>0</v>
      </c>
      <c r="C189">
        <v>174400.12208004459</v>
      </c>
      <c r="D189">
        <v>100000</v>
      </c>
      <c r="E189">
        <v>74400.122080044646</v>
      </c>
      <c r="F189">
        <v>0</v>
      </c>
      <c r="G189">
        <v>1353.262771033244</v>
      </c>
      <c r="H189">
        <v>1353.262771033244</v>
      </c>
      <c r="I189">
        <v>34880.024416008928</v>
      </c>
      <c r="J189">
        <v>33526.761644975682</v>
      </c>
    </row>
    <row r="190" spans="1:10">
      <c r="A190" s="1">
        <v>45974.738194444442</v>
      </c>
      <c r="B190">
        <v>121.3432056870387</v>
      </c>
      <c r="C190">
        <v>174278.77887435761</v>
      </c>
      <c r="D190">
        <v>100000</v>
      </c>
      <c r="E190">
        <v>74278.778874357609</v>
      </c>
      <c r="F190">
        <v>0</v>
      </c>
      <c r="G190">
        <v>1353.262771033244</v>
      </c>
      <c r="H190">
        <v>1474.605976720283</v>
      </c>
      <c r="I190">
        <v>34855.755774871534</v>
      </c>
      <c r="J190">
        <v>33381.149798151237</v>
      </c>
    </row>
    <row r="191" spans="1:10">
      <c r="A191" s="1">
        <v>45974.738888888889</v>
      </c>
      <c r="B191">
        <v>121.3432056870387</v>
      </c>
      <c r="C191">
        <v>174278.77887435761</v>
      </c>
      <c r="D191">
        <v>100000</v>
      </c>
      <c r="E191">
        <v>74278.778874357609</v>
      </c>
      <c r="F191">
        <v>0</v>
      </c>
      <c r="G191">
        <v>1353.262771033244</v>
      </c>
      <c r="H191">
        <v>1474.605976720283</v>
      </c>
      <c r="I191">
        <v>34855.755774871534</v>
      </c>
      <c r="J191">
        <v>33381.149798151237</v>
      </c>
    </row>
    <row r="192" spans="1:10">
      <c r="A192" s="1">
        <v>45974.739583333343</v>
      </c>
      <c r="B192">
        <v>121.3432056870387</v>
      </c>
      <c r="C192">
        <v>174278.77887435761</v>
      </c>
      <c r="D192">
        <v>100000</v>
      </c>
      <c r="E192">
        <v>74278.778874357609</v>
      </c>
      <c r="F192">
        <v>0</v>
      </c>
      <c r="G192">
        <v>1353.262771033244</v>
      </c>
      <c r="H192">
        <v>1474.605976720283</v>
      </c>
      <c r="I192">
        <v>34855.755774871534</v>
      </c>
      <c r="J192">
        <v>33381.149798151237</v>
      </c>
    </row>
    <row r="193" spans="1:10">
      <c r="A193" s="1">
        <v>45974.740277777782</v>
      </c>
      <c r="B193">
        <v>121.3432056870387</v>
      </c>
      <c r="C193">
        <v>174278.77887435761</v>
      </c>
      <c r="D193">
        <v>100000</v>
      </c>
      <c r="E193">
        <v>74278.778874357609</v>
      </c>
      <c r="F193">
        <v>0</v>
      </c>
      <c r="G193">
        <v>1353.262771033244</v>
      </c>
      <c r="H193">
        <v>1474.605976720283</v>
      </c>
      <c r="I193">
        <v>34855.755774871534</v>
      </c>
      <c r="J193">
        <v>33381.149798151237</v>
      </c>
    </row>
    <row r="194" spans="1:10">
      <c r="A194" s="1">
        <v>45974.740972222222</v>
      </c>
      <c r="B194">
        <v>60.429500103280063</v>
      </c>
      <c r="C194">
        <v>174217.86516877389</v>
      </c>
      <c r="D194">
        <v>99939.086294416236</v>
      </c>
      <c r="E194">
        <v>74278.778874357609</v>
      </c>
      <c r="F194">
        <v>0</v>
      </c>
      <c r="G194">
        <v>1353.262771033244</v>
      </c>
      <c r="H194">
        <v>1413.6922711365239</v>
      </c>
      <c r="I194">
        <v>34843.573033754772</v>
      </c>
      <c r="J194">
        <v>33429.880762618253</v>
      </c>
    </row>
    <row r="195" spans="1:10">
      <c r="A195" s="1">
        <v>45974.741666666669</v>
      </c>
      <c r="B195">
        <v>60.429500103280063</v>
      </c>
      <c r="C195">
        <v>174217.86516877389</v>
      </c>
      <c r="D195">
        <v>99939.086294416236</v>
      </c>
      <c r="E195">
        <v>74278.778874357609</v>
      </c>
      <c r="F195">
        <v>0</v>
      </c>
      <c r="G195">
        <v>1353.262771033244</v>
      </c>
      <c r="H195">
        <v>1413.6922711365239</v>
      </c>
      <c r="I195">
        <v>34843.573033754772</v>
      </c>
      <c r="J195">
        <v>33429.880762618253</v>
      </c>
    </row>
    <row r="196" spans="1:10">
      <c r="A196" s="1">
        <v>45974.742361111108</v>
      </c>
      <c r="B196">
        <v>-10.774099658479489</v>
      </c>
      <c r="C196">
        <v>174121.55607818029</v>
      </c>
      <c r="D196">
        <v>99855.329949238585</v>
      </c>
      <c r="E196">
        <v>74266.226128941707</v>
      </c>
      <c r="F196">
        <v>0</v>
      </c>
      <c r="G196">
        <v>1353.262771033244</v>
      </c>
      <c r="H196">
        <v>1342.4886713747651</v>
      </c>
      <c r="I196">
        <v>34824.311215636058</v>
      </c>
      <c r="J196">
        <v>33481.822544261297</v>
      </c>
    </row>
    <row r="197" spans="1:10">
      <c r="A197" s="1">
        <v>45974.743055555547</v>
      </c>
      <c r="B197">
        <v>-44.248087434208571</v>
      </c>
      <c r="C197">
        <v>174155.030065956</v>
      </c>
      <c r="D197">
        <v>99855.329949238585</v>
      </c>
      <c r="E197">
        <v>74299.700116717431</v>
      </c>
      <c r="F197">
        <v>0</v>
      </c>
      <c r="G197">
        <v>1353.262771033244</v>
      </c>
      <c r="H197">
        <v>1309.0146835990349</v>
      </c>
      <c r="I197">
        <v>34831.006013191203</v>
      </c>
      <c r="J197">
        <v>33521.991329592172</v>
      </c>
    </row>
    <row r="198" spans="1:10">
      <c r="A198" s="1">
        <v>45974.743750000001</v>
      </c>
      <c r="B198">
        <v>-44.248087434208571</v>
      </c>
      <c r="C198">
        <v>174155.030065956</v>
      </c>
      <c r="D198">
        <v>99855.329949238585</v>
      </c>
      <c r="E198">
        <v>74299.700116717431</v>
      </c>
      <c r="F198">
        <v>0</v>
      </c>
      <c r="G198">
        <v>1353.262771033244</v>
      </c>
      <c r="H198">
        <v>1309.0146835990349</v>
      </c>
      <c r="I198">
        <v>34831.006013191203</v>
      </c>
      <c r="J198">
        <v>33521.991329592172</v>
      </c>
    </row>
    <row r="199" spans="1:10">
      <c r="A199" s="1">
        <v>45974.744444444441</v>
      </c>
      <c r="B199">
        <v>-44.248087434208571</v>
      </c>
      <c r="C199">
        <v>174155.030065956</v>
      </c>
      <c r="D199">
        <v>99855.329949238585</v>
      </c>
      <c r="E199">
        <v>74299.700116717431</v>
      </c>
      <c r="F199">
        <v>0</v>
      </c>
      <c r="G199">
        <v>1353.262771033244</v>
      </c>
      <c r="H199">
        <v>1309.0146835990349</v>
      </c>
      <c r="I199">
        <v>34831.006013191203</v>
      </c>
      <c r="J199">
        <v>33521.991329592172</v>
      </c>
    </row>
    <row r="200" spans="1:10">
      <c r="A200" s="1">
        <v>45974.745138888888</v>
      </c>
      <c r="B200">
        <v>100.421963327211</v>
      </c>
      <c r="C200">
        <v>174299.7001167174</v>
      </c>
      <c r="D200">
        <v>100000</v>
      </c>
      <c r="E200">
        <v>74299.700116717431</v>
      </c>
      <c r="F200">
        <v>0</v>
      </c>
      <c r="G200">
        <v>1353.262771033244</v>
      </c>
      <c r="H200">
        <v>1453.684734360455</v>
      </c>
      <c r="I200">
        <v>34859.940023343494</v>
      </c>
      <c r="J200">
        <v>33406.255288983033</v>
      </c>
    </row>
    <row r="201" spans="1:10">
      <c r="A201" s="1">
        <v>45974.745833333327</v>
      </c>
      <c r="B201">
        <v>83.68496943933458</v>
      </c>
      <c r="C201">
        <v>174316.4371106053</v>
      </c>
      <c r="D201">
        <v>100000</v>
      </c>
      <c r="E201">
        <v>74316.4371106053</v>
      </c>
      <c r="F201">
        <v>0</v>
      </c>
      <c r="G201">
        <v>1353.262771033244</v>
      </c>
      <c r="H201">
        <v>1436.947740472579</v>
      </c>
      <c r="I201">
        <v>34863.287422121059</v>
      </c>
      <c r="J201">
        <v>33426.339681648482</v>
      </c>
    </row>
    <row r="202" spans="1:10">
      <c r="A202" s="1">
        <v>45974.746527777781</v>
      </c>
      <c r="B202">
        <v>17.695121723600849</v>
      </c>
      <c r="C202">
        <v>174250.44726288959</v>
      </c>
      <c r="D202">
        <v>99934.010152284274</v>
      </c>
      <c r="E202">
        <v>74316.4371106053</v>
      </c>
      <c r="F202">
        <v>0</v>
      </c>
      <c r="G202">
        <v>1353.262771033244</v>
      </c>
      <c r="H202">
        <v>1370.957892756845</v>
      </c>
      <c r="I202">
        <v>34850.089452577922</v>
      </c>
      <c r="J202">
        <v>33479.131559821079</v>
      </c>
    </row>
    <row r="203" spans="1:10">
      <c r="A203" s="1">
        <v>45974.74722222222</v>
      </c>
      <c r="B203">
        <v>17.695121723600849</v>
      </c>
      <c r="C203">
        <v>174250.44726288959</v>
      </c>
      <c r="D203">
        <v>99934.010152284274</v>
      </c>
      <c r="E203">
        <v>74316.4371106053</v>
      </c>
      <c r="F203">
        <v>0</v>
      </c>
      <c r="G203">
        <v>1353.262771033244</v>
      </c>
      <c r="H203">
        <v>1370.957892756845</v>
      </c>
      <c r="I203">
        <v>34850.089452577922</v>
      </c>
      <c r="J203">
        <v>33479.131559821079</v>
      </c>
    </row>
    <row r="204" spans="1:10">
      <c r="A204" s="1">
        <v>45974.747916666667</v>
      </c>
      <c r="B204">
        <v>17.695121723600849</v>
      </c>
      <c r="C204">
        <v>174250.44726288959</v>
      </c>
      <c r="D204">
        <v>99934.010152284274</v>
      </c>
      <c r="E204">
        <v>74316.4371106053</v>
      </c>
      <c r="F204">
        <v>0</v>
      </c>
      <c r="G204">
        <v>1353.262771033244</v>
      </c>
      <c r="H204">
        <v>1370.957892756845</v>
      </c>
      <c r="I204">
        <v>34850.089452577922</v>
      </c>
      <c r="J204">
        <v>33479.131559821079</v>
      </c>
    </row>
    <row r="205" spans="1:10">
      <c r="A205" s="1">
        <v>45974.748611111107</v>
      </c>
      <c r="B205">
        <v>49.110102351228392</v>
      </c>
      <c r="C205">
        <v>174147.9662924142</v>
      </c>
      <c r="D205">
        <v>99898.477157360408</v>
      </c>
      <c r="E205">
        <v>74249.489135053824</v>
      </c>
      <c r="F205">
        <v>0</v>
      </c>
      <c r="G205">
        <v>1353.262771033244</v>
      </c>
      <c r="H205">
        <v>1402.3728733844721</v>
      </c>
      <c r="I205">
        <v>34829.593258482848</v>
      </c>
      <c r="J205">
        <v>33427.220385098379</v>
      </c>
    </row>
    <row r="206" spans="1:10">
      <c r="A206" s="1">
        <v>45974.749305555553</v>
      </c>
      <c r="B206">
        <v>47.32631503119012</v>
      </c>
      <c r="C206">
        <v>174129.44551120629</v>
      </c>
      <c r="D206">
        <v>99888.324873096455</v>
      </c>
      <c r="E206">
        <v>74241.120638109904</v>
      </c>
      <c r="F206">
        <v>0</v>
      </c>
      <c r="G206">
        <v>1353.262771033244</v>
      </c>
      <c r="H206">
        <v>1400.589086064434</v>
      </c>
      <c r="I206">
        <v>34825.889102241272</v>
      </c>
      <c r="J206">
        <v>33425.300016176843</v>
      </c>
    </row>
    <row r="207" spans="1:10">
      <c r="A207" s="1">
        <v>45974.75</v>
      </c>
      <c r="B207">
        <v>47.32631503119012</v>
      </c>
      <c r="C207">
        <v>174129.44551120629</v>
      </c>
      <c r="D207">
        <v>99888.324873096455</v>
      </c>
      <c r="E207">
        <v>74241.120638109904</v>
      </c>
      <c r="F207">
        <v>0</v>
      </c>
      <c r="G207">
        <v>1353.262771033244</v>
      </c>
      <c r="H207">
        <v>1400.589086064434</v>
      </c>
      <c r="I207">
        <v>34825.889102241272</v>
      </c>
      <c r="J207">
        <v>33425.300016176843</v>
      </c>
    </row>
    <row r="208" spans="1:10">
      <c r="A208" s="1">
        <v>45974.750694444447</v>
      </c>
      <c r="B208">
        <v>47.32631503119012</v>
      </c>
      <c r="C208">
        <v>174129.44551120629</v>
      </c>
      <c r="D208">
        <v>99888.324873096455</v>
      </c>
      <c r="E208">
        <v>74241.120638109904</v>
      </c>
      <c r="F208">
        <v>0</v>
      </c>
      <c r="G208">
        <v>1353.262771033244</v>
      </c>
      <c r="H208">
        <v>1400.589086064434</v>
      </c>
      <c r="I208">
        <v>34825.889102241272</v>
      </c>
      <c r="J208">
        <v>33425.300016176843</v>
      </c>
    </row>
    <row r="209" spans="1:10">
      <c r="A209" s="1">
        <v>45974.751388888893</v>
      </c>
      <c r="B209">
        <v>0</v>
      </c>
      <c r="C209">
        <v>0</v>
      </c>
      <c r="D209">
        <v>0</v>
      </c>
      <c r="E209">
        <v>0</v>
      </c>
      <c r="F209">
        <v>3.2129676681267072</v>
      </c>
      <c r="G209">
        <v>1356.475738701371</v>
      </c>
      <c r="H209">
        <v>1356.475738701371</v>
      </c>
      <c r="I209">
        <v>0</v>
      </c>
      <c r="J209">
        <v>-1356.475738701371</v>
      </c>
    </row>
    <row r="210" spans="1:10">
      <c r="A210" s="1">
        <v>45978.604166666657</v>
      </c>
      <c r="B210">
        <v>0</v>
      </c>
      <c r="C210">
        <v>174400.12208004459</v>
      </c>
      <c r="D210">
        <v>100000</v>
      </c>
      <c r="E210">
        <v>74400.122080044646</v>
      </c>
      <c r="F210">
        <v>0</v>
      </c>
      <c r="G210">
        <v>1356.475738701371</v>
      </c>
      <c r="H210">
        <v>1356.475738701371</v>
      </c>
      <c r="I210">
        <v>34880.024416008928</v>
      </c>
      <c r="J210">
        <v>33523.548677307554</v>
      </c>
    </row>
    <row r="211" spans="1:10">
      <c r="A211" s="1">
        <v>45978.604861111111</v>
      </c>
      <c r="B211">
        <v>276.99976252756551</v>
      </c>
      <c r="C211">
        <v>174668.90764195609</v>
      </c>
      <c r="D211">
        <v>100272.8926622195</v>
      </c>
      <c r="E211">
        <v>74396.014979736603</v>
      </c>
      <c r="F211">
        <v>0</v>
      </c>
      <c r="G211">
        <v>1356.475738701371</v>
      </c>
      <c r="H211">
        <v>1633.4755012289361</v>
      </c>
      <c r="I211">
        <v>34933.781528391228</v>
      </c>
      <c r="J211">
        <v>33300.306027162289</v>
      </c>
    </row>
    <row r="212" spans="1:10">
      <c r="A212" s="1">
        <v>45978.605555555558</v>
      </c>
      <c r="B212">
        <v>-551.25184452246424</v>
      </c>
      <c r="C212">
        <v>173384.7679007143</v>
      </c>
      <c r="D212">
        <v>99216.696988073585</v>
      </c>
      <c r="E212">
        <v>74168.070912640702</v>
      </c>
      <c r="F212">
        <v>0</v>
      </c>
      <c r="G212">
        <v>1356.475738701371</v>
      </c>
      <c r="H212">
        <v>805.22389417890656</v>
      </c>
      <c r="I212">
        <v>34676.953580142857</v>
      </c>
      <c r="J212">
        <v>33871.729685963961</v>
      </c>
    </row>
    <row r="213" spans="1:10">
      <c r="A213" s="1">
        <v>45978.606249999997</v>
      </c>
      <c r="B213">
        <v>78.981373363499017</v>
      </c>
      <c r="C213">
        <v>174331.2478423189</v>
      </c>
      <c r="D213">
        <v>100005.0535678189</v>
      </c>
      <c r="E213">
        <v>74326.194274500027</v>
      </c>
      <c r="F213">
        <v>0</v>
      </c>
      <c r="G213">
        <v>1356.475738701371</v>
      </c>
      <c r="H213">
        <v>1435.45711206487</v>
      </c>
      <c r="I213">
        <v>34866.249568463783</v>
      </c>
      <c r="J213">
        <v>33430.792456398907</v>
      </c>
    </row>
    <row r="214" spans="1:10">
      <c r="A214" s="1">
        <v>45978.606944444437</v>
      </c>
      <c r="B214">
        <v>-176.26685969771401</v>
      </c>
      <c r="C214">
        <v>174404.56763390041</v>
      </c>
      <c r="D214">
        <v>99914.089347079047</v>
      </c>
      <c r="E214">
        <v>74490.47828682141</v>
      </c>
      <c r="F214">
        <v>0</v>
      </c>
      <c r="G214">
        <v>1356.475738701371</v>
      </c>
      <c r="H214">
        <v>1180.2088790036571</v>
      </c>
      <c r="I214">
        <v>34880.913526780088</v>
      </c>
      <c r="J214">
        <v>33700.704647776431</v>
      </c>
    </row>
    <row r="215" spans="1:10">
      <c r="A215" s="1">
        <v>45978.607638888891</v>
      </c>
      <c r="B215">
        <v>-80.249071138992718</v>
      </c>
      <c r="C215">
        <v>174500.5854224592</v>
      </c>
      <c r="D215">
        <v>100010.10713563779</v>
      </c>
      <c r="E215">
        <v>74490.47828682141</v>
      </c>
      <c r="F215">
        <v>0</v>
      </c>
      <c r="G215">
        <v>1356.475738701371</v>
      </c>
      <c r="H215">
        <v>1276.226667562378</v>
      </c>
      <c r="I215">
        <v>34900.117084491838</v>
      </c>
      <c r="J215">
        <v>33623.890416929462</v>
      </c>
    </row>
    <row r="216" spans="1:10">
      <c r="A216" s="1">
        <v>45978.60833333333</v>
      </c>
      <c r="B216">
        <v>-174.7468247900035</v>
      </c>
      <c r="C216">
        <v>174857.86870269189</v>
      </c>
      <c r="D216">
        <v>100141.4998989286</v>
      </c>
      <c r="E216">
        <v>74716.368803763296</v>
      </c>
      <c r="F216">
        <v>0</v>
      </c>
      <c r="G216">
        <v>1356.475738701371</v>
      </c>
      <c r="H216">
        <v>1181.728913911367</v>
      </c>
      <c r="I216">
        <v>34971.573740538377</v>
      </c>
      <c r="J216">
        <v>33789.844826627013</v>
      </c>
    </row>
    <row r="217" spans="1:10">
      <c r="A217" s="1">
        <v>45978.609027777777</v>
      </c>
      <c r="B217">
        <v>-483.01446174168387</v>
      </c>
      <c r="C217">
        <v>174549.60106574031</v>
      </c>
      <c r="D217">
        <v>99833.232261976969</v>
      </c>
      <c r="E217">
        <v>74716.368803763296</v>
      </c>
      <c r="F217">
        <v>0</v>
      </c>
      <c r="G217">
        <v>1356.475738701371</v>
      </c>
      <c r="H217">
        <v>873.46127695968687</v>
      </c>
      <c r="I217">
        <v>34909.920213148063</v>
      </c>
      <c r="J217">
        <v>34036.45893618837</v>
      </c>
    </row>
    <row r="218" spans="1:10">
      <c r="A218" s="1">
        <v>45978.609722222223</v>
      </c>
      <c r="B218">
        <v>-703.44406418450865</v>
      </c>
      <c r="C218">
        <v>174082.7454448154</v>
      </c>
      <c r="D218">
        <v>99489.589650293114</v>
      </c>
      <c r="E218">
        <v>74593.155794522259</v>
      </c>
      <c r="F218">
        <v>0</v>
      </c>
      <c r="G218">
        <v>1356.475738701371</v>
      </c>
      <c r="H218">
        <v>653.03167451686215</v>
      </c>
      <c r="I218">
        <v>34816.549088963067</v>
      </c>
      <c r="J218">
        <v>34163.517414446207</v>
      </c>
    </row>
    <row r="219" spans="1:10">
      <c r="A219" s="1">
        <v>45978.61041666667</v>
      </c>
      <c r="B219">
        <v>-636.81843831133551</v>
      </c>
      <c r="C219">
        <v>174289.01248116171</v>
      </c>
      <c r="D219">
        <v>99626.035981402863</v>
      </c>
      <c r="E219">
        <v>74662.97649975885</v>
      </c>
      <c r="F219">
        <v>0</v>
      </c>
      <c r="G219">
        <v>1356.475738701371</v>
      </c>
      <c r="H219">
        <v>719.65730039003529</v>
      </c>
      <c r="I219">
        <v>34857.802496232347</v>
      </c>
      <c r="J219">
        <v>34138.145195842313</v>
      </c>
    </row>
    <row r="220" spans="1:10">
      <c r="A220" s="1">
        <v>45978.611111111109</v>
      </c>
      <c r="B220">
        <v>-458.15957491183462</v>
      </c>
      <c r="C220">
        <v>174110.35361776219</v>
      </c>
      <c r="D220">
        <v>99626.035981402863</v>
      </c>
      <c r="E220">
        <v>74484.317636359352</v>
      </c>
      <c r="F220">
        <v>0</v>
      </c>
      <c r="G220">
        <v>1356.475738701371</v>
      </c>
      <c r="H220">
        <v>898.31616378953618</v>
      </c>
      <c r="I220">
        <v>34822.070723552453</v>
      </c>
      <c r="J220">
        <v>33923.754559762907</v>
      </c>
    </row>
    <row r="221" spans="1:10">
      <c r="A221" s="1">
        <v>45978.611805555563</v>
      </c>
      <c r="B221">
        <v>-894.82856913109492</v>
      </c>
      <c r="C221">
        <v>173743.50532877949</v>
      </c>
      <c r="D221">
        <v>99224.277339801905</v>
      </c>
      <c r="E221">
        <v>74519.22798897764</v>
      </c>
      <c r="F221">
        <v>0</v>
      </c>
      <c r="G221">
        <v>1356.475738701371</v>
      </c>
      <c r="H221">
        <v>461.64716957027588</v>
      </c>
      <c r="I221">
        <v>34748.701065755908</v>
      </c>
      <c r="J221">
        <v>34287.053896185629</v>
      </c>
    </row>
    <row r="222" spans="1:10">
      <c r="A222" s="1">
        <v>45978.612500000003</v>
      </c>
      <c r="B222">
        <v>-669.58912436005005</v>
      </c>
      <c r="C222">
        <v>173664.81935075601</v>
      </c>
      <c r="D222">
        <v>99297.554073175677</v>
      </c>
      <c r="E222">
        <v>74367.265277580358</v>
      </c>
      <c r="F222">
        <v>0</v>
      </c>
      <c r="G222">
        <v>1356.475738701371</v>
      </c>
      <c r="H222">
        <v>686.88661434132075</v>
      </c>
      <c r="I222">
        <v>34732.963870151209</v>
      </c>
      <c r="J222">
        <v>34046.077255809891</v>
      </c>
    </row>
    <row r="223" spans="1:10">
      <c r="A223" s="1">
        <v>45978.613194444442</v>
      </c>
      <c r="B223">
        <v>-1018.692650542979</v>
      </c>
      <c r="C223">
        <v>174013.922876939</v>
      </c>
      <c r="D223">
        <v>99297.554073175677</v>
      </c>
      <c r="E223">
        <v>74716.368803763296</v>
      </c>
      <c r="F223">
        <v>0</v>
      </c>
      <c r="G223">
        <v>1356.475738701371</v>
      </c>
      <c r="H223">
        <v>337.78308815839199</v>
      </c>
      <c r="I223">
        <v>34802.784575387799</v>
      </c>
      <c r="J223">
        <v>34465.001487229412</v>
      </c>
    </row>
    <row r="224" spans="1:10">
      <c r="A224" s="1">
        <v>45978.613888888889</v>
      </c>
      <c r="B224">
        <v>-495.01453240115319</v>
      </c>
      <c r="C224">
        <v>174521.17259384869</v>
      </c>
      <c r="D224">
        <v>99813.017990701439</v>
      </c>
      <c r="E224">
        <v>74708.154603147224</v>
      </c>
      <c r="F224">
        <v>0</v>
      </c>
      <c r="G224">
        <v>1356.475738701371</v>
      </c>
      <c r="H224">
        <v>861.46120630021755</v>
      </c>
      <c r="I224">
        <v>34904.234518769743</v>
      </c>
      <c r="J224">
        <v>34042.773312469522</v>
      </c>
    </row>
    <row r="225" spans="1:10">
      <c r="A225" s="1">
        <v>45978.614583333343</v>
      </c>
      <c r="B225">
        <v>-512.08539416258304</v>
      </c>
      <c r="C225">
        <v>174619.10054071221</v>
      </c>
      <c r="D225">
        <v>99853.446533252485</v>
      </c>
      <c r="E225">
        <v>74765.654007459714</v>
      </c>
      <c r="F225">
        <v>0</v>
      </c>
      <c r="G225">
        <v>1356.475738701371</v>
      </c>
      <c r="H225">
        <v>844.39034453878776</v>
      </c>
      <c r="I225">
        <v>34923.820108142441</v>
      </c>
      <c r="J225">
        <v>34079.42976360365</v>
      </c>
    </row>
    <row r="226" spans="1:10">
      <c r="A226" s="1">
        <v>45978.615277777782</v>
      </c>
      <c r="B226">
        <v>-400.87245558099892</v>
      </c>
      <c r="C226">
        <v>174467.45905957959</v>
      </c>
      <c r="D226">
        <v>99833.232261976969</v>
      </c>
      <c r="E226">
        <v>74634.226797602605</v>
      </c>
      <c r="F226">
        <v>0</v>
      </c>
      <c r="G226">
        <v>1356.475738701371</v>
      </c>
      <c r="H226">
        <v>955.60328312037188</v>
      </c>
      <c r="I226">
        <v>34893.491811915919</v>
      </c>
      <c r="J226">
        <v>33937.888528795549</v>
      </c>
    </row>
    <row r="227" spans="1:10">
      <c r="A227" s="1">
        <v>45978.615972222222</v>
      </c>
      <c r="B227">
        <v>-507.65706358989172</v>
      </c>
      <c r="C227">
        <v>174574.24366758851</v>
      </c>
      <c r="D227">
        <v>99833.232261976969</v>
      </c>
      <c r="E227">
        <v>74741.011405611498</v>
      </c>
      <c r="F227">
        <v>0</v>
      </c>
      <c r="G227">
        <v>1356.475738701371</v>
      </c>
      <c r="H227">
        <v>848.81867511147914</v>
      </c>
      <c r="I227">
        <v>34914.848733517691</v>
      </c>
      <c r="J227">
        <v>34066.030058406213</v>
      </c>
    </row>
    <row r="228" spans="1:10">
      <c r="A228" s="1">
        <v>45978.616666666669</v>
      </c>
      <c r="B228">
        <v>0</v>
      </c>
      <c r="C228">
        <v>0</v>
      </c>
      <c r="D228">
        <v>0</v>
      </c>
      <c r="E228">
        <v>0</v>
      </c>
      <c r="F228">
        <v>-173.62030651471409</v>
      </c>
      <c r="G228">
        <v>1182.855432186657</v>
      </c>
      <c r="H228">
        <v>1182.855432186657</v>
      </c>
      <c r="I228">
        <v>0</v>
      </c>
      <c r="J228">
        <v>-1182.855432186657</v>
      </c>
    </row>
    <row r="229" spans="1:10">
      <c r="A229" s="1">
        <v>45979.605555555558</v>
      </c>
      <c r="B229">
        <v>0</v>
      </c>
      <c r="C229">
        <v>174400.12208004459</v>
      </c>
      <c r="D229">
        <v>74400.122080044646</v>
      </c>
      <c r="E229">
        <v>100000</v>
      </c>
      <c r="F229">
        <v>0</v>
      </c>
      <c r="G229">
        <v>1182.855432186657</v>
      </c>
      <c r="H229">
        <v>1182.855432186657</v>
      </c>
      <c r="I229">
        <v>34880.024416008928</v>
      </c>
      <c r="J229">
        <v>33697.168983822266</v>
      </c>
    </row>
    <row r="230" spans="1:10">
      <c r="A230" s="1">
        <v>45979.606249999997</v>
      </c>
      <c r="B230">
        <v>0</v>
      </c>
      <c r="C230">
        <v>174400.12208004459</v>
      </c>
      <c r="D230">
        <v>74400.122080044646</v>
      </c>
      <c r="E230">
        <v>100000</v>
      </c>
      <c r="F230">
        <v>0</v>
      </c>
      <c r="G230">
        <v>1182.855432186657</v>
      </c>
      <c r="H230">
        <v>1182.855432186657</v>
      </c>
      <c r="I230">
        <v>34880.024416008928</v>
      </c>
      <c r="J230">
        <v>33697.168983822266</v>
      </c>
    </row>
    <row r="231" spans="1:10">
      <c r="A231" s="1">
        <v>45979.606944444437</v>
      </c>
      <c r="B231">
        <v>0</v>
      </c>
      <c r="C231">
        <v>0</v>
      </c>
      <c r="D231">
        <v>0</v>
      </c>
      <c r="E231">
        <v>0</v>
      </c>
      <c r="F231">
        <v>346.14038786702241</v>
      </c>
      <c r="G231">
        <v>1528.9958200536789</v>
      </c>
      <c r="H231">
        <v>1528.9958200536789</v>
      </c>
      <c r="I231">
        <v>0</v>
      </c>
      <c r="J231">
        <v>-1528.9958200536789</v>
      </c>
    </row>
    <row r="232" spans="1:10">
      <c r="A232" s="1">
        <v>45980.604861111111</v>
      </c>
      <c r="B232">
        <v>0</v>
      </c>
      <c r="C232">
        <v>174400.12208004459</v>
      </c>
      <c r="D232">
        <v>100000</v>
      </c>
      <c r="E232">
        <v>74400.122080044646</v>
      </c>
      <c r="F232">
        <v>0</v>
      </c>
      <c r="G232">
        <v>1528.9958200536789</v>
      </c>
      <c r="H232">
        <v>1528.9958200536789</v>
      </c>
      <c r="I232">
        <v>34880.024416008928</v>
      </c>
      <c r="J232">
        <v>33351.028595955249</v>
      </c>
    </row>
    <row r="233" spans="1:10">
      <c r="A233" s="1">
        <v>45980.605555555558</v>
      </c>
      <c r="B233">
        <v>-284.48766358041252</v>
      </c>
      <c r="C233">
        <v>174115.63441646431</v>
      </c>
      <c r="D233">
        <v>99715.512336419604</v>
      </c>
      <c r="E233">
        <v>74400.122080044646</v>
      </c>
      <c r="F233">
        <v>0</v>
      </c>
      <c r="G233">
        <v>1528.9958200536789</v>
      </c>
      <c r="H233">
        <v>1244.508156473267</v>
      </c>
      <c r="I233">
        <v>34823.126883292847</v>
      </c>
      <c r="J233">
        <v>33578.618726819594</v>
      </c>
    </row>
    <row r="234" spans="1:10">
      <c r="A234" s="1">
        <v>45980.606249999997</v>
      </c>
      <c r="B234">
        <v>233.26961998139879</v>
      </c>
      <c r="C234">
        <v>174342.71756118571</v>
      </c>
      <c r="D234">
        <v>100087.93255056121</v>
      </c>
      <c r="E234">
        <v>74254.785010624459</v>
      </c>
      <c r="F234">
        <v>0</v>
      </c>
      <c r="G234">
        <v>1528.9958200536789</v>
      </c>
      <c r="H234">
        <v>1762.265440035078</v>
      </c>
      <c r="I234">
        <v>34868.543512237127</v>
      </c>
      <c r="J234">
        <v>33106.278072202047</v>
      </c>
    </row>
    <row r="235" spans="1:10">
      <c r="A235" s="1">
        <v>45980.606944444437</v>
      </c>
      <c r="B235">
        <v>305.93815469148723</v>
      </c>
      <c r="C235">
        <v>174270.04902647561</v>
      </c>
      <c r="D235">
        <v>100087.93255056121</v>
      </c>
      <c r="E235">
        <v>74182.116475914372</v>
      </c>
      <c r="F235">
        <v>0</v>
      </c>
      <c r="G235">
        <v>1528.9958200536789</v>
      </c>
      <c r="H235">
        <v>1834.9339747451661</v>
      </c>
      <c r="I235">
        <v>34854.009805295107</v>
      </c>
      <c r="J235">
        <v>33019.075830549948</v>
      </c>
    </row>
    <row r="236" spans="1:10">
      <c r="A236" s="1">
        <v>45980.607638888891</v>
      </c>
      <c r="B236">
        <v>0</v>
      </c>
      <c r="C236">
        <v>0</v>
      </c>
      <c r="D236">
        <v>0</v>
      </c>
      <c r="E236">
        <v>0</v>
      </c>
      <c r="F236">
        <v>485.94097120298483</v>
      </c>
      <c r="G236">
        <v>2014.936791256664</v>
      </c>
      <c r="H236">
        <v>2014.936791256664</v>
      </c>
      <c r="I236">
        <v>0</v>
      </c>
      <c r="J236">
        <v>-2014.936791256664</v>
      </c>
    </row>
    <row r="237" spans="1:10">
      <c r="A237" s="1">
        <v>45981.604166666657</v>
      </c>
      <c r="B237">
        <v>0</v>
      </c>
      <c r="C237">
        <v>174400.12208004459</v>
      </c>
      <c r="D237">
        <v>74400.122080044646</v>
      </c>
      <c r="E237">
        <v>99999.999999999985</v>
      </c>
      <c r="F237">
        <v>0</v>
      </c>
      <c r="G237">
        <v>2014.936791256664</v>
      </c>
      <c r="H237">
        <v>2014.936791256664</v>
      </c>
      <c r="I237">
        <v>34880.024416008928</v>
      </c>
      <c r="J237">
        <v>32865.087624752261</v>
      </c>
    </row>
    <row r="238" spans="1:10">
      <c r="A238" s="1">
        <v>45981.604861111111</v>
      </c>
      <c r="B238">
        <v>220.7959202175434</v>
      </c>
      <c r="C238">
        <v>174805.950894999</v>
      </c>
      <c r="D238">
        <v>74713.434447630614</v>
      </c>
      <c r="E238">
        <v>100092.5164473684</v>
      </c>
      <c r="F238">
        <v>0</v>
      </c>
      <c r="G238">
        <v>2014.936791256664</v>
      </c>
      <c r="H238">
        <v>2235.732711474207</v>
      </c>
      <c r="I238">
        <v>34961.190178999808</v>
      </c>
      <c r="J238">
        <v>32725.457467525601</v>
      </c>
    </row>
    <row r="239" spans="1:10">
      <c r="A239" s="1">
        <v>45981.605555555558</v>
      </c>
      <c r="B239">
        <v>246.48295075297639</v>
      </c>
      <c r="C239">
        <v>174363.9158860608</v>
      </c>
      <c r="D239">
        <v>74505.260458429198</v>
      </c>
      <c r="E239">
        <v>99858.655427631573</v>
      </c>
      <c r="F239">
        <v>0</v>
      </c>
      <c r="G239">
        <v>2014.936791256664</v>
      </c>
      <c r="H239">
        <v>2261.4197420096398</v>
      </c>
      <c r="I239">
        <v>34872.783177212157</v>
      </c>
      <c r="J239">
        <v>32611.363435202518</v>
      </c>
    </row>
    <row r="240" spans="1:10">
      <c r="A240" s="1">
        <v>45981.606249999997</v>
      </c>
      <c r="B240">
        <v>2.342325752979292</v>
      </c>
      <c r="C240">
        <v>174608.05651106071</v>
      </c>
      <c r="D240">
        <v>74505.260458429198</v>
      </c>
      <c r="E240">
        <v>100102.7960526316</v>
      </c>
      <c r="F240">
        <v>0</v>
      </c>
      <c r="G240">
        <v>2014.936791256664</v>
      </c>
      <c r="H240">
        <v>2017.279117009643</v>
      </c>
      <c r="I240">
        <v>34921.61130221215</v>
      </c>
      <c r="J240">
        <v>32904.332185202496</v>
      </c>
    </row>
    <row r="241" spans="1:10">
      <c r="A241" s="1">
        <v>45981.606944444437</v>
      </c>
      <c r="B241">
        <v>0</v>
      </c>
      <c r="C241">
        <v>0</v>
      </c>
      <c r="D241">
        <v>0</v>
      </c>
      <c r="E241">
        <v>0</v>
      </c>
      <c r="F241">
        <v>612.70112551249497</v>
      </c>
      <c r="G241">
        <v>2627.6379167691589</v>
      </c>
      <c r="H241">
        <v>2627.6379167691589</v>
      </c>
      <c r="I241">
        <v>0</v>
      </c>
      <c r="J241">
        <v>-2627.6379167691589</v>
      </c>
    </row>
    <row r="242" spans="1:10">
      <c r="A242" s="1">
        <v>45981.851388888892</v>
      </c>
      <c r="B242">
        <v>0</v>
      </c>
      <c r="C242">
        <v>174400.12208004459</v>
      </c>
      <c r="D242">
        <v>100000</v>
      </c>
      <c r="E242">
        <v>74400.122080044646</v>
      </c>
      <c r="F242">
        <v>0</v>
      </c>
      <c r="G242">
        <v>2627.6379167691589</v>
      </c>
      <c r="H242">
        <v>2627.6379167691589</v>
      </c>
      <c r="I242">
        <v>34880.024416008928</v>
      </c>
      <c r="J242">
        <v>32252.386499239768</v>
      </c>
    </row>
    <row r="243" spans="1:10">
      <c r="A243" s="1">
        <v>45981.852083333331</v>
      </c>
      <c r="B243">
        <v>163.63978925981789</v>
      </c>
      <c r="C243">
        <v>174236.4822907848</v>
      </c>
      <c r="D243">
        <v>100000</v>
      </c>
      <c r="E243">
        <v>74236.482290784828</v>
      </c>
      <c r="F243">
        <v>0</v>
      </c>
      <c r="G243">
        <v>2627.6379167691589</v>
      </c>
      <c r="H243">
        <v>2791.2777060289768</v>
      </c>
      <c r="I243">
        <v>34847.296458156969</v>
      </c>
      <c r="J243">
        <v>32056.018752127991</v>
      </c>
    </row>
    <row r="244" spans="1:10">
      <c r="A244" s="1">
        <v>45981.852777777778</v>
      </c>
      <c r="B244">
        <v>115.75916552877869</v>
      </c>
      <c r="C244">
        <v>174231.6647694906</v>
      </c>
      <c r="D244">
        <v>99973.650927487368</v>
      </c>
      <c r="E244">
        <v>74258.013842003231</v>
      </c>
      <c r="F244">
        <v>0</v>
      </c>
      <c r="G244">
        <v>2627.6379167691589</v>
      </c>
      <c r="H244">
        <v>2743.3970822979381</v>
      </c>
      <c r="I244">
        <v>34846.33295389812</v>
      </c>
      <c r="J244">
        <v>32102.935871600181</v>
      </c>
    </row>
    <row r="245" spans="1:10">
      <c r="A245" s="1">
        <v>45981.853472222218</v>
      </c>
      <c r="B245">
        <v>0</v>
      </c>
      <c r="C245">
        <v>0</v>
      </c>
      <c r="D245">
        <v>0</v>
      </c>
      <c r="E245">
        <v>0</v>
      </c>
      <c r="F245">
        <v>183.80111719705701</v>
      </c>
      <c r="G245">
        <v>2811.4390339662159</v>
      </c>
      <c r="H245">
        <v>2811.4390339662159</v>
      </c>
      <c r="I245">
        <v>0</v>
      </c>
      <c r="J245">
        <v>-2811.4390339662159</v>
      </c>
    </row>
    <row r="246" spans="1:10">
      <c r="A246" s="1">
        <v>45992.604861111111</v>
      </c>
      <c r="B246">
        <v>0</v>
      </c>
      <c r="C246">
        <v>136784.50076887361</v>
      </c>
      <c r="D246">
        <v>36784.500768873622</v>
      </c>
      <c r="E246">
        <v>100000</v>
      </c>
      <c r="F246">
        <v>0</v>
      </c>
      <c r="G246">
        <v>2811.4390339662159</v>
      </c>
      <c r="H246">
        <v>2811.4390339662159</v>
      </c>
      <c r="I246">
        <v>27356.900153774721</v>
      </c>
      <c r="J246">
        <v>24545.461119808511</v>
      </c>
    </row>
    <row r="247" spans="1:10">
      <c r="A247" s="1">
        <v>45992.605555555558</v>
      </c>
      <c r="B247">
        <v>0</v>
      </c>
      <c r="C247">
        <v>0</v>
      </c>
      <c r="D247">
        <v>0</v>
      </c>
      <c r="E247">
        <v>0</v>
      </c>
      <c r="F247">
        <v>282.91152936454631</v>
      </c>
      <c r="G247">
        <v>3094.3505633307618</v>
      </c>
      <c r="H247">
        <v>3094.3505633307618</v>
      </c>
      <c r="I247">
        <v>0</v>
      </c>
      <c r="J247">
        <v>-3094.3505633307618</v>
      </c>
    </row>
    <row r="248" spans="1:10">
      <c r="A248" s="1">
        <v>45999.604166666657</v>
      </c>
      <c r="B248">
        <v>0</v>
      </c>
      <c r="C248">
        <v>136784.50076887361</v>
      </c>
      <c r="D248">
        <v>100000</v>
      </c>
      <c r="E248">
        <v>36784.500768873622</v>
      </c>
      <c r="F248">
        <v>0</v>
      </c>
      <c r="G248">
        <v>3094.3505633307618</v>
      </c>
      <c r="H248">
        <v>3094.3505633307618</v>
      </c>
      <c r="I248">
        <v>27356.900153774721</v>
      </c>
      <c r="J248">
        <v>24262.549590443959</v>
      </c>
    </row>
    <row r="249" spans="1:10">
      <c r="A249" s="1">
        <v>45999.604861111111</v>
      </c>
      <c r="B249">
        <v>-129.8701298701348</v>
      </c>
      <c r="C249">
        <v>136654.6306390035</v>
      </c>
      <c r="D249">
        <v>99870.129870129866</v>
      </c>
      <c r="E249">
        <v>36784.500768873622</v>
      </c>
      <c r="F249">
        <v>0</v>
      </c>
      <c r="G249">
        <v>3094.3505633307618</v>
      </c>
      <c r="H249">
        <v>2964.480433460627</v>
      </c>
      <c r="I249">
        <v>27330.9261278007</v>
      </c>
      <c r="J249">
        <v>24366.445694340069</v>
      </c>
    </row>
    <row r="250" spans="1:10">
      <c r="A250" s="1">
        <v>45999.605555555558</v>
      </c>
      <c r="B250">
        <v>-285.71428571428419</v>
      </c>
      <c r="C250">
        <v>136498.78648315929</v>
      </c>
      <c r="D250">
        <v>99714.285714285725</v>
      </c>
      <c r="E250">
        <v>36784.500768873622</v>
      </c>
      <c r="F250">
        <v>0</v>
      </c>
      <c r="G250">
        <v>3094.3505633307618</v>
      </c>
      <c r="H250">
        <v>2808.6362776164779</v>
      </c>
      <c r="I250">
        <v>27299.757296631869</v>
      </c>
      <c r="J250">
        <v>24491.121019015391</v>
      </c>
    </row>
    <row r="251" spans="1:10">
      <c r="A251" s="1">
        <v>45999.606249999997</v>
      </c>
      <c r="B251">
        <v>-298.70129870129767</v>
      </c>
      <c r="C251">
        <v>136485.79947017229</v>
      </c>
      <c r="D251">
        <v>99701.2987012987</v>
      </c>
      <c r="E251">
        <v>36784.500768873622</v>
      </c>
      <c r="F251">
        <v>0</v>
      </c>
      <c r="G251">
        <v>3094.3505633307618</v>
      </c>
      <c r="H251">
        <v>2795.6492646294651</v>
      </c>
      <c r="I251">
        <v>27297.15989403447</v>
      </c>
      <c r="J251">
        <v>24501.510629404998</v>
      </c>
    </row>
    <row r="252" spans="1:10">
      <c r="A252" s="1">
        <v>45999.606944444437</v>
      </c>
      <c r="B252">
        <v>164.50216450216249</v>
      </c>
      <c r="C252">
        <v>136949.0029333758</v>
      </c>
      <c r="D252">
        <v>100164.50216450221</v>
      </c>
      <c r="E252">
        <v>36784.500768873622</v>
      </c>
      <c r="F252">
        <v>0</v>
      </c>
      <c r="G252">
        <v>3094.3505633307618</v>
      </c>
      <c r="H252">
        <v>3258.8527278329252</v>
      </c>
      <c r="I252">
        <v>27389.800586675159</v>
      </c>
      <c r="J252">
        <v>24130.947858842232</v>
      </c>
    </row>
    <row r="253" spans="1:10">
      <c r="A253" s="1">
        <v>45999.607638888891</v>
      </c>
      <c r="B253">
        <v>176.62807280782181</v>
      </c>
      <c r="C253">
        <v>137161.98525017829</v>
      </c>
      <c r="D253">
        <v>100277.0562770563</v>
      </c>
      <c r="E253">
        <v>36884.928973122071</v>
      </c>
      <c r="F253">
        <v>0</v>
      </c>
      <c r="G253">
        <v>3094.3505633307618</v>
      </c>
      <c r="H253">
        <v>3270.9786361385841</v>
      </c>
      <c r="I253">
        <v>27432.39705003567</v>
      </c>
      <c r="J253">
        <v>24161.418413897081</v>
      </c>
    </row>
    <row r="254" spans="1:10">
      <c r="A254" s="1">
        <v>45999.60833333333</v>
      </c>
      <c r="B254">
        <v>0</v>
      </c>
      <c r="C254">
        <v>0</v>
      </c>
      <c r="D254">
        <v>0</v>
      </c>
      <c r="E254">
        <v>0</v>
      </c>
      <c r="F254">
        <v>246.65293095903851</v>
      </c>
      <c r="G254">
        <v>3341.003494289801</v>
      </c>
      <c r="H254">
        <v>3341.003494289801</v>
      </c>
      <c r="I254">
        <v>0</v>
      </c>
      <c r="J254">
        <v>-3341.003494289801</v>
      </c>
    </row>
    <row r="255" spans="1:10">
      <c r="A255" s="1">
        <v>46000.604166666657</v>
      </c>
      <c r="B255">
        <v>0</v>
      </c>
      <c r="C255">
        <v>136784.50076887361</v>
      </c>
      <c r="D255">
        <v>36784.500768873622</v>
      </c>
      <c r="E255">
        <v>100000</v>
      </c>
      <c r="F255">
        <v>0</v>
      </c>
      <c r="G255">
        <v>3341.003494289801</v>
      </c>
      <c r="H255">
        <v>3341.003494289801</v>
      </c>
      <c r="I255">
        <v>27356.900153774721</v>
      </c>
      <c r="J255">
        <v>24015.896659484919</v>
      </c>
    </row>
    <row r="256" spans="1:10">
      <c r="A256" s="1">
        <v>46000.604861111111</v>
      </c>
      <c r="B256">
        <v>-161.7296561116766</v>
      </c>
      <c r="C256">
        <v>136946.23042498529</v>
      </c>
      <c r="D256">
        <v>36784.500768873622</v>
      </c>
      <c r="E256">
        <v>100161.7296561117</v>
      </c>
      <c r="F256">
        <v>0</v>
      </c>
      <c r="G256">
        <v>3341.003494289801</v>
      </c>
      <c r="H256">
        <v>3179.2738381781242</v>
      </c>
      <c r="I256">
        <v>27389.246084997059</v>
      </c>
      <c r="J256">
        <v>24209.972246818939</v>
      </c>
    </row>
    <row r="257" spans="1:10">
      <c r="A257" s="1">
        <v>46000.605555555558</v>
      </c>
      <c r="B257">
        <v>76.124052456758335</v>
      </c>
      <c r="C257">
        <v>137184.0841335537</v>
      </c>
      <c r="D257">
        <v>37022.354477442059</v>
      </c>
      <c r="E257">
        <v>100161.7296561117</v>
      </c>
      <c r="F257">
        <v>0</v>
      </c>
      <c r="G257">
        <v>3341.003494289801</v>
      </c>
      <c r="H257">
        <v>3417.1275467465589</v>
      </c>
      <c r="I257">
        <v>27436.81682671075</v>
      </c>
      <c r="J257">
        <v>24019.68927996419</v>
      </c>
    </row>
    <row r="258" spans="1:10">
      <c r="A258" s="1">
        <v>46000.606249999997</v>
      </c>
      <c r="B258">
        <v>-119.65395231001381</v>
      </c>
      <c r="C258">
        <v>137379.86213832049</v>
      </c>
      <c r="D258">
        <v>37022.354477442059</v>
      </c>
      <c r="E258">
        <v>100357.5076608784</v>
      </c>
      <c r="F258">
        <v>0</v>
      </c>
      <c r="G258">
        <v>3341.003494289801</v>
      </c>
      <c r="H258">
        <v>3221.3495419797869</v>
      </c>
      <c r="I258">
        <v>27475.97242766411</v>
      </c>
      <c r="J258">
        <v>24254.622885684319</v>
      </c>
    </row>
    <row r="259" spans="1:10">
      <c r="A259" s="1">
        <v>46000.606944444437</v>
      </c>
      <c r="B259">
        <v>-636.75891954475276</v>
      </c>
      <c r="C259">
        <v>137892.71971790219</v>
      </c>
      <c r="D259">
        <v>37020.230783615552</v>
      </c>
      <c r="E259">
        <v>100872.4889342867</v>
      </c>
      <c r="F259">
        <v>0</v>
      </c>
      <c r="G259">
        <v>3341.003494289801</v>
      </c>
      <c r="H259">
        <v>2704.2445747450479</v>
      </c>
      <c r="I259">
        <v>27578.543943580451</v>
      </c>
      <c r="J259">
        <v>24874.2993688354</v>
      </c>
    </row>
    <row r="260" spans="1:10">
      <c r="A260" s="1">
        <v>46000.607638888891</v>
      </c>
      <c r="B260">
        <v>-743.09076166088767</v>
      </c>
      <c r="C260">
        <v>137931.09335757021</v>
      </c>
      <c r="D260">
        <v>36986.251682391478</v>
      </c>
      <c r="E260">
        <v>100944.8416751787</v>
      </c>
      <c r="F260">
        <v>0</v>
      </c>
      <c r="G260">
        <v>3341.003494289801</v>
      </c>
      <c r="H260">
        <v>2597.912732628914</v>
      </c>
      <c r="I260">
        <v>27586.218671514049</v>
      </c>
      <c r="J260">
        <v>24988.30593888514</v>
      </c>
    </row>
    <row r="261" spans="1:10">
      <c r="A261" s="1">
        <v>46000.60833333333</v>
      </c>
      <c r="B261">
        <v>-700.5303258420272</v>
      </c>
      <c r="C261">
        <v>137888.53292175141</v>
      </c>
      <c r="D261">
        <v>36986.251682391478</v>
      </c>
      <c r="E261">
        <v>100902.2812393599</v>
      </c>
      <c r="F261">
        <v>0</v>
      </c>
      <c r="G261">
        <v>3341.003494289801</v>
      </c>
      <c r="H261">
        <v>2640.4731684477738</v>
      </c>
      <c r="I261">
        <v>27577.706584350279</v>
      </c>
      <c r="J261">
        <v>24937.233415902501</v>
      </c>
    </row>
    <row r="262" spans="1:10">
      <c r="A262" s="1">
        <v>46000.609027777777</v>
      </c>
      <c r="B262">
        <v>-862.04358373174068</v>
      </c>
      <c r="C262">
        <v>137837.67679699071</v>
      </c>
      <c r="D262">
        <v>36880.066991066291</v>
      </c>
      <c r="E262">
        <v>100957.6098059244</v>
      </c>
      <c r="F262">
        <v>0</v>
      </c>
      <c r="G262">
        <v>3341.003494289801</v>
      </c>
      <c r="H262">
        <v>2478.9599105580601</v>
      </c>
      <c r="I262">
        <v>27567.535359398142</v>
      </c>
      <c r="J262">
        <v>25088.575448840082</v>
      </c>
    </row>
    <row r="263" spans="1:10">
      <c r="A263" s="1">
        <v>46000.609722222223</v>
      </c>
      <c r="B263">
        <v>-798.20293000344407</v>
      </c>
      <c r="C263">
        <v>137773.83614326239</v>
      </c>
      <c r="D263">
        <v>36880.066991066291</v>
      </c>
      <c r="E263">
        <v>100893.7691521961</v>
      </c>
      <c r="F263">
        <v>0</v>
      </c>
      <c r="G263">
        <v>3341.003494289801</v>
      </c>
      <c r="H263">
        <v>2542.8005642863568</v>
      </c>
      <c r="I263">
        <v>27554.767228652479</v>
      </c>
      <c r="J263">
        <v>25011.966664366118</v>
      </c>
    </row>
    <row r="264" spans="1:10">
      <c r="A264" s="1">
        <v>46000.61041666667</v>
      </c>
      <c r="B264">
        <v>-985.46884760643945</v>
      </c>
      <c r="C264">
        <v>137961.10206086541</v>
      </c>
      <c r="D264">
        <v>36880.066991066291</v>
      </c>
      <c r="E264">
        <v>101081.03506979909</v>
      </c>
      <c r="F264">
        <v>0</v>
      </c>
      <c r="G264">
        <v>3341.003494289801</v>
      </c>
      <c r="H264">
        <v>2355.5346466833621</v>
      </c>
      <c r="I264">
        <v>27592.220412173079</v>
      </c>
      <c r="J264">
        <v>25236.685765489721</v>
      </c>
    </row>
    <row r="265" spans="1:10">
      <c r="A265" s="1">
        <v>46000.611111111109</v>
      </c>
      <c r="B265">
        <v>-1049.3095013347361</v>
      </c>
      <c r="C265">
        <v>138024.94271459369</v>
      </c>
      <c r="D265">
        <v>36880.066991066291</v>
      </c>
      <c r="E265">
        <v>101144.8757235274</v>
      </c>
      <c r="F265">
        <v>0</v>
      </c>
      <c r="G265">
        <v>3341.003494289801</v>
      </c>
      <c r="H265">
        <v>2291.6939929550649</v>
      </c>
      <c r="I265">
        <v>27604.988542918742</v>
      </c>
      <c r="J265">
        <v>25313.294549963681</v>
      </c>
    </row>
    <row r="266" spans="1:10">
      <c r="A266" s="1">
        <v>46000.611805555563</v>
      </c>
      <c r="B266">
        <v>-1049.3095013347361</v>
      </c>
      <c r="C266">
        <v>138024.94271459369</v>
      </c>
      <c r="D266">
        <v>36880.066991066291</v>
      </c>
      <c r="E266">
        <v>101144.8757235274</v>
      </c>
      <c r="F266">
        <v>0</v>
      </c>
      <c r="G266">
        <v>3341.003494289801</v>
      </c>
      <c r="H266">
        <v>2291.6939929550649</v>
      </c>
      <c r="I266">
        <v>27604.988542918742</v>
      </c>
      <c r="J266">
        <v>25313.294549963681</v>
      </c>
    </row>
    <row r="267" spans="1:10">
      <c r="A267" s="1">
        <v>46000.612500000003</v>
      </c>
      <c r="B267">
        <v>-1249.3435496833899</v>
      </c>
      <c r="C267">
        <v>138224.97676294239</v>
      </c>
      <c r="D267">
        <v>36880.066991066291</v>
      </c>
      <c r="E267">
        <v>101344.9097718761</v>
      </c>
      <c r="F267">
        <v>0</v>
      </c>
      <c r="G267">
        <v>3341.003494289801</v>
      </c>
      <c r="H267">
        <v>2091.659944606411</v>
      </c>
      <c r="I267">
        <v>27644.99535258847</v>
      </c>
      <c r="J267">
        <v>25553.33540798206</v>
      </c>
    </row>
    <row r="268" spans="1:10">
      <c r="A268" s="1">
        <v>46000.613194444442</v>
      </c>
      <c r="B268">
        <v>-1427.837702256259</v>
      </c>
      <c r="C268">
        <v>138148.62765633469</v>
      </c>
      <c r="D268">
        <v>36752.645361476061</v>
      </c>
      <c r="E268">
        <v>101395.9822948587</v>
      </c>
      <c r="F268">
        <v>0</v>
      </c>
      <c r="G268">
        <v>3341.003494289801</v>
      </c>
      <c r="H268">
        <v>1913.1657920335419</v>
      </c>
      <c r="I268">
        <v>27629.725531266951</v>
      </c>
      <c r="J268">
        <v>25716.559739233409</v>
      </c>
    </row>
    <row r="269" spans="1:10">
      <c r="A269" s="1">
        <v>46000.613888888889</v>
      </c>
      <c r="B269">
        <v>-1602.344145042468</v>
      </c>
      <c r="C269">
        <v>138331.628874427</v>
      </c>
      <c r="D269">
        <v>36756.892749129067</v>
      </c>
      <c r="E269">
        <v>101574.7361252979</v>
      </c>
      <c r="F269">
        <v>0</v>
      </c>
      <c r="G269">
        <v>3341.003494289801</v>
      </c>
      <c r="H269">
        <v>1738.659349247333</v>
      </c>
      <c r="I269">
        <v>27666.325774885401</v>
      </c>
      <c r="J269">
        <v>25927.666425638072</v>
      </c>
    </row>
    <row r="270" spans="1:10">
      <c r="A270" s="1">
        <v>46000.614583333343</v>
      </c>
      <c r="B270">
        <v>-1727.849823099288</v>
      </c>
      <c r="C270">
        <v>138410.41328830071</v>
      </c>
      <c r="D270">
        <v>36733.532117037517</v>
      </c>
      <c r="E270">
        <v>101676.8811712632</v>
      </c>
      <c r="F270">
        <v>0</v>
      </c>
      <c r="G270">
        <v>3341.003494289801</v>
      </c>
      <c r="H270">
        <v>1613.153671190513</v>
      </c>
      <c r="I270">
        <v>27682.082657660139</v>
      </c>
      <c r="J270">
        <v>26068.928986469629</v>
      </c>
    </row>
    <row r="271" spans="1:10">
      <c r="A271" s="1">
        <v>46000.615277777782</v>
      </c>
      <c r="B271">
        <v>-1692.679036028791</v>
      </c>
      <c r="C271">
        <v>138317.90276791461</v>
      </c>
      <c r="D271">
        <v>36704.862250379723</v>
      </c>
      <c r="E271">
        <v>101613.0405175349</v>
      </c>
      <c r="F271">
        <v>0</v>
      </c>
      <c r="G271">
        <v>3341.003494289801</v>
      </c>
      <c r="H271">
        <v>1648.32445826101</v>
      </c>
      <c r="I271">
        <v>27663.580553582931</v>
      </c>
      <c r="J271">
        <v>26015.256095321922</v>
      </c>
    </row>
    <row r="272" spans="1:10">
      <c r="A272" s="1">
        <v>46000.615972222222</v>
      </c>
      <c r="B272">
        <v>-1793.814170654086</v>
      </c>
      <c r="C272">
        <v>138472.13024820251</v>
      </c>
      <c r="D272">
        <v>36731.408423211033</v>
      </c>
      <c r="E272">
        <v>101740.7218249915</v>
      </c>
      <c r="F272">
        <v>0</v>
      </c>
      <c r="G272">
        <v>3341.003494289801</v>
      </c>
      <c r="H272">
        <v>1547.189323635715</v>
      </c>
      <c r="I272">
        <v>27694.4260496405</v>
      </c>
      <c r="J272">
        <v>26147.23672600479</v>
      </c>
    </row>
    <row r="273" spans="1:10">
      <c r="A273" s="1">
        <v>46000.616666666669</v>
      </c>
      <c r="B273">
        <v>-2100.1194696167199</v>
      </c>
      <c r="C273">
        <v>138651.01391757489</v>
      </c>
      <c r="D273">
        <v>36667.697608415903</v>
      </c>
      <c r="E273">
        <v>101983.316309159</v>
      </c>
      <c r="F273">
        <v>0</v>
      </c>
      <c r="G273">
        <v>3341.003494289801</v>
      </c>
      <c r="H273">
        <v>1240.8840246730811</v>
      </c>
      <c r="I273">
        <v>27730.202783514978</v>
      </c>
      <c r="J273">
        <v>26489.318758841899</v>
      </c>
    </row>
    <row r="274" spans="1:10">
      <c r="A274" s="1">
        <v>46000.617361111108</v>
      </c>
      <c r="B274">
        <v>-2129.911774689921</v>
      </c>
      <c r="C274">
        <v>138680.8062226481</v>
      </c>
      <c r="D274">
        <v>36667.697608415903</v>
      </c>
      <c r="E274">
        <v>102013.1086142322</v>
      </c>
      <c r="F274">
        <v>0</v>
      </c>
      <c r="G274">
        <v>3341.003494289801</v>
      </c>
      <c r="H274">
        <v>1211.09171959988</v>
      </c>
      <c r="I274">
        <v>27736.16124452962</v>
      </c>
      <c r="J274">
        <v>26525.069524929739</v>
      </c>
    </row>
    <row r="275" spans="1:10">
      <c r="A275" s="1">
        <v>46000.618055555547</v>
      </c>
      <c r="B275">
        <v>-2319.387945408203</v>
      </c>
      <c r="C275">
        <v>138950.98275877349</v>
      </c>
      <c r="D275">
        <v>36708.047791119483</v>
      </c>
      <c r="E275">
        <v>102242.9349676541</v>
      </c>
      <c r="F275">
        <v>0</v>
      </c>
      <c r="G275">
        <v>3341.003494289801</v>
      </c>
      <c r="H275">
        <v>1021.615548881598</v>
      </c>
      <c r="I275">
        <v>27790.196551754711</v>
      </c>
      <c r="J275">
        <v>26768.58100287311</v>
      </c>
    </row>
    <row r="276" spans="1:10">
      <c r="A276" s="1">
        <v>46000.618750000001</v>
      </c>
      <c r="B276">
        <v>-2255.547291679919</v>
      </c>
      <c r="C276">
        <v>138887.14210504529</v>
      </c>
      <c r="D276">
        <v>36708.047791119483</v>
      </c>
      <c r="E276">
        <v>102179.0943139258</v>
      </c>
      <c r="F276">
        <v>0</v>
      </c>
      <c r="G276">
        <v>3341.003494289801</v>
      </c>
      <c r="H276">
        <v>1085.456202609882</v>
      </c>
      <c r="I276">
        <v>27777.428421009059</v>
      </c>
      <c r="J276">
        <v>26691.972218399169</v>
      </c>
    </row>
    <row r="277" spans="1:10">
      <c r="A277" s="1">
        <v>46000.619444444441</v>
      </c>
      <c r="B277">
        <v>-2442.8132092829142</v>
      </c>
      <c r="C277">
        <v>139074.40802264819</v>
      </c>
      <c r="D277">
        <v>36708.047791119483</v>
      </c>
      <c r="E277">
        <v>102366.3602315288</v>
      </c>
      <c r="F277">
        <v>0</v>
      </c>
      <c r="G277">
        <v>3341.003494289801</v>
      </c>
      <c r="H277">
        <v>898.19028500688682</v>
      </c>
      <c r="I277">
        <v>27814.881604529652</v>
      </c>
      <c r="J277">
        <v>26916.691319522761</v>
      </c>
    </row>
    <row r="278" spans="1:10">
      <c r="A278" s="1">
        <v>46000.620138888888</v>
      </c>
      <c r="B278">
        <v>-2455.5813400285729</v>
      </c>
      <c r="C278">
        <v>139087.1761533939</v>
      </c>
      <c r="D278">
        <v>36708.047791119483</v>
      </c>
      <c r="E278">
        <v>102379.12836227439</v>
      </c>
      <c r="F278">
        <v>0</v>
      </c>
      <c r="G278">
        <v>3341.003494289801</v>
      </c>
      <c r="H278">
        <v>885.42215426122766</v>
      </c>
      <c r="I278">
        <v>27817.43523067878</v>
      </c>
      <c r="J278">
        <v>26932.013076417548</v>
      </c>
    </row>
    <row r="279" spans="1:10">
      <c r="A279" s="1">
        <v>46000.620833333327</v>
      </c>
      <c r="B279">
        <v>-2468.3494707742329</v>
      </c>
      <c r="C279">
        <v>139099.94428413961</v>
      </c>
      <c r="D279">
        <v>36708.047791119483</v>
      </c>
      <c r="E279">
        <v>102391.8964930201</v>
      </c>
      <c r="F279">
        <v>0</v>
      </c>
      <c r="G279">
        <v>3341.003494289801</v>
      </c>
      <c r="H279">
        <v>872.65402351556804</v>
      </c>
      <c r="I279">
        <v>27819.98885682792</v>
      </c>
      <c r="J279">
        <v>26947.33483331235</v>
      </c>
    </row>
    <row r="280" spans="1:10">
      <c r="A280" s="1">
        <v>46000.621527777781</v>
      </c>
      <c r="B280">
        <v>-2215.3875394116731</v>
      </c>
      <c r="C280">
        <v>139114.5677749165</v>
      </c>
      <c r="D280">
        <v>36841.840502189218</v>
      </c>
      <c r="E280">
        <v>102272.72727272729</v>
      </c>
      <c r="F280">
        <v>0</v>
      </c>
      <c r="G280">
        <v>3341.003494289801</v>
      </c>
      <c r="H280">
        <v>1125.6159548781279</v>
      </c>
      <c r="I280">
        <v>27822.913554983301</v>
      </c>
      <c r="J280">
        <v>26697.297600105168</v>
      </c>
    </row>
    <row r="281" spans="1:10">
      <c r="A281" s="1">
        <v>46000.62222222222</v>
      </c>
      <c r="B281">
        <v>-2138.7787549377172</v>
      </c>
      <c r="C281">
        <v>139037.95899044251</v>
      </c>
      <c r="D281">
        <v>36841.840502189218</v>
      </c>
      <c r="E281">
        <v>102196.1184882533</v>
      </c>
      <c r="F281">
        <v>0</v>
      </c>
      <c r="G281">
        <v>3341.003494289801</v>
      </c>
      <c r="H281">
        <v>1202.224739352084</v>
      </c>
      <c r="I281">
        <v>27807.59179808851</v>
      </c>
      <c r="J281">
        <v>26605.367058736421</v>
      </c>
    </row>
    <row r="282" spans="1:10">
      <c r="A282" s="1">
        <v>46000.622916666667</v>
      </c>
      <c r="B282">
        <v>-2113.2424934463988</v>
      </c>
      <c r="C282">
        <v>139012.42272895121</v>
      </c>
      <c r="D282">
        <v>36841.840502189218</v>
      </c>
      <c r="E282">
        <v>102170.582226762</v>
      </c>
      <c r="F282">
        <v>0</v>
      </c>
      <c r="G282">
        <v>3341.003494289801</v>
      </c>
      <c r="H282">
        <v>1227.7610008434019</v>
      </c>
      <c r="I282">
        <v>27802.484545790241</v>
      </c>
      <c r="J282">
        <v>26574.723544946839</v>
      </c>
    </row>
    <row r="283" spans="1:10">
      <c r="A283" s="1">
        <v>46000.623611111107</v>
      </c>
      <c r="B283">
        <v>-2172.9136628815918</v>
      </c>
      <c r="C283">
        <v>139157.04165144661</v>
      </c>
      <c r="D283">
        <v>36884.314378719297</v>
      </c>
      <c r="E283">
        <v>102272.72727272729</v>
      </c>
      <c r="F283">
        <v>0</v>
      </c>
      <c r="G283">
        <v>3341.003494289801</v>
      </c>
      <c r="H283">
        <v>1168.089831408209</v>
      </c>
      <c r="I283">
        <v>27831.40833028932</v>
      </c>
      <c r="J283">
        <v>26663.318498881112</v>
      </c>
    </row>
    <row r="284" spans="1:10">
      <c r="A284" s="1">
        <v>46000.624305555553</v>
      </c>
      <c r="B284">
        <v>-2121.7718924679211</v>
      </c>
      <c r="C284">
        <v>139037.94167858479</v>
      </c>
      <c r="D284">
        <v>36850.335277495236</v>
      </c>
      <c r="E284">
        <v>102187.60640108951</v>
      </c>
      <c r="F284">
        <v>0</v>
      </c>
      <c r="G284">
        <v>3341.003494289801</v>
      </c>
      <c r="H284">
        <v>1219.2316018218801</v>
      </c>
      <c r="I284">
        <v>27807.588335716959</v>
      </c>
      <c r="J284">
        <v>26588.356733895082</v>
      </c>
    </row>
    <row r="285" spans="1:10">
      <c r="A285" s="1">
        <v>46000.625</v>
      </c>
      <c r="B285">
        <v>-2266.5033420386908</v>
      </c>
      <c r="C285">
        <v>139208.1574540736</v>
      </c>
      <c r="D285">
        <v>36863.077440454268</v>
      </c>
      <c r="E285">
        <v>102345.0800136193</v>
      </c>
      <c r="F285">
        <v>0</v>
      </c>
      <c r="G285">
        <v>3341.003494289801</v>
      </c>
      <c r="H285">
        <v>1074.50015225111</v>
      </c>
      <c r="I285">
        <v>27841.631490814721</v>
      </c>
      <c r="J285">
        <v>26767.131338563609</v>
      </c>
    </row>
    <row r="286" spans="1:10">
      <c r="A286" s="1">
        <v>46000.625694444447</v>
      </c>
      <c r="B286">
        <v>-2160.1022524915338</v>
      </c>
      <c r="C286">
        <v>139101.7563645264</v>
      </c>
      <c r="D286">
        <v>36863.077440454268</v>
      </c>
      <c r="E286">
        <v>102238.6789240722</v>
      </c>
      <c r="F286">
        <v>0</v>
      </c>
      <c r="G286">
        <v>3341.003494289801</v>
      </c>
      <c r="H286">
        <v>1180.9012417982669</v>
      </c>
      <c r="I286">
        <v>27820.351272905289</v>
      </c>
      <c r="J286">
        <v>26639.450031107019</v>
      </c>
    </row>
    <row r="287" spans="1:10">
      <c r="A287" s="1">
        <v>46000.626388888893</v>
      </c>
      <c r="B287">
        <v>0</v>
      </c>
      <c r="C287">
        <v>0</v>
      </c>
      <c r="D287">
        <v>0</v>
      </c>
      <c r="E287">
        <v>0</v>
      </c>
      <c r="F287">
        <v>-2028.0678917453649</v>
      </c>
      <c r="G287">
        <v>1312.9356025444361</v>
      </c>
      <c r="H287">
        <v>1312.9356025444361</v>
      </c>
      <c r="I287">
        <v>0</v>
      </c>
      <c r="J287">
        <v>-1312.9356025444361</v>
      </c>
    </row>
    <row r="288" spans="1:10">
      <c r="A288" s="1">
        <v>46001.604166666657</v>
      </c>
      <c r="B288">
        <v>0</v>
      </c>
      <c r="C288">
        <v>136784.50076887361</v>
      </c>
      <c r="D288">
        <v>36784.500768873622</v>
      </c>
      <c r="E288">
        <v>100000</v>
      </c>
      <c r="F288">
        <v>0</v>
      </c>
      <c r="G288">
        <v>1312.9356025444361</v>
      </c>
      <c r="H288">
        <v>1312.9356025444361</v>
      </c>
      <c r="I288">
        <v>27356.900153774721</v>
      </c>
      <c r="J288">
        <v>26043.964551230289</v>
      </c>
    </row>
    <row r="289" spans="1:10">
      <c r="A289" s="1">
        <v>46001.604861111111</v>
      </c>
      <c r="B289">
        <v>-109.7046413502071</v>
      </c>
      <c r="C289">
        <v>136894.2054102238</v>
      </c>
      <c r="D289">
        <v>36784.500768873622</v>
      </c>
      <c r="E289">
        <v>100109.7046413502</v>
      </c>
      <c r="F289">
        <v>0</v>
      </c>
      <c r="G289">
        <v>1312.9356025444361</v>
      </c>
      <c r="H289">
        <v>1203.2309611942289</v>
      </c>
      <c r="I289">
        <v>27378.841082044772</v>
      </c>
      <c r="J289">
        <v>26175.610120850539</v>
      </c>
    </row>
    <row r="290" spans="1:10">
      <c r="A290" s="1">
        <v>46001.605555555558</v>
      </c>
      <c r="B290">
        <v>-71.729957805901904</v>
      </c>
      <c r="C290">
        <v>136856.2307266795</v>
      </c>
      <c r="D290">
        <v>36784.500768873622</v>
      </c>
      <c r="E290">
        <v>100071.7299578059</v>
      </c>
      <c r="F290">
        <v>0</v>
      </c>
      <c r="G290">
        <v>1312.9356025444361</v>
      </c>
      <c r="H290">
        <v>1241.2056447385339</v>
      </c>
      <c r="I290">
        <v>27371.24614533591</v>
      </c>
      <c r="J290">
        <v>26130.04050059737</v>
      </c>
    </row>
    <row r="291" spans="1:10">
      <c r="A291" s="1">
        <v>46001.606249999997</v>
      </c>
      <c r="B291">
        <v>-164.52182774985491</v>
      </c>
      <c r="C291">
        <v>136873.14349808579</v>
      </c>
      <c r="D291">
        <v>36746.561219604788</v>
      </c>
      <c r="E291">
        <v>100126.582278481</v>
      </c>
      <c r="F291">
        <v>0</v>
      </c>
      <c r="G291">
        <v>1312.9356025444361</v>
      </c>
      <c r="H291">
        <v>1148.4137747945811</v>
      </c>
      <c r="I291">
        <v>27374.628699617158</v>
      </c>
      <c r="J291">
        <v>26226.21492482258</v>
      </c>
    </row>
    <row r="292" spans="1:10">
      <c r="A292" s="1">
        <v>46001.606944444437</v>
      </c>
      <c r="B292">
        <v>-552.7074817582884</v>
      </c>
      <c r="C292">
        <v>137261.32915209429</v>
      </c>
      <c r="D292">
        <v>36746.561219604788</v>
      </c>
      <c r="E292">
        <v>100514.7679324895</v>
      </c>
      <c r="F292">
        <v>0</v>
      </c>
      <c r="G292">
        <v>1312.9356025444361</v>
      </c>
      <c r="H292">
        <v>760.22812078614743</v>
      </c>
      <c r="I292">
        <v>27452.265830418852</v>
      </c>
      <c r="J292">
        <v>26692.037709632699</v>
      </c>
    </row>
    <row r="293" spans="1:10">
      <c r="A293" s="1">
        <v>46001.607638888891</v>
      </c>
      <c r="B293">
        <v>-662.41212310849551</v>
      </c>
      <c r="C293">
        <v>137371.03379344451</v>
      </c>
      <c r="D293">
        <v>36746.561219604788</v>
      </c>
      <c r="E293">
        <v>100624.4725738397</v>
      </c>
      <c r="F293">
        <v>0</v>
      </c>
      <c r="G293">
        <v>1312.9356025444361</v>
      </c>
      <c r="H293">
        <v>650.52347943594032</v>
      </c>
      <c r="I293">
        <v>27474.206758688892</v>
      </c>
      <c r="J293">
        <v>26823.683279252949</v>
      </c>
    </row>
    <row r="294" spans="1:10">
      <c r="A294" s="1">
        <v>46001.60833333333</v>
      </c>
      <c r="B294">
        <v>-645.53448597769716</v>
      </c>
      <c r="C294">
        <v>137354.15615631369</v>
      </c>
      <c r="D294">
        <v>36746.561219604788</v>
      </c>
      <c r="E294">
        <v>100607.59493670891</v>
      </c>
      <c r="F294">
        <v>0</v>
      </c>
      <c r="G294">
        <v>1312.9356025444361</v>
      </c>
      <c r="H294">
        <v>667.40111656673866</v>
      </c>
      <c r="I294">
        <v>27470.831231262731</v>
      </c>
      <c r="J294">
        <v>26803.430114695999</v>
      </c>
    </row>
    <row r="295" spans="1:10">
      <c r="A295" s="1">
        <v>46001.609027777777</v>
      </c>
      <c r="B295">
        <v>-581.17775894345471</v>
      </c>
      <c r="C295">
        <v>137266.61414917069</v>
      </c>
      <c r="D295">
        <v>36734.968579550419</v>
      </c>
      <c r="E295">
        <v>100531.6455696202</v>
      </c>
      <c r="F295">
        <v>0</v>
      </c>
      <c r="G295">
        <v>1312.9356025444361</v>
      </c>
      <c r="H295">
        <v>731.75784360098112</v>
      </c>
      <c r="I295">
        <v>27453.322829834131</v>
      </c>
      <c r="J295">
        <v>26721.564986233148</v>
      </c>
    </row>
    <row r="296" spans="1:10">
      <c r="A296" s="1">
        <v>46001.609722222223</v>
      </c>
      <c r="B296">
        <v>-530.54484755104772</v>
      </c>
      <c r="C296">
        <v>137215.98123777829</v>
      </c>
      <c r="D296">
        <v>36734.968579550419</v>
      </c>
      <c r="E296">
        <v>100481.0126582278</v>
      </c>
      <c r="F296">
        <v>0</v>
      </c>
      <c r="G296">
        <v>1312.9356025444361</v>
      </c>
      <c r="H296">
        <v>782.3907549933881</v>
      </c>
      <c r="I296">
        <v>27443.19624755565</v>
      </c>
      <c r="J296">
        <v>26660.805492562271</v>
      </c>
    </row>
    <row r="297" spans="1:10">
      <c r="A297" s="1">
        <v>46001.61041666667</v>
      </c>
      <c r="B297">
        <v>-547.42248468185801</v>
      </c>
      <c r="C297">
        <v>137232.85887490911</v>
      </c>
      <c r="D297">
        <v>36734.968579550419</v>
      </c>
      <c r="E297">
        <v>100497.89029535869</v>
      </c>
      <c r="F297">
        <v>0</v>
      </c>
      <c r="G297">
        <v>1312.9356025444361</v>
      </c>
      <c r="H297">
        <v>765.51311786257781</v>
      </c>
      <c r="I297">
        <v>27446.57177498181</v>
      </c>
      <c r="J297">
        <v>26681.05865711924</v>
      </c>
    </row>
    <row r="298" spans="1:10">
      <c r="A298" s="1">
        <v>46001.611111111109</v>
      </c>
      <c r="B298">
        <v>-486.17273343596059</v>
      </c>
      <c r="C298">
        <v>137024.0664320621</v>
      </c>
      <c r="D298">
        <v>36661.197233749903</v>
      </c>
      <c r="E298">
        <v>100362.8691983122</v>
      </c>
      <c r="F298">
        <v>0</v>
      </c>
      <c r="G298">
        <v>1312.9356025444361</v>
      </c>
      <c r="H298">
        <v>826.76286910847523</v>
      </c>
      <c r="I298">
        <v>27404.813286412431</v>
      </c>
      <c r="J298">
        <v>26578.050417303952</v>
      </c>
    </row>
    <row r="299" spans="1:10">
      <c r="A299" s="1">
        <v>46001.611805555563</v>
      </c>
      <c r="B299">
        <v>-448.19804989165539</v>
      </c>
      <c r="C299">
        <v>136986.09174851779</v>
      </c>
      <c r="D299">
        <v>36661.197233749903</v>
      </c>
      <c r="E299">
        <v>100324.8945147679</v>
      </c>
      <c r="F299">
        <v>0</v>
      </c>
      <c r="G299">
        <v>1312.9356025444361</v>
      </c>
      <c r="H299">
        <v>864.73755265278044</v>
      </c>
      <c r="I299">
        <v>27397.218349703569</v>
      </c>
      <c r="J299">
        <v>26532.48079705079</v>
      </c>
    </row>
    <row r="300" spans="1:10">
      <c r="A300" s="1">
        <v>46001.612500000003</v>
      </c>
      <c r="B300">
        <v>-511.48918913215209</v>
      </c>
      <c r="C300">
        <v>137049.38288775829</v>
      </c>
      <c r="D300">
        <v>36661.197233749903</v>
      </c>
      <c r="E300">
        <v>100388.1856540084</v>
      </c>
      <c r="F300">
        <v>0</v>
      </c>
      <c r="G300">
        <v>1312.9356025444361</v>
      </c>
      <c r="H300">
        <v>801.44641341228373</v>
      </c>
      <c r="I300">
        <v>27409.876577551669</v>
      </c>
      <c r="J300">
        <v>26608.43016413939</v>
      </c>
    </row>
    <row r="301" spans="1:10">
      <c r="A301" s="1">
        <v>46001.613194444442</v>
      </c>
      <c r="B301">
        <v>-528.36682626296238</v>
      </c>
      <c r="C301">
        <v>137066.26052488919</v>
      </c>
      <c r="D301">
        <v>36661.197233749903</v>
      </c>
      <c r="E301">
        <v>100405.0632911392</v>
      </c>
      <c r="F301">
        <v>0</v>
      </c>
      <c r="G301">
        <v>1312.9356025444361</v>
      </c>
      <c r="H301">
        <v>784.56877628147345</v>
      </c>
      <c r="I301">
        <v>27413.25210497783</v>
      </c>
      <c r="J301">
        <v>26628.683328696359</v>
      </c>
    </row>
    <row r="302" spans="1:10">
      <c r="A302" s="1">
        <v>46001.613888888889</v>
      </c>
      <c r="B302">
        <v>-380.68750136845011</v>
      </c>
      <c r="C302">
        <v>136918.5811999946</v>
      </c>
      <c r="D302">
        <v>36661.197233749903</v>
      </c>
      <c r="E302">
        <v>100257.3839662447</v>
      </c>
      <c r="F302">
        <v>0</v>
      </c>
      <c r="G302">
        <v>1312.9356025444361</v>
      </c>
      <c r="H302">
        <v>932.24810117598577</v>
      </c>
      <c r="I302">
        <v>27383.716239998928</v>
      </c>
      <c r="J302">
        <v>26451.46813882294</v>
      </c>
    </row>
    <row r="303" spans="1:10">
      <c r="A303" s="1">
        <v>46001.614583333343</v>
      </c>
      <c r="B303">
        <v>-578.99973765536936</v>
      </c>
      <c r="C303">
        <v>137116.89343628159</v>
      </c>
      <c r="D303">
        <v>36661.197233749903</v>
      </c>
      <c r="E303">
        <v>100455.6962025317</v>
      </c>
      <c r="F303">
        <v>0</v>
      </c>
      <c r="G303">
        <v>1312.9356025444361</v>
      </c>
      <c r="H303">
        <v>733.93586488906647</v>
      </c>
      <c r="I303">
        <v>27423.378687256311</v>
      </c>
      <c r="J303">
        <v>26689.442822367251</v>
      </c>
    </row>
    <row r="304" spans="1:10">
      <c r="A304" s="1">
        <v>46001.615277777782</v>
      </c>
      <c r="B304">
        <v>-507.26977984945552</v>
      </c>
      <c r="C304">
        <v>137045.16347847559</v>
      </c>
      <c r="D304">
        <v>36661.197233749903</v>
      </c>
      <c r="E304">
        <v>100383.9662447257</v>
      </c>
      <c r="F304">
        <v>0</v>
      </c>
      <c r="G304">
        <v>1312.9356025444361</v>
      </c>
      <c r="H304">
        <v>805.66582269498031</v>
      </c>
      <c r="I304">
        <v>27409.032695695128</v>
      </c>
      <c r="J304">
        <v>26603.366873000148</v>
      </c>
    </row>
    <row r="305" spans="1:10">
      <c r="A305" s="1">
        <v>46001.615972222222</v>
      </c>
      <c r="B305">
        <v>-410.22336634735018</v>
      </c>
      <c r="C305">
        <v>136948.11706497351</v>
      </c>
      <c r="D305">
        <v>36661.197233749903</v>
      </c>
      <c r="E305">
        <v>100286.9198312236</v>
      </c>
      <c r="F305">
        <v>0</v>
      </c>
      <c r="G305">
        <v>1312.9356025444361</v>
      </c>
      <c r="H305">
        <v>902.71223619708564</v>
      </c>
      <c r="I305">
        <v>27389.623412994712</v>
      </c>
      <c r="J305">
        <v>26486.911176797621</v>
      </c>
    </row>
    <row r="306" spans="1:10">
      <c r="A306" s="1">
        <v>46001.616666666669</v>
      </c>
      <c r="B306">
        <v>-427.10100347814841</v>
      </c>
      <c r="C306">
        <v>136964.9947021043</v>
      </c>
      <c r="D306">
        <v>36661.197233749903</v>
      </c>
      <c r="E306">
        <v>100303.7974683544</v>
      </c>
      <c r="F306">
        <v>0</v>
      </c>
      <c r="G306">
        <v>1312.9356025444361</v>
      </c>
      <c r="H306">
        <v>885.83459906628741</v>
      </c>
      <c r="I306">
        <v>27392.998940420872</v>
      </c>
      <c r="J306">
        <v>26507.164341354579</v>
      </c>
    </row>
    <row r="307" spans="1:10">
      <c r="A307" s="1">
        <v>46001.617361111108</v>
      </c>
      <c r="B307">
        <v>-602.16940253055213</v>
      </c>
      <c r="C307">
        <v>137059.96849714479</v>
      </c>
      <c r="D307">
        <v>36621.149931743908</v>
      </c>
      <c r="E307">
        <v>100438.8185654008</v>
      </c>
      <c r="F307">
        <v>0</v>
      </c>
      <c r="G307">
        <v>1312.9356025444361</v>
      </c>
      <c r="H307">
        <v>710.76620001388369</v>
      </c>
      <c r="I307">
        <v>27411.993699428949</v>
      </c>
      <c r="J307">
        <v>26701.227499415068</v>
      </c>
    </row>
    <row r="308" spans="1:10">
      <c r="A308" s="1">
        <v>46001.618055555547</v>
      </c>
      <c r="B308">
        <v>-556.80977678943157</v>
      </c>
      <c r="C308">
        <v>137012.50111866649</v>
      </c>
      <c r="D308">
        <v>36620.096055375332</v>
      </c>
      <c r="E308">
        <v>100392.40506329109</v>
      </c>
      <c r="F308">
        <v>0</v>
      </c>
      <c r="G308">
        <v>1312.9356025444361</v>
      </c>
      <c r="H308">
        <v>756.12582575500426</v>
      </c>
      <c r="I308">
        <v>27402.500223733299</v>
      </c>
      <c r="J308">
        <v>26646.374397978288</v>
      </c>
    </row>
    <row r="309" spans="1:10">
      <c r="A309" s="1">
        <v>46001.618750000001</v>
      </c>
      <c r="B309">
        <v>-607.4270729482912</v>
      </c>
      <c r="C309">
        <v>137029.39437103079</v>
      </c>
      <c r="D309">
        <v>36603.234033478067</v>
      </c>
      <c r="E309">
        <v>100426.1603375527</v>
      </c>
      <c r="F309">
        <v>0</v>
      </c>
      <c r="G309">
        <v>1312.9356025444361</v>
      </c>
      <c r="H309">
        <v>705.50852959614463</v>
      </c>
      <c r="I309">
        <v>27405.87887420617</v>
      </c>
      <c r="J309">
        <v>26700.370344610019</v>
      </c>
    </row>
    <row r="310" spans="1:10">
      <c r="A310" s="1">
        <v>46001.619444444441</v>
      </c>
      <c r="B310">
        <v>-561.01357083859284</v>
      </c>
      <c r="C310">
        <v>136982.98086892109</v>
      </c>
      <c r="D310">
        <v>36603.234033478067</v>
      </c>
      <c r="E310">
        <v>100379.746835443</v>
      </c>
      <c r="F310">
        <v>0</v>
      </c>
      <c r="G310">
        <v>1312.9356025444361</v>
      </c>
      <c r="H310">
        <v>751.92203170584298</v>
      </c>
      <c r="I310">
        <v>27396.59617378423</v>
      </c>
      <c r="J310">
        <v>26644.67414207838</v>
      </c>
    </row>
    <row r="311" spans="1:10">
      <c r="A311" s="1">
        <v>46001.620138888888</v>
      </c>
      <c r="B311">
        <v>-569.45238940398599</v>
      </c>
      <c r="C311">
        <v>136991.41968748649</v>
      </c>
      <c r="D311">
        <v>36603.234033478067</v>
      </c>
      <c r="E311">
        <v>100388.1856540084</v>
      </c>
      <c r="F311">
        <v>0</v>
      </c>
      <c r="G311">
        <v>1312.9356025444361</v>
      </c>
      <c r="H311">
        <v>743.48321314044983</v>
      </c>
      <c r="I311">
        <v>27398.283937497301</v>
      </c>
      <c r="J311">
        <v>26654.80072435685</v>
      </c>
    </row>
    <row r="312" spans="1:10">
      <c r="A312" s="1">
        <v>46001.620833333327</v>
      </c>
      <c r="B312">
        <v>-586.37687223542014</v>
      </c>
      <c r="C312">
        <v>137109.51630170149</v>
      </c>
      <c r="D312">
        <v>36653.820099169847</v>
      </c>
      <c r="E312">
        <v>100455.6962025317</v>
      </c>
      <c r="F312">
        <v>0</v>
      </c>
      <c r="G312">
        <v>1312.9356025444361</v>
      </c>
      <c r="H312">
        <v>726.55873030901569</v>
      </c>
      <c r="I312">
        <v>27421.903260340299</v>
      </c>
      <c r="J312">
        <v>26695.344530031289</v>
      </c>
    </row>
    <row r="313" spans="1:10">
      <c r="A313" s="1">
        <v>46001.621527777781</v>
      </c>
      <c r="B313">
        <v>-552.6215979738115</v>
      </c>
      <c r="C313">
        <v>137075.7610274399</v>
      </c>
      <c r="D313">
        <v>36653.820099169847</v>
      </c>
      <c r="E313">
        <v>100421.94092827009</v>
      </c>
      <c r="F313">
        <v>0</v>
      </c>
      <c r="G313">
        <v>1312.9356025444361</v>
      </c>
      <c r="H313">
        <v>760.31400457062432</v>
      </c>
      <c r="I313">
        <v>27415.152205487979</v>
      </c>
      <c r="J313">
        <v>26654.838200917358</v>
      </c>
    </row>
    <row r="314" spans="1:10">
      <c r="A314" s="1">
        <v>46001.62222222222</v>
      </c>
      <c r="B314">
        <v>0</v>
      </c>
      <c r="C314">
        <v>0</v>
      </c>
      <c r="D314">
        <v>0</v>
      </c>
      <c r="E314">
        <v>0</v>
      </c>
      <c r="F314">
        <v>-456.61134567970163</v>
      </c>
      <c r="G314">
        <v>856.32425686473425</v>
      </c>
      <c r="H314">
        <v>856.32425686473425</v>
      </c>
      <c r="I314">
        <v>0</v>
      </c>
      <c r="J314">
        <v>-856.32425686473425</v>
      </c>
    </row>
    <row r="315" spans="1:10">
      <c r="A315" s="1">
        <v>46001.739583333343</v>
      </c>
      <c r="B315">
        <v>0</v>
      </c>
      <c r="C315">
        <v>136784.50076887361</v>
      </c>
      <c r="D315">
        <v>100000</v>
      </c>
      <c r="E315">
        <v>36784.500768873622</v>
      </c>
      <c r="F315">
        <v>0</v>
      </c>
      <c r="G315">
        <v>856.32425686473425</v>
      </c>
      <c r="H315">
        <v>856.32425686473425</v>
      </c>
      <c r="I315">
        <v>27356.900153774721</v>
      </c>
      <c r="J315">
        <v>26500.575896909992</v>
      </c>
    </row>
    <row r="316" spans="1:10">
      <c r="A316" s="1">
        <v>46001.740277777782</v>
      </c>
      <c r="B316">
        <v>2.0883672515521838</v>
      </c>
      <c r="C316">
        <v>136782.4124016221</v>
      </c>
      <c r="D316">
        <v>100000</v>
      </c>
      <c r="E316">
        <v>36782.412401622067</v>
      </c>
      <c r="F316">
        <v>0</v>
      </c>
      <c r="G316">
        <v>856.32425686473425</v>
      </c>
      <c r="H316">
        <v>858.41262411628645</v>
      </c>
      <c r="I316">
        <v>27356.482480324419</v>
      </c>
      <c r="J316">
        <v>26498.069856208131</v>
      </c>
    </row>
    <row r="317" spans="1:10">
      <c r="A317" s="1">
        <v>46001.740972222222</v>
      </c>
      <c r="B317">
        <v>39.855887184399442</v>
      </c>
      <c r="C317">
        <v>136820.1799215549</v>
      </c>
      <c r="D317">
        <v>100037.7675199329</v>
      </c>
      <c r="E317">
        <v>36782.412401622067</v>
      </c>
      <c r="F317">
        <v>0</v>
      </c>
      <c r="G317">
        <v>856.32425686473425</v>
      </c>
      <c r="H317">
        <v>896.18014404913367</v>
      </c>
      <c r="I317">
        <v>27364.035984310991</v>
      </c>
      <c r="J317">
        <v>26467.855840261851</v>
      </c>
    </row>
    <row r="318" spans="1:10">
      <c r="A318" s="1">
        <v>46001.741666666669</v>
      </c>
      <c r="B318">
        <v>65.034233806305551</v>
      </c>
      <c r="C318">
        <v>136845.35826817679</v>
      </c>
      <c r="D318">
        <v>100062.9458665548</v>
      </c>
      <c r="E318">
        <v>36782.412401622067</v>
      </c>
      <c r="F318">
        <v>0</v>
      </c>
      <c r="G318">
        <v>856.32425686473425</v>
      </c>
      <c r="H318">
        <v>921.35849067103982</v>
      </c>
      <c r="I318">
        <v>27369.071653635368</v>
      </c>
      <c r="J318">
        <v>26447.71316296433</v>
      </c>
    </row>
    <row r="319" spans="1:10">
      <c r="A319" s="1">
        <v>46001.742361111108</v>
      </c>
      <c r="B319">
        <v>40.959040611803609</v>
      </c>
      <c r="C319">
        <v>136844.25511474939</v>
      </c>
      <c r="D319">
        <v>100050.3566932438</v>
      </c>
      <c r="E319">
        <v>36793.898421505619</v>
      </c>
      <c r="F319">
        <v>0</v>
      </c>
      <c r="G319">
        <v>856.32425686473425</v>
      </c>
      <c r="H319">
        <v>897.28329747653788</v>
      </c>
      <c r="I319">
        <v>27368.85102294989</v>
      </c>
      <c r="J319">
        <v>26471.567725473349</v>
      </c>
    </row>
    <row r="320" spans="1:10">
      <c r="A320" s="1">
        <v>46001.743055555547</v>
      </c>
      <c r="B320">
        <v>39.954170187118862</v>
      </c>
      <c r="C320">
        <v>136862.04554958871</v>
      </c>
      <c r="D320">
        <v>100058.7494754511</v>
      </c>
      <c r="E320">
        <v>36803.296074137608</v>
      </c>
      <c r="F320">
        <v>0</v>
      </c>
      <c r="G320">
        <v>856.32425686473425</v>
      </c>
      <c r="H320">
        <v>896.2784270518531</v>
      </c>
      <c r="I320">
        <v>27372.409109917749</v>
      </c>
      <c r="J320">
        <v>26476.130682865889</v>
      </c>
    </row>
    <row r="321" spans="1:10">
      <c r="A321" s="1">
        <v>46001.743750000001</v>
      </c>
      <c r="B321">
        <v>39.954170187118862</v>
      </c>
      <c r="C321">
        <v>136862.04554958871</v>
      </c>
      <c r="D321">
        <v>100058.7494754511</v>
      </c>
      <c r="E321">
        <v>36803.296074137608</v>
      </c>
      <c r="F321">
        <v>0</v>
      </c>
      <c r="G321">
        <v>856.32425686473425</v>
      </c>
      <c r="H321">
        <v>896.2784270518531</v>
      </c>
      <c r="I321">
        <v>27372.409109917749</v>
      </c>
      <c r="J321">
        <v>26476.130682865889</v>
      </c>
    </row>
    <row r="322" spans="1:10">
      <c r="A322" s="1">
        <v>46001.744444444441</v>
      </c>
      <c r="B322">
        <v>-4.9457257212946502</v>
      </c>
      <c r="C322">
        <v>136906.94544549711</v>
      </c>
      <c r="D322">
        <v>100058.7494754511</v>
      </c>
      <c r="E322">
        <v>36848.195970046021</v>
      </c>
      <c r="F322">
        <v>0</v>
      </c>
      <c r="G322">
        <v>856.32425686473425</v>
      </c>
      <c r="H322">
        <v>851.37853114343966</v>
      </c>
      <c r="I322">
        <v>27381.38908909943</v>
      </c>
      <c r="J322">
        <v>26530.010557955989</v>
      </c>
    </row>
    <row r="323" spans="1:10">
      <c r="A323" s="1">
        <v>46001.745138888888</v>
      </c>
      <c r="B323">
        <v>-56.30728938979756</v>
      </c>
      <c r="C323">
        <v>136874.37918709259</v>
      </c>
      <c r="D323">
        <v>100016.7855644146</v>
      </c>
      <c r="E323">
        <v>36857.593622678018</v>
      </c>
      <c r="F323">
        <v>0</v>
      </c>
      <c r="G323">
        <v>856.32425686473425</v>
      </c>
      <c r="H323">
        <v>800.01696747493668</v>
      </c>
      <c r="I323">
        <v>27374.875837418531</v>
      </c>
      <c r="J323">
        <v>26574.85886994359</v>
      </c>
    </row>
    <row r="324" spans="1:10">
      <c r="A324" s="1">
        <v>46001.745833333327</v>
      </c>
      <c r="B324">
        <v>-52.110898286150523</v>
      </c>
      <c r="C324">
        <v>136878.57557819629</v>
      </c>
      <c r="D324">
        <v>100020.9819555182</v>
      </c>
      <c r="E324">
        <v>36857.593622678018</v>
      </c>
      <c r="F324">
        <v>0</v>
      </c>
      <c r="G324">
        <v>856.32425686473425</v>
      </c>
      <c r="H324">
        <v>804.21335857858378</v>
      </c>
      <c r="I324">
        <v>27375.71511563925</v>
      </c>
      <c r="J324">
        <v>26571.501757060669</v>
      </c>
    </row>
    <row r="325" spans="1:10">
      <c r="A325" s="1">
        <v>46001.746527777781</v>
      </c>
      <c r="B325">
        <v>-31.128942767891441</v>
      </c>
      <c r="C325">
        <v>136899.55753371451</v>
      </c>
      <c r="D325">
        <v>100041.9639110365</v>
      </c>
      <c r="E325">
        <v>36857.593622678018</v>
      </c>
      <c r="F325">
        <v>0</v>
      </c>
      <c r="G325">
        <v>856.32425686473425</v>
      </c>
      <c r="H325">
        <v>825.19531409684282</v>
      </c>
      <c r="I325">
        <v>27379.911506742901</v>
      </c>
      <c r="J325">
        <v>26554.716192646061</v>
      </c>
    </row>
    <row r="326" spans="1:10">
      <c r="A326" s="1">
        <v>46001.74722222222</v>
      </c>
      <c r="B326">
        <v>-10.16664385018105</v>
      </c>
      <c r="C326">
        <v>136912.16636362599</v>
      </c>
      <c r="D326">
        <v>100058.7494754511</v>
      </c>
      <c r="E326">
        <v>36853.416888174906</v>
      </c>
      <c r="F326">
        <v>0</v>
      </c>
      <c r="G326">
        <v>856.32425686473425</v>
      </c>
      <c r="H326">
        <v>846.15761301455325</v>
      </c>
      <c r="I326">
        <v>27382.4332727252</v>
      </c>
      <c r="J326">
        <v>26536.275659710649</v>
      </c>
    </row>
    <row r="327" spans="1:10">
      <c r="A327" s="1">
        <v>46001.747916666667</v>
      </c>
      <c r="B327">
        <v>-35.344990472087161</v>
      </c>
      <c r="C327">
        <v>136886.9880170041</v>
      </c>
      <c r="D327">
        <v>100033.57112882919</v>
      </c>
      <c r="E327">
        <v>36853.416888174906</v>
      </c>
      <c r="F327">
        <v>0</v>
      </c>
      <c r="G327">
        <v>856.32425686473425</v>
      </c>
      <c r="H327">
        <v>820.97926639264711</v>
      </c>
      <c r="I327">
        <v>27377.39760340083</v>
      </c>
      <c r="J327">
        <v>26556.418337008181</v>
      </c>
    </row>
    <row r="328" spans="1:10">
      <c r="A328" s="1">
        <v>46001.748611111107</v>
      </c>
      <c r="B328">
        <v>-43.737772679381251</v>
      </c>
      <c r="C328">
        <v>136878.59523479681</v>
      </c>
      <c r="D328">
        <v>100025.17834662191</v>
      </c>
      <c r="E328">
        <v>36853.416888174906</v>
      </c>
      <c r="F328">
        <v>0</v>
      </c>
      <c r="G328">
        <v>856.32425686473425</v>
      </c>
      <c r="H328">
        <v>812.58648418535302</v>
      </c>
      <c r="I328">
        <v>27375.719046959359</v>
      </c>
      <c r="J328">
        <v>26563.132562774012</v>
      </c>
    </row>
    <row r="329" spans="1:10">
      <c r="A329" s="1">
        <v>46001.749305555553</v>
      </c>
      <c r="B329">
        <v>-18.559426057487059</v>
      </c>
      <c r="C329">
        <v>136903.7735814187</v>
      </c>
      <c r="D329">
        <v>100050.3566932438</v>
      </c>
      <c r="E329">
        <v>36853.416888174906</v>
      </c>
      <c r="F329">
        <v>0</v>
      </c>
      <c r="G329">
        <v>856.32425686473425</v>
      </c>
      <c r="H329">
        <v>837.76483080724722</v>
      </c>
      <c r="I329">
        <v>27380.754716283751</v>
      </c>
      <c r="J329">
        <v>26542.989885476502</v>
      </c>
    </row>
    <row r="330" spans="1:10">
      <c r="A330" s="1">
        <v>46001.75</v>
      </c>
      <c r="B330">
        <v>15.011702771725069</v>
      </c>
      <c r="C330">
        <v>136937.34471024791</v>
      </c>
      <c r="D330">
        <v>100083.927822073</v>
      </c>
      <c r="E330">
        <v>36853.416888174906</v>
      </c>
      <c r="F330">
        <v>0</v>
      </c>
      <c r="G330">
        <v>856.32425686473425</v>
      </c>
      <c r="H330">
        <v>871.33595963645928</v>
      </c>
      <c r="I330">
        <v>27387.468942049589</v>
      </c>
      <c r="J330">
        <v>26516.132982413132</v>
      </c>
    </row>
    <row r="331" spans="1:10">
      <c r="A331" s="1">
        <v>46001.750694444447</v>
      </c>
      <c r="B331">
        <v>-10.16664385018105</v>
      </c>
      <c r="C331">
        <v>136912.16636362599</v>
      </c>
      <c r="D331">
        <v>100058.7494754511</v>
      </c>
      <c r="E331">
        <v>36853.416888174906</v>
      </c>
      <c r="F331">
        <v>0</v>
      </c>
      <c r="G331">
        <v>856.32425686473425</v>
      </c>
      <c r="H331">
        <v>846.15761301455325</v>
      </c>
      <c r="I331">
        <v>27382.4332727252</v>
      </c>
      <c r="J331">
        <v>26536.275659710649</v>
      </c>
    </row>
    <row r="332" spans="1:10">
      <c r="A332" s="1">
        <v>46001.751388888893</v>
      </c>
      <c r="B332">
        <v>-46.732727352916633</v>
      </c>
      <c r="C332">
        <v>136940.33966492151</v>
      </c>
      <c r="D332">
        <v>100054.5530843475</v>
      </c>
      <c r="E332">
        <v>36885.786580574</v>
      </c>
      <c r="F332">
        <v>0</v>
      </c>
      <c r="G332">
        <v>856.32425686473425</v>
      </c>
      <c r="H332">
        <v>809.59152951181761</v>
      </c>
      <c r="I332">
        <v>27388.06793298429</v>
      </c>
      <c r="J332">
        <v>26578.476403472479</v>
      </c>
    </row>
    <row r="333" spans="1:10">
      <c r="A333" s="1">
        <v>46001.752083333333</v>
      </c>
      <c r="B333">
        <v>4.589523114494952</v>
      </c>
      <c r="C333">
        <v>136956.15967211241</v>
      </c>
      <c r="D333">
        <v>100088.12421317671</v>
      </c>
      <c r="E333">
        <v>36868.035458935788</v>
      </c>
      <c r="F333">
        <v>0</v>
      </c>
      <c r="G333">
        <v>856.32425686473425</v>
      </c>
      <c r="H333">
        <v>860.91377997922916</v>
      </c>
      <c r="I333">
        <v>27391.231934422489</v>
      </c>
      <c r="J333">
        <v>26530.318154443259</v>
      </c>
    </row>
    <row r="334" spans="1:10">
      <c r="A334" s="1">
        <v>46001.75277777778</v>
      </c>
      <c r="B334">
        <v>0</v>
      </c>
      <c r="C334">
        <v>0</v>
      </c>
      <c r="D334">
        <v>0</v>
      </c>
      <c r="E334">
        <v>0</v>
      </c>
      <c r="F334">
        <v>-24.892568747361391</v>
      </c>
      <c r="G334">
        <v>831.43168811737291</v>
      </c>
      <c r="H334">
        <v>831.43168811737291</v>
      </c>
      <c r="I334">
        <v>0</v>
      </c>
      <c r="J334">
        <v>-831.43168811737291</v>
      </c>
    </row>
    <row r="335" spans="1:10">
      <c r="A335" s="1">
        <v>46001.775694444441</v>
      </c>
      <c r="B335">
        <v>0</v>
      </c>
      <c r="C335">
        <v>136784.50076887361</v>
      </c>
      <c r="D335">
        <v>100000</v>
      </c>
      <c r="E335">
        <v>36784.500768873622</v>
      </c>
      <c r="F335">
        <v>0</v>
      </c>
      <c r="G335">
        <v>831.43168811737291</v>
      </c>
      <c r="H335">
        <v>831.43168811737291</v>
      </c>
      <c r="I335">
        <v>27356.900153774721</v>
      </c>
      <c r="J335">
        <v>26525.468465657352</v>
      </c>
    </row>
    <row r="336" spans="1:10">
      <c r="A336" s="1">
        <v>46001.776388888888</v>
      </c>
      <c r="B336">
        <v>-33.638886552848412</v>
      </c>
      <c r="C336">
        <v>136750.86188232081</v>
      </c>
      <c r="D336">
        <v>99966.361113447158</v>
      </c>
      <c r="E336">
        <v>36784.500768873622</v>
      </c>
      <c r="F336">
        <v>0</v>
      </c>
      <c r="G336">
        <v>831.43168811737291</v>
      </c>
      <c r="H336">
        <v>797.79280156452455</v>
      </c>
      <c r="I336">
        <v>27350.172376464161</v>
      </c>
      <c r="J336">
        <v>26552.379574899631</v>
      </c>
    </row>
    <row r="337" spans="1:10">
      <c r="A337" s="1">
        <v>46001.777083333327</v>
      </c>
      <c r="B337">
        <v>0</v>
      </c>
      <c r="C337">
        <v>136784.50076887361</v>
      </c>
      <c r="D337">
        <v>100000</v>
      </c>
      <c r="E337">
        <v>36784.500768873622</v>
      </c>
      <c r="F337">
        <v>0</v>
      </c>
      <c r="G337">
        <v>831.43168811737291</v>
      </c>
      <c r="H337">
        <v>831.43168811737291</v>
      </c>
      <c r="I337">
        <v>27356.900153774721</v>
      </c>
      <c r="J337">
        <v>26525.468465657352</v>
      </c>
    </row>
    <row r="338" spans="1:10">
      <c r="A338" s="1">
        <v>46001.777777777781</v>
      </c>
      <c r="B338">
        <v>34.682921996019907</v>
      </c>
      <c r="C338">
        <v>136817.0956199833</v>
      </c>
      <c r="D338">
        <v>100033.6388865529</v>
      </c>
      <c r="E338">
        <v>36783.456733430459</v>
      </c>
      <c r="F338">
        <v>0</v>
      </c>
      <c r="G338">
        <v>831.43168811737291</v>
      </c>
      <c r="H338">
        <v>866.11461011339281</v>
      </c>
      <c r="I338">
        <v>27363.419123996671</v>
      </c>
      <c r="J338">
        <v>26497.304513883271</v>
      </c>
    </row>
    <row r="339" spans="1:10">
      <c r="A339" s="1">
        <v>46001.77847222222</v>
      </c>
      <c r="B339">
        <v>-49.471732479048868</v>
      </c>
      <c r="C339">
        <v>136716.23639841771</v>
      </c>
      <c r="D339">
        <v>99941.131948532508</v>
      </c>
      <c r="E339">
        <v>36775.104449885177</v>
      </c>
      <c r="F339">
        <v>0</v>
      </c>
      <c r="G339">
        <v>831.43168811737291</v>
      </c>
      <c r="H339">
        <v>781.959955638324</v>
      </c>
      <c r="I339">
        <v>27343.247279683539</v>
      </c>
      <c r="J339">
        <v>26561.28732404521</v>
      </c>
    </row>
    <row r="340" spans="1:10">
      <c r="A340" s="1">
        <v>46001.779166666667</v>
      </c>
      <c r="B340">
        <v>-41.062010840842753</v>
      </c>
      <c r="C340">
        <v>136724.6461200559</v>
      </c>
      <c r="D340">
        <v>99949.541670170714</v>
      </c>
      <c r="E340">
        <v>36775.104449885177</v>
      </c>
      <c r="F340">
        <v>0</v>
      </c>
      <c r="G340">
        <v>831.43168811737291</v>
      </c>
      <c r="H340">
        <v>790.36967727653018</v>
      </c>
      <c r="I340">
        <v>27344.929224011179</v>
      </c>
      <c r="J340">
        <v>26554.55954673465</v>
      </c>
    </row>
    <row r="341" spans="1:10">
      <c r="A341" s="1">
        <v>46001.779861111107</v>
      </c>
      <c r="B341">
        <v>8.3522835452822761</v>
      </c>
      <c r="C341">
        <v>136776.1484853283</v>
      </c>
      <c r="D341">
        <v>100000</v>
      </c>
      <c r="E341">
        <v>36776.14848532834</v>
      </c>
      <c r="F341">
        <v>0</v>
      </c>
      <c r="G341">
        <v>831.43168811737291</v>
      </c>
      <c r="H341">
        <v>839.78397166265518</v>
      </c>
      <c r="I341">
        <v>27355.229697065672</v>
      </c>
      <c r="J341">
        <v>26515.445725403009</v>
      </c>
    </row>
    <row r="342" spans="1:10">
      <c r="A342" s="1">
        <v>46001.780555555553</v>
      </c>
      <c r="B342">
        <v>-3.3044206082740821</v>
      </c>
      <c r="C342">
        <v>136737.34685965261</v>
      </c>
      <c r="D342">
        <v>99974.770835085365</v>
      </c>
      <c r="E342">
        <v>36762.57602456725</v>
      </c>
      <c r="F342">
        <v>0</v>
      </c>
      <c r="G342">
        <v>831.43168811737291</v>
      </c>
      <c r="H342">
        <v>828.12726750909883</v>
      </c>
      <c r="I342">
        <v>27347.469371930521</v>
      </c>
      <c r="J342">
        <v>26519.342104421419</v>
      </c>
    </row>
    <row r="343" spans="1:10">
      <c r="A343" s="1">
        <v>46001.78125</v>
      </c>
      <c r="B343">
        <v>17.71988348726514</v>
      </c>
      <c r="C343">
        <v>136758.37116374809</v>
      </c>
      <c r="D343">
        <v>99995.795139180904</v>
      </c>
      <c r="E343">
        <v>36762.57602456725</v>
      </c>
      <c r="F343">
        <v>0</v>
      </c>
      <c r="G343">
        <v>831.43168811737291</v>
      </c>
      <c r="H343">
        <v>849.15157160463809</v>
      </c>
      <c r="I343">
        <v>27351.674232749629</v>
      </c>
      <c r="J343">
        <v>26502.522661144991</v>
      </c>
    </row>
    <row r="344" spans="1:10">
      <c r="A344" s="1">
        <v>46001.781944444447</v>
      </c>
      <c r="B344">
        <v>2.959792050689106</v>
      </c>
      <c r="C344">
        <v>136731.08264699369</v>
      </c>
      <c r="D344">
        <v>99974.770835085365</v>
      </c>
      <c r="E344">
        <v>36756.311811908286</v>
      </c>
      <c r="F344">
        <v>0</v>
      </c>
      <c r="G344">
        <v>831.43168811737291</v>
      </c>
      <c r="H344">
        <v>834.391480168062</v>
      </c>
      <c r="I344">
        <v>27346.216529398731</v>
      </c>
      <c r="J344">
        <v>26511.825049230669</v>
      </c>
    </row>
    <row r="345" spans="1:10">
      <c r="A345" s="1">
        <v>46001.782638888893</v>
      </c>
      <c r="B345">
        <v>61.827843518191763</v>
      </c>
      <c r="C345">
        <v>136789.95069846121</v>
      </c>
      <c r="D345">
        <v>100033.6388865529</v>
      </c>
      <c r="E345">
        <v>36756.311811908286</v>
      </c>
      <c r="F345">
        <v>0</v>
      </c>
      <c r="G345">
        <v>831.43168811737291</v>
      </c>
      <c r="H345">
        <v>893.25953163556471</v>
      </c>
      <c r="I345">
        <v>27357.990139692229</v>
      </c>
      <c r="J345">
        <v>26464.73060805667</v>
      </c>
    </row>
    <row r="346" spans="1:10">
      <c r="A346" s="1">
        <v>46001.783333333333</v>
      </c>
      <c r="B346">
        <v>19.77923532712526</v>
      </c>
      <c r="C346">
        <v>136747.9020902701</v>
      </c>
      <c r="D346">
        <v>99991.590278361793</v>
      </c>
      <c r="E346">
        <v>36756.311811908286</v>
      </c>
      <c r="F346">
        <v>0</v>
      </c>
      <c r="G346">
        <v>831.43168811737291</v>
      </c>
      <c r="H346">
        <v>851.21092344449812</v>
      </c>
      <c r="I346">
        <v>27349.580418054011</v>
      </c>
      <c r="J346">
        <v>26498.36949460952</v>
      </c>
    </row>
    <row r="347" spans="1:10">
      <c r="A347" s="1">
        <v>46001.78402777778</v>
      </c>
      <c r="B347">
        <v>0</v>
      </c>
      <c r="C347">
        <v>0</v>
      </c>
      <c r="D347">
        <v>0</v>
      </c>
      <c r="E347">
        <v>0</v>
      </c>
      <c r="F347">
        <v>74.425889843222677</v>
      </c>
      <c r="G347">
        <v>905.85757796059556</v>
      </c>
      <c r="H347">
        <v>905.85757796059556</v>
      </c>
      <c r="I347">
        <v>0</v>
      </c>
      <c r="J347">
        <v>-905.85757796059556</v>
      </c>
    </row>
    <row r="348" spans="1:10">
      <c r="A348" s="1">
        <v>46002.604166666657</v>
      </c>
      <c r="B348">
        <v>0</v>
      </c>
      <c r="C348">
        <v>136784.50076887361</v>
      </c>
      <c r="D348">
        <v>36784.500768873622</v>
      </c>
      <c r="E348">
        <v>100000</v>
      </c>
      <c r="F348">
        <v>0</v>
      </c>
      <c r="G348">
        <v>905.85757796059556</v>
      </c>
      <c r="H348">
        <v>905.85757796059556</v>
      </c>
      <c r="I348">
        <v>27356.900153774721</v>
      </c>
      <c r="J348">
        <v>26451.042575814128</v>
      </c>
    </row>
    <row r="349" spans="1:10">
      <c r="A349" s="1">
        <v>46002.604861111111</v>
      </c>
      <c r="B349">
        <v>-163.02280267625349</v>
      </c>
      <c r="C349">
        <v>136755.55992379389</v>
      </c>
      <c r="D349">
        <v>36688.51894499566</v>
      </c>
      <c r="E349">
        <v>100067.04097879829</v>
      </c>
      <c r="F349">
        <v>0</v>
      </c>
      <c r="G349">
        <v>905.85757796059556</v>
      </c>
      <c r="H349">
        <v>742.83477528434207</v>
      </c>
      <c r="I349">
        <v>27351.111984758791</v>
      </c>
      <c r="J349">
        <v>26608.277209474451</v>
      </c>
    </row>
    <row r="350" spans="1:10">
      <c r="A350" s="1">
        <v>46002.605555555558</v>
      </c>
      <c r="B350">
        <v>-53.626426144271363</v>
      </c>
      <c r="C350">
        <v>136697.35385333019</v>
      </c>
      <c r="D350">
        <v>36714.114098029779</v>
      </c>
      <c r="E350">
        <v>99983.239755300427</v>
      </c>
      <c r="F350">
        <v>0</v>
      </c>
      <c r="G350">
        <v>905.85757796059556</v>
      </c>
      <c r="H350">
        <v>852.2311518163242</v>
      </c>
      <c r="I350">
        <v>27339.470770666041</v>
      </c>
      <c r="J350">
        <v>26487.239618849719</v>
      </c>
    </row>
    <row r="351" spans="1:10">
      <c r="A351" s="1">
        <v>46002.606249999997</v>
      </c>
      <c r="B351">
        <v>-2.3603224118963588</v>
      </c>
      <c r="C351">
        <v>136757.00007941239</v>
      </c>
      <c r="D351">
        <v>36769.570262937043</v>
      </c>
      <c r="E351">
        <v>99987.429816475313</v>
      </c>
      <c r="F351">
        <v>0</v>
      </c>
      <c r="G351">
        <v>905.85757796059556</v>
      </c>
      <c r="H351">
        <v>903.49725554869917</v>
      </c>
      <c r="I351">
        <v>27351.400015882471</v>
      </c>
      <c r="J351">
        <v>26447.902760333771</v>
      </c>
    </row>
    <row r="352" spans="1:10">
      <c r="A352" s="1">
        <v>46002.606944444437</v>
      </c>
      <c r="B352">
        <v>106.12118473859221</v>
      </c>
      <c r="C352">
        <v>136714.63938426669</v>
      </c>
      <c r="D352">
        <v>36802.630668939462</v>
      </c>
      <c r="E352">
        <v>99912.008715327232</v>
      </c>
      <c r="F352">
        <v>0</v>
      </c>
      <c r="G352">
        <v>905.85757796059556</v>
      </c>
      <c r="H352">
        <v>1011.978762699188</v>
      </c>
      <c r="I352">
        <v>27342.92787685334</v>
      </c>
      <c r="J352">
        <v>26330.949114154151</v>
      </c>
    </row>
    <row r="353" spans="1:10">
      <c r="A353" s="1">
        <v>46002.607638888891</v>
      </c>
      <c r="B353">
        <v>122.8814294381615</v>
      </c>
      <c r="C353">
        <v>136697.87913956711</v>
      </c>
      <c r="D353">
        <v>36802.630668939462</v>
      </c>
      <c r="E353">
        <v>99895.248470627659</v>
      </c>
      <c r="F353">
        <v>0</v>
      </c>
      <c r="G353">
        <v>905.85757796059556</v>
      </c>
      <c r="H353">
        <v>1028.7390073987569</v>
      </c>
      <c r="I353">
        <v>27339.575827913421</v>
      </c>
      <c r="J353">
        <v>26310.836820514669</v>
      </c>
    </row>
    <row r="354" spans="1:10">
      <c r="A354" s="1">
        <v>46002.60833333333</v>
      </c>
      <c r="B354">
        <v>51.650389464971241</v>
      </c>
      <c r="C354">
        <v>136769.11017954029</v>
      </c>
      <c r="D354">
        <v>36802.630668939462</v>
      </c>
      <c r="E354">
        <v>99966.479510600853</v>
      </c>
      <c r="F354">
        <v>0</v>
      </c>
      <c r="G354">
        <v>905.85757796059556</v>
      </c>
      <c r="H354">
        <v>957.50796742556679</v>
      </c>
      <c r="I354">
        <v>27353.822035908059</v>
      </c>
      <c r="J354">
        <v>26396.31406848249</v>
      </c>
    </row>
    <row r="355" spans="1:10">
      <c r="A355" s="1">
        <v>46002.609027777777</v>
      </c>
      <c r="B355">
        <v>-40.530956382677651</v>
      </c>
      <c r="C355">
        <v>136861.29152538799</v>
      </c>
      <c r="D355">
        <v>36802.630668939462</v>
      </c>
      <c r="E355">
        <v>100058.66085644851</v>
      </c>
      <c r="F355">
        <v>0</v>
      </c>
      <c r="G355">
        <v>905.85757796059556</v>
      </c>
      <c r="H355">
        <v>865.32662157791788</v>
      </c>
      <c r="I355">
        <v>27372.25830507759</v>
      </c>
      <c r="J355">
        <v>26506.931683499679</v>
      </c>
    </row>
    <row r="356" spans="1:10">
      <c r="A356" s="1">
        <v>46002.609722222223</v>
      </c>
      <c r="B356">
        <v>68.410634164552434</v>
      </c>
      <c r="C356">
        <v>136752.34993484069</v>
      </c>
      <c r="D356">
        <v>36802.630668939462</v>
      </c>
      <c r="E356">
        <v>99949.71926590128</v>
      </c>
      <c r="F356">
        <v>0</v>
      </c>
      <c r="G356">
        <v>905.85757796059556</v>
      </c>
      <c r="H356">
        <v>974.26821212514801</v>
      </c>
      <c r="I356">
        <v>27350.46998696815</v>
      </c>
      <c r="J356">
        <v>26376.201774843001</v>
      </c>
    </row>
    <row r="357" spans="1:10">
      <c r="A357" s="1">
        <v>46002.61041666667</v>
      </c>
      <c r="B357">
        <v>1.369655366263409</v>
      </c>
      <c r="C357">
        <v>136819.39091363901</v>
      </c>
      <c r="D357">
        <v>36802.630668939462</v>
      </c>
      <c r="E357">
        <v>100016.7602446996</v>
      </c>
      <c r="F357">
        <v>0</v>
      </c>
      <c r="G357">
        <v>905.85757796059556</v>
      </c>
      <c r="H357">
        <v>907.22723332685894</v>
      </c>
      <c r="I357">
        <v>27363.8781827278</v>
      </c>
      <c r="J357">
        <v>26456.650949400941</v>
      </c>
    </row>
    <row r="358" spans="1:10">
      <c r="A358" s="1">
        <v>46002.611111111109</v>
      </c>
      <c r="B358">
        <v>-61.572952157178257</v>
      </c>
      <c r="C358">
        <v>137225.7351577036</v>
      </c>
      <c r="D358">
        <v>36974.331487210031</v>
      </c>
      <c r="E358">
        <v>100251.4036704936</v>
      </c>
      <c r="F358">
        <v>0</v>
      </c>
      <c r="G358">
        <v>905.85757796059556</v>
      </c>
      <c r="H358">
        <v>844.28462580341727</v>
      </c>
      <c r="I358">
        <v>27445.147031540731</v>
      </c>
      <c r="J358">
        <v>26600.862405737309</v>
      </c>
    </row>
    <row r="359" spans="1:10">
      <c r="A359" s="1">
        <v>46002.611805555563</v>
      </c>
      <c r="B359">
        <v>-53.19282980739959</v>
      </c>
      <c r="C359">
        <v>137217.3550353538</v>
      </c>
      <c r="D359">
        <v>36974.331487210031</v>
      </c>
      <c r="E359">
        <v>100243.0235481438</v>
      </c>
      <c r="F359">
        <v>0</v>
      </c>
      <c r="G359">
        <v>905.85757796059556</v>
      </c>
      <c r="H359">
        <v>852.664748153196</v>
      </c>
      <c r="I359">
        <v>27443.47100707077</v>
      </c>
      <c r="J359">
        <v>26590.806258917572</v>
      </c>
    </row>
    <row r="360" spans="1:10">
      <c r="A360" s="1">
        <v>46002.612500000003</v>
      </c>
      <c r="B360">
        <v>-71.474325201486977</v>
      </c>
      <c r="C360">
        <v>137182.31329526019</v>
      </c>
      <c r="D360">
        <v>36947.669869466154</v>
      </c>
      <c r="E360">
        <v>100234.643425794</v>
      </c>
      <c r="F360">
        <v>0</v>
      </c>
      <c r="G360">
        <v>905.85757796059556</v>
      </c>
      <c r="H360">
        <v>834.38325275910859</v>
      </c>
      <c r="I360">
        <v>27436.462659052031</v>
      </c>
      <c r="J360">
        <v>26602.079406292931</v>
      </c>
    </row>
    <row r="361" spans="1:10">
      <c r="A361" s="1">
        <v>46002.613194444442</v>
      </c>
      <c r="B361">
        <v>-178.59147439768361</v>
      </c>
      <c r="C361">
        <v>137376.88055065629</v>
      </c>
      <c r="D361">
        <v>36991.394922566113</v>
      </c>
      <c r="E361">
        <v>100385.4856280902</v>
      </c>
      <c r="F361">
        <v>0</v>
      </c>
      <c r="G361">
        <v>905.85757796059556</v>
      </c>
      <c r="H361">
        <v>727.26610356291189</v>
      </c>
      <c r="I361">
        <v>27475.376110131259</v>
      </c>
      <c r="J361">
        <v>26748.110006568349</v>
      </c>
    </row>
    <row r="362" spans="1:10">
      <c r="A362" s="1">
        <v>46002.613888888889</v>
      </c>
      <c r="B362">
        <v>-245.6324531959726</v>
      </c>
      <c r="C362">
        <v>137443.92152945459</v>
      </c>
      <c r="D362">
        <v>36991.394922566113</v>
      </c>
      <c r="E362">
        <v>100452.5266068885</v>
      </c>
      <c r="F362">
        <v>0</v>
      </c>
      <c r="G362">
        <v>905.85757796059556</v>
      </c>
      <c r="H362">
        <v>660.22512476462293</v>
      </c>
      <c r="I362">
        <v>27488.78430589092</v>
      </c>
      <c r="J362">
        <v>26828.5591811263</v>
      </c>
    </row>
    <row r="363" spans="1:10">
      <c r="A363" s="1">
        <v>46002.614583333343</v>
      </c>
      <c r="B363">
        <v>-161.83122969810239</v>
      </c>
      <c r="C363">
        <v>137360.12030595669</v>
      </c>
      <c r="D363">
        <v>36991.394922566113</v>
      </c>
      <c r="E363">
        <v>100368.7253833906</v>
      </c>
      <c r="F363">
        <v>0</v>
      </c>
      <c r="G363">
        <v>905.85757796059556</v>
      </c>
      <c r="H363">
        <v>744.02634826249312</v>
      </c>
      <c r="I363">
        <v>27472.02406119134</v>
      </c>
      <c r="J363">
        <v>26727.997712928849</v>
      </c>
    </row>
    <row r="364" spans="1:10">
      <c r="A364" s="1">
        <v>46002.615277777782</v>
      </c>
      <c r="B364">
        <v>-112.93074578959521</v>
      </c>
      <c r="C364">
        <v>137509.58225806261</v>
      </c>
      <c r="D364">
        <v>37090.576140573343</v>
      </c>
      <c r="E364">
        <v>100419.00611748931</v>
      </c>
      <c r="F364">
        <v>0</v>
      </c>
      <c r="G364">
        <v>905.85757796059556</v>
      </c>
      <c r="H364">
        <v>792.92683217100034</v>
      </c>
      <c r="I364">
        <v>27501.916451612531</v>
      </c>
      <c r="J364">
        <v>26708.989619441531</v>
      </c>
    </row>
    <row r="365" spans="1:10">
      <c r="A365" s="1">
        <v>46002.615972222222</v>
      </c>
      <c r="B365">
        <v>-174.4825082988813</v>
      </c>
      <c r="C365">
        <v>137481.55098495251</v>
      </c>
      <c r="D365">
        <v>37045.784622763633</v>
      </c>
      <c r="E365">
        <v>100435.76636218889</v>
      </c>
      <c r="F365">
        <v>0</v>
      </c>
      <c r="G365">
        <v>905.85757796059556</v>
      </c>
      <c r="H365">
        <v>731.37506966171429</v>
      </c>
      <c r="I365">
        <v>27496.3101969905</v>
      </c>
      <c r="J365">
        <v>26764.93512732879</v>
      </c>
    </row>
    <row r="366" spans="1:10">
      <c r="A366" s="1">
        <v>46002.616666666669</v>
      </c>
      <c r="B366">
        <v>-249.9036094469609</v>
      </c>
      <c r="C366">
        <v>137556.97208610061</v>
      </c>
      <c r="D366">
        <v>37045.784622763633</v>
      </c>
      <c r="E366">
        <v>100511.187463337</v>
      </c>
      <c r="F366">
        <v>0</v>
      </c>
      <c r="G366">
        <v>905.85757796059556</v>
      </c>
      <c r="H366">
        <v>655.95396851363466</v>
      </c>
      <c r="I366">
        <v>27511.394417220119</v>
      </c>
      <c r="J366">
        <v>26855.440448706478</v>
      </c>
    </row>
    <row r="367" spans="1:10">
      <c r="A367" s="1">
        <v>46002.617361111108</v>
      </c>
      <c r="B367">
        <v>-65.540917751663073</v>
      </c>
      <c r="C367">
        <v>137372.6093944053</v>
      </c>
      <c r="D367">
        <v>37045.784622763633</v>
      </c>
      <c r="E367">
        <v>100326.8247716417</v>
      </c>
      <c r="F367">
        <v>0</v>
      </c>
      <c r="G367">
        <v>905.85757796059556</v>
      </c>
      <c r="H367">
        <v>840.31666020893249</v>
      </c>
      <c r="I367">
        <v>27474.52187888106</v>
      </c>
      <c r="J367">
        <v>26634.20521867213</v>
      </c>
    </row>
    <row r="368" spans="1:10">
      <c r="A368" s="1">
        <v>46002.618055555547</v>
      </c>
      <c r="B368">
        <v>-99.061407150813579</v>
      </c>
      <c r="C368">
        <v>137406.12988380439</v>
      </c>
      <c r="D368">
        <v>37045.784622763633</v>
      </c>
      <c r="E368">
        <v>100360.3452610408</v>
      </c>
      <c r="F368">
        <v>0</v>
      </c>
      <c r="G368">
        <v>905.85757796059556</v>
      </c>
      <c r="H368">
        <v>806.79617080978198</v>
      </c>
      <c r="I368">
        <v>27481.225976760888</v>
      </c>
      <c r="J368">
        <v>26674.429805951109</v>
      </c>
    </row>
    <row r="369" spans="1:10">
      <c r="A369" s="1">
        <v>46002.618750000001</v>
      </c>
      <c r="B369">
        <v>-191.24275299846241</v>
      </c>
      <c r="C369">
        <v>137498.31122965211</v>
      </c>
      <c r="D369">
        <v>37045.784622763633</v>
      </c>
      <c r="E369">
        <v>100452.5266068885</v>
      </c>
      <c r="F369">
        <v>0</v>
      </c>
      <c r="G369">
        <v>905.85757796059556</v>
      </c>
      <c r="H369">
        <v>714.61482496213307</v>
      </c>
      <c r="I369">
        <v>27499.66224593042</v>
      </c>
      <c r="J369">
        <v>26785.047420968291</v>
      </c>
    </row>
    <row r="370" spans="1:10">
      <c r="A370" s="1">
        <v>46002.619444444441</v>
      </c>
      <c r="B370">
        <v>-117.3323077209579</v>
      </c>
      <c r="C370">
        <v>137136.4553127407</v>
      </c>
      <c r="D370">
        <v>36901.811886946678</v>
      </c>
      <c r="E370">
        <v>100234.643425794</v>
      </c>
      <c r="F370">
        <v>0</v>
      </c>
      <c r="G370">
        <v>905.85757796059556</v>
      </c>
      <c r="H370">
        <v>788.52527023963762</v>
      </c>
      <c r="I370">
        <v>27427.291062548142</v>
      </c>
      <c r="J370">
        <v>26638.765792308499</v>
      </c>
    </row>
    <row r="371" spans="1:10">
      <c r="A371" s="1">
        <v>46002.620138888888</v>
      </c>
      <c r="B371">
        <v>0</v>
      </c>
      <c r="C371">
        <v>0</v>
      </c>
      <c r="D371">
        <v>0</v>
      </c>
      <c r="E371">
        <v>0</v>
      </c>
      <c r="F371">
        <v>-121.71361365032151</v>
      </c>
      <c r="G371">
        <v>784.14396431027399</v>
      </c>
      <c r="H371">
        <v>784.14396431027399</v>
      </c>
      <c r="I371">
        <v>0</v>
      </c>
      <c r="J371">
        <v>-784.14396431027399</v>
      </c>
    </row>
    <row r="372" spans="1:10">
      <c r="A372" s="1">
        <v>46050.749305555553</v>
      </c>
      <c r="B372">
        <v>0</v>
      </c>
      <c r="C372">
        <v>220524.43831406601</v>
      </c>
      <c r="D372">
        <v>120524.43831406601</v>
      </c>
      <c r="E372">
        <v>100000</v>
      </c>
      <c r="F372">
        <v>0</v>
      </c>
      <c r="G372">
        <v>784.14396431027399</v>
      </c>
      <c r="H372">
        <v>784.14396431027399</v>
      </c>
      <c r="I372">
        <v>44104.887662813198</v>
      </c>
      <c r="J372">
        <v>43320.743698502927</v>
      </c>
    </row>
    <row r="373" spans="1:10">
      <c r="A373" s="1">
        <v>46050.75</v>
      </c>
      <c r="B373">
        <v>544.58112421080773</v>
      </c>
      <c r="C373">
        <v>220872.6308069964</v>
      </c>
      <c r="D373">
        <v>120970.8251226366</v>
      </c>
      <c r="E373">
        <v>99901.805684359817</v>
      </c>
      <c r="F373">
        <v>0</v>
      </c>
      <c r="G373">
        <v>784.14396431027399</v>
      </c>
      <c r="H373">
        <v>1328.7250885210819</v>
      </c>
      <c r="I373">
        <v>44174.526161399277</v>
      </c>
      <c r="J373">
        <v>42845.801072878203</v>
      </c>
    </row>
    <row r="374" spans="1:10">
      <c r="A374" s="1">
        <v>46050.750694444447</v>
      </c>
      <c r="B374">
        <v>374.24520123711397</v>
      </c>
      <c r="C374">
        <v>221340.55793568381</v>
      </c>
      <c r="D374">
        <v>121119.6207254935</v>
      </c>
      <c r="E374">
        <v>100220.9372101904</v>
      </c>
      <c r="F374">
        <v>0</v>
      </c>
      <c r="G374">
        <v>784.14396431027399</v>
      </c>
      <c r="H374">
        <v>1158.3891655473881</v>
      </c>
      <c r="I374">
        <v>44268.111587136773</v>
      </c>
      <c r="J374">
        <v>43109.722421589388</v>
      </c>
    </row>
    <row r="375" spans="1:10">
      <c r="A375" s="1">
        <v>46050.751388888893</v>
      </c>
      <c r="B375">
        <v>455.07275993659522</v>
      </c>
      <c r="C375">
        <v>221503.21409075009</v>
      </c>
      <c r="D375">
        <v>121241.3625823763</v>
      </c>
      <c r="E375">
        <v>100261.8515083738</v>
      </c>
      <c r="F375">
        <v>0</v>
      </c>
      <c r="G375">
        <v>784.14396431027399</v>
      </c>
      <c r="H375">
        <v>1239.216724246869</v>
      </c>
      <c r="I375">
        <v>44300.642818150031</v>
      </c>
      <c r="J375">
        <v>43061.426093903159</v>
      </c>
    </row>
    <row r="376" spans="1:10">
      <c r="A376" s="1">
        <v>46050.752083333333</v>
      </c>
      <c r="B376">
        <v>522.7071248715522</v>
      </c>
      <c r="C376">
        <v>221570.8484556851</v>
      </c>
      <c r="D376">
        <v>121308.9969473113</v>
      </c>
      <c r="E376">
        <v>100261.8515083738</v>
      </c>
      <c r="F376">
        <v>0</v>
      </c>
      <c r="G376">
        <v>784.14396431027399</v>
      </c>
      <c r="H376">
        <v>1306.851089181826</v>
      </c>
      <c r="I376">
        <v>44314.169691137024</v>
      </c>
      <c r="J376">
        <v>43007.318601955187</v>
      </c>
    </row>
    <row r="377" spans="1:10">
      <c r="A377" s="1">
        <v>46050.75277777778</v>
      </c>
      <c r="B377">
        <v>631.5894672123369</v>
      </c>
      <c r="C377">
        <v>221516.07360529219</v>
      </c>
      <c r="D377">
        <v>121336.0506932853</v>
      </c>
      <c r="E377">
        <v>100180.022912007</v>
      </c>
      <c r="F377">
        <v>0</v>
      </c>
      <c r="G377">
        <v>784.14396431027399</v>
      </c>
      <c r="H377">
        <v>1415.733431522611</v>
      </c>
      <c r="I377">
        <v>44303.214721058452</v>
      </c>
      <c r="J377">
        <v>42887.481289535841</v>
      </c>
    </row>
    <row r="378" spans="1:10">
      <c r="A378" s="1">
        <v>46050.753472222219</v>
      </c>
      <c r="B378">
        <v>0</v>
      </c>
      <c r="C378">
        <v>0</v>
      </c>
      <c r="D378">
        <v>0</v>
      </c>
      <c r="E378">
        <v>0</v>
      </c>
      <c r="F378">
        <v>720.59422395409069</v>
      </c>
      <c r="G378">
        <v>1504.7381882643649</v>
      </c>
      <c r="H378">
        <v>1504.7381882643649</v>
      </c>
      <c r="I378">
        <v>0</v>
      </c>
      <c r="J378">
        <v>-1504.7381882643649</v>
      </c>
    </row>
    <row r="379" spans="1:10">
      <c r="A379" s="1">
        <v>46050.811805555553</v>
      </c>
      <c r="B379">
        <v>0</v>
      </c>
      <c r="C379">
        <v>220524.43831406589</v>
      </c>
      <c r="D379">
        <v>120524.43831406601</v>
      </c>
      <c r="E379">
        <v>99999.999999999985</v>
      </c>
      <c r="F379">
        <v>0</v>
      </c>
      <c r="G379">
        <v>1504.7381882643649</v>
      </c>
      <c r="H379">
        <v>1504.7381882643649</v>
      </c>
      <c r="I379">
        <v>44104.887662813191</v>
      </c>
      <c r="J379">
        <v>42600.149474548823</v>
      </c>
    </row>
    <row r="380" spans="1:10">
      <c r="A380" s="1">
        <v>46050.8125</v>
      </c>
      <c r="B380">
        <v>502.87724848855311</v>
      </c>
      <c r="C380">
        <v>219940.53623309729</v>
      </c>
      <c r="D380">
        <v>120483.9258978259</v>
      </c>
      <c r="E380">
        <v>99456.610335271413</v>
      </c>
      <c r="F380">
        <v>0</v>
      </c>
      <c r="G380">
        <v>1504.7381882643649</v>
      </c>
      <c r="H380">
        <v>2007.615436752918</v>
      </c>
      <c r="I380">
        <v>43988.107246619467</v>
      </c>
      <c r="J380">
        <v>41980.491809866558</v>
      </c>
    </row>
    <row r="381" spans="1:10">
      <c r="A381" s="1">
        <v>46050.813194444447</v>
      </c>
      <c r="B381">
        <v>-71.342532949843871</v>
      </c>
      <c r="C381">
        <v>219920.57390968211</v>
      </c>
      <c r="D381">
        <v>120186.83484539911</v>
      </c>
      <c r="E381">
        <v>99733.739064282985</v>
      </c>
      <c r="F381">
        <v>0</v>
      </c>
      <c r="G381">
        <v>1504.7381882643649</v>
      </c>
      <c r="H381">
        <v>1433.395655314521</v>
      </c>
      <c r="I381">
        <v>43984.114781936427</v>
      </c>
      <c r="J381">
        <v>42550.719126621909</v>
      </c>
    </row>
    <row r="382" spans="1:10">
      <c r="A382" s="1">
        <v>46050.813888888893</v>
      </c>
      <c r="B382">
        <v>210.5752697366872</v>
      </c>
      <c r="C382">
        <v>219854.72232694231</v>
      </c>
      <c r="D382">
        <v>120294.86795537249</v>
      </c>
      <c r="E382">
        <v>99559.854371569847</v>
      </c>
      <c r="F382">
        <v>0</v>
      </c>
      <c r="G382">
        <v>1504.7381882643649</v>
      </c>
      <c r="H382">
        <v>1715.3134580010519</v>
      </c>
      <c r="I382">
        <v>43970.944465388471</v>
      </c>
      <c r="J382">
        <v>42255.631007387419</v>
      </c>
    </row>
    <row r="383" spans="1:10">
      <c r="A383" s="1">
        <v>46050.814583333333</v>
      </c>
      <c r="B383">
        <v>324.36468784352718</v>
      </c>
      <c r="C383">
        <v>219848.96601880889</v>
      </c>
      <c r="D383">
        <v>120348.8845103592</v>
      </c>
      <c r="E383">
        <v>99500.081508449701</v>
      </c>
      <c r="F383">
        <v>0</v>
      </c>
      <c r="G383">
        <v>1504.7381882643649</v>
      </c>
      <c r="H383">
        <v>1829.1028761078919</v>
      </c>
      <c r="I383">
        <v>43969.793203761779</v>
      </c>
      <c r="J383">
        <v>42140.690327653887</v>
      </c>
    </row>
    <row r="384" spans="1:10">
      <c r="A384" s="1">
        <v>46050.81527777778</v>
      </c>
      <c r="B384">
        <v>0</v>
      </c>
      <c r="C384">
        <v>0</v>
      </c>
      <c r="D384">
        <v>0</v>
      </c>
      <c r="E384">
        <v>0</v>
      </c>
      <c r="F384">
        <v>522.87550940506503</v>
      </c>
      <c r="G384">
        <v>2027.6136976694299</v>
      </c>
      <c r="H384">
        <v>2027.6136976694299</v>
      </c>
      <c r="I384">
        <v>0</v>
      </c>
      <c r="J384">
        <v>-2027.6136976694299</v>
      </c>
    </row>
    <row r="385" spans="1:10">
      <c r="A385" s="1">
        <v>46052.604166666657</v>
      </c>
      <c r="B385">
        <v>0</v>
      </c>
      <c r="C385">
        <v>220524.43831406601</v>
      </c>
      <c r="D385">
        <v>120524.43831406601</v>
      </c>
      <c r="E385">
        <v>100000</v>
      </c>
      <c r="F385">
        <v>0</v>
      </c>
      <c r="G385">
        <v>2027.6136976694299</v>
      </c>
      <c r="H385">
        <v>2027.6136976694299</v>
      </c>
      <c r="I385">
        <v>44104.887662813198</v>
      </c>
      <c r="J385">
        <v>42077.273965143773</v>
      </c>
    </row>
    <row r="386" spans="1:10">
      <c r="A386" s="1">
        <v>46052.604861111111</v>
      </c>
      <c r="B386">
        <v>426.20191814745613</v>
      </c>
      <c r="C386">
        <v>219831.17581910911</v>
      </c>
      <c r="D386">
        <v>120390.90802566129</v>
      </c>
      <c r="E386">
        <v>99440.267793447856</v>
      </c>
      <c r="F386">
        <v>0</v>
      </c>
      <c r="G386">
        <v>2027.6136976694299</v>
      </c>
      <c r="H386">
        <v>2453.8156158168858</v>
      </c>
      <c r="I386">
        <v>43966.235163821832</v>
      </c>
      <c r="J386">
        <v>41512.419548004953</v>
      </c>
    </row>
    <row r="387" spans="1:10">
      <c r="A387" s="1">
        <v>46052.605555555558</v>
      </c>
      <c r="B387">
        <v>1068.979480068127</v>
      </c>
      <c r="C387">
        <v>219134.98614182661</v>
      </c>
      <c r="D387">
        <v>120364.20196798031</v>
      </c>
      <c r="E387">
        <v>98770.784173846259</v>
      </c>
      <c r="F387">
        <v>0</v>
      </c>
      <c r="G387">
        <v>2027.6136976694299</v>
      </c>
      <c r="H387">
        <v>3096.5931777375558</v>
      </c>
      <c r="I387">
        <v>43826.997228365333</v>
      </c>
      <c r="J387">
        <v>40730.404050627767</v>
      </c>
    </row>
    <row r="388" spans="1:10">
      <c r="A388" s="1">
        <v>46052.606249999997</v>
      </c>
      <c r="B388">
        <v>1109.9528629622021</v>
      </c>
      <c r="C388">
        <v>219307.66122037999</v>
      </c>
      <c r="D388">
        <v>120471.0261987041</v>
      </c>
      <c r="E388">
        <v>98836.635021675917</v>
      </c>
      <c r="F388">
        <v>0</v>
      </c>
      <c r="G388">
        <v>2027.6136976694299</v>
      </c>
      <c r="H388">
        <v>3137.566560631632</v>
      </c>
      <c r="I388">
        <v>43861.532244075999</v>
      </c>
      <c r="J388">
        <v>40723.965683444367</v>
      </c>
    </row>
    <row r="389" spans="1:10">
      <c r="A389" s="1">
        <v>46052.606944444437</v>
      </c>
      <c r="B389">
        <v>1454.021929697436</v>
      </c>
      <c r="C389">
        <v>219684.65571103001</v>
      </c>
      <c r="D389">
        <v>120831.5579773967</v>
      </c>
      <c r="E389">
        <v>98853.097733633316</v>
      </c>
      <c r="F389">
        <v>0</v>
      </c>
      <c r="G389">
        <v>2027.6136976694299</v>
      </c>
      <c r="H389">
        <v>3481.6356273668662</v>
      </c>
      <c r="I389">
        <v>43936.931142206013</v>
      </c>
      <c r="J389">
        <v>40455.295514839148</v>
      </c>
    </row>
    <row r="390" spans="1:10">
      <c r="A390" s="1">
        <v>46052.607638888891</v>
      </c>
      <c r="B390">
        <v>1468.4735481182479</v>
      </c>
      <c r="C390">
        <v>219216.2011120333</v>
      </c>
      <c r="D390">
        <v>120604.5564871088</v>
      </c>
      <c r="E390">
        <v>98611.644624924549</v>
      </c>
      <c r="F390">
        <v>0</v>
      </c>
      <c r="G390">
        <v>2027.6136976694299</v>
      </c>
      <c r="H390">
        <v>3496.0872457876781</v>
      </c>
      <c r="I390">
        <v>43843.240222406661</v>
      </c>
      <c r="J390">
        <v>40347.152976618992</v>
      </c>
    </row>
    <row r="391" spans="1:10">
      <c r="A391" s="1">
        <v>46052.60833333333</v>
      </c>
      <c r="B391">
        <v>1505.9704538964461</v>
      </c>
      <c r="C391">
        <v>219846.35564827849</v>
      </c>
      <c r="D391">
        <v>120938.3822081205</v>
      </c>
      <c r="E391">
        <v>98907.97344015805</v>
      </c>
      <c r="F391">
        <v>0</v>
      </c>
      <c r="G391">
        <v>2027.6136976694299</v>
      </c>
      <c r="H391">
        <v>3533.5841515658758</v>
      </c>
      <c r="I391">
        <v>43969.271129655703</v>
      </c>
      <c r="J391">
        <v>40435.686978089827</v>
      </c>
    </row>
    <row r="392" spans="1:10">
      <c r="A392" s="1">
        <v>46052.609027777777</v>
      </c>
      <c r="B392">
        <v>1359.088929067731</v>
      </c>
      <c r="C392">
        <v>218898.28880818881</v>
      </c>
      <c r="D392">
        <v>120390.90802566129</v>
      </c>
      <c r="E392">
        <v>98507.380782527573</v>
      </c>
      <c r="F392">
        <v>0</v>
      </c>
      <c r="G392">
        <v>2027.6136976694299</v>
      </c>
      <c r="H392">
        <v>3386.7026267371612</v>
      </c>
      <c r="I392">
        <v>43779.657761637769</v>
      </c>
      <c r="J392">
        <v>40392.955134900607</v>
      </c>
    </row>
    <row r="393" spans="1:10">
      <c r="A393" s="1">
        <v>46052.609722222223</v>
      </c>
      <c r="B393">
        <v>1210.0093288701</v>
      </c>
      <c r="C393">
        <v>219314.4289851959</v>
      </c>
      <c r="D393">
        <v>120524.43831406601</v>
      </c>
      <c r="E393">
        <v>98789.990671129897</v>
      </c>
      <c r="F393">
        <v>0</v>
      </c>
      <c r="G393">
        <v>2027.6136976694299</v>
      </c>
      <c r="H393">
        <v>3237.6230265395302</v>
      </c>
      <c r="I393">
        <v>43862.885797039176</v>
      </c>
      <c r="J393">
        <v>40625.262770499648</v>
      </c>
    </row>
    <row r="394" spans="1:10">
      <c r="A394" s="1">
        <v>46052.61041666667</v>
      </c>
      <c r="B394">
        <v>1600.542037776504</v>
      </c>
      <c r="C394">
        <v>218656.83569948011</v>
      </c>
      <c r="D394">
        <v>120390.90802566129</v>
      </c>
      <c r="E394">
        <v>98265.927673818805</v>
      </c>
      <c r="F394">
        <v>0</v>
      </c>
      <c r="G394">
        <v>2027.6136976694299</v>
      </c>
      <c r="H394">
        <v>3628.1557354459342</v>
      </c>
      <c r="I394">
        <v>43731.367139896021</v>
      </c>
      <c r="J394">
        <v>40103.211404450078</v>
      </c>
    </row>
    <row r="395" spans="1:10">
      <c r="A395" s="1">
        <v>46052.611111111109</v>
      </c>
      <c r="B395">
        <v>1863.9454290951619</v>
      </c>
      <c r="C395">
        <v>218393.4323081614</v>
      </c>
      <c r="D395">
        <v>120390.90802566129</v>
      </c>
      <c r="E395">
        <v>98002.524282500148</v>
      </c>
      <c r="F395">
        <v>0</v>
      </c>
      <c r="G395">
        <v>2027.6136976694299</v>
      </c>
      <c r="H395">
        <v>3891.5591267645918</v>
      </c>
      <c r="I395">
        <v>43678.686461632293</v>
      </c>
      <c r="J395">
        <v>39787.127334867691</v>
      </c>
    </row>
    <row r="396" spans="1:10">
      <c r="A396" s="1">
        <v>46052.611805555563</v>
      </c>
      <c r="B396">
        <v>1874.0062740274429</v>
      </c>
      <c r="C396">
        <v>218249.84117482451</v>
      </c>
      <c r="D396">
        <v>120324.1428814589</v>
      </c>
      <c r="E396">
        <v>97925.698293365524</v>
      </c>
      <c r="F396">
        <v>0</v>
      </c>
      <c r="G396">
        <v>2027.6136976694299</v>
      </c>
      <c r="H396">
        <v>3901.6199716968731</v>
      </c>
      <c r="I396">
        <v>43649.968234964887</v>
      </c>
      <c r="J396">
        <v>39748.348263268017</v>
      </c>
    </row>
    <row r="397" spans="1:10">
      <c r="A397" s="1">
        <v>46052.612500000003</v>
      </c>
      <c r="B397">
        <v>1589.748501054595</v>
      </c>
      <c r="C397">
        <v>219255.16250518261</v>
      </c>
      <c r="D397">
        <v>120684.67466015161</v>
      </c>
      <c r="E397">
        <v>98570.487845031021</v>
      </c>
      <c r="F397">
        <v>0</v>
      </c>
      <c r="G397">
        <v>2027.6136976694299</v>
      </c>
      <c r="H397">
        <v>3617.3621987240249</v>
      </c>
      <c r="I397">
        <v>43851.032501036527</v>
      </c>
      <c r="J397">
        <v>40233.670302312501</v>
      </c>
    </row>
    <row r="398" spans="1:10">
      <c r="A398" s="1">
        <v>46052.613194444442</v>
      </c>
      <c r="B398">
        <v>1288.6639107500571</v>
      </c>
      <c r="C398">
        <v>219502.83498012519</v>
      </c>
      <c r="D398">
        <v>120657.9686024706</v>
      </c>
      <c r="E398">
        <v>98844.866377654616</v>
      </c>
      <c r="F398">
        <v>0</v>
      </c>
      <c r="G398">
        <v>2027.6136976694299</v>
      </c>
      <c r="H398">
        <v>3316.277608419487</v>
      </c>
      <c r="I398">
        <v>43900.566996025053</v>
      </c>
      <c r="J398">
        <v>40584.289387605568</v>
      </c>
    </row>
    <row r="399" spans="1:10">
      <c r="A399" s="1">
        <v>46052.613888888889</v>
      </c>
      <c r="B399">
        <v>1270.1892090478259</v>
      </c>
      <c r="C399">
        <v>219467.8975664656</v>
      </c>
      <c r="D399">
        <v>120631.2625447897</v>
      </c>
      <c r="E399">
        <v>98836.635021675917</v>
      </c>
      <c r="F399">
        <v>0</v>
      </c>
      <c r="G399">
        <v>2027.6136976694299</v>
      </c>
      <c r="H399">
        <v>3297.8029067172561</v>
      </c>
      <c r="I399">
        <v>43893.579513293123</v>
      </c>
      <c r="J399">
        <v>40595.77660657587</v>
      </c>
    </row>
    <row r="400" spans="1:10">
      <c r="A400" s="1">
        <v>46052.614583333343</v>
      </c>
      <c r="B400">
        <v>0</v>
      </c>
      <c r="C400">
        <v>0</v>
      </c>
      <c r="D400">
        <v>0</v>
      </c>
      <c r="E400">
        <v>0</v>
      </c>
      <c r="F400">
        <v>1063.428251640586</v>
      </c>
      <c r="G400">
        <v>3091.0419493100162</v>
      </c>
      <c r="H400">
        <v>3091.0419493100162</v>
      </c>
      <c r="I400">
        <v>0</v>
      </c>
      <c r="J400">
        <v>-3091.0419493100162</v>
      </c>
    </row>
    <row r="401" spans="1:10">
      <c r="A401" s="1">
        <v>46052.728472222218</v>
      </c>
      <c r="B401">
        <v>0</v>
      </c>
      <c r="C401">
        <v>220524.43831406601</v>
      </c>
      <c r="D401">
        <v>120524.43831406601</v>
      </c>
      <c r="E401">
        <v>100000</v>
      </c>
      <c r="F401">
        <v>0</v>
      </c>
      <c r="G401">
        <v>3091.0419493100162</v>
      </c>
      <c r="H401">
        <v>3091.0419493100162</v>
      </c>
      <c r="I401">
        <v>44104.887662813198</v>
      </c>
      <c r="J401">
        <v>41013.845713503179</v>
      </c>
    </row>
    <row r="402" spans="1:10">
      <c r="A402" s="1">
        <v>46052.729166666657</v>
      </c>
      <c r="B402">
        <v>0</v>
      </c>
      <c r="C402">
        <v>0</v>
      </c>
      <c r="D402">
        <v>0</v>
      </c>
      <c r="E402">
        <v>0</v>
      </c>
      <c r="F402">
        <v>694.79827332408126</v>
      </c>
      <c r="G402">
        <v>3785.8402226340982</v>
      </c>
      <c r="H402">
        <v>3785.8402226340982</v>
      </c>
      <c r="I402">
        <v>0</v>
      </c>
      <c r="J402">
        <v>-3785.8402226340982</v>
      </c>
    </row>
    <row r="403" spans="1:10">
      <c r="A403" s="1">
        <v>46055.604166666657</v>
      </c>
      <c r="B403">
        <v>0</v>
      </c>
      <c r="C403">
        <v>220524.43831406601</v>
      </c>
      <c r="D403">
        <v>120524.43831406601</v>
      </c>
      <c r="E403">
        <v>100000</v>
      </c>
      <c r="F403">
        <v>0</v>
      </c>
      <c r="G403">
        <v>3785.8402226340982</v>
      </c>
      <c r="H403">
        <v>3785.8402226340982</v>
      </c>
      <c r="I403">
        <v>44104.887662813198</v>
      </c>
      <c r="J403">
        <v>40319.0474401791</v>
      </c>
    </row>
    <row r="404" spans="1:10">
      <c r="A404" s="1">
        <v>46055.604861111111</v>
      </c>
      <c r="B404">
        <v>-82.438056302373823</v>
      </c>
      <c r="C404">
        <v>220442.0002577636</v>
      </c>
      <c r="D404">
        <v>120442.0002577636</v>
      </c>
      <c r="E404">
        <v>100000</v>
      </c>
      <c r="F404">
        <v>0</v>
      </c>
      <c r="G404">
        <v>3785.8402226340982</v>
      </c>
      <c r="H404">
        <v>3703.4021663317239</v>
      </c>
      <c r="I404">
        <v>44088.400051552722</v>
      </c>
      <c r="J404">
        <v>40384.997885220997</v>
      </c>
    </row>
    <row r="405" spans="1:10">
      <c r="A405" s="1">
        <v>46055.605555555558</v>
      </c>
      <c r="B405">
        <v>863.50861929233417</v>
      </c>
      <c r="C405">
        <v>222189.0300880463</v>
      </c>
      <c r="D405">
        <v>121788.4885107023</v>
      </c>
      <c r="E405">
        <v>100400.541577344</v>
      </c>
      <c r="F405">
        <v>0</v>
      </c>
      <c r="G405">
        <v>3785.8402226340982</v>
      </c>
      <c r="H405">
        <v>4649.3488419264322</v>
      </c>
      <c r="I405">
        <v>44437.806017609269</v>
      </c>
      <c r="J405">
        <v>39788.457175682837</v>
      </c>
    </row>
    <row r="406" spans="1:10">
      <c r="A406" s="1">
        <v>46055.606249999997</v>
      </c>
      <c r="B406">
        <v>661.50687491929875</v>
      </c>
      <c r="C406">
        <v>221456.73386099251</v>
      </c>
      <c r="D406">
        <v>121321.3395249889</v>
      </c>
      <c r="E406">
        <v>100135.39433600361</v>
      </c>
      <c r="F406">
        <v>0</v>
      </c>
      <c r="G406">
        <v>3785.8402226340982</v>
      </c>
      <c r="H406">
        <v>4447.3470975533965</v>
      </c>
      <c r="I406">
        <v>44291.3467721985</v>
      </c>
      <c r="J406">
        <v>39843.999674645107</v>
      </c>
    </row>
    <row r="407" spans="1:10">
      <c r="A407" s="1">
        <v>46055.606944444437</v>
      </c>
      <c r="B407">
        <v>276.79594550823401</v>
      </c>
      <c r="C407">
        <v>221072.02293158139</v>
      </c>
      <c r="D407">
        <v>120936.6285955778</v>
      </c>
      <c r="E407">
        <v>100135.39433600361</v>
      </c>
      <c r="F407">
        <v>0</v>
      </c>
      <c r="G407">
        <v>3785.8402226340982</v>
      </c>
      <c r="H407">
        <v>4062.6361681423318</v>
      </c>
      <c r="I407">
        <v>44214.40458631629</v>
      </c>
      <c r="J407">
        <v>40151.768418173961</v>
      </c>
    </row>
    <row r="408" spans="1:10">
      <c r="A408" s="1">
        <v>46055.607638888891</v>
      </c>
      <c r="B408">
        <v>-453.67883624480288</v>
      </c>
      <c r="C408">
        <v>221582.66289652811</v>
      </c>
      <c r="D408">
        <v>120826.7111871747</v>
      </c>
      <c r="E408">
        <v>100755.9517093535</v>
      </c>
      <c r="F408">
        <v>0</v>
      </c>
      <c r="G408">
        <v>3785.8402226340982</v>
      </c>
      <c r="H408">
        <v>3332.1613863892949</v>
      </c>
      <c r="I408">
        <v>44316.532579305633</v>
      </c>
      <c r="J408">
        <v>40984.37119291634</v>
      </c>
    </row>
    <row r="409" spans="1:10">
      <c r="A409" s="1">
        <v>46055.60833333333</v>
      </c>
      <c r="B409">
        <v>-637.38729131544937</v>
      </c>
      <c r="C409">
        <v>222645.71061882409</v>
      </c>
      <c r="D409">
        <v>121266.38082078729</v>
      </c>
      <c r="E409">
        <v>101379.32979803679</v>
      </c>
      <c r="F409">
        <v>0</v>
      </c>
      <c r="G409">
        <v>3785.8402226340982</v>
      </c>
      <c r="H409">
        <v>3148.452931318649</v>
      </c>
      <c r="I409">
        <v>44529.142123764817</v>
      </c>
      <c r="J409">
        <v>41380.689192446167</v>
      </c>
    </row>
    <row r="410" spans="1:10">
      <c r="A410" s="1">
        <v>46055.609027777777</v>
      </c>
      <c r="B410">
        <v>-614.36523621419155</v>
      </c>
      <c r="C410">
        <v>223227.23430994019</v>
      </c>
      <c r="D410">
        <v>121568.65369389601</v>
      </c>
      <c r="E410">
        <v>101658.5806160442</v>
      </c>
      <c r="F410">
        <v>0</v>
      </c>
      <c r="G410">
        <v>3785.8402226340982</v>
      </c>
      <c r="H410">
        <v>3171.4749864199061</v>
      </c>
      <c r="I410">
        <v>44645.44686198805</v>
      </c>
      <c r="J410">
        <v>41473.971875568153</v>
      </c>
    </row>
    <row r="411" spans="1:10">
      <c r="A411" s="1">
        <v>46055.609722222223</v>
      </c>
      <c r="B411">
        <v>-613.4564557813618</v>
      </c>
      <c r="C411">
        <v>222731.69719169309</v>
      </c>
      <c r="D411">
        <v>121321.3395249889</v>
      </c>
      <c r="E411">
        <v>101410.35766670429</v>
      </c>
      <c r="F411">
        <v>0</v>
      </c>
      <c r="G411">
        <v>3785.8402226340982</v>
      </c>
      <c r="H411">
        <v>3172.3837668527358</v>
      </c>
      <c r="I411">
        <v>44546.339438338633</v>
      </c>
      <c r="J411">
        <v>41373.955671485892</v>
      </c>
    </row>
    <row r="412" spans="1:10">
      <c r="A412" s="1">
        <v>46055.61041666667</v>
      </c>
      <c r="B412">
        <v>-640.93580788214649</v>
      </c>
      <c r="C412">
        <v>222704.2178395924</v>
      </c>
      <c r="D412">
        <v>121293.8601728881</v>
      </c>
      <c r="E412">
        <v>101410.35766670429</v>
      </c>
      <c r="F412">
        <v>0</v>
      </c>
      <c r="G412">
        <v>3785.8402226340982</v>
      </c>
      <c r="H412">
        <v>3144.9044147519512</v>
      </c>
      <c r="I412">
        <v>44540.843567918477</v>
      </c>
      <c r="J412">
        <v>41395.939153166517</v>
      </c>
    </row>
    <row r="413" spans="1:10">
      <c r="A413" s="1">
        <v>46055.611111111109</v>
      </c>
      <c r="B413">
        <v>-536.20738214694791</v>
      </c>
      <c r="C413">
        <v>221720.1501466319</v>
      </c>
      <c r="D413">
        <v>120854.1905392754</v>
      </c>
      <c r="E413">
        <v>100865.9596073564</v>
      </c>
      <c r="F413">
        <v>0</v>
      </c>
      <c r="G413">
        <v>3785.8402226340982</v>
      </c>
      <c r="H413">
        <v>3249.6328404871501</v>
      </c>
      <c r="I413">
        <v>44344.030029326379</v>
      </c>
      <c r="J413">
        <v>41094.397188839233</v>
      </c>
    </row>
    <row r="414" spans="1:10">
      <c r="A414" s="1">
        <v>46055.611805555563</v>
      </c>
      <c r="B414">
        <v>-818.36940508757073</v>
      </c>
      <c r="C414">
        <v>222222.14698637879</v>
      </c>
      <c r="D414">
        <v>120964.1079476786</v>
      </c>
      <c r="E414">
        <v>101258.0390387002</v>
      </c>
      <c r="F414">
        <v>0</v>
      </c>
      <c r="G414">
        <v>3785.8402226340982</v>
      </c>
      <c r="H414">
        <v>2967.4708175465271</v>
      </c>
      <c r="I414">
        <v>44444.429397275773</v>
      </c>
      <c r="J414">
        <v>41476.958579729238</v>
      </c>
    </row>
    <row r="415" spans="1:10">
      <c r="A415" s="1">
        <v>46055.612500000003</v>
      </c>
      <c r="B415">
        <v>-598.5345882812536</v>
      </c>
      <c r="C415">
        <v>222441.98180318519</v>
      </c>
      <c r="D415">
        <v>121183.94276448491</v>
      </c>
      <c r="E415">
        <v>101258.0390387002</v>
      </c>
      <c r="F415">
        <v>0</v>
      </c>
      <c r="G415">
        <v>3785.8402226340982</v>
      </c>
      <c r="H415">
        <v>3187.3056343528442</v>
      </c>
      <c r="I415">
        <v>44488.396360637038</v>
      </c>
      <c r="J415">
        <v>41301.090726284187</v>
      </c>
    </row>
    <row r="416" spans="1:10">
      <c r="A416" s="1">
        <v>46055.613194444442</v>
      </c>
      <c r="B416">
        <v>-931.55997682300676</v>
      </c>
      <c r="C416">
        <v>223214.67682533959</v>
      </c>
      <c r="D416">
        <v>121403.7775812913</v>
      </c>
      <c r="E416">
        <v>101810.8992440483</v>
      </c>
      <c r="F416">
        <v>0</v>
      </c>
      <c r="G416">
        <v>3785.8402226340982</v>
      </c>
      <c r="H416">
        <v>2854.2802458110909</v>
      </c>
      <c r="I416">
        <v>44642.935365067911</v>
      </c>
      <c r="J416">
        <v>41788.655119256822</v>
      </c>
    </row>
    <row r="417" spans="1:10">
      <c r="A417" s="1">
        <v>46055.613888888889</v>
      </c>
      <c r="B417">
        <v>-1216.1807566979389</v>
      </c>
      <c r="C417">
        <v>222839.79315479551</v>
      </c>
      <c r="D417">
        <v>121074.02535608179</v>
      </c>
      <c r="E417">
        <v>101765.7677987137</v>
      </c>
      <c r="F417">
        <v>0</v>
      </c>
      <c r="G417">
        <v>3785.8402226340982</v>
      </c>
      <c r="H417">
        <v>2569.659465936159</v>
      </c>
      <c r="I417">
        <v>44567.95863095911</v>
      </c>
      <c r="J417">
        <v>41998.299165022952</v>
      </c>
    </row>
    <row r="418" spans="1:10">
      <c r="A418" s="1">
        <v>46055.614583333343</v>
      </c>
      <c r="B418">
        <v>-985.06307855799764</v>
      </c>
      <c r="C418">
        <v>223048.34511026819</v>
      </c>
      <c r="D418">
        <v>121293.8601728881</v>
      </c>
      <c r="E418">
        <v>101754.4849373801</v>
      </c>
      <c r="F418">
        <v>0</v>
      </c>
      <c r="G418">
        <v>3785.8402226340982</v>
      </c>
      <c r="H418">
        <v>2800.7771440760998</v>
      </c>
      <c r="I418">
        <v>44609.669022053647</v>
      </c>
      <c r="J418">
        <v>41808.891877977549</v>
      </c>
    </row>
    <row r="419" spans="1:10">
      <c r="A419" s="1">
        <v>46055.615277777782</v>
      </c>
      <c r="B419">
        <v>-1137.928528595814</v>
      </c>
      <c r="C419">
        <v>222816.49963089501</v>
      </c>
      <c r="D419">
        <v>121101.50470818261</v>
      </c>
      <c r="E419">
        <v>101714.9949227124</v>
      </c>
      <c r="F419">
        <v>0</v>
      </c>
      <c r="G419">
        <v>3785.8402226340982</v>
      </c>
      <c r="H419">
        <v>2647.9116940382842</v>
      </c>
      <c r="I419">
        <v>44563.299926179003</v>
      </c>
      <c r="J419">
        <v>41915.388232140707</v>
      </c>
    </row>
    <row r="420" spans="1:10">
      <c r="A420" s="1">
        <v>46055.615972222222</v>
      </c>
      <c r="B420">
        <v>-918.09371178949698</v>
      </c>
      <c r="C420">
        <v>223036.33444770129</v>
      </c>
      <c r="D420">
        <v>121321.3395249889</v>
      </c>
      <c r="E420">
        <v>101714.9949227124</v>
      </c>
      <c r="F420">
        <v>0</v>
      </c>
      <c r="G420">
        <v>3785.8402226340982</v>
      </c>
      <c r="H420">
        <v>2867.7465108446008</v>
      </c>
      <c r="I420">
        <v>44607.26688954026</v>
      </c>
      <c r="J420">
        <v>41739.520378695663</v>
      </c>
    </row>
    <row r="421" spans="1:10">
      <c r="A421" s="1">
        <v>46055.616666666669</v>
      </c>
      <c r="B421">
        <v>-468.23486091070089</v>
      </c>
      <c r="C421">
        <v>222696.39300522569</v>
      </c>
      <c r="D421">
        <v>121376.29822919051</v>
      </c>
      <c r="E421">
        <v>101320.0947760352</v>
      </c>
      <c r="F421">
        <v>0</v>
      </c>
      <c r="G421">
        <v>3785.8402226340982</v>
      </c>
      <c r="H421">
        <v>3317.605361723397</v>
      </c>
      <c r="I421">
        <v>44539.278601045138</v>
      </c>
      <c r="J421">
        <v>41221.673239321739</v>
      </c>
    </row>
    <row r="422" spans="1:10">
      <c r="A422" s="1">
        <v>46055.617361111108</v>
      </c>
      <c r="B422">
        <v>-715.54902981782243</v>
      </c>
      <c r="C422">
        <v>222449.07883631851</v>
      </c>
      <c r="D422">
        <v>121128.9840602833</v>
      </c>
      <c r="E422">
        <v>101320.0947760352</v>
      </c>
      <c r="F422">
        <v>0</v>
      </c>
      <c r="G422">
        <v>3785.8402226340982</v>
      </c>
      <c r="H422">
        <v>3070.2911928162748</v>
      </c>
      <c r="I422">
        <v>44489.81576726371</v>
      </c>
      <c r="J422">
        <v>41419.524574447438</v>
      </c>
    </row>
    <row r="423" spans="1:10">
      <c r="A423" s="1">
        <v>46055.618055555547</v>
      </c>
      <c r="B423">
        <v>0</v>
      </c>
      <c r="C423">
        <v>0</v>
      </c>
      <c r="D423">
        <v>0</v>
      </c>
      <c r="E423">
        <v>0</v>
      </c>
      <c r="F423">
        <v>-259.03604633190707</v>
      </c>
      <c r="G423">
        <v>3526.8041763021911</v>
      </c>
      <c r="H423">
        <v>3526.8041763021911</v>
      </c>
      <c r="I423">
        <v>0</v>
      </c>
      <c r="J423">
        <v>-3526.8041763021911</v>
      </c>
    </row>
    <row r="424" spans="1:10">
      <c r="A424" s="1">
        <v>46056.604861111111</v>
      </c>
      <c r="B424">
        <v>0</v>
      </c>
      <c r="C424">
        <v>220524.43831406601</v>
      </c>
      <c r="D424">
        <v>120524.43831406601</v>
      </c>
      <c r="E424">
        <v>100000</v>
      </c>
      <c r="F424">
        <v>0</v>
      </c>
      <c r="G424">
        <v>3526.8041763021911</v>
      </c>
      <c r="H424">
        <v>3526.8041763021911</v>
      </c>
      <c r="I424">
        <v>44104.887662813198</v>
      </c>
      <c r="J424">
        <v>40578.083486511008</v>
      </c>
    </row>
    <row r="425" spans="1:10">
      <c r="A425" s="1">
        <v>46056.605555555558</v>
      </c>
      <c r="B425">
        <v>901.26405359955061</v>
      </c>
      <c r="C425">
        <v>220704.9816469448</v>
      </c>
      <c r="D425">
        <v>121065.3420073052</v>
      </c>
      <c r="E425">
        <v>99639.639639639645</v>
      </c>
      <c r="F425">
        <v>0</v>
      </c>
      <c r="G425">
        <v>3526.8041763021911</v>
      </c>
      <c r="H425">
        <v>4428.0682299017408</v>
      </c>
      <c r="I425">
        <v>44140.99632938896</v>
      </c>
      <c r="J425">
        <v>39712.928099487217</v>
      </c>
    </row>
    <row r="426" spans="1:10">
      <c r="A426" s="1">
        <v>46056.606249999997</v>
      </c>
      <c r="B426">
        <v>-37.441051867515817</v>
      </c>
      <c r="C426">
        <v>221005.69778089901</v>
      </c>
      <c r="D426">
        <v>120746.3475215487</v>
      </c>
      <c r="E426">
        <v>100259.35025935031</v>
      </c>
      <c r="F426">
        <v>0</v>
      </c>
      <c r="G426">
        <v>3526.8041763021911</v>
      </c>
      <c r="H426">
        <v>3489.3631244346748</v>
      </c>
      <c r="I426">
        <v>44201.139556179798</v>
      </c>
      <c r="J426">
        <v>40711.776431745122</v>
      </c>
    </row>
    <row r="427" spans="1:10">
      <c r="A427" s="1">
        <v>46056.606944444437</v>
      </c>
      <c r="B427">
        <v>-340.47135489782261</v>
      </c>
      <c r="C427">
        <v>221308.72808392931</v>
      </c>
      <c r="D427">
        <v>120746.3475215487</v>
      </c>
      <c r="E427">
        <v>100562.3805623806</v>
      </c>
      <c r="F427">
        <v>0</v>
      </c>
      <c r="G427">
        <v>3526.8041763021911</v>
      </c>
      <c r="H427">
        <v>3186.3328214043681</v>
      </c>
      <c r="I427">
        <v>44261.745616785862</v>
      </c>
      <c r="J427">
        <v>41075.412795381497</v>
      </c>
    </row>
    <row r="428" spans="1:10">
      <c r="A428" s="1">
        <v>46056.607638888891</v>
      </c>
      <c r="B428">
        <v>-83.851098277566592</v>
      </c>
      <c r="C428">
        <v>221052.107827309</v>
      </c>
      <c r="D428">
        <v>120746.3475215487</v>
      </c>
      <c r="E428">
        <v>100305.7603057603</v>
      </c>
      <c r="F428">
        <v>0</v>
      </c>
      <c r="G428">
        <v>3526.8041763021911</v>
      </c>
      <c r="H428">
        <v>3442.9530780246241</v>
      </c>
      <c r="I428">
        <v>44210.421565461809</v>
      </c>
      <c r="J428">
        <v>40767.468487437189</v>
      </c>
    </row>
    <row r="429" spans="1:10">
      <c r="A429" s="1">
        <v>46056.60833333333</v>
      </c>
      <c r="B429">
        <v>59.424914588533539</v>
      </c>
      <c r="C429">
        <v>221075.26372005499</v>
      </c>
      <c r="D429">
        <v>120829.5634743547</v>
      </c>
      <c r="E429">
        <v>100245.7002457003</v>
      </c>
      <c r="F429">
        <v>0</v>
      </c>
      <c r="G429">
        <v>3526.8041763021911</v>
      </c>
      <c r="H429">
        <v>3586.2290908907239</v>
      </c>
      <c r="I429">
        <v>44215.052744011002</v>
      </c>
      <c r="J429">
        <v>40628.823653120278</v>
      </c>
    </row>
    <row r="430" spans="1:10">
      <c r="A430" s="1">
        <v>46056.609027777777</v>
      </c>
      <c r="B430">
        <v>418.46940404294452</v>
      </c>
      <c r="C430">
        <v>220549.78732498849</v>
      </c>
      <c r="D430">
        <v>120746.3475215487</v>
      </c>
      <c r="E430">
        <v>99803.439803439804</v>
      </c>
      <c r="F430">
        <v>0</v>
      </c>
      <c r="G430">
        <v>3526.8041763021911</v>
      </c>
      <c r="H430">
        <v>3945.2735803451351</v>
      </c>
      <c r="I430">
        <v>44109.957464997708</v>
      </c>
      <c r="J430">
        <v>40164.683884652572</v>
      </c>
    </row>
    <row r="431" spans="1:10">
      <c r="A431" s="1">
        <v>46056.609722222223</v>
      </c>
      <c r="B431">
        <v>487.74056044464078</v>
      </c>
      <c r="C431">
        <v>221645.5395078712</v>
      </c>
      <c r="D431">
        <v>121328.8591911909</v>
      </c>
      <c r="E431">
        <v>100316.6803166803</v>
      </c>
      <c r="F431">
        <v>0</v>
      </c>
      <c r="G431">
        <v>3526.8041763021911</v>
      </c>
      <c r="H431">
        <v>4014.5447367468309</v>
      </c>
      <c r="I431">
        <v>44329.107901574251</v>
      </c>
      <c r="J431">
        <v>40314.563164827421</v>
      </c>
    </row>
    <row r="432" spans="1:10">
      <c r="A432" s="1">
        <v>46056.61041666667</v>
      </c>
      <c r="B432">
        <v>349.04730576791331</v>
      </c>
      <c r="C432">
        <v>221506.8462531945</v>
      </c>
      <c r="D432">
        <v>121190.1659365142</v>
      </c>
      <c r="E432">
        <v>100316.6803166803</v>
      </c>
      <c r="F432">
        <v>0</v>
      </c>
      <c r="G432">
        <v>3526.8041763021911</v>
      </c>
      <c r="H432">
        <v>3875.8514820701039</v>
      </c>
      <c r="I432">
        <v>44301.369250638912</v>
      </c>
      <c r="J432">
        <v>40425.517768568803</v>
      </c>
    </row>
    <row r="433" spans="1:10">
      <c r="A433" s="1">
        <v>46056.611111111109</v>
      </c>
      <c r="B433">
        <v>997.59313550217098</v>
      </c>
      <c r="C433">
        <v>221052.4709800077</v>
      </c>
      <c r="D433">
        <v>121287.2512147879</v>
      </c>
      <c r="E433">
        <v>99765.219765219765</v>
      </c>
      <c r="F433">
        <v>0</v>
      </c>
      <c r="G433">
        <v>3526.8041763021911</v>
      </c>
      <c r="H433">
        <v>4524.3973118043614</v>
      </c>
      <c r="I433">
        <v>44210.494196001528</v>
      </c>
      <c r="J433">
        <v>39686.096884197177</v>
      </c>
    </row>
    <row r="434" spans="1:10">
      <c r="A434" s="1">
        <v>46056.611805555563</v>
      </c>
      <c r="B434">
        <v>1177.455742946591</v>
      </c>
      <c r="C434">
        <v>221177.733532852</v>
      </c>
      <c r="D434">
        <v>121439.8137949323</v>
      </c>
      <c r="E434">
        <v>99737.919737919729</v>
      </c>
      <c r="F434">
        <v>0</v>
      </c>
      <c r="G434">
        <v>3526.8041763021911</v>
      </c>
      <c r="H434">
        <v>4704.2599192487814</v>
      </c>
      <c r="I434">
        <v>44235.546706570407</v>
      </c>
      <c r="J434">
        <v>39531.286787321616</v>
      </c>
    </row>
    <row r="435" spans="1:10">
      <c r="A435" s="1">
        <v>46056.612500000003</v>
      </c>
      <c r="B435">
        <v>1193.397135691288</v>
      </c>
      <c r="C435">
        <v>221106.31483823669</v>
      </c>
      <c r="D435">
        <v>121412.0751439969</v>
      </c>
      <c r="E435">
        <v>99694.239694239703</v>
      </c>
      <c r="F435">
        <v>0</v>
      </c>
      <c r="G435">
        <v>3526.8041763021911</v>
      </c>
      <c r="H435">
        <v>4720.2013119934791</v>
      </c>
      <c r="I435">
        <v>44221.262967647337</v>
      </c>
      <c r="J435">
        <v>39501.061655653859</v>
      </c>
    </row>
    <row r="436" spans="1:10">
      <c r="A436" s="1">
        <v>46056.613194444442</v>
      </c>
      <c r="B436">
        <v>0</v>
      </c>
      <c r="C436">
        <v>0</v>
      </c>
      <c r="D436">
        <v>0</v>
      </c>
      <c r="E436">
        <v>0</v>
      </c>
      <c r="F436">
        <v>1255.147909099458</v>
      </c>
      <c r="G436">
        <v>4781.9520854016482</v>
      </c>
      <c r="H436">
        <v>4781.9520854016482</v>
      </c>
      <c r="I436">
        <v>0</v>
      </c>
      <c r="J436">
        <v>-4781.9520854016482</v>
      </c>
    </row>
    <row r="437" spans="1:10">
      <c r="A437" s="1">
        <v>46058.605555555558</v>
      </c>
      <c r="B437">
        <v>0</v>
      </c>
      <c r="C437">
        <v>220524.43831406589</v>
      </c>
      <c r="D437">
        <v>120524.43831406601</v>
      </c>
      <c r="E437">
        <v>99999.999999999985</v>
      </c>
      <c r="F437">
        <v>0</v>
      </c>
      <c r="G437">
        <v>4781.9520854016482</v>
      </c>
      <c r="H437">
        <v>4781.9520854016482</v>
      </c>
      <c r="I437">
        <v>44104.887662813191</v>
      </c>
      <c r="J437">
        <v>39322.935577411539</v>
      </c>
    </row>
    <row r="438" spans="1:10">
      <c r="A438" s="1">
        <v>46058.606249999997</v>
      </c>
      <c r="B438">
        <v>0</v>
      </c>
      <c r="C438">
        <v>0</v>
      </c>
      <c r="D438">
        <v>0</v>
      </c>
      <c r="E438">
        <v>0</v>
      </c>
      <c r="F438">
        <v>748.78562076827961</v>
      </c>
      <c r="G438">
        <v>5530.7377061699281</v>
      </c>
      <c r="H438">
        <v>5530.7377061699281</v>
      </c>
      <c r="I438">
        <v>0</v>
      </c>
      <c r="J438">
        <v>-5530.7377061699281</v>
      </c>
    </row>
    <row r="439" spans="1:10">
      <c r="A439" s="1">
        <v>46063.753472222219</v>
      </c>
      <c r="B439">
        <v>0</v>
      </c>
      <c r="C439">
        <v>220524.43831406601</v>
      </c>
      <c r="D439">
        <v>120524.43831406601</v>
      </c>
      <c r="E439">
        <v>100000</v>
      </c>
      <c r="F439">
        <v>0</v>
      </c>
      <c r="G439">
        <v>5530.7377061699281</v>
      </c>
      <c r="H439">
        <v>5530.7377061699281</v>
      </c>
      <c r="I439">
        <v>44104.887662813198</v>
      </c>
      <c r="J439">
        <v>38574.149956643269</v>
      </c>
    </row>
    <row r="440" spans="1:10">
      <c r="A440" s="1">
        <v>46063.754166666673</v>
      </c>
      <c r="B440">
        <v>-39.084781638980822</v>
      </c>
      <c r="C440">
        <v>220485.35353242699</v>
      </c>
      <c r="D440">
        <v>120485.35353242701</v>
      </c>
      <c r="E440">
        <v>100000</v>
      </c>
      <c r="F440">
        <v>0</v>
      </c>
      <c r="G440">
        <v>5530.7377061699281</v>
      </c>
      <c r="H440">
        <v>5491.6529245309484</v>
      </c>
      <c r="I440">
        <v>44097.0707064854</v>
      </c>
      <c r="J440">
        <v>38605.417781954449</v>
      </c>
    </row>
    <row r="441" spans="1:10">
      <c r="A441" s="1">
        <v>46063.754861111112</v>
      </c>
      <c r="B441">
        <v>1.1303694191866209</v>
      </c>
      <c r="C441">
        <v>220445.1383813688</v>
      </c>
      <c r="D441">
        <v>120485.35353242701</v>
      </c>
      <c r="E441">
        <v>99959.784848941825</v>
      </c>
      <c r="F441">
        <v>0</v>
      </c>
      <c r="G441">
        <v>5530.7377061699281</v>
      </c>
      <c r="H441">
        <v>5531.8680755891146</v>
      </c>
      <c r="I441">
        <v>44089.027676273763</v>
      </c>
      <c r="J441">
        <v>38557.159600684652</v>
      </c>
    </row>
    <row r="442" spans="1:10">
      <c r="A442" s="1">
        <v>46063.755555555559</v>
      </c>
      <c r="B442">
        <v>-26.770255036076421</v>
      </c>
      <c r="C442">
        <v>220316.6998792681</v>
      </c>
      <c r="D442">
        <v>120407.183969149</v>
      </c>
      <c r="E442">
        <v>99909.515910119124</v>
      </c>
      <c r="F442">
        <v>0</v>
      </c>
      <c r="G442">
        <v>5530.7377061699281</v>
      </c>
      <c r="H442">
        <v>5503.9674511338517</v>
      </c>
      <c r="I442">
        <v>44063.339975853632</v>
      </c>
      <c r="J442">
        <v>38559.372524719773</v>
      </c>
    </row>
    <row r="443" spans="1:10">
      <c r="A443" s="1">
        <v>46063.756249999999</v>
      </c>
      <c r="B443">
        <v>-39.798515582409522</v>
      </c>
      <c r="C443">
        <v>220303.6716187218</v>
      </c>
      <c r="D443">
        <v>120394.1557086027</v>
      </c>
      <c r="E443">
        <v>99909.515910119124</v>
      </c>
      <c r="F443">
        <v>0</v>
      </c>
      <c r="G443">
        <v>5530.7377061699281</v>
      </c>
      <c r="H443">
        <v>5490.9391905875182</v>
      </c>
      <c r="I443">
        <v>44060.734323744357</v>
      </c>
      <c r="J443">
        <v>38569.795133156847</v>
      </c>
    </row>
    <row r="444" spans="1:10">
      <c r="A444" s="1">
        <v>46063.756944444453</v>
      </c>
      <c r="B444">
        <v>-72.012299976509439</v>
      </c>
      <c r="C444">
        <v>220361.9419242086</v>
      </c>
      <c r="D444">
        <v>120407.183969149</v>
      </c>
      <c r="E444">
        <v>99954.757955059569</v>
      </c>
      <c r="F444">
        <v>0</v>
      </c>
      <c r="G444">
        <v>5530.7377061699281</v>
      </c>
      <c r="H444">
        <v>5458.7254061934182</v>
      </c>
      <c r="I444">
        <v>44072.388384841717</v>
      </c>
      <c r="J444">
        <v>38613.66297864831</v>
      </c>
    </row>
    <row r="445" spans="1:10">
      <c r="A445" s="1">
        <v>46063.757638888892</v>
      </c>
      <c r="B445">
        <v>-137.15360270813801</v>
      </c>
      <c r="C445">
        <v>220296.80062147701</v>
      </c>
      <c r="D445">
        <v>120342.0426664174</v>
      </c>
      <c r="E445">
        <v>99954.757955059569</v>
      </c>
      <c r="F445">
        <v>0</v>
      </c>
      <c r="G445">
        <v>5530.7377061699281</v>
      </c>
      <c r="H445">
        <v>5393.5841034617897</v>
      </c>
      <c r="I445">
        <v>44059.360124295403</v>
      </c>
      <c r="J445">
        <v>38665.776020833597</v>
      </c>
    </row>
    <row r="446" spans="1:10">
      <c r="A446" s="1">
        <v>46063.758333333331</v>
      </c>
      <c r="B446">
        <v>-175.77735850648239</v>
      </c>
      <c r="C446">
        <v>220283.31133508999</v>
      </c>
      <c r="D446">
        <v>120315.9861453247</v>
      </c>
      <c r="E446">
        <v>99967.325189765237</v>
      </c>
      <c r="F446">
        <v>0</v>
      </c>
      <c r="G446">
        <v>5530.7377061699281</v>
      </c>
      <c r="H446">
        <v>5354.9603476634456</v>
      </c>
      <c r="I446">
        <v>44056.662267017993</v>
      </c>
      <c r="J446">
        <v>38701.701919354549</v>
      </c>
    </row>
    <row r="447" spans="1:10">
      <c r="A447" s="1">
        <v>46063.759027777778</v>
      </c>
      <c r="B447">
        <v>-198.39838097669181</v>
      </c>
      <c r="C447">
        <v>220305.9323575602</v>
      </c>
      <c r="D447">
        <v>120315.9861453247</v>
      </c>
      <c r="E447">
        <v>99989.946212235445</v>
      </c>
      <c r="F447">
        <v>0</v>
      </c>
      <c r="G447">
        <v>5530.7377061699281</v>
      </c>
      <c r="H447">
        <v>5332.3393251932366</v>
      </c>
      <c r="I447">
        <v>44061.186471512039</v>
      </c>
      <c r="J447">
        <v>38728.847146318803</v>
      </c>
    </row>
    <row r="448" spans="1:10">
      <c r="A448" s="1">
        <v>46063.759722222218</v>
      </c>
      <c r="B448">
        <v>-238.61353203485919</v>
      </c>
      <c r="C448">
        <v>220346.14750861839</v>
      </c>
      <c r="D448">
        <v>120315.9861453247</v>
      </c>
      <c r="E448">
        <v>100030.16136329361</v>
      </c>
      <c r="F448">
        <v>0</v>
      </c>
      <c r="G448">
        <v>5530.7377061699281</v>
      </c>
      <c r="H448">
        <v>5292.1241741350686</v>
      </c>
      <c r="I448">
        <v>44069.229501723683</v>
      </c>
      <c r="J448">
        <v>38777.105327588608</v>
      </c>
    </row>
    <row r="449" spans="1:10">
      <c r="A449" s="1">
        <v>46063.760416666657</v>
      </c>
      <c r="B449">
        <v>-183.52601706774331</v>
      </c>
      <c r="C449">
        <v>220421.34259911449</v>
      </c>
      <c r="D449">
        <v>120381.1274480564</v>
      </c>
      <c r="E449">
        <v>100040.2151510581</v>
      </c>
      <c r="F449">
        <v>0</v>
      </c>
      <c r="G449">
        <v>5530.7377061699281</v>
      </c>
      <c r="H449">
        <v>5347.2116891021851</v>
      </c>
      <c r="I449">
        <v>44084.268519822908</v>
      </c>
      <c r="J449">
        <v>38737.056830720721</v>
      </c>
    </row>
    <row r="450" spans="1:10">
      <c r="A450" s="1">
        <v>46063.761111111111</v>
      </c>
      <c r="B450">
        <v>-198.60669871455431</v>
      </c>
      <c r="C450">
        <v>220436.42328076129</v>
      </c>
      <c r="D450">
        <v>120381.1274480564</v>
      </c>
      <c r="E450">
        <v>100055.295832705</v>
      </c>
      <c r="F450">
        <v>0</v>
      </c>
      <c r="G450">
        <v>5530.7377061699281</v>
      </c>
      <c r="H450">
        <v>5332.1310074553739</v>
      </c>
      <c r="I450">
        <v>44087.284656152267</v>
      </c>
      <c r="J450">
        <v>38755.153648696898</v>
      </c>
    </row>
    <row r="451" spans="1:10">
      <c r="A451" s="1">
        <v>46063.761805555558</v>
      </c>
      <c r="B451">
        <v>-248.87563753725291</v>
      </c>
      <c r="C451">
        <v>220486.69221958399</v>
      </c>
      <c r="D451">
        <v>120381.1274480564</v>
      </c>
      <c r="E451">
        <v>100105.5647715277</v>
      </c>
      <c r="F451">
        <v>0</v>
      </c>
      <c r="G451">
        <v>5530.7377061699281</v>
      </c>
      <c r="H451">
        <v>5281.8620686326749</v>
      </c>
      <c r="I451">
        <v>44097.338443916808</v>
      </c>
      <c r="J451">
        <v>38815.476375284132</v>
      </c>
    </row>
    <row r="452" spans="1:10">
      <c r="A452" s="1">
        <v>46063.762499999997</v>
      </c>
      <c r="B452">
        <v>-277.44560557106632</v>
      </c>
      <c r="C452">
        <v>220463.14914543249</v>
      </c>
      <c r="D452">
        <v>120355.0709269637</v>
      </c>
      <c r="E452">
        <v>100108.0782184688</v>
      </c>
      <c r="F452">
        <v>0</v>
      </c>
      <c r="G452">
        <v>5530.7377061699281</v>
      </c>
      <c r="H452">
        <v>5253.2921005988619</v>
      </c>
      <c r="I452">
        <v>44092.629829086509</v>
      </c>
      <c r="J452">
        <v>38839.337728487648</v>
      </c>
    </row>
    <row r="453" spans="1:10">
      <c r="A453" s="1">
        <v>46063.763194444437</v>
      </c>
      <c r="B453">
        <v>-221.68874702543289</v>
      </c>
      <c r="C453">
        <v>220433.44880797961</v>
      </c>
      <c r="D453">
        <v>120368.09918751</v>
      </c>
      <c r="E453">
        <v>100065.3496204695</v>
      </c>
      <c r="F453">
        <v>0</v>
      </c>
      <c r="G453">
        <v>5530.7377061699281</v>
      </c>
      <c r="H453">
        <v>5309.0489591444948</v>
      </c>
      <c r="I453">
        <v>44086.689761595917</v>
      </c>
      <c r="J453">
        <v>38777.640802451417</v>
      </c>
    </row>
    <row r="454" spans="1:10">
      <c r="A454" s="1">
        <v>46063.763888888891</v>
      </c>
      <c r="B454">
        <v>-221.68874702543289</v>
      </c>
      <c r="C454">
        <v>220433.44880797961</v>
      </c>
      <c r="D454">
        <v>120368.09918751</v>
      </c>
      <c r="E454">
        <v>100065.3496204695</v>
      </c>
      <c r="F454">
        <v>0</v>
      </c>
      <c r="G454">
        <v>5530.7377061699281</v>
      </c>
      <c r="H454">
        <v>5309.0489591444948</v>
      </c>
      <c r="I454">
        <v>44086.689761595917</v>
      </c>
      <c r="J454">
        <v>38777.640802451417</v>
      </c>
    </row>
    <row r="455" spans="1:10">
      <c r="A455" s="1">
        <v>46063.76458333333</v>
      </c>
      <c r="B455">
        <v>-166.1402062176806</v>
      </c>
      <c r="C455">
        <v>220534.23939372771</v>
      </c>
      <c r="D455">
        <v>120446.268750788</v>
      </c>
      <c r="E455">
        <v>100087.9706429397</v>
      </c>
      <c r="F455">
        <v>0</v>
      </c>
      <c r="G455">
        <v>5530.7377061699281</v>
      </c>
      <c r="H455">
        <v>5364.5974999522477</v>
      </c>
      <c r="I455">
        <v>44106.847878745553</v>
      </c>
      <c r="J455">
        <v>38742.250378793309</v>
      </c>
    </row>
    <row r="456" spans="1:10">
      <c r="A456" s="1">
        <v>46063.765277777777</v>
      </c>
      <c r="B456">
        <v>0</v>
      </c>
      <c r="C456">
        <v>0</v>
      </c>
      <c r="D456">
        <v>0</v>
      </c>
      <c r="E456">
        <v>0</v>
      </c>
      <c r="F456">
        <v>-134.14166262424169</v>
      </c>
      <c r="G456">
        <v>5396.5960435456864</v>
      </c>
      <c r="H456">
        <v>5396.5960435456864</v>
      </c>
      <c r="I456">
        <v>0</v>
      </c>
      <c r="J456">
        <v>-5396.5960435456864</v>
      </c>
    </row>
    <row r="457" spans="1:10">
      <c r="A457" s="1">
        <v>46065.604861111111</v>
      </c>
      <c r="B457">
        <v>0</v>
      </c>
      <c r="C457">
        <v>215844.20989016941</v>
      </c>
      <c r="D457">
        <v>115844.2098901695</v>
      </c>
      <c r="E457">
        <v>100000</v>
      </c>
      <c r="F457">
        <v>0</v>
      </c>
      <c r="G457">
        <v>5396.5960435456864</v>
      </c>
      <c r="H457">
        <v>5396.5960435456864</v>
      </c>
      <c r="I457">
        <v>43168.841978033888</v>
      </c>
      <c r="J457">
        <v>37772.245934488201</v>
      </c>
    </row>
    <row r="458" spans="1:10">
      <c r="A458" s="1">
        <v>46065.605555555558</v>
      </c>
      <c r="B458">
        <v>410.83801349077743</v>
      </c>
      <c r="C458">
        <v>215383.90808082459</v>
      </c>
      <c r="D458">
        <v>115819.47799224241</v>
      </c>
      <c r="E458">
        <v>99564.430088582187</v>
      </c>
      <c r="F458">
        <v>0</v>
      </c>
      <c r="G458">
        <v>5396.5960435456864</v>
      </c>
      <c r="H458">
        <v>5807.4340570364639</v>
      </c>
      <c r="I458">
        <v>43076.781616164917</v>
      </c>
      <c r="J458">
        <v>37269.347559128459</v>
      </c>
    </row>
    <row r="459" spans="1:10">
      <c r="A459" s="1">
        <v>46065.606249999997</v>
      </c>
      <c r="B459">
        <v>-345.19985824050769</v>
      </c>
      <c r="C459">
        <v>215694.7717898695</v>
      </c>
      <c r="D459">
        <v>115596.89091089919</v>
      </c>
      <c r="E459">
        <v>100097.8808789703</v>
      </c>
      <c r="F459">
        <v>0</v>
      </c>
      <c r="G459">
        <v>5396.5960435456864</v>
      </c>
      <c r="H459">
        <v>5051.3961853051787</v>
      </c>
      <c r="I459">
        <v>43138.954357973911</v>
      </c>
      <c r="J459">
        <v>38087.558172668731</v>
      </c>
    </row>
    <row r="460" spans="1:10">
      <c r="A460" s="1">
        <v>46065.606944444437</v>
      </c>
      <c r="B460">
        <v>25.77861066481368</v>
      </c>
      <c r="C460">
        <v>216065.75025877479</v>
      </c>
      <c r="D460">
        <v>115967.8693798046</v>
      </c>
      <c r="E460">
        <v>100097.8808789703</v>
      </c>
      <c r="F460">
        <v>0</v>
      </c>
      <c r="G460">
        <v>5396.5960435456864</v>
      </c>
      <c r="H460">
        <v>5422.3746542105</v>
      </c>
      <c r="I460">
        <v>43213.150051754972</v>
      </c>
      <c r="J460">
        <v>37790.775397544472</v>
      </c>
    </row>
    <row r="461" spans="1:10">
      <c r="A461" s="1">
        <v>46065.607638888891</v>
      </c>
      <c r="B461">
        <v>-669.39838743070891</v>
      </c>
      <c r="C461">
        <v>217181.36952162979</v>
      </c>
      <c r="D461">
        <v>116178.0905121843</v>
      </c>
      <c r="E461">
        <v>101003.2790094455</v>
      </c>
      <c r="F461">
        <v>0</v>
      </c>
      <c r="G461">
        <v>5396.5960435456864</v>
      </c>
      <c r="H461">
        <v>4727.1976561149777</v>
      </c>
      <c r="I461">
        <v>43436.273904325957</v>
      </c>
      <c r="J461">
        <v>38709.076248210979</v>
      </c>
    </row>
    <row r="462" spans="1:10">
      <c r="A462" s="1">
        <v>46065.60833333333</v>
      </c>
      <c r="B462">
        <v>-833.03418398530073</v>
      </c>
      <c r="C462">
        <v>216479.38889073851</v>
      </c>
      <c r="D462">
        <v>115745.2822984614</v>
      </c>
      <c r="E462">
        <v>100734.1065922772</v>
      </c>
      <c r="F462">
        <v>0</v>
      </c>
      <c r="G462">
        <v>5396.5960435456864</v>
      </c>
      <c r="H462">
        <v>4563.5618595603864</v>
      </c>
      <c r="I462">
        <v>43295.877778147711</v>
      </c>
      <c r="J462">
        <v>38732.315918587323</v>
      </c>
    </row>
    <row r="463" spans="1:10">
      <c r="A463" s="1">
        <v>46065.609027777777</v>
      </c>
      <c r="B463">
        <v>-548.61735782454673</v>
      </c>
      <c r="C463">
        <v>216763.80571689931</v>
      </c>
      <c r="D463">
        <v>116029.6991246221</v>
      </c>
      <c r="E463">
        <v>100734.1065922772</v>
      </c>
      <c r="F463">
        <v>0</v>
      </c>
      <c r="G463">
        <v>5396.5960435456864</v>
      </c>
      <c r="H463">
        <v>4847.9786857211393</v>
      </c>
      <c r="I463">
        <v>43352.761143379867</v>
      </c>
      <c r="J463">
        <v>38504.78245765873</v>
      </c>
    </row>
    <row r="464" spans="1:10">
      <c r="A464" s="1">
        <v>46065.609722222223</v>
      </c>
      <c r="B464">
        <v>-560.98330678806383</v>
      </c>
      <c r="C464">
        <v>216751.43976793581</v>
      </c>
      <c r="D464">
        <v>116017.3331756586</v>
      </c>
      <c r="E464">
        <v>100734.1065922772</v>
      </c>
      <c r="F464">
        <v>0</v>
      </c>
      <c r="G464">
        <v>5396.5960435456864</v>
      </c>
      <c r="H464">
        <v>4835.6127367576228</v>
      </c>
      <c r="I464">
        <v>43350.287953587162</v>
      </c>
      <c r="J464">
        <v>38514.675216829542</v>
      </c>
    </row>
    <row r="465" spans="1:10">
      <c r="A465" s="1">
        <v>46065.61041666667</v>
      </c>
      <c r="B465">
        <v>-966.18116255498012</v>
      </c>
      <c r="C465">
        <v>216884.58674650549</v>
      </c>
      <c r="D465">
        <v>115881.30773705999</v>
      </c>
      <c r="E465">
        <v>101003.2790094455</v>
      </c>
      <c r="F465">
        <v>0</v>
      </c>
      <c r="G465">
        <v>5396.5960435456864</v>
      </c>
      <c r="H465">
        <v>4430.4148809907056</v>
      </c>
      <c r="I465">
        <v>43376.917349301097</v>
      </c>
      <c r="J465">
        <v>38946.502468310391</v>
      </c>
    </row>
    <row r="466" spans="1:10">
      <c r="A466" s="1">
        <v>46065.611111111109</v>
      </c>
      <c r="B466">
        <v>-1176.402294934649</v>
      </c>
      <c r="C466">
        <v>216674.3656141258</v>
      </c>
      <c r="D466">
        <v>115671.0866046803</v>
      </c>
      <c r="E466">
        <v>101003.2790094455</v>
      </c>
      <c r="F466">
        <v>0</v>
      </c>
      <c r="G466">
        <v>5396.5960435456864</v>
      </c>
      <c r="H466">
        <v>4220.1937486110373</v>
      </c>
      <c r="I466">
        <v>43334.873122825164</v>
      </c>
      <c r="J466">
        <v>39114.679374214124</v>
      </c>
    </row>
    <row r="467" spans="1:10">
      <c r="A467" s="1">
        <v>46065.611805555563</v>
      </c>
      <c r="B467">
        <v>-1012.059305382756</v>
      </c>
      <c r="C467">
        <v>216584.21831835489</v>
      </c>
      <c r="D467">
        <v>115708.18445157081</v>
      </c>
      <c r="E467">
        <v>100876.0338667841</v>
      </c>
      <c r="F467">
        <v>0</v>
      </c>
      <c r="G467">
        <v>5396.5960435456864</v>
      </c>
      <c r="H467">
        <v>4384.5367381629303</v>
      </c>
      <c r="I467">
        <v>43316.843663670988</v>
      </c>
      <c r="J467">
        <v>38932.306925508063</v>
      </c>
    </row>
    <row r="468" spans="1:10">
      <c r="A468" s="1">
        <v>46065.612500000003</v>
      </c>
      <c r="B468">
        <v>-1066.940501554207</v>
      </c>
      <c r="C468">
        <v>216441.24433111021</v>
      </c>
      <c r="D468">
        <v>115609.2568598627</v>
      </c>
      <c r="E468">
        <v>100831.9874712475</v>
      </c>
      <c r="F468">
        <v>0</v>
      </c>
      <c r="G468">
        <v>5396.5960435456864</v>
      </c>
      <c r="H468">
        <v>4329.6555419914794</v>
      </c>
      <c r="I468">
        <v>43288.248866222042</v>
      </c>
      <c r="J468">
        <v>38958.593324230562</v>
      </c>
    </row>
    <row r="469" spans="1:10">
      <c r="A469" s="1">
        <v>46065.613194444442</v>
      </c>
      <c r="B469">
        <v>-1126.2313060832651</v>
      </c>
      <c r="C469">
        <v>215931.7014833178</v>
      </c>
      <c r="D469">
        <v>115324.840033702</v>
      </c>
      <c r="E469">
        <v>100606.8614496158</v>
      </c>
      <c r="F469">
        <v>0</v>
      </c>
      <c r="G469">
        <v>5396.5960435456864</v>
      </c>
      <c r="H469">
        <v>4270.3647374624225</v>
      </c>
      <c r="I469">
        <v>43186.340296663569</v>
      </c>
      <c r="J469">
        <v>38915.97555920115</v>
      </c>
    </row>
    <row r="470" spans="1:10">
      <c r="A470" s="1">
        <v>46065.613888888889</v>
      </c>
      <c r="B470">
        <v>-885.63811805271484</v>
      </c>
      <c r="C470">
        <v>215839.49968284939</v>
      </c>
      <c r="D470">
        <v>115399.0357274831</v>
      </c>
      <c r="E470">
        <v>100440.4639553663</v>
      </c>
      <c r="F470">
        <v>0</v>
      </c>
      <c r="G470">
        <v>5396.5960435456864</v>
      </c>
      <c r="H470">
        <v>4510.9579254929713</v>
      </c>
      <c r="I470">
        <v>43167.899936569876</v>
      </c>
      <c r="J470">
        <v>38656.942011076913</v>
      </c>
    </row>
    <row r="471" spans="1:10">
      <c r="A471" s="1">
        <v>46065.614583333343</v>
      </c>
      <c r="B471">
        <v>-868.86256073157267</v>
      </c>
      <c r="C471">
        <v>216218.4344923606</v>
      </c>
      <c r="D471">
        <v>115596.89091089919</v>
      </c>
      <c r="E471">
        <v>100621.5435814613</v>
      </c>
      <c r="F471">
        <v>0</v>
      </c>
      <c r="G471">
        <v>5396.5960435456864</v>
      </c>
      <c r="H471">
        <v>4527.7334828141138</v>
      </c>
      <c r="I471">
        <v>43243.686898472108</v>
      </c>
      <c r="J471">
        <v>38715.953415657998</v>
      </c>
    </row>
    <row r="472" spans="1:10">
      <c r="A472" s="1">
        <v>46065.615277777782</v>
      </c>
      <c r="B472">
        <v>-850.55585508176591</v>
      </c>
      <c r="C472">
        <v>216422.714868054</v>
      </c>
      <c r="D472">
        <v>115708.18445157081</v>
      </c>
      <c r="E472">
        <v>100714.5304164831</v>
      </c>
      <c r="F472">
        <v>0</v>
      </c>
      <c r="G472">
        <v>5396.5960435456864</v>
      </c>
      <c r="H472">
        <v>4546.0401884639195</v>
      </c>
      <c r="I472">
        <v>43284.542973610798</v>
      </c>
      <c r="J472">
        <v>38738.502785146877</v>
      </c>
    </row>
    <row r="473" spans="1:10">
      <c r="A473" s="1">
        <v>46065.615972222222</v>
      </c>
      <c r="B473">
        <v>-733.84491409274688</v>
      </c>
      <c r="C473">
        <v>216627.51860011631</v>
      </c>
      <c r="D473">
        <v>115868.9417880965</v>
      </c>
      <c r="E473">
        <v>100758.5768120198</v>
      </c>
      <c r="F473">
        <v>0</v>
      </c>
      <c r="G473">
        <v>5396.5960435456864</v>
      </c>
      <c r="H473">
        <v>4662.7511294529386</v>
      </c>
      <c r="I473">
        <v>43325.503720023247</v>
      </c>
      <c r="J473">
        <v>38662.752590570322</v>
      </c>
    </row>
    <row r="474" spans="1:10">
      <c r="A474" s="1">
        <v>46065.616666666669</v>
      </c>
      <c r="B474">
        <v>-621.54358146135257</v>
      </c>
      <c r="C474">
        <v>216465.7534716308</v>
      </c>
      <c r="D474">
        <v>115844.2098901695</v>
      </c>
      <c r="E474">
        <v>100621.5435814613</v>
      </c>
      <c r="F474">
        <v>0</v>
      </c>
      <c r="G474">
        <v>5396.5960435456864</v>
      </c>
      <c r="H474">
        <v>4775.0524620843325</v>
      </c>
      <c r="I474">
        <v>43293.150694326163</v>
      </c>
      <c r="J474">
        <v>38518.098232241828</v>
      </c>
    </row>
    <row r="475" spans="1:10">
      <c r="A475" s="1">
        <v>46065.617361111108</v>
      </c>
      <c r="B475">
        <v>-728.95087014423666</v>
      </c>
      <c r="C475">
        <v>216622.62455616769</v>
      </c>
      <c r="D475">
        <v>115868.9417880965</v>
      </c>
      <c r="E475">
        <v>100753.6827680712</v>
      </c>
      <c r="F475">
        <v>0</v>
      </c>
      <c r="G475">
        <v>5396.5960435456864</v>
      </c>
      <c r="H475">
        <v>4667.6451734014499</v>
      </c>
      <c r="I475">
        <v>43324.524911233537</v>
      </c>
      <c r="J475">
        <v>38656.879737832103</v>
      </c>
    </row>
    <row r="476" spans="1:10">
      <c r="A476" s="1">
        <v>46065.618055555547</v>
      </c>
      <c r="B476">
        <v>-630.02327843615205</v>
      </c>
      <c r="C476">
        <v>216721.5521478758</v>
      </c>
      <c r="D476">
        <v>115967.8693798046</v>
      </c>
      <c r="E476">
        <v>100753.6827680712</v>
      </c>
      <c r="F476">
        <v>0</v>
      </c>
      <c r="G476">
        <v>5396.5960435456864</v>
      </c>
      <c r="H476">
        <v>4766.572765109534</v>
      </c>
      <c r="I476">
        <v>43344.310429575162</v>
      </c>
      <c r="J476">
        <v>38577.737664465632</v>
      </c>
    </row>
    <row r="477" spans="1:10">
      <c r="A477" s="1">
        <v>46065.618750000001</v>
      </c>
      <c r="B477">
        <v>-846.4079249085928</v>
      </c>
      <c r="C477">
        <v>216740.0816109321</v>
      </c>
      <c r="D477">
        <v>115868.9417880965</v>
      </c>
      <c r="E477">
        <v>100871.1398228356</v>
      </c>
      <c r="F477">
        <v>0</v>
      </c>
      <c r="G477">
        <v>5396.5960435456864</v>
      </c>
      <c r="H477">
        <v>4550.1881186370938</v>
      </c>
      <c r="I477">
        <v>43348.01632218642</v>
      </c>
      <c r="J477">
        <v>38797.828203549318</v>
      </c>
    </row>
    <row r="478" spans="1:10">
      <c r="A478" s="1">
        <v>46065.619444444441</v>
      </c>
      <c r="B478">
        <v>-809.61067698051875</v>
      </c>
      <c r="C478">
        <v>216258.11020031761</v>
      </c>
      <c r="D478">
        <v>115646.35470675331</v>
      </c>
      <c r="E478">
        <v>100611.7554935643</v>
      </c>
      <c r="F478">
        <v>0</v>
      </c>
      <c r="G478">
        <v>5396.5960435456864</v>
      </c>
      <c r="H478">
        <v>4586.9853665651681</v>
      </c>
      <c r="I478">
        <v>43251.622040063521</v>
      </c>
      <c r="J478">
        <v>38664.636673498353</v>
      </c>
    </row>
    <row r="479" spans="1:10">
      <c r="A479" s="1">
        <v>46065.620138888888</v>
      </c>
      <c r="B479">
        <v>-868.6008825471348</v>
      </c>
      <c r="C479">
        <v>216267.6366100302</v>
      </c>
      <c r="D479">
        <v>115621.6228088263</v>
      </c>
      <c r="E479">
        <v>100646.0138012039</v>
      </c>
      <c r="F479">
        <v>0</v>
      </c>
      <c r="G479">
        <v>5396.5960435456864</v>
      </c>
      <c r="H479">
        <v>4527.9951609985519</v>
      </c>
      <c r="I479">
        <v>43253.527322006041</v>
      </c>
      <c r="J479">
        <v>38725.53216100749</v>
      </c>
    </row>
    <row r="480" spans="1:10">
      <c r="A480" s="1">
        <v>46065.620833333327</v>
      </c>
      <c r="B480">
        <v>-910.06941701727158</v>
      </c>
      <c r="C480">
        <v>216333.83704242739</v>
      </c>
      <c r="D480">
        <v>115633.9887577898</v>
      </c>
      <c r="E480">
        <v>100699.8482846376</v>
      </c>
      <c r="F480">
        <v>0</v>
      </c>
      <c r="G480">
        <v>5396.5960435456864</v>
      </c>
      <c r="H480">
        <v>4486.5266265284145</v>
      </c>
      <c r="I480">
        <v>43266.767408485473</v>
      </c>
      <c r="J480">
        <v>38780.240781957058</v>
      </c>
    </row>
    <row r="481" spans="1:10">
      <c r="A481" s="1">
        <v>46065.621527777781</v>
      </c>
      <c r="B481">
        <v>-798.77587634568749</v>
      </c>
      <c r="C481">
        <v>216445.13058309889</v>
      </c>
      <c r="D481">
        <v>115745.2822984614</v>
      </c>
      <c r="E481">
        <v>100699.8482846376</v>
      </c>
      <c r="F481">
        <v>0</v>
      </c>
      <c r="G481">
        <v>5396.5960435456864</v>
      </c>
      <c r="H481">
        <v>4597.8201671999987</v>
      </c>
      <c r="I481">
        <v>43289.026116619789</v>
      </c>
      <c r="J481">
        <v>38691.205949419789</v>
      </c>
    </row>
    <row r="482" spans="1:10">
      <c r="A482" s="1">
        <v>46065.62222222222</v>
      </c>
      <c r="B482">
        <v>0</v>
      </c>
      <c r="C482">
        <v>0</v>
      </c>
      <c r="D482">
        <v>0</v>
      </c>
      <c r="E482">
        <v>0</v>
      </c>
      <c r="F482">
        <v>-730.71631692488484</v>
      </c>
      <c r="G482">
        <v>4665.8797266208012</v>
      </c>
      <c r="H482">
        <v>4665.8797266208012</v>
      </c>
      <c r="I482">
        <v>0</v>
      </c>
      <c r="J482">
        <v>-4665.8797266208012</v>
      </c>
    </row>
    <row r="483" spans="1:10">
      <c r="A483" s="1">
        <v>46065.804861111108</v>
      </c>
      <c r="B483">
        <v>0</v>
      </c>
      <c r="C483">
        <v>215844.20989016941</v>
      </c>
      <c r="D483">
        <v>100000</v>
      </c>
      <c r="E483">
        <v>115844.2098901695</v>
      </c>
      <c r="F483">
        <v>0</v>
      </c>
      <c r="G483">
        <v>4665.8797266208012</v>
      </c>
      <c r="H483">
        <v>4665.8797266208012</v>
      </c>
      <c r="I483">
        <v>43168.841978033888</v>
      </c>
      <c r="J483">
        <v>38502.96225141309</v>
      </c>
    </row>
    <row r="484" spans="1:10">
      <c r="A484" s="1">
        <v>46065.805555555547</v>
      </c>
      <c r="B484">
        <v>-116.7555706905671</v>
      </c>
      <c r="C484">
        <v>215778.3077917748</v>
      </c>
      <c r="D484">
        <v>99908.671165457403</v>
      </c>
      <c r="E484">
        <v>115869.6366263174</v>
      </c>
      <c r="F484">
        <v>0</v>
      </c>
      <c r="G484">
        <v>4665.8797266208012</v>
      </c>
      <c r="H484">
        <v>4549.1241559302343</v>
      </c>
      <c r="I484">
        <v>43155.661558354972</v>
      </c>
      <c r="J484">
        <v>38606.537402424743</v>
      </c>
    </row>
    <row r="485" spans="1:10">
      <c r="A485" s="1">
        <v>46065.806250000001</v>
      </c>
      <c r="B485">
        <v>-284.2781905145365</v>
      </c>
      <c r="C485">
        <v>215687.06538039481</v>
      </c>
      <c r="D485">
        <v>99779.2886498554</v>
      </c>
      <c r="E485">
        <v>115907.77673053939</v>
      </c>
      <c r="F485">
        <v>0</v>
      </c>
      <c r="G485">
        <v>4665.8797266208012</v>
      </c>
      <c r="H485">
        <v>4381.6015361062646</v>
      </c>
      <c r="I485">
        <v>43137.413076078963</v>
      </c>
      <c r="J485">
        <v>38755.811539972703</v>
      </c>
    </row>
    <row r="486" spans="1:10">
      <c r="A486" s="1">
        <v>46065.806944444441</v>
      </c>
      <c r="B486">
        <v>-248.44453659641951</v>
      </c>
      <c r="C486">
        <v>215443.20493668519</v>
      </c>
      <c r="D486">
        <v>99675.275254959648</v>
      </c>
      <c r="E486">
        <v>115767.92968172549</v>
      </c>
      <c r="F486">
        <v>0</v>
      </c>
      <c r="G486">
        <v>4665.8797266208012</v>
      </c>
      <c r="H486">
        <v>4417.4351900243819</v>
      </c>
      <c r="I486">
        <v>43088.640987337043</v>
      </c>
      <c r="J486">
        <v>38671.20579731265</v>
      </c>
    </row>
    <row r="487" spans="1:10">
      <c r="A487" s="1">
        <v>46065.807638888888</v>
      </c>
      <c r="B487">
        <v>-212.98538304932299</v>
      </c>
      <c r="C487">
        <v>215529.5175625282</v>
      </c>
      <c r="D487">
        <v>99736.161144654718</v>
      </c>
      <c r="E487">
        <v>115793.3564178735</v>
      </c>
      <c r="F487">
        <v>0</v>
      </c>
      <c r="G487">
        <v>4665.8797266208012</v>
      </c>
      <c r="H487">
        <v>4452.8943435714782</v>
      </c>
      <c r="I487">
        <v>43105.90351250564</v>
      </c>
      <c r="J487">
        <v>38653.009168934157</v>
      </c>
    </row>
    <row r="488" spans="1:10">
      <c r="A488" s="1">
        <v>46065.808333333327</v>
      </c>
      <c r="B488">
        <v>-111.1055921323363</v>
      </c>
      <c r="C488">
        <v>215275.4230473736</v>
      </c>
      <c r="D488">
        <v>99660.053782535892</v>
      </c>
      <c r="E488">
        <v>115615.3692648377</v>
      </c>
      <c r="F488">
        <v>0</v>
      </c>
      <c r="G488">
        <v>4665.8797266208012</v>
      </c>
      <c r="H488">
        <v>4554.7741344884653</v>
      </c>
      <c r="I488">
        <v>43055.084609474718</v>
      </c>
      <c r="J488">
        <v>38500.310474986247</v>
      </c>
    </row>
    <row r="489" spans="1:10">
      <c r="A489" s="1">
        <v>46065.809027777781</v>
      </c>
      <c r="B489">
        <v>-73.023103352078749</v>
      </c>
      <c r="C489">
        <v>215288.0788000059</v>
      </c>
      <c r="D489">
        <v>99685.422903242172</v>
      </c>
      <c r="E489">
        <v>115602.6558967637</v>
      </c>
      <c r="F489">
        <v>0</v>
      </c>
      <c r="G489">
        <v>4665.8797266208012</v>
      </c>
      <c r="H489">
        <v>4592.8566232687226</v>
      </c>
      <c r="I489">
        <v>43057.615760001179</v>
      </c>
      <c r="J489">
        <v>38464.759136732457</v>
      </c>
    </row>
    <row r="490" spans="1:10">
      <c r="A490" s="1">
        <v>46065.80972222222</v>
      </c>
      <c r="B490">
        <v>-125.98137190590229</v>
      </c>
      <c r="C490">
        <v>214955.42643382429</v>
      </c>
      <c r="D490">
        <v>99492.617585874468</v>
      </c>
      <c r="E490">
        <v>115462.8088479498</v>
      </c>
      <c r="F490">
        <v>0</v>
      </c>
      <c r="G490">
        <v>4665.8797266208012</v>
      </c>
      <c r="H490">
        <v>4539.8983547148991</v>
      </c>
      <c r="I490">
        <v>42991.085286764857</v>
      </c>
      <c r="J490">
        <v>38451.186932049968</v>
      </c>
    </row>
    <row r="491" spans="1:10">
      <c r="A491" s="1">
        <v>46065.810416666667</v>
      </c>
      <c r="B491">
        <v>-156.30908587004691</v>
      </c>
      <c r="C491">
        <v>214823.3917752683</v>
      </c>
      <c r="D491">
        <v>99411.436399614395</v>
      </c>
      <c r="E491">
        <v>115411.9553756539</v>
      </c>
      <c r="F491">
        <v>0</v>
      </c>
      <c r="G491">
        <v>4665.8797266208012</v>
      </c>
      <c r="H491">
        <v>4509.5706407507541</v>
      </c>
      <c r="I491">
        <v>42964.678355053657</v>
      </c>
      <c r="J491">
        <v>38455.107714302911</v>
      </c>
    </row>
    <row r="492" spans="1:10">
      <c r="A492" s="1">
        <v>46065.811111111107</v>
      </c>
      <c r="B492">
        <v>-166.54315731510189</v>
      </c>
      <c r="C492">
        <v>214889.4379122672</v>
      </c>
      <c r="D492">
        <v>99439.342432391291</v>
      </c>
      <c r="E492">
        <v>115450.0954798759</v>
      </c>
      <c r="F492">
        <v>0</v>
      </c>
      <c r="G492">
        <v>4665.8797266208012</v>
      </c>
      <c r="H492">
        <v>4499.3365693056994</v>
      </c>
      <c r="I492">
        <v>42977.887582453433</v>
      </c>
      <c r="J492">
        <v>38478.551013147728</v>
      </c>
    </row>
    <row r="493" spans="1:10">
      <c r="A493" s="1">
        <v>46065.811805555553</v>
      </c>
      <c r="B493">
        <v>-128.4318608140064</v>
      </c>
      <c r="C493">
        <v>214876.69573647229</v>
      </c>
      <c r="D493">
        <v>99452.026992744417</v>
      </c>
      <c r="E493">
        <v>115424.6687437279</v>
      </c>
      <c r="F493">
        <v>0</v>
      </c>
      <c r="G493">
        <v>4665.8797266208012</v>
      </c>
      <c r="H493">
        <v>4537.4478658067947</v>
      </c>
      <c r="I493">
        <v>42975.339147294457</v>
      </c>
      <c r="J493">
        <v>38437.891281487668</v>
      </c>
    </row>
    <row r="494" spans="1:10">
      <c r="A494" s="1">
        <v>46065.8125</v>
      </c>
      <c r="B494">
        <v>-169.454569756762</v>
      </c>
      <c r="C494">
        <v>215217.07406974919</v>
      </c>
      <c r="D494">
        <v>99601.704804911467</v>
      </c>
      <c r="E494">
        <v>115615.3692648377</v>
      </c>
      <c r="F494">
        <v>0</v>
      </c>
      <c r="G494">
        <v>4665.8797266208012</v>
      </c>
      <c r="H494">
        <v>4496.4251568640393</v>
      </c>
      <c r="I494">
        <v>43043.414813949843</v>
      </c>
      <c r="J494">
        <v>38546.989657085804</v>
      </c>
    </row>
    <row r="495" spans="1:10">
      <c r="A495" s="1">
        <v>46065.813194444447</v>
      </c>
      <c r="B495">
        <v>-123.81896020632981</v>
      </c>
      <c r="C495">
        <v>215288.1364154476</v>
      </c>
      <c r="D495">
        <v>99660.053782535892</v>
      </c>
      <c r="E495">
        <v>115628.0826329117</v>
      </c>
      <c r="F495">
        <v>0</v>
      </c>
      <c r="G495">
        <v>4665.8797266208012</v>
      </c>
      <c r="H495">
        <v>4542.0607664144718</v>
      </c>
      <c r="I495">
        <v>43057.627283089518</v>
      </c>
      <c r="J495">
        <v>38515.566516675048</v>
      </c>
    </row>
    <row r="496" spans="1:10">
      <c r="A496" s="1">
        <v>46065.813888888893</v>
      </c>
      <c r="B496">
        <v>-131.51611958075949</v>
      </c>
      <c r="C496">
        <v>215356.71946451711</v>
      </c>
      <c r="D496">
        <v>99690.496727383419</v>
      </c>
      <c r="E496">
        <v>115666.2227371336</v>
      </c>
      <c r="F496">
        <v>0</v>
      </c>
      <c r="G496">
        <v>4665.8797266208012</v>
      </c>
      <c r="H496">
        <v>4534.3636070400416</v>
      </c>
      <c r="I496">
        <v>43071.343892903416</v>
      </c>
      <c r="J496">
        <v>38536.980285863378</v>
      </c>
    </row>
    <row r="497" spans="1:10">
      <c r="A497" s="1">
        <v>46065.814583333333</v>
      </c>
      <c r="B497">
        <v>-37.391103479889239</v>
      </c>
      <c r="C497">
        <v>215222.0038552862</v>
      </c>
      <c r="D497">
        <v>99670.201430818401</v>
      </c>
      <c r="E497">
        <v>115551.80242446779</v>
      </c>
      <c r="F497">
        <v>0</v>
      </c>
      <c r="G497">
        <v>4665.8797266208012</v>
      </c>
      <c r="H497">
        <v>4628.4886231409118</v>
      </c>
      <c r="I497">
        <v>43044.400771057233</v>
      </c>
      <c r="J497">
        <v>38415.912147916322</v>
      </c>
    </row>
    <row r="498" spans="1:10">
      <c r="A498" s="1">
        <v>46065.81527777778</v>
      </c>
      <c r="B498">
        <v>0</v>
      </c>
      <c r="C498">
        <v>0</v>
      </c>
      <c r="D498">
        <v>0</v>
      </c>
      <c r="E498">
        <v>0</v>
      </c>
      <c r="F498">
        <v>228.8512426713169</v>
      </c>
      <c r="G498">
        <v>4894.7309692921181</v>
      </c>
      <c r="H498">
        <v>4894.7309692921181</v>
      </c>
      <c r="I498">
        <v>0</v>
      </c>
      <c r="J498">
        <v>-4894.7309692921181</v>
      </c>
    </row>
    <row r="499" spans="1:10">
      <c r="A499" s="1">
        <v>46066.605555555558</v>
      </c>
      <c r="B499">
        <v>0</v>
      </c>
      <c r="C499">
        <v>215844.20989016941</v>
      </c>
      <c r="D499">
        <v>115844.2098901695</v>
      </c>
      <c r="E499">
        <v>100000</v>
      </c>
      <c r="F499">
        <v>0</v>
      </c>
      <c r="G499">
        <v>4894.7309692921181</v>
      </c>
      <c r="H499">
        <v>4894.7309692921181</v>
      </c>
      <c r="I499">
        <v>43168.841978033888</v>
      </c>
      <c r="J499">
        <v>38274.111008741769</v>
      </c>
    </row>
    <row r="500" spans="1:10">
      <c r="A500" s="1">
        <v>46066.606249999997</v>
      </c>
      <c r="B500">
        <v>0</v>
      </c>
      <c r="C500">
        <v>0</v>
      </c>
      <c r="D500">
        <v>0</v>
      </c>
      <c r="E500">
        <v>0</v>
      </c>
      <c r="F500">
        <v>577.60542077799516</v>
      </c>
      <c r="G500">
        <v>5472.3363900701133</v>
      </c>
      <c r="H500">
        <v>5472.3363900701133</v>
      </c>
      <c r="I500">
        <v>0</v>
      </c>
      <c r="J500">
        <v>-5472.3363900701133</v>
      </c>
    </row>
    <row r="501" spans="1:10">
      <c r="A501" s="1">
        <v>46070.606249999997</v>
      </c>
      <c r="B501">
        <v>0</v>
      </c>
      <c r="C501">
        <v>215844.20989016941</v>
      </c>
      <c r="D501">
        <v>115844.2098901694</v>
      </c>
      <c r="E501">
        <v>100000</v>
      </c>
      <c r="F501">
        <v>0</v>
      </c>
      <c r="G501">
        <v>5472.3363900701133</v>
      </c>
      <c r="H501">
        <v>5472.3363900701133</v>
      </c>
      <c r="I501">
        <v>43168.841978033888</v>
      </c>
      <c r="J501">
        <v>37696.505587963773</v>
      </c>
    </row>
    <row r="502" spans="1:10">
      <c r="A502" s="1">
        <v>46070.606944444437</v>
      </c>
      <c r="B502">
        <v>-299.92028450530438</v>
      </c>
      <c r="C502">
        <v>215544.28960566409</v>
      </c>
      <c r="D502">
        <v>115544.2896056641</v>
      </c>
      <c r="E502">
        <v>100000</v>
      </c>
      <c r="F502">
        <v>0</v>
      </c>
      <c r="G502">
        <v>5472.3363900701133</v>
      </c>
      <c r="H502">
        <v>5172.4161055648092</v>
      </c>
      <c r="I502">
        <v>43108.857921132832</v>
      </c>
      <c r="J502">
        <v>37936.441815568032</v>
      </c>
    </row>
    <row r="503" spans="1:10">
      <c r="A503" s="1">
        <v>46070.607638888891</v>
      </c>
      <c r="B503">
        <v>-312.41696302634688</v>
      </c>
      <c r="C503">
        <v>215531.79292714311</v>
      </c>
      <c r="D503">
        <v>115531.79292714311</v>
      </c>
      <c r="E503">
        <v>100000</v>
      </c>
      <c r="F503">
        <v>0</v>
      </c>
      <c r="G503">
        <v>5472.3363900701133</v>
      </c>
      <c r="H503">
        <v>5159.9194270437674</v>
      </c>
      <c r="I503">
        <v>43106.358585428621</v>
      </c>
      <c r="J503">
        <v>37946.439158384863</v>
      </c>
    </row>
    <row r="504" spans="1:10">
      <c r="A504" s="1">
        <v>46070.60833333333</v>
      </c>
      <c r="B504">
        <v>-649.8272830947966</v>
      </c>
      <c r="C504">
        <v>215194.3826070746</v>
      </c>
      <c r="D504">
        <v>115194.3826070746</v>
      </c>
      <c r="E504">
        <v>100000</v>
      </c>
      <c r="F504">
        <v>0</v>
      </c>
      <c r="G504">
        <v>5472.3363900701133</v>
      </c>
      <c r="H504">
        <v>4822.5091069753171</v>
      </c>
      <c r="I504">
        <v>43038.876521414932</v>
      </c>
      <c r="J504">
        <v>38216.367414439606</v>
      </c>
    </row>
    <row r="505" spans="1:10">
      <c r="A505" s="1">
        <v>46070.609027777777</v>
      </c>
      <c r="B505">
        <v>-687.31731865795973</v>
      </c>
      <c r="C505">
        <v>215156.8925715115</v>
      </c>
      <c r="D505">
        <v>115156.8925715115</v>
      </c>
      <c r="E505">
        <v>100000</v>
      </c>
      <c r="F505">
        <v>0</v>
      </c>
      <c r="G505">
        <v>5472.3363900701133</v>
      </c>
      <c r="H505">
        <v>4785.0190714121536</v>
      </c>
      <c r="I505">
        <v>43031.378514302312</v>
      </c>
      <c r="J505">
        <v>38246.359442890149</v>
      </c>
    </row>
    <row r="506" spans="1:10">
      <c r="A506" s="1">
        <v>46070.609722222223</v>
      </c>
      <c r="B506">
        <v>-487.37046232110191</v>
      </c>
      <c r="C506">
        <v>215356.83942784829</v>
      </c>
      <c r="D506">
        <v>115356.8394278483</v>
      </c>
      <c r="E506">
        <v>100000</v>
      </c>
      <c r="F506">
        <v>0</v>
      </c>
      <c r="G506">
        <v>5472.3363900701133</v>
      </c>
      <c r="H506">
        <v>4984.9659277490118</v>
      </c>
      <c r="I506">
        <v>43071.367885569671</v>
      </c>
      <c r="J506">
        <v>38086.401957820657</v>
      </c>
    </row>
    <row r="507" spans="1:10">
      <c r="A507" s="1">
        <v>46070.61041666667</v>
      </c>
      <c r="B507">
        <v>-499.8671408421622</v>
      </c>
      <c r="C507">
        <v>215344.3427493273</v>
      </c>
      <c r="D507">
        <v>115344.3427493273</v>
      </c>
      <c r="E507">
        <v>100000</v>
      </c>
      <c r="F507">
        <v>0</v>
      </c>
      <c r="G507">
        <v>5472.3363900701133</v>
      </c>
      <c r="H507">
        <v>4972.469249227951</v>
      </c>
      <c r="I507">
        <v>43068.868549865467</v>
      </c>
      <c r="J507">
        <v>38096.399300637517</v>
      </c>
    </row>
    <row r="508" spans="1:10">
      <c r="A508" s="1">
        <v>46070.611111111109</v>
      </c>
      <c r="B508">
        <v>-599.84056901059114</v>
      </c>
      <c r="C508">
        <v>215244.36932115891</v>
      </c>
      <c r="D508">
        <v>115244.3693211589</v>
      </c>
      <c r="E508">
        <v>100000</v>
      </c>
      <c r="F508">
        <v>0</v>
      </c>
      <c r="G508">
        <v>5472.3363900701133</v>
      </c>
      <c r="H508">
        <v>4872.4958210595223</v>
      </c>
      <c r="I508">
        <v>43048.873864231777</v>
      </c>
      <c r="J508">
        <v>38176.378043172263</v>
      </c>
    </row>
    <row r="509" spans="1:10">
      <c r="A509" s="1">
        <v>46070.611805555563</v>
      </c>
      <c r="B509">
        <v>-774.79406830534606</v>
      </c>
      <c r="C509">
        <v>215069.4158218641</v>
      </c>
      <c r="D509">
        <v>115069.4158218641</v>
      </c>
      <c r="E509">
        <v>100000</v>
      </c>
      <c r="F509">
        <v>0</v>
      </c>
      <c r="G509">
        <v>5472.3363900701133</v>
      </c>
      <c r="H509">
        <v>4697.5423217647676</v>
      </c>
      <c r="I509">
        <v>43013.883164372819</v>
      </c>
      <c r="J509">
        <v>38316.34084260805</v>
      </c>
    </row>
    <row r="510" spans="1:10">
      <c r="A510" s="1">
        <v>46070.612500000003</v>
      </c>
      <c r="B510">
        <v>-774.79406830534606</v>
      </c>
      <c r="C510">
        <v>215069.4158218641</v>
      </c>
      <c r="D510">
        <v>115069.4158218641</v>
      </c>
      <c r="E510">
        <v>100000</v>
      </c>
      <c r="F510">
        <v>0</v>
      </c>
      <c r="G510">
        <v>5472.3363900701133</v>
      </c>
      <c r="H510">
        <v>4697.5423217647676</v>
      </c>
      <c r="I510">
        <v>43013.883164372819</v>
      </c>
      <c r="J510">
        <v>38316.34084260805</v>
      </c>
    </row>
    <row r="511" spans="1:10">
      <c r="A511" s="1">
        <v>46070.613194444442</v>
      </c>
      <c r="B511">
        <v>-987.23760316326411</v>
      </c>
      <c r="C511">
        <v>214856.97228700621</v>
      </c>
      <c r="D511">
        <v>114856.9722870062</v>
      </c>
      <c r="E511">
        <v>100000</v>
      </c>
      <c r="F511">
        <v>0</v>
      </c>
      <c r="G511">
        <v>5472.3363900701133</v>
      </c>
      <c r="H511">
        <v>4485.0987869068495</v>
      </c>
      <c r="I511">
        <v>42971.394457401242</v>
      </c>
      <c r="J511">
        <v>38486.295670494394</v>
      </c>
    </row>
    <row r="512" spans="1:10">
      <c r="A512" s="1">
        <v>46070.613888888889</v>
      </c>
      <c r="B512">
        <v>0</v>
      </c>
      <c r="C512">
        <v>0</v>
      </c>
      <c r="D512">
        <v>0</v>
      </c>
      <c r="E512">
        <v>0</v>
      </c>
      <c r="F512">
        <v>26.320889736950839</v>
      </c>
      <c r="G512">
        <v>5498.6572798070638</v>
      </c>
      <c r="H512">
        <v>5498.6572798070638</v>
      </c>
      <c r="I512">
        <v>0</v>
      </c>
      <c r="J512">
        <v>-5498.6572798070638</v>
      </c>
    </row>
    <row r="513" spans="1:10">
      <c r="A513" s="1">
        <v>46070.854166666657</v>
      </c>
      <c r="B513">
        <v>0</v>
      </c>
      <c r="C513">
        <v>215844.20989016941</v>
      </c>
      <c r="D513">
        <v>100000</v>
      </c>
      <c r="E513">
        <v>115844.2098901695</v>
      </c>
      <c r="F513">
        <v>0</v>
      </c>
      <c r="G513">
        <v>5498.6572798070638</v>
      </c>
      <c r="H513">
        <v>5498.6572798070638</v>
      </c>
      <c r="I513">
        <v>43168.841978033888</v>
      </c>
      <c r="J513">
        <v>37670.184698226833</v>
      </c>
    </row>
    <row r="514" spans="1:10">
      <c r="A514" s="1">
        <v>46070.854861111111</v>
      </c>
      <c r="B514">
        <v>144.117889841151</v>
      </c>
      <c r="C514">
        <v>215760.95936020659</v>
      </c>
      <c r="D514">
        <v>100030.4336799391</v>
      </c>
      <c r="E514">
        <v>115730.5256802674</v>
      </c>
      <c r="F514">
        <v>0</v>
      </c>
      <c r="G514">
        <v>5498.6572798070638</v>
      </c>
      <c r="H514">
        <v>5642.7751696482146</v>
      </c>
      <c r="I514">
        <v>43152.191872041323</v>
      </c>
      <c r="J514">
        <v>37509.4167023931</v>
      </c>
    </row>
    <row r="515" spans="1:10">
      <c r="A515" s="1">
        <v>46070.855555555558</v>
      </c>
      <c r="B515">
        <v>209.9592875160063</v>
      </c>
      <c r="C515">
        <v>215776.27444236941</v>
      </c>
      <c r="D515">
        <v>100071.01191985801</v>
      </c>
      <c r="E515">
        <v>115705.2625225114</v>
      </c>
      <c r="F515">
        <v>0</v>
      </c>
      <c r="G515">
        <v>5498.6572798070638</v>
      </c>
      <c r="H515">
        <v>5708.6165673230698</v>
      </c>
      <c r="I515">
        <v>43155.254888473879</v>
      </c>
      <c r="J515">
        <v>37446.638321150807</v>
      </c>
    </row>
    <row r="516" spans="1:10">
      <c r="A516" s="1">
        <v>46070.856249999997</v>
      </c>
      <c r="B516">
        <v>199.66736424639191</v>
      </c>
      <c r="C516">
        <v>215690.19304583181</v>
      </c>
      <c r="D516">
        <v>100022.8252599543</v>
      </c>
      <c r="E516">
        <v>115667.3677858774</v>
      </c>
      <c r="F516">
        <v>0</v>
      </c>
      <c r="G516">
        <v>5498.6572798070638</v>
      </c>
      <c r="H516">
        <v>5698.3246440534558</v>
      </c>
      <c r="I516">
        <v>43138.038609166353</v>
      </c>
      <c r="J516">
        <v>37439.713965112896</v>
      </c>
    </row>
    <row r="517" spans="1:10">
      <c r="A517" s="1">
        <v>46070.856944444437</v>
      </c>
      <c r="B517">
        <v>161.77262761238009</v>
      </c>
      <c r="C517">
        <v>215728.08778246579</v>
      </c>
      <c r="D517">
        <v>100022.8252599543</v>
      </c>
      <c r="E517">
        <v>115705.2625225114</v>
      </c>
      <c r="F517">
        <v>0</v>
      </c>
      <c r="G517">
        <v>5498.6572798070638</v>
      </c>
      <c r="H517">
        <v>5660.4299074194441</v>
      </c>
      <c r="I517">
        <v>43145.617556493147</v>
      </c>
      <c r="J517">
        <v>37485.187649073712</v>
      </c>
    </row>
    <row r="518" spans="1:10">
      <c r="A518" s="1">
        <v>46070.857638888891</v>
      </c>
      <c r="B518">
        <v>212.64279080084441</v>
      </c>
      <c r="C518">
        <v>215854.74741892231</v>
      </c>
      <c r="D518">
        <v>100111.5901597768</v>
      </c>
      <c r="E518">
        <v>115743.1572591454</v>
      </c>
      <c r="F518">
        <v>0</v>
      </c>
      <c r="G518">
        <v>5498.6572798070638</v>
      </c>
      <c r="H518">
        <v>5711.3000706079083</v>
      </c>
      <c r="I518">
        <v>43170.949483784447</v>
      </c>
      <c r="J518">
        <v>37459.649413176543</v>
      </c>
    </row>
    <row r="519" spans="1:10">
      <c r="A519" s="1">
        <v>46070.85833333333</v>
      </c>
      <c r="B519">
        <v>0</v>
      </c>
      <c r="C519">
        <v>0</v>
      </c>
      <c r="D519">
        <v>0</v>
      </c>
      <c r="E519">
        <v>0</v>
      </c>
      <c r="F519">
        <v>247.94762236024829</v>
      </c>
      <c r="G519">
        <v>5746.6049021673134</v>
      </c>
      <c r="H519">
        <v>5746.6049021673134</v>
      </c>
      <c r="I519">
        <v>0</v>
      </c>
      <c r="J519">
        <v>-5746.6049021673134</v>
      </c>
    </row>
    <row r="520" spans="1:10">
      <c r="A520" s="1">
        <v>46071.604166666657</v>
      </c>
      <c r="B520">
        <v>0</v>
      </c>
      <c r="C520">
        <v>215844.20989016941</v>
      </c>
      <c r="D520">
        <v>100000</v>
      </c>
      <c r="E520">
        <v>115844.2098901695</v>
      </c>
      <c r="F520">
        <v>0</v>
      </c>
      <c r="G520">
        <v>5746.6049021673134</v>
      </c>
      <c r="H520">
        <v>5746.6049021673134</v>
      </c>
      <c r="I520">
        <v>43168.841978033888</v>
      </c>
      <c r="J520">
        <v>37422.237075866578</v>
      </c>
    </row>
    <row r="521" spans="1:10">
      <c r="A521" s="1">
        <v>46071.604861111111</v>
      </c>
      <c r="B521">
        <v>136.36022565990979</v>
      </c>
      <c r="C521">
        <v>215707.8496645095</v>
      </c>
      <c r="D521">
        <v>100000</v>
      </c>
      <c r="E521">
        <v>115707.8496645095</v>
      </c>
      <c r="F521">
        <v>0</v>
      </c>
      <c r="G521">
        <v>5746.6049021673134</v>
      </c>
      <c r="H521">
        <v>5882.9651278272222</v>
      </c>
      <c r="I521">
        <v>43141.569932901912</v>
      </c>
      <c r="J521">
        <v>37258.60480507469</v>
      </c>
    </row>
    <row r="522" spans="1:10">
      <c r="A522" s="1">
        <v>46071.605555555558</v>
      </c>
      <c r="B522">
        <v>359.49514037613551</v>
      </c>
      <c r="C522">
        <v>215484.71474979329</v>
      </c>
      <c r="D522">
        <v>100000</v>
      </c>
      <c r="E522">
        <v>115484.7147497933</v>
      </c>
      <c r="F522">
        <v>0</v>
      </c>
      <c r="G522">
        <v>5746.6049021673134</v>
      </c>
      <c r="H522">
        <v>6106.1000425434477</v>
      </c>
      <c r="I522">
        <v>43096.942949958669</v>
      </c>
      <c r="J522">
        <v>36990.842907415223</v>
      </c>
    </row>
    <row r="523" spans="1:10">
      <c r="A523" s="1">
        <v>46071.606249999997</v>
      </c>
      <c r="B523">
        <v>463.26706724004339</v>
      </c>
      <c r="C523">
        <v>214274.46995666169</v>
      </c>
      <c r="D523">
        <v>99446.763566866168</v>
      </c>
      <c r="E523">
        <v>114827.7063897956</v>
      </c>
      <c r="F523">
        <v>0</v>
      </c>
      <c r="G523">
        <v>5746.6049021673134</v>
      </c>
      <c r="H523">
        <v>6209.8719694073561</v>
      </c>
      <c r="I523">
        <v>42854.893991332363</v>
      </c>
      <c r="J523">
        <v>36645.022021924997</v>
      </c>
    </row>
    <row r="524" spans="1:10">
      <c r="A524" s="1">
        <v>46071.606944444437</v>
      </c>
      <c r="B524">
        <v>-243.32682936132039</v>
      </c>
      <c r="C524">
        <v>214981.0638532631</v>
      </c>
      <c r="D524">
        <v>99446.763566866168</v>
      </c>
      <c r="E524">
        <v>115534.3002863969</v>
      </c>
      <c r="F524">
        <v>0</v>
      </c>
      <c r="G524">
        <v>5746.6049021673134</v>
      </c>
      <c r="H524">
        <v>5503.2780728059925</v>
      </c>
      <c r="I524">
        <v>42996.212770652623</v>
      </c>
      <c r="J524">
        <v>37492.934697846627</v>
      </c>
    </row>
    <row r="525" spans="1:10">
      <c r="A525" s="1">
        <v>46071.607638888891</v>
      </c>
      <c r="B525">
        <v>326.90684158013357</v>
      </c>
      <c r="C525">
        <v>214410.83018232169</v>
      </c>
      <c r="D525">
        <v>99446.763566866168</v>
      </c>
      <c r="E525">
        <v>114964.06661545549</v>
      </c>
      <c r="F525">
        <v>0</v>
      </c>
      <c r="G525">
        <v>5746.6049021673134</v>
      </c>
      <c r="H525">
        <v>6073.5117437474464</v>
      </c>
      <c r="I525">
        <v>42882.166036464332</v>
      </c>
      <c r="J525">
        <v>36808.654292716878</v>
      </c>
    </row>
    <row r="526" spans="1:10">
      <c r="A526" s="1">
        <v>46071.60833333333</v>
      </c>
      <c r="B526">
        <v>4.6008536567022702</v>
      </c>
      <c r="C526">
        <v>214733.1361702451</v>
      </c>
      <c r="D526">
        <v>99446.763566866168</v>
      </c>
      <c r="E526">
        <v>115286.3726033789</v>
      </c>
      <c r="F526">
        <v>0</v>
      </c>
      <c r="G526">
        <v>5746.6049021673134</v>
      </c>
      <c r="H526">
        <v>5751.2057558240149</v>
      </c>
      <c r="I526">
        <v>42946.627234049018</v>
      </c>
      <c r="J526">
        <v>37195.421478225013</v>
      </c>
    </row>
    <row r="527" spans="1:10">
      <c r="A527" s="1">
        <v>46071.609027777777</v>
      </c>
      <c r="B527">
        <v>277.32130497652201</v>
      </c>
      <c r="C527">
        <v>214460.41571892519</v>
      </c>
      <c r="D527">
        <v>99446.763566866168</v>
      </c>
      <c r="E527">
        <v>115013.6521520591</v>
      </c>
      <c r="F527">
        <v>0</v>
      </c>
      <c r="G527">
        <v>5746.6049021673134</v>
      </c>
      <c r="H527">
        <v>6023.9262071438343</v>
      </c>
      <c r="I527">
        <v>42892.08314378505</v>
      </c>
      <c r="J527">
        <v>36868.156936641208</v>
      </c>
    </row>
    <row r="528" spans="1:10">
      <c r="A528" s="1">
        <v>46071.609722222223</v>
      </c>
      <c r="B528">
        <v>178.15023176931641</v>
      </c>
      <c r="C528">
        <v>214559.5867921325</v>
      </c>
      <c r="D528">
        <v>99446.763566866168</v>
      </c>
      <c r="E528">
        <v>115112.8232252663</v>
      </c>
      <c r="F528">
        <v>0</v>
      </c>
      <c r="G528">
        <v>5746.6049021673134</v>
      </c>
      <c r="H528">
        <v>5924.7551339366291</v>
      </c>
      <c r="I528">
        <v>42911.917358426494</v>
      </c>
      <c r="J528">
        <v>36987.162224489861</v>
      </c>
    </row>
    <row r="529" spans="1:10">
      <c r="A529" s="1">
        <v>46071.61041666667</v>
      </c>
      <c r="B529">
        <v>153.35746346751941</v>
      </c>
      <c r="C529">
        <v>214584.37956043429</v>
      </c>
      <c r="D529">
        <v>99446.763566866168</v>
      </c>
      <c r="E529">
        <v>115137.61599356811</v>
      </c>
      <c r="F529">
        <v>0</v>
      </c>
      <c r="G529">
        <v>5746.6049021673134</v>
      </c>
      <c r="H529">
        <v>5899.9623656348322</v>
      </c>
      <c r="I529">
        <v>42916.875912086864</v>
      </c>
      <c r="J529">
        <v>37016.913546452022</v>
      </c>
    </row>
    <row r="530" spans="1:10">
      <c r="A530" s="1">
        <v>46071.611111111109</v>
      </c>
      <c r="B530">
        <v>401.28514648552448</v>
      </c>
      <c r="C530">
        <v>214336.45187741629</v>
      </c>
      <c r="D530">
        <v>99446.763566866168</v>
      </c>
      <c r="E530">
        <v>114889.6883105501</v>
      </c>
      <c r="F530">
        <v>0</v>
      </c>
      <c r="G530">
        <v>5746.6049021673134</v>
      </c>
      <c r="H530">
        <v>6147.8900486528373</v>
      </c>
      <c r="I530">
        <v>42867.290375483251</v>
      </c>
      <c r="J530">
        <v>36719.400326830408</v>
      </c>
    </row>
    <row r="531" spans="1:10">
      <c r="A531" s="1">
        <v>46071.611805555563</v>
      </c>
      <c r="B531">
        <v>202.9430000711134</v>
      </c>
      <c r="C531">
        <v>214534.79402383071</v>
      </c>
      <c r="D531">
        <v>99446.763566866168</v>
      </c>
      <c r="E531">
        <v>115088.03045696449</v>
      </c>
      <c r="F531">
        <v>0</v>
      </c>
      <c r="G531">
        <v>5746.6049021673134</v>
      </c>
      <c r="H531">
        <v>5949.5479022384261</v>
      </c>
      <c r="I531">
        <v>42906.958804766138</v>
      </c>
      <c r="J531">
        <v>36957.410902527707</v>
      </c>
    </row>
    <row r="532" spans="1:10">
      <c r="A532" s="1">
        <v>46071.612500000003</v>
      </c>
      <c r="B532">
        <v>0</v>
      </c>
      <c r="C532">
        <v>0</v>
      </c>
      <c r="D532">
        <v>0</v>
      </c>
      <c r="E532">
        <v>0</v>
      </c>
      <c r="F532">
        <v>502.01162293800792</v>
      </c>
      <c r="G532">
        <v>6248.6165251053208</v>
      </c>
      <c r="H532">
        <v>6248.6165251053208</v>
      </c>
      <c r="I532">
        <v>0</v>
      </c>
      <c r="J532">
        <v>-6248.6165251053208</v>
      </c>
    </row>
    <row r="533" spans="1:10">
      <c r="A533" s="1">
        <v>46071.84097222222</v>
      </c>
      <c r="B533">
        <v>0</v>
      </c>
      <c r="C533">
        <v>215844.20989016941</v>
      </c>
      <c r="D533">
        <v>115844.2098901694</v>
      </c>
      <c r="E533">
        <v>100000</v>
      </c>
      <c r="F533">
        <v>0</v>
      </c>
      <c r="G533">
        <v>6248.6165251053208</v>
      </c>
      <c r="H533">
        <v>6248.6165251053208</v>
      </c>
      <c r="I533">
        <v>43168.841978033888</v>
      </c>
      <c r="J533">
        <v>36920.225452928571</v>
      </c>
    </row>
    <row r="534" spans="1:10">
      <c r="A534" s="1">
        <v>46071.841666666667</v>
      </c>
      <c r="B534">
        <v>-63.595398516382218</v>
      </c>
      <c r="C534">
        <v>215760.5144941656</v>
      </c>
      <c r="D534">
        <v>115770.5644929093</v>
      </c>
      <c r="E534">
        <v>99989.950001256249</v>
      </c>
      <c r="F534">
        <v>0</v>
      </c>
      <c r="G534">
        <v>6248.6165251053208</v>
      </c>
      <c r="H534">
        <v>6185.0211265889384</v>
      </c>
      <c r="I534">
        <v>43152.102898833124</v>
      </c>
      <c r="J534">
        <v>36967.081772244179</v>
      </c>
    </row>
    <row r="535" spans="1:10">
      <c r="A535" s="1">
        <v>46071.842361111107</v>
      </c>
      <c r="B535">
        <v>11.49132650874928</v>
      </c>
      <c r="C535">
        <v>215709.97623489381</v>
      </c>
      <c r="D535">
        <v>115782.838725786</v>
      </c>
      <c r="E535">
        <v>99927.137509107823</v>
      </c>
      <c r="F535">
        <v>0</v>
      </c>
      <c r="G535">
        <v>6248.6165251053208</v>
      </c>
      <c r="H535">
        <v>6260.1078516140697</v>
      </c>
      <c r="I535">
        <v>43141.995246978768</v>
      </c>
      <c r="J535">
        <v>36881.887395364698</v>
      </c>
    </row>
    <row r="536" spans="1:10">
      <c r="A536" s="1">
        <v>46071.843055555553</v>
      </c>
      <c r="B536">
        <v>-40.982901342936373</v>
      </c>
      <c r="C536">
        <v>215737.90199699209</v>
      </c>
      <c r="D536">
        <v>115770.5644929093</v>
      </c>
      <c r="E536">
        <v>99967.33750408281</v>
      </c>
      <c r="F536">
        <v>0</v>
      </c>
      <c r="G536">
        <v>6248.6165251053208</v>
      </c>
      <c r="H536">
        <v>6207.6336237623846</v>
      </c>
      <c r="I536">
        <v>43147.58039939843</v>
      </c>
      <c r="J536">
        <v>36939.946775636046</v>
      </c>
    </row>
    <row r="537" spans="1:10">
      <c r="A537" s="1">
        <v>46071.84375</v>
      </c>
      <c r="B537">
        <v>8.6905612698307806</v>
      </c>
      <c r="C537">
        <v>215737.32546588621</v>
      </c>
      <c r="D537">
        <v>115795.11295866271</v>
      </c>
      <c r="E537">
        <v>99942.212507223434</v>
      </c>
      <c r="F537">
        <v>0</v>
      </c>
      <c r="G537">
        <v>6248.6165251053208</v>
      </c>
      <c r="H537">
        <v>6257.3070863751518</v>
      </c>
      <c r="I537">
        <v>43147.465093177227</v>
      </c>
      <c r="J537">
        <v>36890.158006802078</v>
      </c>
    </row>
    <row r="538" spans="1:10">
      <c r="A538" s="1">
        <v>46071.844444444447</v>
      </c>
      <c r="B538">
        <v>-89.503301743661041</v>
      </c>
      <c r="C538">
        <v>215639.13160287269</v>
      </c>
      <c r="D538">
        <v>115696.91909564919</v>
      </c>
      <c r="E538">
        <v>99942.212507223434</v>
      </c>
      <c r="F538">
        <v>0</v>
      </c>
      <c r="G538">
        <v>6248.6165251053208</v>
      </c>
      <c r="H538">
        <v>6159.1132233616599</v>
      </c>
      <c r="I538">
        <v>43127.826320574532</v>
      </c>
      <c r="J538">
        <v>36968.713097212873</v>
      </c>
    </row>
    <row r="539" spans="1:10">
      <c r="A539" s="1">
        <v>46071.845138888893</v>
      </c>
      <c r="B539">
        <v>-18.082138616489811</v>
      </c>
      <c r="C539">
        <v>215690.4527685123</v>
      </c>
      <c r="D539">
        <v>115758.29026003261</v>
      </c>
      <c r="E539">
        <v>99932.162508479683</v>
      </c>
      <c r="F539">
        <v>0</v>
      </c>
      <c r="G539">
        <v>6248.6165251053208</v>
      </c>
      <c r="H539">
        <v>6230.5343864888309</v>
      </c>
      <c r="I539">
        <v>43138.090553702466</v>
      </c>
      <c r="J539">
        <v>36907.556167213639</v>
      </c>
    </row>
    <row r="540" spans="1:10">
      <c r="A540" s="1">
        <v>46071.845833333333</v>
      </c>
      <c r="B540">
        <v>77.887490264064283</v>
      </c>
      <c r="C540">
        <v>215766.32239990539</v>
      </c>
      <c r="D540">
        <v>115844.2098901694</v>
      </c>
      <c r="E540">
        <v>99922.112509735933</v>
      </c>
      <c r="F540">
        <v>0</v>
      </c>
      <c r="G540">
        <v>6248.6165251053208</v>
      </c>
      <c r="H540">
        <v>6326.5040153693853</v>
      </c>
      <c r="I540">
        <v>43153.264479981073</v>
      </c>
      <c r="J540">
        <v>36826.760464611689</v>
      </c>
    </row>
    <row r="541" spans="1:10">
      <c r="A541" s="1">
        <v>46071.84652777778</v>
      </c>
      <c r="B541">
        <v>21.541325252504581</v>
      </c>
      <c r="C541">
        <v>215699.92623615009</v>
      </c>
      <c r="D541">
        <v>115782.838725786</v>
      </c>
      <c r="E541">
        <v>99917.087510364057</v>
      </c>
      <c r="F541">
        <v>0</v>
      </c>
      <c r="G541">
        <v>6248.6165251053208</v>
      </c>
      <c r="H541">
        <v>6270.1578503578257</v>
      </c>
      <c r="I541">
        <v>43139.985247230019</v>
      </c>
      <c r="J541">
        <v>36869.827396872191</v>
      </c>
    </row>
    <row r="542" spans="1:10">
      <c r="A542" s="1">
        <v>46071.847222222219</v>
      </c>
      <c r="B542">
        <v>58.364023882566187</v>
      </c>
      <c r="C542">
        <v>215736.7489347801</v>
      </c>
      <c r="D542">
        <v>115819.6614244161</v>
      </c>
      <c r="E542">
        <v>99917.087510364057</v>
      </c>
      <c r="F542">
        <v>0</v>
      </c>
      <c r="G542">
        <v>6248.6165251053208</v>
      </c>
      <c r="H542">
        <v>6306.9805489878872</v>
      </c>
      <c r="I542">
        <v>43147.349786956031</v>
      </c>
      <c r="J542">
        <v>36840.369237968152</v>
      </c>
    </row>
    <row r="543" spans="1:10">
      <c r="A543" s="1">
        <v>46071.847916666673</v>
      </c>
      <c r="B543">
        <v>52.474227851685647</v>
      </c>
      <c r="C543">
        <v>215816.28412807119</v>
      </c>
      <c r="D543">
        <v>115856.4841230461</v>
      </c>
      <c r="E543">
        <v>99959.800005024998</v>
      </c>
      <c r="F543">
        <v>0</v>
      </c>
      <c r="G543">
        <v>6248.6165251053208</v>
      </c>
      <c r="H543">
        <v>6301.0907529570068</v>
      </c>
      <c r="I543">
        <v>43163.256825614233</v>
      </c>
      <c r="J543">
        <v>36862.16607265723</v>
      </c>
    </row>
    <row r="544" spans="1:10">
      <c r="A544" s="1">
        <v>46071.848611111112</v>
      </c>
      <c r="B544">
        <v>63.88366406938291</v>
      </c>
      <c r="C544">
        <v>215903.06855486691</v>
      </c>
      <c r="D544">
        <v>115905.58105455289</v>
      </c>
      <c r="E544">
        <v>99997.487500314062</v>
      </c>
      <c r="F544">
        <v>0</v>
      </c>
      <c r="G544">
        <v>6248.6165251053208</v>
      </c>
      <c r="H544">
        <v>6312.5001891747033</v>
      </c>
      <c r="I544">
        <v>43180.61371097339</v>
      </c>
      <c r="J544">
        <v>36868.113521798688</v>
      </c>
    </row>
    <row r="545" spans="1:10">
      <c r="A545" s="1">
        <v>46071.849305555559</v>
      </c>
      <c r="B545">
        <v>0</v>
      </c>
      <c r="C545">
        <v>0</v>
      </c>
      <c r="D545">
        <v>0</v>
      </c>
      <c r="E545">
        <v>0</v>
      </c>
      <c r="F545">
        <v>75.987504468163209</v>
      </c>
      <c r="G545">
        <v>6324.6040295734838</v>
      </c>
      <c r="H545">
        <v>6324.6040295734838</v>
      </c>
      <c r="I545">
        <v>0</v>
      </c>
      <c r="J545">
        <v>-6324.6040295734838</v>
      </c>
    </row>
    <row r="546" spans="1:10">
      <c r="A546" s="1">
        <v>46077.60833333333</v>
      </c>
      <c r="B546">
        <v>0</v>
      </c>
      <c r="C546">
        <v>215844.20989016941</v>
      </c>
      <c r="D546">
        <v>115844.2098901695</v>
      </c>
      <c r="E546">
        <v>100000</v>
      </c>
      <c r="F546">
        <v>0</v>
      </c>
      <c r="G546">
        <v>6324.6040295734838</v>
      </c>
      <c r="H546">
        <v>6324.6040295734838</v>
      </c>
      <c r="I546">
        <v>43168.841978033888</v>
      </c>
      <c r="J546">
        <v>36844.237948460403</v>
      </c>
    </row>
    <row r="547" spans="1:10">
      <c r="A547" s="1">
        <v>46077.609027777777</v>
      </c>
      <c r="B547">
        <v>112.7327850235139</v>
      </c>
      <c r="C547">
        <v>215956.94267519299</v>
      </c>
      <c r="D547">
        <v>115956.942675193</v>
      </c>
      <c r="E547">
        <v>100000</v>
      </c>
      <c r="F547">
        <v>0</v>
      </c>
      <c r="G547">
        <v>6324.6040295734838</v>
      </c>
      <c r="H547">
        <v>6437.336814596998</v>
      </c>
      <c r="I547">
        <v>43191.388535038597</v>
      </c>
      <c r="J547">
        <v>36754.051720441603</v>
      </c>
    </row>
    <row r="548" spans="1:10">
      <c r="A548" s="1">
        <v>46077.609722222223</v>
      </c>
      <c r="B548">
        <v>-112.7327850235299</v>
      </c>
      <c r="C548">
        <v>215731.4771051459</v>
      </c>
      <c r="D548">
        <v>115731.4771051459</v>
      </c>
      <c r="E548">
        <v>100000</v>
      </c>
      <c r="F548">
        <v>0</v>
      </c>
      <c r="G548">
        <v>6324.6040295734838</v>
      </c>
      <c r="H548">
        <v>6211.8712445499541</v>
      </c>
      <c r="I548">
        <v>43146.295421029186</v>
      </c>
      <c r="J548">
        <v>36934.424176479231</v>
      </c>
    </row>
    <row r="549" spans="1:10">
      <c r="A549" s="1">
        <v>46077.61041666667</v>
      </c>
      <c r="B549">
        <v>-45.093114009415167</v>
      </c>
      <c r="C549">
        <v>215799.11677616011</v>
      </c>
      <c r="D549">
        <v>115799.1167761601</v>
      </c>
      <c r="E549">
        <v>100000</v>
      </c>
      <c r="F549">
        <v>0</v>
      </c>
      <c r="G549">
        <v>6324.6040295734838</v>
      </c>
      <c r="H549">
        <v>6279.5109155640675</v>
      </c>
      <c r="I549">
        <v>43159.823355232023</v>
      </c>
      <c r="J549">
        <v>36880.312439667949</v>
      </c>
    </row>
    <row r="550" spans="1:10">
      <c r="A550" s="1">
        <v>46077.611111111109</v>
      </c>
      <c r="B550">
        <v>-112.7327850235299</v>
      </c>
      <c r="C550">
        <v>215731.4771051459</v>
      </c>
      <c r="D550">
        <v>115731.4771051459</v>
      </c>
      <c r="E550">
        <v>100000</v>
      </c>
      <c r="F550">
        <v>0</v>
      </c>
      <c r="G550">
        <v>6324.6040295734838</v>
      </c>
      <c r="H550">
        <v>6211.8712445499541</v>
      </c>
      <c r="I550">
        <v>43146.295421029186</v>
      </c>
      <c r="J550">
        <v>36934.424176479231</v>
      </c>
    </row>
    <row r="551" spans="1:10">
      <c r="A551" s="1">
        <v>46077.611805555563</v>
      </c>
      <c r="B551">
        <v>428.38458308937197</v>
      </c>
      <c r="C551">
        <v>216272.5944732588</v>
      </c>
      <c r="D551">
        <v>116272.5944732588</v>
      </c>
      <c r="E551">
        <v>100000</v>
      </c>
      <c r="F551">
        <v>0</v>
      </c>
      <c r="G551">
        <v>6324.6040295734838</v>
      </c>
      <c r="H551">
        <v>6752.9886126628553</v>
      </c>
      <c r="I551">
        <v>43254.518894651766</v>
      </c>
      <c r="J551">
        <v>36501.530281988911</v>
      </c>
    </row>
    <row r="552" spans="1:10">
      <c r="A552" s="1">
        <v>46077.612500000003</v>
      </c>
      <c r="B552">
        <v>-293.10524106115861</v>
      </c>
      <c r="C552">
        <v>215551.10464910831</v>
      </c>
      <c r="D552">
        <v>115551.1046491083</v>
      </c>
      <c r="E552">
        <v>100000</v>
      </c>
      <c r="F552">
        <v>0</v>
      </c>
      <c r="G552">
        <v>6324.6040295734838</v>
      </c>
      <c r="H552">
        <v>6031.4987885123264</v>
      </c>
      <c r="I552">
        <v>43110.220929821662</v>
      </c>
      <c r="J552">
        <v>37078.722141309343</v>
      </c>
    </row>
    <row r="553" spans="1:10">
      <c r="A553" s="1">
        <v>46077.613194444442</v>
      </c>
      <c r="B553">
        <v>-24.90123204270839</v>
      </c>
      <c r="C553">
        <v>215147.6212980616</v>
      </c>
      <c r="D553">
        <v>115483.4649780942</v>
      </c>
      <c r="E553">
        <v>99664.156319967427</v>
      </c>
      <c r="F553">
        <v>0</v>
      </c>
      <c r="G553">
        <v>6324.6040295734838</v>
      </c>
      <c r="H553">
        <v>6299.7027975307756</v>
      </c>
      <c r="I553">
        <v>43029.524259612328</v>
      </c>
      <c r="J553">
        <v>36729.821462081563</v>
      </c>
    </row>
    <row r="554" spans="1:10">
      <c r="A554" s="1">
        <v>46077.613888888889</v>
      </c>
      <c r="B554">
        <v>-160.18057407093781</v>
      </c>
      <c r="C554">
        <v>215012.3419560334</v>
      </c>
      <c r="D554">
        <v>115348.185636066</v>
      </c>
      <c r="E554">
        <v>99664.156319967427</v>
      </c>
      <c r="F554">
        <v>0</v>
      </c>
      <c r="G554">
        <v>6324.6040295734838</v>
      </c>
      <c r="H554">
        <v>6164.4234555025459</v>
      </c>
      <c r="I554">
        <v>43002.468391206683</v>
      </c>
      <c r="J554">
        <v>36838.044935704129</v>
      </c>
    </row>
    <row r="555" spans="1:10">
      <c r="A555" s="1">
        <v>46077.614583333343</v>
      </c>
      <c r="B555">
        <v>41.087515382986453</v>
      </c>
      <c r="C555">
        <v>214450.32895450419</v>
      </c>
      <c r="D555">
        <v>115167.8131800283</v>
      </c>
      <c r="E555">
        <v>99282.515774475876</v>
      </c>
      <c r="F555">
        <v>0</v>
      </c>
      <c r="G555">
        <v>6324.6040295734838</v>
      </c>
      <c r="H555">
        <v>6365.6915449564704</v>
      </c>
      <c r="I555">
        <v>42890.065790900837</v>
      </c>
      <c r="J555">
        <v>36524.374245944367</v>
      </c>
    </row>
    <row r="556" spans="1:10">
      <c r="A556" s="1">
        <v>46077.615277777782</v>
      </c>
      <c r="B556">
        <v>0</v>
      </c>
      <c r="C556">
        <v>0</v>
      </c>
      <c r="D556">
        <v>0</v>
      </c>
      <c r="E556">
        <v>0</v>
      </c>
      <c r="F556">
        <v>646.75203435736694</v>
      </c>
      <c r="G556">
        <v>6971.3560639308507</v>
      </c>
      <c r="H556">
        <v>6971.3560639308507</v>
      </c>
      <c r="I556">
        <v>0</v>
      </c>
      <c r="J556">
        <v>-6971.3560639308507</v>
      </c>
    </row>
    <row r="557" spans="1:10">
      <c r="A557" s="1">
        <v>46078.604861111111</v>
      </c>
      <c r="B557">
        <v>0</v>
      </c>
      <c r="C557">
        <v>215844.2098901695</v>
      </c>
      <c r="D557">
        <v>115844.2098901695</v>
      </c>
      <c r="E557">
        <v>100000</v>
      </c>
      <c r="F557">
        <v>0</v>
      </c>
      <c r="G557">
        <v>6971.3560639308507</v>
      </c>
      <c r="H557">
        <v>6971.3560639308507</v>
      </c>
      <c r="I557">
        <v>43168.841978033903</v>
      </c>
      <c r="J557">
        <v>36197.485914103047</v>
      </c>
    </row>
    <row r="558" spans="1:10">
      <c r="A558" s="1">
        <v>46078.605555555558</v>
      </c>
      <c r="B558">
        <v>196.12124286446681</v>
      </c>
      <c r="C558">
        <v>215446.8149235576</v>
      </c>
      <c r="D558">
        <v>115743.5730282958</v>
      </c>
      <c r="E558">
        <v>99703.241895261846</v>
      </c>
      <c r="F558">
        <v>0</v>
      </c>
      <c r="G558">
        <v>6971.3560639308507</v>
      </c>
      <c r="H558">
        <v>7167.4773067953174</v>
      </c>
      <c r="I558">
        <v>43089.36298471153</v>
      </c>
      <c r="J558">
        <v>35921.885677916223</v>
      </c>
    </row>
    <row r="559" spans="1:10">
      <c r="A559" s="1">
        <v>46078.606249999997</v>
      </c>
      <c r="B559">
        <v>194.10833642605371</v>
      </c>
      <c r="C559">
        <v>215180.46286499951</v>
      </c>
      <c r="D559">
        <v>115609.39054579751</v>
      </c>
      <c r="E559">
        <v>99571.072319201994</v>
      </c>
      <c r="F559">
        <v>0</v>
      </c>
      <c r="G559">
        <v>6971.3560639308507</v>
      </c>
      <c r="H559">
        <v>7165.4644003569047</v>
      </c>
      <c r="I559">
        <v>43036.0925729999</v>
      </c>
      <c r="J559">
        <v>35870.628172643002</v>
      </c>
    </row>
    <row r="560" spans="1:10">
      <c r="A560" s="1">
        <v>46078.606944444437</v>
      </c>
      <c r="B560">
        <v>-171.99900890180561</v>
      </c>
      <c r="C560">
        <v>214584.92908575639</v>
      </c>
      <c r="D560">
        <v>115128.569983512</v>
      </c>
      <c r="E560">
        <v>99456.359102244387</v>
      </c>
      <c r="F560">
        <v>0</v>
      </c>
      <c r="G560">
        <v>6971.3560639308507</v>
      </c>
      <c r="H560">
        <v>6799.3570550290451</v>
      </c>
      <c r="I560">
        <v>42916.98581715129</v>
      </c>
      <c r="J560">
        <v>36117.628762122236</v>
      </c>
    </row>
    <row r="561" spans="1:10">
      <c r="A561" s="1">
        <v>46078.607638888891</v>
      </c>
      <c r="B561">
        <v>-268.0443922314409</v>
      </c>
      <c r="C561">
        <v>215396.61437574349</v>
      </c>
      <c r="D561">
        <v>115486.3899368408</v>
      </c>
      <c r="E561">
        <v>99910.224438902747</v>
      </c>
      <c r="F561">
        <v>0</v>
      </c>
      <c r="G561">
        <v>6971.3560639308507</v>
      </c>
      <c r="H561">
        <v>6703.31167169941</v>
      </c>
      <c r="I561">
        <v>43079.322875148697</v>
      </c>
      <c r="J561">
        <v>36376.011203449292</v>
      </c>
    </row>
    <row r="562" spans="1:10">
      <c r="A562" s="1">
        <v>46078.60833333333</v>
      </c>
      <c r="B562">
        <v>-419.52294744940411</v>
      </c>
      <c r="C562">
        <v>215190.27297763279</v>
      </c>
      <c r="D562">
        <v>115307.4799601764</v>
      </c>
      <c r="E562">
        <v>99882.793017456352</v>
      </c>
      <c r="F562">
        <v>0</v>
      </c>
      <c r="G562">
        <v>6971.3560639308507</v>
      </c>
      <c r="H562">
        <v>6551.8331164814463</v>
      </c>
      <c r="I562">
        <v>43038.054595526562</v>
      </c>
      <c r="J562">
        <v>36486.221479045111</v>
      </c>
    </row>
    <row r="563" spans="1:10">
      <c r="A563" s="1">
        <v>46078.609027777777</v>
      </c>
      <c r="B563">
        <v>-598.43292411377058</v>
      </c>
      <c r="C563">
        <v>215011.36300096841</v>
      </c>
      <c r="D563">
        <v>115128.569983512</v>
      </c>
      <c r="E563">
        <v>99882.793017456352</v>
      </c>
      <c r="F563">
        <v>0</v>
      </c>
      <c r="G563">
        <v>6971.3560639308507</v>
      </c>
      <c r="H563">
        <v>6372.9231398170796</v>
      </c>
      <c r="I563">
        <v>43002.272600193683</v>
      </c>
      <c r="J563">
        <v>36629.349460376601</v>
      </c>
    </row>
    <row r="564" spans="1:10">
      <c r="A564" s="1">
        <v>46078.609722222223</v>
      </c>
      <c r="B564">
        <v>-520.15980932310731</v>
      </c>
      <c r="C564">
        <v>215089.63611575909</v>
      </c>
      <c r="D564">
        <v>115206.84309830271</v>
      </c>
      <c r="E564">
        <v>99882.793017456352</v>
      </c>
      <c r="F564">
        <v>0</v>
      </c>
      <c r="G564">
        <v>6971.3560639308507</v>
      </c>
      <c r="H564">
        <v>6451.196254607743</v>
      </c>
      <c r="I564">
        <v>43017.927223151812</v>
      </c>
      <c r="J564">
        <v>36566.73096854407</v>
      </c>
    </row>
    <row r="565" spans="1:10">
      <c r="A565" s="1">
        <v>46078.61041666667</v>
      </c>
      <c r="B565">
        <v>-799.70664786116106</v>
      </c>
      <c r="C565">
        <v>214810.08927722101</v>
      </c>
      <c r="D565">
        <v>114927.2962597647</v>
      </c>
      <c r="E565">
        <v>99882.793017456352</v>
      </c>
      <c r="F565">
        <v>0</v>
      </c>
      <c r="G565">
        <v>6971.3560639308507</v>
      </c>
      <c r="H565">
        <v>6171.6494160696893</v>
      </c>
      <c r="I565">
        <v>42962.017855444203</v>
      </c>
      <c r="J565">
        <v>36790.368439374513</v>
      </c>
    </row>
    <row r="566" spans="1:10">
      <c r="A566" s="1">
        <v>46078.611111111109</v>
      </c>
      <c r="B566">
        <v>-928.26045365721075</v>
      </c>
      <c r="C566">
        <v>214312.45816469181</v>
      </c>
      <c r="D566">
        <v>114614.203800602</v>
      </c>
      <c r="E566">
        <v>99698.254364089778</v>
      </c>
      <c r="F566">
        <v>0</v>
      </c>
      <c r="G566">
        <v>6971.3560639308507</v>
      </c>
      <c r="H566">
        <v>6043.09561027364</v>
      </c>
      <c r="I566">
        <v>42862.491632938363</v>
      </c>
      <c r="J566">
        <v>36819.396022664732</v>
      </c>
    </row>
    <row r="567" spans="1:10">
      <c r="A567" s="1">
        <v>46078.611805555563</v>
      </c>
      <c r="B567">
        <v>-654.18666876716725</v>
      </c>
      <c r="C567">
        <v>214172.56686230001</v>
      </c>
      <c r="D567">
        <v>114681.2950418512</v>
      </c>
      <c r="E567">
        <v>99491.271820448877</v>
      </c>
      <c r="F567">
        <v>0</v>
      </c>
      <c r="G567">
        <v>6971.3560639308507</v>
      </c>
      <c r="H567">
        <v>6317.1693951636826</v>
      </c>
      <c r="I567">
        <v>42834.513372460009</v>
      </c>
      <c r="J567">
        <v>36517.343977296317</v>
      </c>
    </row>
    <row r="568" spans="1:10">
      <c r="A568" s="1">
        <v>46078.612500000003</v>
      </c>
      <c r="B568">
        <v>-743.64165709934264</v>
      </c>
      <c r="C568">
        <v>214083.11187396789</v>
      </c>
      <c r="D568">
        <v>114591.840053519</v>
      </c>
      <c r="E568">
        <v>99491.271820448877</v>
      </c>
      <c r="F568">
        <v>0</v>
      </c>
      <c r="G568">
        <v>6971.3560639308507</v>
      </c>
      <c r="H568">
        <v>6227.7144068315083</v>
      </c>
      <c r="I568">
        <v>42816.622374793573</v>
      </c>
      <c r="J568">
        <v>36588.907967962063</v>
      </c>
    </row>
    <row r="569" spans="1:10">
      <c r="A569" s="1">
        <v>46078.613194444442</v>
      </c>
      <c r="B569">
        <v>-698.91416293326301</v>
      </c>
      <c r="C569">
        <v>214127.83936813401</v>
      </c>
      <c r="D569">
        <v>114636.5675476851</v>
      </c>
      <c r="E569">
        <v>99491.271820448877</v>
      </c>
      <c r="F569">
        <v>0</v>
      </c>
      <c r="G569">
        <v>6971.3560639308507</v>
      </c>
      <c r="H569">
        <v>6272.4419009975882</v>
      </c>
      <c r="I569">
        <v>42825.567873626787</v>
      </c>
      <c r="J569">
        <v>36553.125972629197</v>
      </c>
    </row>
    <row r="570" spans="1:10">
      <c r="A570" s="1">
        <v>46078.613888888889</v>
      </c>
      <c r="B570">
        <v>-799.55102480695018</v>
      </c>
      <c r="C570">
        <v>214027.20250626019</v>
      </c>
      <c r="D570">
        <v>114535.9306858114</v>
      </c>
      <c r="E570">
        <v>99491.271820448877</v>
      </c>
      <c r="F570">
        <v>0</v>
      </c>
      <c r="G570">
        <v>6971.3560639308507</v>
      </c>
      <c r="H570">
        <v>6171.8050391239003</v>
      </c>
      <c r="I570">
        <v>42805.440501252051</v>
      </c>
      <c r="J570">
        <v>36633.63546212815</v>
      </c>
    </row>
    <row r="571" spans="1:10">
      <c r="A571" s="1">
        <v>46078.614583333343</v>
      </c>
      <c r="B571">
        <v>-799.55102480695018</v>
      </c>
      <c r="C571">
        <v>214027.20250626019</v>
      </c>
      <c r="D571">
        <v>114535.9306858114</v>
      </c>
      <c r="E571">
        <v>99491.271820448877</v>
      </c>
      <c r="F571">
        <v>0</v>
      </c>
      <c r="G571">
        <v>6971.3560639308507</v>
      </c>
      <c r="H571">
        <v>6171.8050391239003</v>
      </c>
      <c r="I571">
        <v>42805.440501252051</v>
      </c>
      <c r="J571">
        <v>36633.63546212815</v>
      </c>
    </row>
    <row r="572" spans="1:10">
      <c r="A572" s="1">
        <v>46078.615277777782</v>
      </c>
      <c r="B572">
        <v>-944.91538084674903</v>
      </c>
      <c r="C572">
        <v>213881.83815022049</v>
      </c>
      <c r="D572">
        <v>114390.56632977159</v>
      </c>
      <c r="E572">
        <v>99491.271820448877</v>
      </c>
      <c r="F572">
        <v>0</v>
      </c>
      <c r="G572">
        <v>6971.3560639308507</v>
      </c>
      <c r="H572">
        <v>6026.4406830841017</v>
      </c>
      <c r="I572">
        <v>42776.367630044093</v>
      </c>
      <c r="J572">
        <v>36749.926946959989</v>
      </c>
    </row>
    <row r="573" spans="1:10">
      <c r="A573" s="1">
        <v>46078.615972222222</v>
      </c>
      <c r="B573">
        <v>-967.27912792978873</v>
      </c>
      <c r="C573">
        <v>213859.4744031374</v>
      </c>
      <c r="D573">
        <v>114368.20258268859</v>
      </c>
      <c r="E573">
        <v>99491.271820448877</v>
      </c>
      <c r="F573">
        <v>0</v>
      </c>
      <c r="G573">
        <v>6971.3560639308507</v>
      </c>
      <c r="H573">
        <v>6004.0769360010618</v>
      </c>
      <c r="I573">
        <v>42771.894880627493</v>
      </c>
      <c r="J573">
        <v>36767.817944626433</v>
      </c>
    </row>
    <row r="574" spans="1:10">
      <c r="A574" s="1">
        <v>46078.616666666669</v>
      </c>
      <c r="B574">
        <v>-1190.916598760235</v>
      </c>
      <c r="C574">
        <v>213635.83693230699</v>
      </c>
      <c r="D574">
        <v>114144.5651118581</v>
      </c>
      <c r="E574">
        <v>99491.271820448877</v>
      </c>
      <c r="F574">
        <v>0</v>
      </c>
      <c r="G574">
        <v>6971.3560639308507</v>
      </c>
      <c r="H574">
        <v>5780.4394651706152</v>
      </c>
      <c r="I574">
        <v>42727.167386461399</v>
      </c>
      <c r="J574">
        <v>36946.727921290782</v>
      </c>
    </row>
    <row r="575" spans="1:10">
      <c r="A575" s="1">
        <v>46078.617361111108</v>
      </c>
      <c r="B575">
        <v>-373.60263207094641</v>
      </c>
      <c r="C575">
        <v>213176.34291894641</v>
      </c>
      <c r="D575">
        <v>114323.47508852241</v>
      </c>
      <c r="E575">
        <v>98852.867830423929</v>
      </c>
      <c r="F575">
        <v>0</v>
      </c>
      <c r="G575">
        <v>6971.3560639308507</v>
      </c>
      <c r="H575">
        <v>6597.7534318599046</v>
      </c>
      <c r="I575">
        <v>42635.268583789279</v>
      </c>
      <c r="J575">
        <v>36037.515151929372</v>
      </c>
    </row>
    <row r="576" spans="1:10">
      <c r="A576" s="1">
        <v>46078.618055555547</v>
      </c>
      <c r="B576">
        <v>-463.05762040312152</v>
      </c>
      <c r="C576">
        <v>213086.8879306142</v>
      </c>
      <c r="D576">
        <v>114234.0201001903</v>
      </c>
      <c r="E576">
        <v>98852.867830423929</v>
      </c>
      <c r="F576">
        <v>0</v>
      </c>
      <c r="G576">
        <v>6971.3560639308507</v>
      </c>
      <c r="H576">
        <v>6508.2984435277294</v>
      </c>
      <c r="I576">
        <v>42617.377586122842</v>
      </c>
      <c r="J576">
        <v>36109.07914259511</v>
      </c>
    </row>
    <row r="577" spans="1:10">
      <c r="A577" s="1">
        <v>46078.618750000001</v>
      </c>
      <c r="B577">
        <v>0</v>
      </c>
      <c r="C577">
        <v>0</v>
      </c>
      <c r="D577">
        <v>0</v>
      </c>
      <c r="E577">
        <v>0</v>
      </c>
      <c r="F577">
        <v>-440.68495900434488</v>
      </c>
      <c r="G577">
        <v>6530.6711049265059</v>
      </c>
      <c r="H577">
        <v>6530.6711049265059</v>
      </c>
      <c r="I577">
        <v>0</v>
      </c>
      <c r="J577">
        <v>-6530.6711049265059</v>
      </c>
    </row>
    <row r="578" spans="1:10">
      <c r="A578" s="1">
        <v>46079.604166666657</v>
      </c>
      <c r="B578">
        <v>0</v>
      </c>
      <c r="C578">
        <v>215844.20989016941</v>
      </c>
      <c r="D578">
        <v>115844.2098901695</v>
      </c>
      <c r="E578">
        <v>100000</v>
      </c>
      <c r="F578">
        <v>0</v>
      </c>
      <c r="G578">
        <v>6530.6711049265059</v>
      </c>
      <c r="H578">
        <v>6530.6711049265059</v>
      </c>
      <c r="I578">
        <v>43168.841978033888</v>
      </c>
      <c r="J578">
        <v>36638.170873107381</v>
      </c>
    </row>
    <row r="579" spans="1:10">
      <c r="A579" s="1">
        <v>46079.604861111111</v>
      </c>
      <c r="B579">
        <v>-286.53566585461539</v>
      </c>
      <c r="C579">
        <v>216293.15482284391</v>
      </c>
      <c r="D579">
        <v>115925.4145235794</v>
      </c>
      <c r="E579">
        <v>100367.74029926449</v>
      </c>
      <c r="F579">
        <v>0</v>
      </c>
      <c r="G579">
        <v>6530.6711049265059</v>
      </c>
      <c r="H579">
        <v>6244.1354390718907</v>
      </c>
      <c r="I579">
        <v>43258.63096456878</v>
      </c>
      <c r="J579">
        <v>37014.495525496888</v>
      </c>
    </row>
    <row r="580" spans="1:10">
      <c r="A580" s="1">
        <v>46079.605555555558</v>
      </c>
      <c r="B580">
        <v>-602.61758787827455</v>
      </c>
      <c r="C580">
        <v>216098.80762057679</v>
      </c>
      <c r="D580">
        <v>115670.199961434</v>
      </c>
      <c r="E580">
        <v>100428.6076591428</v>
      </c>
      <c r="F580">
        <v>0</v>
      </c>
      <c r="G580">
        <v>6530.6711049265059</v>
      </c>
      <c r="H580">
        <v>5928.0535170482317</v>
      </c>
      <c r="I580">
        <v>43219.761524115347</v>
      </c>
      <c r="J580">
        <v>37291.708007067122</v>
      </c>
    </row>
    <row r="581" spans="1:10">
      <c r="A581" s="1">
        <v>46079.606249999997</v>
      </c>
      <c r="B581">
        <v>-579.17549618583564</v>
      </c>
      <c r="C581">
        <v>216933.81451064601</v>
      </c>
      <c r="D581">
        <v>116099.42445231479</v>
      </c>
      <c r="E581">
        <v>100834.39005833121</v>
      </c>
      <c r="F581">
        <v>0</v>
      </c>
      <c r="G581">
        <v>6530.6711049265059</v>
      </c>
      <c r="H581">
        <v>5951.4956087406699</v>
      </c>
      <c r="I581">
        <v>43386.762902129209</v>
      </c>
      <c r="J581">
        <v>37435.267293388541</v>
      </c>
    </row>
    <row r="582" spans="1:10">
      <c r="A582" s="1">
        <v>46079.606944444437</v>
      </c>
      <c r="B582">
        <v>-986.79006118731536</v>
      </c>
      <c r="C582">
        <v>217271.82510415331</v>
      </c>
      <c r="D582">
        <v>116064.6224665677</v>
      </c>
      <c r="E582">
        <v>101207.20263758559</v>
      </c>
      <c r="F582">
        <v>0</v>
      </c>
      <c r="G582">
        <v>6530.6711049265059</v>
      </c>
      <c r="H582">
        <v>5543.8810437391903</v>
      </c>
      <c r="I582">
        <v>43454.365020830672</v>
      </c>
      <c r="J582">
        <v>37910.483977091477</v>
      </c>
    </row>
    <row r="583" spans="1:10">
      <c r="A583" s="1">
        <v>46079.607638888891</v>
      </c>
      <c r="B583">
        <v>-864.15875296007835</v>
      </c>
      <c r="C583">
        <v>217729.22689171101</v>
      </c>
      <c r="D583">
        <v>116354.6390144602</v>
      </c>
      <c r="E583">
        <v>101374.5878772508</v>
      </c>
      <c r="F583">
        <v>0</v>
      </c>
      <c r="G583">
        <v>6530.6711049265059</v>
      </c>
      <c r="H583">
        <v>5666.5123519664276</v>
      </c>
      <c r="I583">
        <v>43545.845378342208</v>
      </c>
      <c r="J583">
        <v>37879.333026375782</v>
      </c>
    </row>
    <row r="584" spans="1:10">
      <c r="A584" s="1">
        <v>46079.60833333333</v>
      </c>
      <c r="B584">
        <v>-701.74948614029267</v>
      </c>
      <c r="C584">
        <v>217891.6361585308</v>
      </c>
      <c r="D584">
        <v>116517.04828128</v>
      </c>
      <c r="E584">
        <v>101374.5878772508</v>
      </c>
      <c r="F584">
        <v>0</v>
      </c>
      <c r="G584">
        <v>6530.6711049265059</v>
      </c>
      <c r="H584">
        <v>5828.921618786213</v>
      </c>
      <c r="I584">
        <v>43578.327231706171</v>
      </c>
      <c r="J584">
        <v>37749.40561291996</v>
      </c>
    </row>
    <row r="585" spans="1:10">
      <c r="A585" s="1">
        <v>46079.609027777777</v>
      </c>
      <c r="B585">
        <v>-1644.585897215926</v>
      </c>
      <c r="C585">
        <v>218440.05006447271</v>
      </c>
      <c r="D585">
        <v>116319.8370287131</v>
      </c>
      <c r="E585">
        <v>102120.2130357596</v>
      </c>
      <c r="F585">
        <v>0</v>
      </c>
      <c r="G585">
        <v>6530.6711049265059</v>
      </c>
      <c r="H585">
        <v>4886.0852077105801</v>
      </c>
      <c r="I585">
        <v>43688.010012894541</v>
      </c>
      <c r="J585">
        <v>38801.92480518396</v>
      </c>
    </row>
    <row r="586" spans="1:10">
      <c r="A586" s="1">
        <v>46079.609722222223</v>
      </c>
      <c r="B586">
        <v>-1389.612102931565</v>
      </c>
      <c r="C586">
        <v>217883.45906038021</v>
      </c>
      <c r="D586">
        <v>116169.028423809</v>
      </c>
      <c r="E586">
        <v>101714.43063657109</v>
      </c>
      <c r="F586">
        <v>0</v>
      </c>
      <c r="G586">
        <v>6530.6711049265059</v>
      </c>
      <c r="H586">
        <v>5141.0590019949414</v>
      </c>
      <c r="I586">
        <v>43576.691812076038</v>
      </c>
      <c r="J586">
        <v>38435.632810081093</v>
      </c>
    </row>
    <row r="587" spans="1:10">
      <c r="A587" s="1">
        <v>46079.61041666667</v>
      </c>
      <c r="B587">
        <v>-1378.0114410158601</v>
      </c>
      <c r="C587">
        <v>217895.0597222959</v>
      </c>
      <c r="D587">
        <v>116180.62908572469</v>
      </c>
      <c r="E587">
        <v>101714.43063657109</v>
      </c>
      <c r="F587">
        <v>0</v>
      </c>
      <c r="G587">
        <v>6530.6711049265059</v>
      </c>
      <c r="H587">
        <v>5152.6596639106456</v>
      </c>
      <c r="I587">
        <v>43579.011944459176</v>
      </c>
      <c r="J587">
        <v>38426.352280548534</v>
      </c>
    </row>
    <row r="588" spans="1:10">
      <c r="A588" s="1">
        <v>46079.611111111109</v>
      </c>
      <c r="B588">
        <v>-1363.8746391052459</v>
      </c>
      <c r="C588">
        <v>217904.1242442166</v>
      </c>
      <c r="D588">
        <v>116192.22974764041</v>
      </c>
      <c r="E588">
        <v>101711.89449657621</v>
      </c>
      <c r="F588">
        <v>0</v>
      </c>
      <c r="G588">
        <v>6530.6711049265059</v>
      </c>
      <c r="H588">
        <v>5166.7964658212604</v>
      </c>
      <c r="I588">
        <v>43580.824848843331</v>
      </c>
      <c r="J588">
        <v>38414.028383022072</v>
      </c>
    </row>
    <row r="589" spans="1:10">
      <c r="A589" s="1">
        <v>46079.611805555563</v>
      </c>
      <c r="B589">
        <v>-1581.095254898896</v>
      </c>
      <c r="C589">
        <v>217448.50646889981</v>
      </c>
      <c r="D589">
        <v>115855.8105520852</v>
      </c>
      <c r="E589">
        <v>101592.6959168146</v>
      </c>
      <c r="F589">
        <v>0</v>
      </c>
      <c r="G589">
        <v>6530.6711049265059</v>
      </c>
      <c r="H589">
        <v>4949.5758500276097</v>
      </c>
      <c r="I589">
        <v>43489.701293779959</v>
      </c>
      <c r="J589">
        <v>38540.125443752353</v>
      </c>
    </row>
    <row r="590" spans="1:10">
      <c r="A590" s="1">
        <v>46079.612500000003</v>
      </c>
      <c r="B590">
        <v>-1557.893931067503</v>
      </c>
      <c r="C590">
        <v>217471.70779273121</v>
      </c>
      <c r="D590">
        <v>115879.01187591661</v>
      </c>
      <c r="E590">
        <v>101592.6959168146</v>
      </c>
      <c r="F590">
        <v>0</v>
      </c>
      <c r="G590">
        <v>6530.6711049265059</v>
      </c>
      <c r="H590">
        <v>4972.7771738590027</v>
      </c>
      <c r="I590">
        <v>43494.341558546243</v>
      </c>
      <c r="J590">
        <v>38521.564384687234</v>
      </c>
    </row>
    <row r="591" spans="1:10">
      <c r="A591" s="1">
        <v>46079.613194444442</v>
      </c>
      <c r="B591">
        <v>-1170.3850364372349</v>
      </c>
      <c r="C591">
        <v>216550.56844997869</v>
      </c>
      <c r="D591">
        <v>115612.1966518555</v>
      </c>
      <c r="E591">
        <v>100938.3717981232</v>
      </c>
      <c r="F591">
        <v>0</v>
      </c>
      <c r="G591">
        <v>6530.6711049265059</v>
      </c>
      <c r="H591">
        <v>5360.2860684892712</v>
      </c>
      <c r="I591">
        <v>43310.113689995749</v>
      </c>
      <c r="J591">
        <v>37949.827621506483</v>
      </c>
    </row>
    <row r="592" spans="1:10">
      <c r="A592" s="1">
        <v>46079.613888888889</v>
      </c>
      <c r="B592">
        <v>-801.42023839715148</v>
      </c>
      <c r="C592">
        <v>216645.63012856661</v>
      </c>
      <c r="D592">
        <v>115844.2098901695</v>
      </c>
      <c r="E592">
        <v>100801.4202383972</v>
      </c>
      <c r="F592">
        <v>0</v>
      </c>
      <c r="G592">
        <v>6530.6711049265059</v>
      </c>
      <c r="H592">
        <v>5729.2508665293544</v>
      </c>
      <c r="I592">
        <v>43329.126025713333</v>
      </c>
      <c r="J592">
        <v>37599.875159183968</v>
      </c>
    </row>
    <row r="593" spans="1:10">
      <c r="A593" s="1">
        <v>46079.614583333343</v>
      </c>
      <c r="B593">
        <v>-691.79754044939216</v>
      </c>
      <c r="C593">
        <v>217232.04714556079</v>
      </c>
      <c r="D593">
        <v>116192.22974764041</v>
      </c>
      <c r="E593">
        <v>101039.8173979204</v>
      </c>
      <c r="F593">
        <v>0</v>
      </c>
      <c r="G593">
        <v>6530.6711049265059</v>
      </c>
      <c r="H593">
        <v>5838.8735644771141</v>
      </c>
      <c r="I593">
        <v>43446.409429112158</v>
      </c>
      <c r="J593">
        <v>37607.535864635043</v>
      </c>
    </row>
    <row r="594" spans="1:10">
      <c r="A594" s="1">
        <v>46079.615277777782</v>
      </c>
      <c r="B594">
        <v>-680.19687853368737</v>
      </c>
      <c r="C594">
        <v>217243.64780747649</v>
      </c>
      <c r="D594">
        <v>116203.8304095561</v>
      </c>
      <c r="E594">
        <v>101039.8173979204</v>
      </c>
      <c r="F594">
        <v>0</v>
      </c>
      <c r="G594">
        <v>6530.6711049265059</v>
      </c>
      <c r="H594">
        <v>5850.4742263928183</v>
      </c>
      <c r="I594">
        <v>43448.729561495296</v>
      </c>
      <c r="J594">
        <v>37598.255335102484</v>
      </c>
    </row>
    <row r="595" spans="1:10">
      <c r="A595" s="1">
        <v>46079.615972222222</v>
      </c>
      <c r="B595">
        <v>-865.80746918486614</v>
      </c>
      <c r="C595">
        <v>217058.03721682529</v>
      </c>
      <c r="D595">
        <v>116018.219818905</v>
      </c>
      <c r="E595">
        <v>101039.8173979204</v>
      </c>
      <c r="F595">
        <v>0</v>
      </c>
      <c r="G595">
        <v>6530.6711049265059</v>
      </c>
      <c r="H595">
        <v>5664.8636357416399</v>
      </c>
      <c r="I595">
        <v>43411.607443365057</v>
      </c>
      <c r="J595">
        <v>37746.743807623418</v>
      </c>
    </row>
    <row r="596" spans="1:10">
      <c r="A596" s="1">
        <v>46079.616666666669</v>
      </c>
      <c r="B596">
        <v>-900.60945493196425</v>
      </c>
      <c r="C596">
        <v>217023.2352310782</v>
      </c>
      <c r="D596">
        <v>115983.4178331579</v>
      </c>
      <c r="E596">
        <v>101039.8173979204</v>
      </c>
      <c r="F596">
        <v>0</v>
      </c>
      <c r="G596">
        <v>6530.6711049265059</v>
      </c>
      <c r="H596">
        <v>5630.0616499945418</v>
      </c>
      <c r="I596">
        <v>43404.64704621565</v>
      </c>
      <c r="J596">
        <v>37774.585396221111</v>
      </c>
    </row>
    <row r="597" spans="1:10">
      <c r="A597" s="1">
        <v>46079.617361111108</v>
      </c>
      <c r="B597">
        <v>0</v>
      </c>
      <c r="C597">
        <v>0</v>
      </c>
      <c r="D597">
        <v>0</v>
      </c>
      <c r="E597">
        <v>0</v>
      </c>
      <c r="F597">
        <v>-716.98076257616367</v>
      </c>
      <c r="G597">
        <v>5813.6903423503427</v>
      </c>
      <c r="H597">
        <v>5813.6903423503427</v>
      </c>
      <c r="I597">
        <v>0</v>
      </c>
      <c r="J597">
        <v>-5813.6903423503427</v>
      </c>
    </row>
    <row r="598" spans="1:10">
      <c r="A598" s="1">
        <v>46107.781944444447</v>
      </c>
      <c r="B598">
        <v>0</v>
      </c>
      <c r="C598">
        <v>222062.18186313499</v>
      </c>
      <c r="D598">
        <v>122062.1818631349</v>
      </c>
      <c r="E598">
        <v>100000</v>
      </c>
      <c r="F598">
        <v>0</v>
      </c>
      <c r="G598">
        <v>5813.6903423503427</v>
      </c>
      <c r="H598">
        <v>5813.6903423503427</v>
      </c>
      <c r="I598">
        <v>44412.436372626988</v>
      </c>
      <c r="J598">
        <v>38598.746030276663</v>
      </c>
    </row>
    <row r="599" spans="1:10">
      <c r="A599" s="1">
        <v>46107.782638888893</v>
      </c>
      <c r="B599">
        <v>-151.38474968196169</v>
      </c>
      <c r="C599">
        <v>221910.79711345301</v>
      </c>
      <c r="D599">
        <v>121910.79711345299</v>
      </c>
      <c r="E599">
        <v>100000</v>
      </c>
      <c r="F599">
        <v>0</v>
      </c>
      <c r="G599">
        <v>5813.6903423503427</v>
      </c>
      <c r="H599">
        <v>5662.305592668381</v>
      </c>
      <c r="I599">
        <v>44382.159422690602</v>
      </c>
      <c r="J599">
        <v>38719.853830022221</v>
      </c>
    </row>
    <row r="600" spans="1:10">
      <c r="A600" s="1">
        <v>46107.783333333333</v>
      </c>
      <c r="B600">
        <v>-72.401402021801246</v>
      </c>
      <c r="C600">
        <v>221989.78046111311</v>
      </c>
      <c r="D600">
        <v>121989.7804611131</v>
      </c>
      <c r="E600">
        <v>100000</v>
      </c>
      <c r="F600">
        <v>0</v>
      </c>
      <c r="G600">
        <v>5813.6903423503427</v>
      </c>
      <c r="H600">
        <v>5741.2889403285417</v>
      </c>
      <c r="I600">
        <v>44397.95609222263</v>
      </c>
      <c r="J600">
        <v>38656.667151894093</v>
      </c>
    </row>
    <row r="601" spans="1:10">
      <c r="A601" s="1">
        <v>46107.78402777778</v>
      </c>
      <c r="B601">
        <v>-131.63891276692161</v>
      </c>
      <c r="C601">
        <v>221930.54295036799</v>
      </c>
      <c r="D601">
        <v>121930.54295036801</v>
      </c>
      <c r="E601">
        <v>100000</v>
      </c>
      <c r="F601">
        <v>0</v>
      </c>
      <c r="G601">
        <v>5813.6903423503427</v>
      </c>
      <c r="H601">
        <v>5682.0514295834209</v>
      </c>
      <c r="I601">
        <v>44386.108590073607</v>
      </c>
      <c r="J601">
        <v>38704.057160490192</v>
      </c>
    </row>
    <row r="602" spans="1:10">
      <c r="A602" s="1">
        <v>46107.784722222219</v>
      </c>
      <c r="B602">
        <v>209.2533274735826</v>
      </c>
      <c r="C602">
        <v>221721.2896228944</v>
      </c>
      <c r="D602">
        <v>121996.3624067515</v>
      </c>
      <c r="E602">
        <v>99724.927216142954</v>
      </c>
      <c r="F602">
        <v>0</v>
      </c>
      <c r="G602">
        <v>5813.6903423503427</v>
      </c>
      <c r="H602">
        <v>6022.9436698239251</v>
      </c>
      <c r="I602">
        <v>44344.257924578887</v>
      </c>
      <c r="J602">
        <v>38321.314254754972</v>
      </c>
    </row>
    <row r="603" spans="1:10">
      <c r="A603" s="1">
        <v>46107.785416666673</v>
      </c>
      <c r="B603">
        <v>153.30678954763249</v>
      </c>
      <c r="C603">
        <v>221665.34308496851</v>
      </c>
      <c r="D603">
        <v>121940.4158688255</v>
      </c>
      <c r="E603">
        <v>99724.927216142954</v>
      </c>
      <c r="F603">
        <v>0</v>
      </c>
      <c r="G603">
        <v>5813.6903423503427</v>
      </c>
      <c r="H603">
        <v>5966.9971318979751</v>
      </c>
      <c r="I603">
        <v>44333.068616993703</v>
      </c>
      <c r="J603">
        <v>38366.07148509573</v>
      </c>
    </row>
    <row r="604" spans="1:10">
      <c r="A604" s="1">
        <v>46107.786111111112</v>
      </c>
      <c r="B604">
        <v>153.30678954763249</v>
      </c>
      <c r="C604">
        <v>221665.34308496851</v>
      </c>
      <c r="D604">
        <v>121940.4158688255</v>
      </c>
      <c r="E604">
        <v>99724.927216142954</v>
      </c>
      <c r="F604">
        <v>0</v>
      </c>
      <c r="G604">
        <v>5813.6903423503427</v>
      </c>
      <c r="H604">
        <v>5966.9971318979751</v>
      </c>
      <c r="I604">
        <v>44333.068616993703</v>
      </c>
      <c r="J604">
        <v>38366.07148509573</v>
      </c>
    </row>
    <row r="605" spans="1:10">
      <c r="A605" s="1">
        <v>46107.786805555559</v>
      </c>
      <c r="B605">
        <v>169.7616536435024</v>
      </c>
      <c r="C605">
        <v>221681.79794906429</v>
      </c>
      <c r="D605">
        <v>121956.87073292139</v>
      </c>
      <c r="E605">
        <v>99724.927216142954</v>
      </c>
      <c r="F605">
        <v>0</v>
      </c>
      <c r="G605">
        <v>5813.6903423503427</v>
      </c>
      <c r="H605">
        <v>5983.4519959938452</v>
      </c>
      <c r="I605">
        <v>44336.35958981287</v>
      </c>
      <c r="J605">
        <v>38352.907593819022</v>
      </c>
    </row>
    <row r="606" spans="1:10">
      <c r="A606" s="1">
        <v>46107.787499999999</v>
      </c>
      <c r="B606">
        <v>196.08943619690169</v>
      </c>
      <c r="C606">
        <v>221708.12573161779</v>
      </c>
      <c r="D606">
        <v>121983.1985154748</v>
      </c>
      <c r="E606">
        <v>99724.927216142954</v>
      </c>
      <c r="F606">
        <v>0</v>
      </c>
      <c r="G606">
        <v>5813.6903423503427</v>
      </c>
      <c r="H606">
        <v>6009.779778547244</v>
      </c>
      <c r="I606">
        <v>44341.625146323553</v>
      </c>
      <c r="J606">
        <v>38331.84536777631</v>
      </c>
    </row>
    <row r="607" spans="1:10">
      <c r="A607" s="1">
        <v>46107.788194444453</v>
      </c>
      <c r="B607">
        <v>284.94570231457283</v>
      </c>
      <c r="C607">
        <v>221796.98199773539</v>
      </c>
      <c r="D607">
        <v>122072.05478159249</v>
      </c>
      <c r="E607">
        <v>99724.927216142954</v>
      </c>
      <c r="F607">
        <v>0</v>
      </c>
      <c r="G607">
        <v>5813.6903423503427</v>
      </c>
      <c r="H607">
        <v>6098.6360446649151</v>
      </c>
      <c r="I607">
        <v>44359.396399547091</v>
      </c>
      <c r="J607">
        <v>38260.760354882179</v>
      </c>
    </row>
    <row r="608" spans="1:10">
      <c r="A608" s="1">
        <v>46107.788888888892</v>
      </c>
      <c r="B608">
        <v>340.89224024052282</v>
      </c>
      <c r="C608">
        <v>221852.9285356614</v>
      </c>
      <c r="D608">
        <v>122128.0013195184</v>
      </c>
      <c r="E608">
        <v>99724.927216142954</v>
      </c>
      <c r="F608">
        <v>0</v>
      </c>
      <c r="G608">
        <v>5813.6903423503427</v>
      </c>
      <c r="H608">
        <v>6154.5825825908651</v>
      </c>
      <c r="I608">
        <v>44370.585707132283</v>
      </c>
      <c r="J608">
        <v>38216.003124541407</v>
      </c>
    </row>
    <row r="609" spans="1:10">
      <c r="A609" s="1">
        <v>46107.789583333331</v>
      </c>
      <c r="B609">
        <v>0</v>
      </c>
      <c r="C609">
        <v>0</v>
      </c>
      <c r="D609">
        <v>0</v>
      </c>
      <c r="E609">
        <v>0</v>
      </c>
      <c r="F609">
        <v>285.90312248410652</v>
      </c>
      <c r="G609">
        <v>6099.5934648344492</v>
      </c>
      <c r="H609">
        <v>6099.5934648344492</v>
      </c>
      <c r="I609">
        <v>0</v>
      </c>
      <c r="J609">
        <v>-6099.5934648344492</v>
      </c>
    </row>
    <row r="610" spans="1:10">
      <c r="A610" s="1">
        <v>46108.657638888893</v>
      </c>
      <c r="B610">
        <v>0</v>
      </c>
      <c r="C610">
        <v>222062.18186313499</v>
      </c>
      <c r="D610">
        <v>100000</v>
      </c>
      <c r="E610">
        <v>122062.181863135</v>
      </c>
      <c r="F610">
        <v>0</v>
      </c>
      <c r="G610">
        <v>6099.5934648344492</v>
      </c>
      <c r="H610">
        <v>6099.5934648344492</v>
      </c>
      <c r="I610">
        <v>44412.436372626988</v>
      </c>
      <c r="J610">
        <v>38312.842907792547</v>
      </c>
    </row>
    <row r="611" spans="1:10">
      <c r="A611" s="1">
        <v>46108.658333333333</v>
      </c>
      <c r="B611">
        <v>21.861398732030288</v>
      </c>
      <c r="C611">
        <v>222084.04326186699</v>
      </c>
      <c r="D611">
        <v>100021.861398732</v>
      </c>
      <c r="E611">
        <v>122062.181863135</v>
      </c>
      <c r="F611">
        <v>0</v>
      </c>
      <c r="G611">
        <v>6099.5934648344492</v>
      </c>
      <c r="H611">
        <v>6121.4548635664796</v>
      </c>
      <c r="I611">
        <v>44416.808652373409</v>
      </c>
      <c r="J611">
        <v>38295.353788806933</v>
      </c>
    </row>
    <row r="612" spans="1:10">
      <c r="A612" s="1">
        <v>46108.65902777778</v>
      </c>
      <c r="B612">
        <v>29.81099827095758</v>
      </c>
      <c r="C612">
        <v>222091.99286140589</v>
      </c>
      <c r="D612">
        <v>100029.810998271</v>
      </c>
      <c r="E612">
        <v>122062.181863135</v>
      </c>
      <c r="F612">
        <v>0</v>
      </c>
      <c r="G612">
        <v>6099.5934648344492</v>
      </c>
      <c r="H612">
        <v>6129.4044631054066</v>
      </c>
      <c r="I612">
        <v>44418.398572281178</v>
      </c>
      <c r="J612">
        <v>38288.994109175779</v>
      </c>
    </row>
    <row r="613" spans="1:10">
      <c r="A613" s="1">
        <v>46108.659722222219</v>
      </c>
      <c r="B613">
        <v>29.81099827095758</v>
      </c>
      <c r="C613">
        <v>222091.99286140589</v>
      </c>
      <c r="D613">
        <v>100029.810998271</v>
      </c>
      <c r="E613">
        <v>122062.181863135</v>
      </c>
      <c r="F613">
        <v>0</v>
      </c>
      <c r="G613">
        <v>6099.5934648344492</v>
      </c>
      <c r="H613">
        <v>6129.4044631054066</v>
      </c>
      <c r="I613">
        <v>44418.398572281178</v>
      </c>
      <c r="J613">
        <v>38288.994109175779</v>
      </c>
    </row>
    <row r="614" spans="1:10">
      <c r="A614" s="1">
        <v>46108.660416666673</v>
      </c>
      <c r="B614">
        <v>97.382594351811335</v>
      </c>
      <c r="C614">
        <v>222159.56445748679</v>
      </c>
      <c r="D614">
        <v>100097.3825943518</v>
      </c>
      <c r="E614">
        <v>122062.181863135</v>
      </c>
      <c r="F614">
        <v>0</v>
      </c>
      <c r="G614">
        <v>6099.5934648344492</v>
      </c>
      <c r="H614">
        <v>6196.9760591862596</v>
      </c>
      <c r="I614">
        <v>44431.912891497363</v>
      </c>
      <c r="J614">
        <v>38234.936832311098</v>
      </c>
    </row>
    <row r="615" spans="1:10">
      <c r="A615" s="1">
        <v>46108.661111111112</v>
      </c>
      <c r="B615">
        <v>-166.51802571795929</v>
      </c>
      <c r="C615">
        <v>222423.46507755661</v>
      </c>
      <c r="D615">
        <v>100097.3825943518</v>
      </c>
      <c r="E615">
        <v>122326.08248320469</v>
      </c>
      <c r="F615">
        <v>0</v>
      </c>
      <c r="G615">
        <v>6099.5934648344492</v>
      </c>
      <c r="H615">
        <v>5933.0754391164901</v>
      </c>
      <c r="I615">
        <v>44484.693015511322</v>
      </c>
      <c r="J615">
        <v>38551.617576394827</v>
      </c>
    </row>
    <row r="616" spans="1:10">
      <c r="A616" s="1">
        <v>46108.661805555559</v>
      </c>
      <c r="B616">
        <v>-166.51802571795929</v>
      </c>
      <c r="C616">
        <v>222423.46507755661</v>
      </c>
      <c r="D616">
        <v>100097.3825943518</v>
      </c>
      <c r="E616">
        <v>122326.08248320469</v>
      </c>
      <c r="F616">
        <v>0</v>
      </c>
      <c r="G616">
        <v>6099.5934648344492</v>
      </c>
      <c r="H616">
        <v>5933.0754391164901</v>
      </c>
      <c r="I616">
        <v>44484.693015511322</v>
      </c>
      <c r="J616">
        <v>38551.617576394827</v>
      </c>
    </row>
    <row r="617" spans="1:10">
      <c r="A617" s="1">
        <v>46108.662499999999</v>
      </c>
      <c r="B617">
        <v>-45.90567100919008</v>
      </c>
      <c r="C617">
        <v>222231.3063269975</v>
      </c>
      <c r="D617">
        <v>100061.60939642671</v>
      </c>
      <c r="E617">
        <v>122169.6969305708</v>
      </c>
      <c r="F617">
        <v>0</v>
      </c>
      <c r="G617">
        <v>6099.5934648344492</v>
      </c>
      <c r="H617">
        <v>6053.6877938252592</v>
      </c>
      <c r="I617">
        <v>44446.261265399487</v>
      </c>
      <c r="J617">
        <v>38392.573471574236</v>
      </c>
    </row>
    <row r="618" spans="1:10">
      <c r="A618" s="1">
        <v>46108.663194444453</v>
      </c>
      <c r="B618">
        <v>-140.388609058849</v>
      </c>
      <c r="C618">
        <v>222325.78926504709</v>
      </c>
      <c r="D618">
        <v>100061.60939642671</v>
      </c>
      <c r="E618">
        <v>122264.1798686205</v>
      </c>
      <c r="F618">
        <v>0</v>
      </c>
      <c r="G618">
        <v>6099.5934648344492</v>
      </c>
      <c r="H618">
        <v>5959.2048557755998</v>
      </c>
      <c r="I618">
        <v>44465.157853009427</v>
      </c>
      <c r="J618">
        <v>38505.952997233828</v>
      </c>
    </row>
    <row r="619" spans="1:10">
      <c r="A619" s="1">
        <v>46108.663888888892</v>
      </c>
      <c r="B619">
        <v>-168.21220744508881</v>
      </c>
      <c r="C619">
        <v>222297.96566666089</v>
      </c>
      <c r="D619">
        <v>100033.78579804039</v>
      </c>
      <c r="E619">
        <v>122264.1798686205</v>
      </c>
      <c r="F619">
        <v>0</v>
      </c>
      <c r="G619">
        <v>6099.5934648344492</v>
      </c>
      <c r="H619">
        <v>5931.3812573893601</v>
      </c>
      <c r="I619">
        <v>44459.593133332179</v>
      </c>
      <c r="J619">
        <v>38528.211875942819</v>
      </c>
    </row>
    <row r="620" spans="1:10">
      <c r="A620" s="1">
        <v>46108.664583333331</v>
      </c>
      <c r="B620">
        <v>-168.21220744508881</v>
      </c>
      <c r="C620">
        <v>222297.96566666089</v>
      </c>
      <c r="D620">
        <v>100033.78579804039</v>
      </c>
      <c r="E620">
        <v>122264.1798686205</v>
      </c>
      <c r="F620">
        <v>0</v>
      </c>
      <c r="G620">
        <v>6099.5934648344492</v>
      </c>
      <c r="H620">
        <v>5931.3812573893601</v>
      </c>
      <c r="I620">
        <v>44459.593133332179</v>
      </c>
      <c r="J620">
        <v>38528.211875942819</v>
      </c>
    </row>
    <row r="621" spans="1:10">
      <c r="A621" s="1">
        <v>46108.665277777778</v>
      </c>
      <c r="B621">
        <v>-168.21220744508881</v>
      </c>
      <c r="C621">
        <v>222297.96566666089</v>
      </c>
      <c r="D621">
        <v>100033.78579804039</v>
      </c>
      <c r="E621">
        <v>122264.1798686205</v>
      </c>
      <c r="F621">
        <v>0</v>
      </c>
      <c r="G621">
        <v>6099.5934648344492</v>
      </c>
      <c r="H621">
        <v>5931.3812573893601</v>
      </c>
      <c r="I621">
        <v>44459.593133332179</v>
      </c>
      <c r="J621">
        <v>38528.211875942819</v>
      </c>
    </row>
    <row r="622" spans="1:10">
      <c r="A622" s="1">
        <v>46108.665972222218</v>
      </c>
      <c r="B622">
        <v>-213.92240479388971</v>
      </c>
      <c r="C622">
        <v>222252.25546931211</v>
      </c>
      <c r="D622">
        <v>99988.07560069162</v>
      </c>
      <c r="E622">
        <v>122264.1798686205</v>
      </c>
      <c r="F622">
        <v>0</v>
      </c>
      <c r="G622">
        <v>6099.5934648344492</v>
      </c>
      <c r="H622">
        <v>5885.6710600405586</v>
      </c>
      <c r="I622">
        <v>44450.451093862423</v>
      </c>
      <c r="J622">
        <v>38564.780033821859</v>
      </c>
    </row>
    <row r="623" spans="1:10">
      <c r="A623" s="1">
        <v>46108.666666666657</v>
      </c>
      <c r="B623">
        <v>-213.92240479388971</v>
      </c>
      <c r="C623">
        <v>222252.25546931211</v>
      </c>
      <c r="D623">
        <v>99988.07560069162</v>
      </c>
      <c r="E623">
        <v>122264.1798686205</v>
      </c>
      <c r="F623">
        <v>0</v>
      </c>
      <c r="G623">
        <v>6099.5934648344492</v>
      </c>
      <c r="H623">
        <v>5885.6710600405586</v>
      </c>
      <c r="I623">
        <v>44450.451093862423</v>
      </c>
      <c r="J623">
        <v>38564.780033821859</v>
      </c>
    </row>
    <row r="624" spans="1:10">
      <c r="A624" s="1">
        <v>46108.667361111111</v>
      </c>
      <c r="B624">
        <v>-99.891272664987866</v>
      </c>
      <c r="C624">
        <v>222138.2243371832</v>
      </c>
      <c r="D624">
        <v>99988.07560069162</v>
      </c>
      <c r="E624">
        <v>122150.1487364916</v>
      </c>
      <c r="F624">
        <v>0</v>
      </c>
      <c r="G624">
        <v>6099.5934648344492</v>
      </c>
      <c r="H624">
        <v>5999.7021921694613</v>
      </c>
      <c r="I624">
        <v>44427.64486743664</v>
      </c>
      <c r="J624">
        <v>38427.942675267179</v>
      </c>
    </row>
    <row r="625" spans="1:10">
      <c r="A625" s="1">
        <v>46108.668055555558</v>
      </c>
      <c r="B625">
        <v>-137.65187047487271</v>
      </c>
      <c r="C625">
        <v>222100.46373937331</v>
      </c>
      <c r="D625">
        <v>99950.315002881733</v>
      </c>
      <c r="E625">
        <v>122150.1487364916</v>
      </c>
      <c r="F625">
        <v>0</v>
      </c>
      <c r="G625">
        <v>6099.5934648344492</v>
      </c>
      <c r="H625">
        <v>5961.9415943595768</v>
      </c>
      <c r="I625">
        <v>44420.09274787466</v>
      </c>
      <c r="J625">
        <v>38458.151153515093</v>
      </c>
    </row>
    <row r="626" spans="1:10">
      <c r="A626" s="1">
        <v>46108.668749999997</v>
      </c>
      <c r="B626">
        <v>-137.65187047487271</v>
      </c>
      <c r="C626">
        <v>222100.46373937331</v>
      </c>
      <c r="D626">
        <v>99950.315002881733</v>
      </c>
      <c r="E626">
        <v>122150.1487364916</v>
      </c>
      <c r="F626">
        <v>0</v>
      </c>
      <c r="G626">
        <v>6099.5934648344492</v>
      </c>
      <c r="H626">
        <v>5961.9415943595768</v>
      </c>
      <c r="I626">
        <v>44420.09274787466</v>
      </c>
      <c r="J626">
        <v>38458.151153515093</v>
      </c>
    </row>
    <row r="627" spans="1:10">
      <c r="A627" s="1">
        <v>46108.669444444437</v>
      </c>
      <c r="B627">
        <v>-231.74384586969919</v>
      </c>
      <c r="C627">
        <v>222162.75731661241</v>
      </c>
      <c r="D627">
        <v>99934.415803803873</v>
      </c>
      <c r="E627">
        <v>122228.3415128085</v>
      </c>
      <c r="F627">
        <v>0</v>
      </c>
      <c r="G627">
        <v>6099.5934648344492</v>
      </c>
      <c r="H627">
        <v>5867.8496189647503</v>
      </c>
      <c r="I627">
        <v>44432.551463322481</v>
      </c>
      <c r="J627">
        <v>38564.701844357733</v>
      </c>
    </row>
    <row r="628" spans="1:10">
      <c r="A628" s="1">
        <v>46108.670138888891</v>
      </c>
      <c r="B628">
        <v>-231.74384586969919</v>
      </c>
      <c r="C628">
        <v>222162.75731661241</v>
      </c>
      <c r="D628">
        <v>99934.415803803873</v>
      </c>
      <c r="E628">
        <v>122228.3415128085</v>
      </c>
      <c r="F628">
        <v>0</v>
      </c>
      <c r="G628">
        <v>6099.5934648344492</v>
      </c>
      <c r="H628">
        <v>5867.8496189647503</v>
      </c>
      <c r="I628">
        <v>44432.551463322481</v>
      </c>
      <c r="J628">
        <v>38564.701844357733</v>
      </c>
    </row>
    <row r="629" spans="1:10">
      <c r="A629" s="1">
        <v>46108.67083333333</v>
      </c>
      <c r="B629">
        <v>-231.74384586969919</v>
      </c>
      <c r="C629">
        <v>222162.75731661241</v>
      </c>
      <c r="D629">
        <v>99934.415803803873</v>
      </c>
      <c r="E629">
        <v>122228.3415128085</v>
      </c>
      <c r="F629">
        <v>0</v>
      </c>
      <c r="G629">
        <v>6099.5934648344492</v>
      </c>
      <c r="H629">
        <v>5867.8496189647503</v>
      </c>
      <c r="I629">
        <v>44432.551463322481</v>
      </c>
      <c r="J629">
        <v>38564.701844357733</v>
      </c>
    </row>
    <row r="630" spans="1:10">
      <c r="A630" s="1">
        <v>46108.671527777777</v>
      </c>
      <c r="B630">
        <v>-231.74384586969919</v>
      </c>
      <c r="C630">
        <v>222162.75731661241</v>
      </c>
      <c r="D630">
        <v>99934.415803803873</v>
      </c>
      <c r="E630">
        <v>122228.3415128085</v>
      </c>
      <c r="F630">
        <v>0</v>
      </c>
      <c r="G630">
        <v>6099.5934648344492</v>
      </c>
      <c r="H630">
        <v>5867.8496189647503</v>
      </c>
      <c r="I630">
        <v>44432.551463322481</v>
      </c>
      <c r="J630">
        <v>38564.701844357733</v>
      </c>
    </row>
    <row r="631" spans="1:10">
      <c r="A631" s="1">
        <v>46108.672222222223</v>
      </c>
      <c r="B631">
        <v>-285.40364275742729</v>
      </c>
      <c r="C631">
        <v>222109.09751972469</v>
      </c>
      <c r="D631">
        <v>99880.756006916155</v>
      </c>
      <c r="E631">
        <v>122228.3415128085</v>
      </c>
      <c r="F631">
        <v>0</v>
      </c>
      <c r="G631">
        <v>6099.5934648344492</v>
      </c>
      <c r="H631">
        <v>5814.1898220770217</v>
      </c>
      <c r="I631">
        <v>44421.819503944942</v>
      </c>
      <c r="J631">
        <v>38607.629681867918</v>
      </c>
    </row>
    <row r="632" spans="1:10">
      <c r="A632" s="1">
        <v>46108.67291666667</v>
      </c>
      <c r="B632">
        <v>-283.41624287269838</v>
      </c>
      <c r="C632">
        <v>222111.08491960939</v>
      </c>
      <c r="D632">
        <v>99882.743406800888</v>
      </c>
      <c r="E632">
        <v>122228.3415128085</v>
      </c>
      <c r="F632">
        <v>0</v>
      </c>
      <c r="G632">
        <v>6099.5934648344492</v>
      </c>
      <c r="H632">
        <v>5816.1772219617505</v>
      </c>
      <c r="I632">
        <v>44422.216983921877</v>
      </c>
      <c r="J632">
        <v>38606.039761960143</v>
      </c>
    </row>
    <row r="633" spans="1:10">
      <c r="A633" s="1">
        <v>46108.673611111109</v>
      </c>
      <c r="B633">
        <v>-192.19133716955841</v>
      </c>
      <c r="C633">
        <v>222019.86001390629</v>
      </c>
      <c r="D633">
        <v>99882.743406800888</v>
      </c>
      <c r="E633">
        <v>122137.1166071054</v>
      </c>
      <c r="F633">
        <v>0</v>
      </c>
      <c r="G633">
        <v>6099.5934648344492</v>
      </c>
      <c r="H633">
        <v>5907.4021276648909</v>
      </c>
      <c r="I633">
        <v>44403.972002781258</v>
      </c>
      <c r="J633">
        <v>38496.569875116373</v>
      </c>
    </row>
    <row r="634" spans="1:10">
      <c r="A634" s="1">
        <v>46108.674305555563</v>
      </c>
      <c r="B634">
        <v>-227.96453509471419</v>
      </c>
      <c r="C634">
        <v>221984.08681598111</v>
      </c>
      <c r="D634">
        <v>99846.970208875719</v>
      </c>
      <c r="E634">
        <v>122137.1166071054</v>
      </c>
      <c r="F634">
        <v>0</v>
      </c>
      <c r="G634">
        <v>6099.5934648344492</v>
      </c>
      <c r="H634">
        <v>5871.6289297397352</v>
      </c>
      <c r="I634">
        <v>44396.817363196227</v>
      </c>
      <c r="J634">
        <v>38525.188433456489</v>
      </c>
    </row>
    <row r="635" spans="1:10">
      <c r="A635" s="1">
        <v>46108.675000000003</v>
      </c>
      <c r="B635">
        <v>-325.05389595478982</v>
      </c>
      <c r="C635">
        <v>222160.67217223041</v>
      </c>
      <c r="D635">
        <v>99886.718206570353</v>
      </c>
      <c r="E635">
        <v>122273.9539656601</v>
      </c>
      <c r="F635">
        <v>0</v>
      </c>
      <c r="G635">
        <v>6099.5934648344492</v>
      </c>
      <c r="H635">
        <v>5774.5395688796598</v>
      </c>
      <c r="I635">
        <v>44432.134434446089</v>
      </c>
      <c r="J635">
        <v>38657.594865566432</v>
      </c>
    </row>
    <row r="636" spans="1:10">
      <c r="A636" s="1">
        <v>46108.675694444442</v>
      </c>
      <c r="B636">
        <v>-315.11689653114479</v>
      </c>
      <c r="C636">
        <v>222170.6091716541</v>
      </c>
      <c r="D636">
        <v>99896.655205994</v>
      </c>
      <c r="E636">
        <v>122273.9539656601</v>
      </c>
      <c r="F636">
        <v>0</v>
      </c>
      <c r="G636">
        <v>6099.5934648344492</v>
      </c>
      <c r="H636">
        <v>5784.4765683033047</v>
      </c>
      <c r="I636">
        <v>44434.121834330821</v>
      </c>
      <c r="J636">
        <v>38649.645266027517</v>
      </c>
    </row>
    <row r="637" spans="1:10">
      <c r="A637" s="1">
        <v>46108.676388888889</v>
      </c>
      <c r="B637">
        <v>-315.11689653114479</v>
      </c>
      <c r="C637">
        <v>222170.6091716541</v>
      </c>
      <c r="D637">
        <v>99896.655205994</v>
      </c>
      <c r="E637">
        <v>122273.9539656601</v>
      </c>
      <c r="F637">
        <v>0</v>
      </c>
      <c r="G637">
        <v>6099.5934648344492</v>
      </c>
      <c r="H637">
        <v>5784.4765683033047</v>
      </c>
      <c r="I637">
        <v>44434.121834330821</v>
      </c>
      <c r="J637">
        <v>38649.645266027517</v>
      </c>
    </row>
    <row r="638" spans="1:10">
      <c r="A638" s="1">
        <v>46108.677083333343</v>
      </c>
      <c r="B638">
        <v>-315.11689653114479</v>
      </c>
      <c r="C638">
        <v>222170.6091716541</v>
      </c>
      <c r="D638">
        <v>99896.655205994</v>
      </c>
      <c r="E638">
        <v>122273.9539656601</v>
      </c>
      <c r="F638">
        <v>0</v>
      </c>
      <c r="G638">
        <v>6099.5934648344492</v>
      </c>
      <c r="H638">
        <v>5784.4765683033047</v>
      </c>
      <c r="I638">
        <v>44434.121834330821</v>
      </c>
      <c r="J638">
        <v>38649.645266027517</v>
      </c>
    </row>
    <row r="639" spans="1:10">
      <c r="A639" s="1">
        <v>46108.677777777782</v>
      </c>
      <c r="B639">
        <v>-294.29806999009338</v>
      </c>
      <c r="C639">
        <v>222145.81554534359</v>
      </c>
      <c r="D639">
        <v>99894.667806109268</v>
      </c>
      <c r="E639">
        <v>122251.14773923429</v>
      </c>
      <c r="F639">
        <v>0</v>
      </c>
      <c r="G639">
        <v>6099.5934648344492</v>
      </c>
      <c r="H639">
        <v>5805.2953948443565</v>
      </c>
      <c r="I639">
        <v>44429.163109068722</v>
      </c>
      <c r="J639">
        <v>38623.867714224361</v>
      </c>
    </row>
    <row r="640" spans="1:10">
      <c r="A640" s="1">
        <v>46108.678472222222</v>
      </c>
      <c r="B640">
        <v>-298.27286975955138</v>
      </c>
      <c r="C640">
        <v>222141.8407455741</v>
      </c>
      <c r="D640">
        <v>99890.693006339803</v>
      </c>
      <c r="E640">
        <v>122251.14773923429</v>
      </c>
      <c r="F640">
        <v>0</v>
      </c>
      <c r="G640">
        <v>6099.5934648344492</v>
      </c>
      <c r="H640">
        <v>5801.3205950748979</v>
      </c>
      <c r="I640">
        <v>44428.368149114824</v>
      </c>
      <c r="J640">
        <v>38627.047554039927</v>
      </c>
    </row>
    <row r="641" spans="1:10">
      <c r="A641" s="1">
        <v>46108.679166666669</v>
      </c>
      <c r="B641">
        <v>-298.27286975955138</v>
      </c>
      <c r="C641">
        <v>222141.8407455741</v>
      </c>
      <c r="D641">
        <v>99890.693006339803</v>
      </c>
      <c r="E641">
        <v>122251.14773923429</v>
      </c>
      <c r="F641">
        <v>0</v>
      </c>
      <c r="G641">
        <v>6099.5934648344492</v>
      </c>
      <c r="H641">
        <v>5801.3205950748979</v>
      </c>
      <c r="I641">
        <v>44428.368149114824</v>
      </c>
      <c r="J641">
        <v>38627.047554039927</v>
      </c>
    </row>
    <row r="642" spans="1:10">
      <c r="A642" s="1">
        <v>46108.679861111108</v>
      </c>
      <c r="B642">
        <v>-298.27286975955138</v>
      </c>
      <c r="C642">
        <v>222141.8407455741</v>
      </c>
      <c r="D642">
        <v>99890.693006339803</v>
      </c>
      <c r="E642">
        <v>122251.14773923429</v>
      </c>
      <c r="F642">
        <v>0</v>
      </c>
      <c r="G642">
        <v>6099.5934648344492</v>
      </c>
      <c r="H642">
        <v>5801.3205950748979</v>
      </c>
      <c r="I642">
        <v>44428.368149114824</v>
      </c>
      <c r="J642">
        <v>38627.047554039927</v>
      </c>
    </row>
    <row r="643" spans="1:10">
      <c r="A643" s="1">
        <v>46108.680555555547</v>
      </c>
      <c r="B643">
        <v>0</v>
      </c>
      <c r="C643">
        <v>0</v>
      </c>
      <c r="D643">
        <v>0</v>
      </c>
      <c r="E643">
        <v>0</v>
      </c>
      <c r="F643">
        <v>-278.24189903813618</v>
      </c>
      <c r="G643">
        <v>5821.3515657963126</v>
      </c>
      <c r="H643">
        <v>5821.3515657963126</v>
      </c>
      <c r="I643">
        <v>0</v>
      </c>
      <c r="J643">
        <v>-5821.3515657963126</v>
      </c>
    </row>
    <row r="644" spans="1:10">
      <c r="A644" s="1">
        <v>46112.675694444442</v>
      </c>
      <c r="B644">
        <v>0</v>
      </c>
      <c r="C644">
        <v>222062.18186313499</v>
      </c>
      <c r="D644">
        <v>122062.181863135</v>
      </c>
      <c r="E644">
        <v>100000</v>
      </c>
      <c r="F644">
        <v>0</v>
      </c>
      <c r="G644">
        <v>5821.3515657963126</v>
      </c>
      <c r="H644">
        <v>5821.3515657963126</v>
      </c>
      <c r="I644">
        <v>44412.436372626988</v>
      </c>
      <c r="J644">
        <v>38591.08480683068</v>
      </c>
    </row>
    <row r="645" spans="1:10">
      <c r="A645" s="1">
        <v>46112.676388888889</v>
      </c>
      <c r="B645">
        <v>61.994744512287411</v>
      </c>
      <c r="C645">
        <v>220920.92262511639</v>
      </c>
      <c r="D645">
        <v>121522.5496163818</v>
      </c>
      <c r="E645">
        <v>99398.37300873459</v>
      </c>
      <c r="F645">
        <v>0</v>
      </c>
      <c r="G645">
        <v>5821.3515657963126</v>
      </c>
      <c r="H645">
        <v>5883.3463103085996</v>
      </c>
      <c r="I645">
        <v>44184.184525023287</v>
      </c>
      <c r="J645">
        <v>38300.838214714691</v>
      </c>
    </row>
    <row r="646" spans="1:10">
      <c r="A646" s="1">
        <v>46112.677083333343</v>
      </c>
      <c r="B646">
        <v>114.64179297601569</v>
      </c>
      <c r="C646">
        <v>220973.5696735802</v>
      </c>
      <c r="D646">
        <v>121575.1966648456</v>
      </c>
      <c r="E646">
        <v>99398.37300873459</v>
      </c>
      <c r="F646">
        <v>0</v>
      </c>
      <c r="G646">
        <v>5821.3515657963126</v>
      </c>
      <c r="H646">
        <v>5935.9933587723281</v>
      </c>
      <c r="I646">
        <v>44194.713934716041</v>
      </c>
      <c r="J646">
        <v>38258.720575943713</v>
      </c>
    </row>
    <row r="647" spans="1:10">
      <c r="A647" s="1">
        <v>46112.677777777782</v>
      </c>
      <c r="B647">
        <v>-41.395261381131832</v>
      </c>
      <c r="C647">
        <v>220721.59210234339</v>
      </c>
      <c r="D647">
        <v>121371.1893520486</v>
      </c>
      <c r="E647">
        <v>99350.402750294816</v>
      </c>
      <c r="F647">
        <v>0</v>
      </c>
      <c r="G647">
        <v>5821.3515657963126</v>
      </c>
      <c r="H647">
        <v>5779.956304415181</v>
      </c>
      <c r="I647">
        <v>44144.318420468691</v>
      </c>
      <c r="J647">
        <v>38364.362116053511</v>
      </c>
    </row>
    <row r="648" spans="1:10">
      <c r="A648" s="1">
        <v>46112.678472222222</v>
      </c>
      <c r="B648">
        <v>-62.251477020294828</v>
      </c>
      <c r="C648">
        <v>220452.88955143219</v>
      </c>
      <c r="D648">
        <v>121226.4099687734</v>
      </c>
      <c r="E648">
        <v>99226.479582658751</v>
      </c>
      <c r="F648">
        <v>0</v>
      </c>
      <c r="G648">
        <v>5821.3515657963126</v>
      </c>
      <c r="H648">
        <v>5759.1000887760174</v>
      </c>
      <c r="I648">
        <v>44090.577910286433</v>
      </c>
      <c r="J648">
        <v>38331.477821510423</v>
      </c>
    </row>
    <row r="649" spans="1:10">
      <c r="A649" s="1">
        <v>46112.679166666669</v>
      </c>
      <c r="B649">
        <v>168.07936000847681</v>
      </c>
      <c r="C649">
        <v>220683.22038846099</v>
      </c>
      <c r="D649">
        <v>121456.7408058022</v>
      </c>
      <c r="E649">
        <v>99226.479582658751</v>
      </c>
      <c r="F649">
        <v>0</v>
      </c>
      <c r="G649">
        <v>5821.3515657963126</v>
      </c>
      <c r="H649">
        <v>5989.4309258047897</v>
      </c>
      <c r="I649">
        <v>44136.644077692203</v>
      </c>
      <c r="J649">
        <v>38147.213151887408</v>
      </c>
    </row>
    <row r="650" spans="1:10">
      <c r="A650" s="1">
        <v>46112.679861111108</v>
      </c>
      <c r="B650">
        <v>-0.70173283376999507</v>
      </c>
      <c r="C650">
        <v>221102.07496150589</v>
      </c>
      <c r="D650">
        <v>121581.7775459035</v>
      </c>
      <c r="E650">
        <v>99520.297415602327</v>
      </c>
      <c r="F650">
        <v>0</v>
      </c>
      <c r="G650">
        <v>5821.3515657963126</v>
      </c>
      <c r="H650">
        <v>5820.6498329625429</v>
      </c>
      <c r="I650">
        <v>44220.414992301172</v>
      </c>
      <c r="J650">
        <v>38399.765159338633</v>
      </c>
    </row>
    <row r="651" spans="1:10">
      <c r="A651" s="1">
        <v>46112.680555555547</v>
      </c>
      <c r="B651">
        <v>117.75412620960461</v>
      </c>
      <c r="C651">
        <v>221220.5308205492</v>
      </c>
      <c r="D651">
        <v>121700.23340494691</v>
      </c>
      <c r="E651">
        <v>99520.297415602327</v>
      </c>
      <c r="F651">
        <v>0</v>
      </c>
      <c r="G651">
        <v>5821.3515657963126</v>
      </c>
      <c r="H651">
        <v>5939.1056920059173</v>
      </c>
      <c r="I651">
        <v>44244.106164109849</v>
      </c>
      <c r="J651">
        <v>38305.000472103929</v>
      </c>
    </row>
    <row r="652" spans="1:10">
      <c r="A652" s="1">
        <v>46112.681250000001</v>
      </c>
      <c r="B652">
        <v>41.272243301033768</v>
      </c>
      <c r="C652">
        <v>221060.10098537101</v>
      </c>
      <c r="D652">
        <v>121581.7775459035</v>
      </c>
      <c r="E652">
        <v>99478.323439467524</v>
      </c>
      <c r="F652">
        <v>0</v>
      </c>
      <c r="G652">
        <v>5821.3515657963126</v>
      </c>
      <c r="H652">
        <v>5862.6238090973466</v>
      </c>
      <c r="I652">
        <v>44212.020197074213</v>
      </c>
      <c r="J652">
        <v>38349.396387976863</v>
      </c>
    </row>
    <row r="653" spans="1:10">
      <c r="A653" s="1">
        <v>46112.681944444441</v>
      </c>
      <c r="B653">
        <v>0</v>
      </c>
      <c r="C653">
        <v>0</v>
      </c>
      <c r="D653">
        <v>0</v>
      </c>
      <c r="E653">
        <v>0</v>
      </c>
      <c r="F653">
        <v>236.4300852762303</v>
      </c>
      <c r="G653">
        <v>6057.7816510725424</v>
      </c>
      <c r="H653">
        <v>6057.7816510725424</v>
      </c>
      <c r="I653">
        <v>0</v>
      </c>
      <c r="J653">
        <v>-6057.7816510725424</v>
      </c>
    </row>
    <row r="654" spans="1:10">
      <c r="A654" s="1">
        <v>46112.736111111109</v>
      </c>
      <c r="B654">
        <v>0</v>
      </c>
      <c r="C654">
        <v>222062.18186313499</v>
      </c>
      <c r="D654">
        <v>122062.181863135</v>
      </c>
      <c r="E654">
        <v>100000</v>
      </c>
      <c r="F654">
        <v>0</v>
      </c>
      <c r="G654">
        <v>6057.7816510725424</v>
      </c>
      <c r="H654">
        <v>6057.7816510725424</v>
      </c>
      <c r="I654">
        <v>44412.436372626988</v>
      </c>
      <c r="J654">
        <v>38354.654721554463</v>
      </c>
    </row>
    <row r="655" spans="1:10">
      <c r="A655" s="1">
        <v>46112.736805555563</v>
      </c>
      <c r="B655">
        <v>739.57812218861977</v>
      </c>
      <c r="C655">
        <v>221435.32038679079</v>
      </c>
      <c r="D655">
        <v>122118.5401860572</v>
      </c>
      <c r="E655">
        <v>99316.780200733599</v>
      </c>
      <c r="F655">
        <v>0</v>
      </c>
      <c r="G655">
        <v>6057.7816510725424</v>
      </c>
      <c r="H655">
        <v>6797.3597732611624</v>
      </c>
      <c r="I655">
        <v>44287.064077358162</v>
      </c>
      <c r="J655">
        <v>37489.704304097002</v>
      </c>
    </row>
    <row r="656" spans="1:10">
      <c r="A656" s="1">
        <v>46112.737500000003</v>
      </c>
      <c r="B656">
        <v>807.42870233690155</v>
      </c>
      <c r="C656">
        <v>220757.4738408961</v>
      </c>
      <c r="D656">
        <v>121813.542203184</v>
      </c>
      <c r="E656">
        <v>98943.931637712114</v>
      </c>
      <c r="F656">
        <v>0</v>
      </c>
      <c r="G656">
        <v>6057.7816510725424</v>
      </c>
      <c r="H656">
        <v>6865.210353409444</v>
      </c>
      <c r="I656">
        <v>44151.494768179233</v>
      </c>
      <c r="J656">
        <v>37286.284414769783</v>
      </c>
    </row>
    <row r="657" spans="1:10">
      <c r="A657" s="1">
        <v>46112.738194444442</v>
      </c>
      <c r="B657">
        <v>894.70343896557677</v>
      </c>
      <c r="C657">
        <v>220272.3756483458</v>
      </c>
      <c r="D657">
        <v>121614.6304752232</v>
      </c>
      <c r="E657">
        <v>98657.745173122647</v>
      </c>
      <c r="F657">
        <v>0</v>
      </c>
      <c r="G657">
        <v>6057.7816510725424</v>
      </c>
      <c r="H657">
        <v>6952.4850900381189</v>
      </c>
      <c r="I657">
        <v>44054.475129669168</v>
      </c>
      <c r="J657">
        <v>37101.990039631048</v>
      </c>
    </row>
    <row r="658" spans="1:10">
      <c r="A658" s="1">
        <v>46112.738888888889</v>
      </c>
      <c r="B658">
        <v>924.93440353488188</v>
      </c>
      <c r="C658">
        <v>220242.14468377651</v>
      </c>
      <c r="D658">
        <v>121614.6304752232</v>
      </c>
      <c r="E658">
        <v>98627.514208553344</v>
      </c>
      <c r="F658">
        <v>0</v>
      </c>
      <c r="G658">
        <v>6057.7816510725424</v>
      </c>
      <c r="H658">
        <v>6982.7160546074247</v>
      </c>
      <c r="I658">
        <v>44048.428936755306</v>
      </c>
      <c r="J658">
        <v>37065.712882147891</v>
      </c>
    </row>
    <row r="659" spans="1:10">
      <c r="A659" s="1">
        <v>46112.739583333343</v>
      </c>
      <c r="B659">
        <v>1253.1387546701781</v>
      </c>
      <c r="C659">
        <v>220570.34903491181</v>
      </c>
      <c r="D659">
        <v>121942.83482635851</v>
      </c>
      <c r="E659">
        <v>98627.514208553344</v>
      </c>
      <c r="F659">
        <v>0</v>
      </c>
      <c r="G659">
        <v>6057.7816510725424</v>
      </c>
      <c r="H659">
        <v>7310.9204057427214</v>
      </c>
      <c r="I659">
        <v>44114.06980698237</v>
      </c>
      <c r="J659">
        <v>36803.149401239651</v>
      </c>
    </row>
    <row r="660" spans="1:10">
      <c r="A660" s="1">
        <v>46112.740277777782</v>
      </c>
      <c r="B660">
        <v>0</v>
      </c>
      <c r="C660">
        <v>0</v>
      </c>
      <c r="D660">
        <v>0</v>
      </c>
      <c r="E660">
        <v>0</v>
      </c>
      <c r="F660">
        <v>672.22701987429116</v>
      </c>
      <c r="G660">
        <v>6730.0086709468333</v>
      </c>
      <c r="H660">
        <v>6730.0086709468333</v>
      </c>
      <c r="I660">
        <v>0</v>
      </c>
      <c r="J660">
        <v>-6730.0086709468333</v>
      </c>
    </row>
    <row r="661" spans="1:10">
      <c r="A661" s="1">
        <v>46113.804166666669</v>
      </c>
      <c r="B661">
        <v>0</v>
      </c>
      <c r="C661">
        <v>222062.18186313499</v>
      </c>
      <c r="D661">
        <v>122062.1818631349</v>
      </c>
      <c r="E661">
        <v>100000</v>
      </c>
      <c r="F661">
        <v>0</v>
      </c>
      <c r="G661">
        <v>6730.0086709468333</v>
      </c>
      <c r="H661">
        <v>6730.0086709468333</v>
      </c>
      <c r="I661">
        <v>44412.436372626988</v>
      </c>
      <c r="J661">
        <v>37682.427701680157</v>
      </c>
    </row>
    <row r="662" spans="1:10">
      <c r="A662" s="1">
        <v>46113.804861111108</v>
      </c>
      <c r="B662">
        <v>218.25734773935579</v>
      </c>
      <c r="C662">
        <v>222280.43921087429</v>
      </c>
      <c r="D662">
        <v>122280.4392108743</v>
      </c>
      <c r="E662">
        <v>100000</v>
      </c>
      <c r="F662">
        <v>0</v>
      </c>
      <c r="G662">
        <v>6730.0086709468333</v>
      </c>
      <c r="H662">
        <v>6948.2660186861895</v>
      </c>
      <c r="I662">
        <v>44456.087842174857</v>
      </c>
      <c r="J662">
        <v>37507.821823488674</v>
      </c>
    </row>
    <row r="663" spans="1:10">
      <c r="A663" s="1">
        <v>46113.805555555547</v>
      </c>
      <c r="B663">
        <v>0</v>
      </c>
      <c r="C663">
        <v>0</v>
      </c>
      <c r="D663">
        <v>0</v>
      </c>
      <c r="E663">
        <v>0</v>
      </c>
      <c r="F663">
        <v>254.03061100909619</v>
      </c>
      <c r="G663">
        <v>6984.0392819559293</v>
      </c>
      <c r="H663">
        <v>6984.0392819559293</v>
      </c>
      <c r="I663">
        <v>0</v>
      </c>
      <c r="J663">
        <v>-6984.0392819559293</v>
      </c>
    </row>
    <row r="664" spans="1:10">
      <c r="A664" s="1">
        <v>46118.8125</v>
      </c>
      <c r="B664">
        <v>0</v>
      </c>
      <c r="C664">
        <v>222062.18186313499</v>
      </c>
      <c r="D664">
        <v>100000</v>
      </c>
      <c r="E664">
        <v>122062.181863135</v>
      </c>
      <c r="F664">
        <v>0</v>
      </c>
      <c r="G664">
        <v>6984.0392819559293</v>
      </c>
      <c r="H664">
        <v>6984.0392819559293</v>
      </c>
      <c r="I664">
        <v>44412.436372626988</v>
      </c>
      <c r="J664">
        <v>37428.397090671067</v>
      </c>
    </row>
    <row r="665" spans="1:10">
      <c r="A665" s="1">
        <v>46118.813194444447</v>
      </c>
      <c r="B665">
        <v>148.6290263147217</v>
      </c>
      <c r="C665">
        <v>221934.261057984</v>
      </c>
      <c r="D665">
        <v>100010.3541105819</v>
      </c>
      <c r="E665">
        <v>121923.90694740209</v>
      </c>
      <c r="F665">
        <v>0</v>
      </c>
      <c r="G665">
        <v>6984.0392819559293</v>
      </c>
      <c r="H665">
        <v>7132.6683082706513</v>
      </c>
      <c r="I665">
        <v>44386.852211596808</v>
      </c>
      <c r="J665">
        <v>37254.183903326157</v>
      </c>
    </row>
    <row r="666" spans="1:10">
      <c r="A666" s="1">
        <v>46118.813888888893</v>
      </c>
      <c r="B666">
        <v>148.6290263147217</v>
      </c>
      <c r="C666">
        <v>221934.261057984</v>
      </c>
      <c r="D666">
        <v>100010.3541105819</v>
      </c>
      <c r="E666">
        <v>121923.90694740209</v>
      </c>
      <c r="F666">
        <v>0</v>
      </c>
      <c r="G666">
        <v>6984.0392819559293</v>
      </c>
      <c r="H666">
        <v>7132.6683082706513</v>
      </c>
      <c r="I666">
        <v>44386.852211596808</v>
      </c>
      <c r="J666">
        <v>37254.183903326157</v>
      </c>
    </row>
    <row r="667" spans="1:10">
      <c r="A667" s="1">
        <v>46118.814583333333</v>
      </c>
      <c r="B667">
        <v>148.6290263147217</v>
      </c>
      <c r="C667">
        <v>221934.261057984</v>
      </c>
      <c r="D667">
        <v>100010.3541105819</v>
      </c>
      <c r="E667">
        <v>121923.90694740209</v>
      </c>
      <c r="F667">
        <v>0</v>
      </c>
      <c r="G667">
        <v>6984.0392819559293</v>
      </c>
      <c r="H667">
        <v>7132.6683082706513</v>
      </c>
      <c r="I667">
        <v>44386.852211596808</v>
      </c>
      <c r="J667">
        <v>37254.183903326157</v>
      </c>
    </row>
    <row r="668" spans="1:10">
      <c r="A668" s="1">
        <v>46118.81527777778</v>
      </c>
      <c r="B668">
        <v>148.6290263147217</v>
      </c>
      <c r="C668">
        <v>221934.261057984</v>
      </c>
      <c r="D668">
        <v>100010.3541105819</v>
      </c>
      <c r="E668">
        <v>121923.90694740209</v>
      </c>
      <c r="F668">
        <v>0</v>
      </c>
      <c r="G668">
        <v>6984.0392819559293</v>
      </c>
      <c r="H668">
        <v>7132.6683082706513</v>
      </c>
      <c r="I668">
        <v>44386.852211596808</v>
      </c>
      <c r="J668">
        <v>37254.183903326157</v>
      </c>
    </row>
    <row r="669" spans="1:10">
      <c r="A669" s="1">
        <v>46118.815972222219</v>
      </c>
      <c r="B669">
        <v>148.6290263147217</v>
      </c>
      <c r="C669">
        <v>221934.261057984</v>
      </c>
      <c r="D669">
        <v>100010.3541105819</v>
      </c>
      <c r="E669">
        <v>121923.90694740209</v>
      </c>
      <c r="F669">
        <v>0</v>
      </c>
      <c r="G669">
        <v>6984.0392819559293</v>
      </c>
      <c r="H669">
        <v>7132.6683082706513</v>
      </c>
      <c r="I669">
        <v>44386.852211596808</v>
      </c>
      <c r="J669">
        <v>37254.183903326157</v>
      </c>
    </row>
    <row r="670" spans="1:10">
      <c r="A670" s="1">
        <v>46118.816666666673</v>
      </c>
      <c r="B670">
        <v>148.6290263147217</v>
      </c>
      <c r="C670">
        <v>221934.261057984</v>
      </c>
      <c r="D670">
        <v>100010.3541105819</v>
      </c>
      <c r="E670">
        <v>121923.90694740209</v>
      </c>
      <c r="F670">
        <v>0</v>
      </c>
      <c r="G670">
        <v>6984.0392819559293</v>
      </c>
      <c r="H670">
        <v>7132.6683082706513</v>
      </c>
      <c r="I670">
        <v>44386.852211596808</v>
      </c>
      <c r="J670">
        <v>37254.183903326157</v>
      </c>
    </row>
    <row r="671" spans="1:10">
      <c r="A671" s="1">
        <v>46118.817361111112</v>
      </c>
      <c r="B671">
        <v>51.300386844858238</v>
      </c>
      <c r="C671">
        <v>221836.93241851419</v>
      </c>
      <c r="D671">
        <v>99913.025471112051</v>
      </c>
      <c r="E671">
        <v>121923.90694740209</v>
      </c>
      <c r="F671">
        <v>0</v>
      </c>
      <c r="G671">
        <v>6984.0392819559293</v>
      </c>
      <c r="H671">
        <v>7035.3396688007879</v>
      </c>
      <c r="I671">
        <v>44367.386483702838</v>
      </c>
      <c r="J671">
        <v>37332.046814902053</v>
      </c>
    </row>
    <row r="672" spans="1:10">
      <c r="A672" s="1">
        <v>46118.818055555559</v>
      </c>
      <c r="B672">
        <v>6.3610392316977027</v>
      </c>
      <c r="C672">
        <v>221881.87176612741</v>
      </c>
      <c r="D672">
        <v>99913.025471112051</v>
      </c>
      <c r="E672">
        <v>121968.8462950153</v>
      </c>
      <c r="F672">
        <v>0</v>
      </c>
      <c r="G672">
        <v>6984.0392819559293</v>
      </c>
      <c r="H672">
        <v>6990.400321187627</v>
      </c>
      <c r="I672">
        <v>44376.374353225467</v>
      </c>
      <c r="J672">
        <v>37385.974032037848</v>
      </c>
    </row>
    <row r="673" spans="1:10">
      <c r="A673" s="1">
        <v>46118.818749999999</v>
      </c>
      <c r="B673">
        <v>6.3610392316977027</v>
      </c>
      <c r="C673">
        <v>221881.87176612741</v>
      </c>
      <c r="D673">
        <v>99913.025471112051</v>
      </c>
      <c r="E673">
        <v>121968.8462950153</v>
      </c>
      <c r="F673">
        <v>0</v>
      </c>
      <c r="G673">
        <v>6984.0392819559293</v>
      </c>
      <c r="H673">
        <v>6990.400321187627</v>
      </c>
      <c r="I673">
        <v>44376.374353225467</v>
      </c>
      <c r="J673">
        <v>37385.974032037848</v>
      </c>
    </row>
    <row r="674" spans="1:10">
      <c r="A674" s="1">
        <v>46118.819444444453</v>
      </c>
      <c r="B674">
        <v>6.3610392316977027</v>
      </c>
      <c r="C674">
        <v>221881.87176612741</v>
      </c>
      <c r="D674">
        <v>99913.025471112051</v>
      </c>
      <c r="E674">
        <v>121968.8462950153</v>
      </c>
      <c r="F674">
        <v>0</v>
      </c>
      <c r="G674">
        <v>6984.0392819559293</v>
      </c>
      <c r="H674">
        <v>6990.400321187627</v>
      </c>
      <c r="I674">
        <v>44376.374353225467</v>
      </c>
      <c r="J674">
        <v>37385.974032037848</v>
      </c>
    </row>
    <row r="675" spans="1:10">
      <c r="A675" s="1">
        <v>46118.820138888892</v>
      </c>
      <c r="B675">
        <v>-53.742326437526557</v>
      </c>
      <c r="C675">
        <v>221883.9921125379</v>
      </c>
      <c r="D675">
        <v>99884.03396148271</v>
      </c>
      <c r="E675">
        <v>121999.95815105519</v>
      </c>
      <c r="F675">
        <v>0</v>
      </c>
      <c r="G675">
        <v>6984.0392819559293</v>
      </c>
      <c r="H675">
        <v>6930.2969555184027</v>
      </c>
      <c r="I675">
        <v>44376.798422507592</v>
      </c>
      <c r="J675">
        <v>37446.501466989183</v>
      </c>
    </row>
    <row r="676" spans="1:10">
      <c r="A676" s="1">
        <v>46118.820833333331</v>
      </c>
      <c r="B676">
        <v>-33.001089077604789</v>
      </c>
      <c r="C676">
        <v>221863.250875178</v>
      </c>
      <c r="D676">
        <v>99884.03396148271</v>
      </c>
      <c r="E676">
        <v>121979.2169136953</v>
      </c>
      <c r="F676">
        <v>0</v>
      </c>
      <c r="G676">
        <v>6984.0392819559293</v>
      </c>
      <c r="H676">
        <v>6951.0381928783236</v>
      </c>
      <c r="I676">
        <v>44372.650175035596</v>
      </c>
      <c r="J676">
        <v>37421.611982157272</v>
      </c>
    </row>
    <row r="677" spans="1:10">
      <c r="A677" s="1">
        <v>46118.821527777778</v>
      </c>
      <c r="B677">
        <v>-5.3461059310293422</v>
      </c>
      <c r="C677">
        <v>221835.59589203139</v>
      </c>
      <c r="D677">
        <v>99884.03396148271</v>
      </c>
      <c r="E677">
        <v>121951.56193054871</v>
      </c>
      <c r="F677">
        <v>0</v>
      </c>
      <c r="G677">
        <v>6984.0392819559293</v>
      </c>
      <c r="H677">
        <v>6978.6931760248999</v>
      </c>
      <c r="I677">
        <v>44367.119178406283</v>
      </c>
      <c r="J677">
        <v>37388.426002381377</v>
      </c>
    </row>
    <row r="678" spans="1:10">
      <c r="A678" s="1">
        <v>46118.822222222218</v>
      </c>
      <c r="B678">
        <v>-5.3461059310293422</v>
      </c>
      <c r="C678">
        <v>221835.59589203139</v>
      </c>
      <c r="D678">
        <v>99884.03396148271</v>
      </c>
      <c r="E678">
        <v>121951.56193054871</v>
      </c>
      <c r="F678">
        <v>0</v>
      </c>
      <c r="G678">
        <v>6984.0392819559293</v>
      </c>
      <c r="H678">
        <v>6978.6931760248999</v>
      </c>
      <c r="I678">
        <v>44367.119178406283</v>
      </c>
      <c r="J678">
        <v>37388.426002381377</v>
      </c>
    </row>
    <row r="679" spans="1:10">
      <c r="A679" s="1">
        <v>46118.822916666657</v>
      </c>
      <c r="B679">
        <v>-5.3461059310293422</v>
      </c>
      <c r="C679">
        <v>221835.59589203139</v>
      </c>
      <c r="D679">
        <v>99884.03396148271</v>
      </c>
      <c r="E679">
        <v>121951.56193054871</v>
      </c>
      <c r="F679">
        <v>0</v>
      </c>
      <c r="G679">
        <v>6984.0392819559293</v>
      </c>
      <c r="H679">
        <v>6978.6931760248999</v>
      </c>
      <c r="I679">
        <v>44367.119178406283</v>
      </c>
      <c r="J679">
        <v>37388.426002381377</v>
      </c>
    </row>
    <row r="680" spans="1:10">
      <c r="A680" s="1">
        <v>46118.823611111111</v>
      </c>
      <c r="B680">
        <v>-34.337615560349349</v>
      </c>
      <c r="C680">
        <v>221806.60438240209</v>
      </c>
      <c r="D680">
        <v>99855.042451853398</v>
      </c>
      <c r="E680">
        <v>121951.56193054871</v>
      </c>
      <c r="F680">
        <v>0</v>
      </c>
      <c r="G680">
        <v>6984.0392819559293</v>
      </c>
      <c r="H680">
        <v>6949.7016663955801</v>
      </c>
      <c r="I680">
        <v>44361.320876480422</v>
      </c>
      <c r="J680">
        <v>37411.619210084842</v>
      </c>
    </row>
    <row r="681" spans="1:10">
      <c r="A681" s="1">
        <v>46118.824305555558</v>
      </c>
      <c r="B681">
        <v>-34.337615560349349</v>
      </c>
      <c r="C681">
        <v>221806.60438240209</v>
      </c>
      <c r="D681">
        <v>99855.042451853398</v>
      </c>
      <c r="E681">
        <v>121951.56193054871</v>
      </c>
      <c r="F681">
        <v>0</v>
      </c>
      <c r="G681">
        <v>6984.0392819559293</v>
      </c>
      <c r="H681">
        <v>6949.7016663955801</v>
      </c>
      <c r="I681">
        <v>44361.320876480422</v>
      </c>
      <c r="J681">
        <v>37411.619210084842</v>
      </c>
    </row>
    <row r="682" spans="1:10">
      <c r="A682" s="1">
        <v>46118.824999999997</v>
      </c>
      <c r="B682">
        <v>-34.337615560349349</v>
      </c>
      <c r="C682">
        <v>221806.60438240209</v>
      </c>
      <c r="D682">
        <v>99855.042451853398</v>
      </c>
      <c r="E682">
        <v>121951.56193054871</v>
      </c>
      <c r="F682">
        <v>0</v>
      </c>
      <c r="G682">
        <v>6984.0392819559293</v>
      </c>
      <c r="H682">
        <v>6949.7016663955801</v>
      </c>
      <c r="I682">
        <v>44361.320876480422</v>
      </c>
      <c r="J682">
        <v>37411.619210084842</v>
      </c>
    </row>
    <row r="683" spans="1:10">
      <c r="A683" s="1">
        <v>46118.825694444437</v>
      </c>
      <c r="B683">
        <v>-61.992598706924802</v>
      </c>
      <c r="C683">
        <v>221834.2593655487</v>
      </c>
      <c r="D683">
        <v>99855.042451853398</v>
      </c>
      <c r="E683">
        <v>121979.2169136953</v>
      </c>
      <c r="F683">
        <v>0</v>
      </c>
      <c r="G683">
        <v>6984.0392819559293</v>
      </c>
      <c r="H683">
        <v>6922.0466832490047</v>
      </c>
      <c r="I683">
        <v>44366.851873109743</v>
      </c>
      <c r="J683">
        <v>37444.80518986073</v>
      </c>
    </row>
    <row r="684" spans="1:10">
      <c r="A684" s="1">
        <v>46118.826388888891</v>
      </c>
      <c r="B684">
        <v>-86.19070896016359</v>
      </c>
      <c r="C684">
        <v>221858.4574758019</v>
      </c>
      <c r="D684">
        <v>99855.042451853398</v>
      </c>
      <c r="E684">
        <v>122003.4150239485</v>
      </c>
      <c r="F684">
        <v>0</v>
      </c>
      <c r="G684">
        <v>6984.0392819559293</v>
      </c>
      <c r="H684">
        <v>6897.8485729957656</v>
      </c>
      <c r="I684">
        <v>44371.69149516039</v>
      </c>
      <c r="J684">
        <v>37473.842922164622</v>
      </c>
    </row>
    <row r="685" spans="1:10">
      <c r="A685" s="1">
        <v>46118.82708333333</v>
      </c>
      <c r="B685">
        <v>-86.19070896016359</v>
      </c>
      <c r="C685">
        <v>221858.4574758019</v>
      </c>
      <c r="D685">
        <v>99855.042451853398</v>
      </c>
      <c r="E685">
        <v>122003.4150239485</v>
      </c>
      <c r="F685">
        <v>0</v>
      </c>
      <c r="G685">
        <v>6984.0392819559293</v>
      </c>
      <c r="H685">
        <v>6897.8485729957656</v>
      </c>
      <c r="I685">
        <v>44371.69149516039</v>
      </c>
      <c r="J685">
        <v>37473.842922164622</v>
      </c>
    </row>
    <row r="686" spans="1:10">
      <c r="A686" s="1">
        <v>46118.827777777777</v>
      </c>
      <c r="B686">
        <v>-65.449471600241822</v>
      </c>
      <c r="C686">
        <v>221837.71623844199</v>
      </c>
      <c r="D686">
        <v>99855.042451853398</v>
      </c>
      <c r="E686">
        <v>121982.6737865886</v>
      </c>
      <c r="F686">
        <v>0</v>
      </c>
      <c r="G686">
        <v>6984.0392819559293</v>
      </c>
      <c r="H686">
        <v>6918.5898103556874</v>
      </c>
      <c r="I686">
        <v>44367.543247688402</v>
      </c>
      <c r="J686">
        <v>37448.953437332711</v>
      </c>
    </row>
    <row r="687" spans="1:10">
      <c r="A687" s="1">
        <v>46118.828472222223</v>
      </c>
      <c r="B687">
        <v>-65.449471600241822</v>
      </c>
      <c r="C687">
        <v>221837.71623844199</v>
      </c>
      <c r="D687">
        <v>99855.042451853398</v>
      </c>
      <c r="E687">
        <v>121982.6737865886</v>
      </c>
      <c r="F687">
        <v>0</v>
      </c>
      <c r="G687">
        <v>6984.0392819559293</v>
      </c>
      <c r="H687">
        <v>6918.5898103556874</v>
      </c>
      <c r="I687">
        <v>44367.543247688402</v>
      </c>
      <c r="J687">
        <v>37448.953437332711</v>
      </c>
    </row>
    <row r="688" spans="1:10">
      <c r="A688" s="1">
        <v>46118.82916666667</v>
      </c>
      <c r="B688">
        <v>-27.42386977371531</v>
      </c>
      <c r="C688">
        <v>221799.69063661541</v>
      </c>
      <c r="D688">
        <v>99855.042451853398</v>
      </c>
      <c r="E688">
        <v>121944.6481847621</v>
      </c>
      <c r="F688">
        <v>0</v>
      </c>
      <c r="G688">
        <v>6984.0392819559293</v>
      </c>
      <c r="H688">
        <v>6956.6154121822137</v>
      </c>
      <c r="I688">
        <v>44359.93812732309</v>
      </c>
      <c r="J688">
        <v>37403.322715140879</v>
      </c>
    </row>
    <row r="689" spans="1:10">
      <c r="A689" s="1">
        <v>46118.829861111109</v>
      </c>
      <c r="B689">
        <v>-27.42386977371531</v>
      </c>
      <c r="C689">
        <v>221799.69063661541</v>
      </c>
      <c r="D689">
        <v>99855.042451853398</v>
      </c>
      <c r="E689">
        <v>121944.6481847621</v>
      </c>
      <c r="F689">
        <v>0</v>
      </c>
      <c r="G689">
        <v>6984.0392819559293</v>
      </c>
      <c r="H689">
        <v>6956.6154121822137</v>
      </c>
      <c r="I689">
        <v>44359.93812732309</v>
      </c>
      <c r="J689">
        <v>37403.322715140879</v>
      </c>
    </row>
    <row r="690" spans="1:10">
      <c r="A690" s="1">
        <v>46118.830555555563</v>
      </c>
      <c r="B690">
        <v>-27.42386977371531</v>
      </c>
      <c r="C690">
        <v>221799.69063661541</v>
      </c>
      <c r="D690">
        <v>99855.042451853398</v>
      </c>
      <c r="E690">
        <v>121944.6481847621</v>
      </c>
      <c r="F690">
        <v>0</v>
      </c>
      <c r="G690">
        <v>6984.0392819559293</v>
      </c>
      <c r="H690">
        <v>6956.6154121822137</v>
      </c>
      <c r="I690">
        <v>44359.93812732309</v>
      </c>
      <c r="J690">
        <v>37403.322715140879</v>
      </c>
    </row>
    <row r="691" spans="1:10">
      <c r="A691" s="1">
        <v>46118.831250000003</v>
      </c>
      <c r="B691">
        <v>-27.42386977371531</v>
      </c>
      <c r="C691">
        <v>221799.69063661541</v>
      </c>
      <c r="D691">
        <v>99855.042451853398</v>
      </c>
      <c r="E691">
        <v>121944.6481847621</v>
      </c>
      <c r="F691">
        <v>0</v>
      </c>
      <c r="G691">
        <v>6984.0392819559293</v>
      </c>
      <c r="H691">
        <v>6956.6154121822137</v>
      </c>
      <c r="I691">
        <v>44359.93812732309</v>
      </c>
      <c r="J691">
        <v>37403.322715140879</v>
      </c>
    </row>
    <row r="692" spans="1:10">
      <c r="A692" s="1">
        <v>46118.831944444442</v>
      </c>
      <c r="B692">
        <v>-68.906344493558834</v>
      </c>
      <c r="C692">
        <v>221841.17311133529</v>
      </c>
      <c r="D692">
        <v>99855.042451853398</v>
      </c>
      <c r="E692">
        <v>121986.1306594819</v>
      </c>
      <c r="F692">
        <v>0</v>
      </c>
      <c r="G692">
        <v>6984.0392819559293</v>
      </c>
      <c r="H692">
        <v>6915.1329374623701</v>
      </c>
      <c r="I692">
        <v>44368.234622267068</v>
      </c>
      <c r="J692">
        <v>37453.1016848047</v>
      </c>
    </row>
    <row r="693" spans="1:10">
      <c r="A693" s="1">
        <v>46118.832638888889</v>
      </c>
      <c r="B693">
        <v>-72.36321738687586</v>
      </c>
      <c r="C693">
        <v>221844.62998422861</v>
      </c>
      <c r="D693">
        <v>99855.042451853398</v>
      </c>
      <c r="E693">
        <v>121989.5875323752</v>
      </c>
      <c r="F693">
        <v>0</v>
      </c>
      <c r="G693">
        <v>6984.0392819559293</v>
      </c>
      <c r="H693">
        <v>6911.6760645690538</v>
      </c>
      <c r="I693">
        <v>44368.925996845734</v>
      </c>
      <c r="J693">
        <v>37457.249932276682</v>
      </c>
    </row>
    <row r="694" spans="1:10">
      <c r="A694" s="1">
        <v>46118.833333333343</v>
      </c>
      <c r="B694">
        <v>-61.992598706924802</v>
      </c>
      <c r="C694">
        <v>221834.2593655487</v>
      </c>
      <c r="D694">
        <v>99855.042451853398</v>
      </c>
      <c r="E694">
        <v>121979.2169136953</v>
      </c>
      <c r="F694">
        <v>0</v>
      </c>
      <c r="G694">
        <v>6984.0392819559293</v>
      </c>
      <c r="H694">
        <v>6922.0466832490047</v>
      </c>
      <c r="I694">
        <v>44366.851873109743</v>
      </c>
      <c r="J694">
        <v>37444.80518986073</v>
      </c>
    </row>
    <row r="695" spans="1:10">
      <c r="A695" s="1">
        <v>46118.834027777782</v>
      </c>
      <c r="B695">
        <v>0</v>
      </c>
      <c r="C695">
        <v>0</v>
      </c>
      <c r="D695">
        <v>0</v>
      </c>
      <c r="E695">
        <v>0</v>
      </c>
      <c r="F695">
        <v>-59.46041189245831</v>
      </c>
      <c r="G695">
        <v>6924.5788700634712</v>
      </c>
      <c r="H695">
        <v>6924.5788700634712</v>
      </c>
      <c r="I695">
        <v>0</v>
      </c>
      <c r="J695">
        <v>-6924.5788700634712</v>
      </c>
    </row>
    <row r="696" spans="1:10">
      <c r="A696" s="1">
        <v>46119.604861111111</v>
      </c>
      <c r="B696">
        <v>0</v>
      </c>
      <c r="C696">
        <v>222062.18186313499</v>
      </c>
      <c r="D696">
        <v>122062.1818631349</v>
      </c>
      <c r="E696">
        <v>100000</v>
      </c>
      <c r="F696">
        <v>0</v>
      </c>
      <c r="G696">
        <v>6924.5788700634712</v>
      </c>
      <c r="H696">
        <v>6924.5788700634712</v>
      </c>
      <c r="I696">
        <v>44412.436372626988</v>
      </c>
      <c r="J696">
        <v>37487.857502563522</v>
      </c>
    </row>
    <row r="697" spans="1:10">
      <c r="A697" s="1">
        <v>46119.605555555558</v>
      </c>
      <c r="B697">
        <v>323.40871270938328</v>
      </c>
      <c r="C697">
        <v>222385.59057584431</v>
      </c>
      <c r="D697">
        <v>122385.5905758443</v>
      </c>
      <c r="E697">
        <v>100000</v>
      </c>
      <c r="F697">
        <v>0</v>
      </c>
      <c r="G697">
        <v>6924.5788700634712</v>
      </c>
      <c r="H697">
        <v>7247.9875827728547</v>
      </c>
      <c r="I697">
        <v>44477.118115168872</v>
      </c>
      <c r="J697">
        <v>37229.130532396019</v>
      </c>
    </row>
    <row r="698" spans="1:10">
      <c r="A698" s="1">
        <v>46119.606249999997</v>
      </c>
      <c r="B698">
        <v>1128.4151823882171</v>
      </c>
      <c r="C698">
        <v>223190.5970455232</v>
      </c>
      <c r="D698">
        <v>123190.5970455232</v>
      </c>
      <c r="E698">
        <v>100000</v>
      </c>
      <c r="F698">
        <v>0</v>
      </c>
      <c r="G698">
        <v>6924.5788700634712</v>
      </c>
      <c r="H698">
        <v>8052.9940524516887</v>
      </c>
      <c r="I698">
        <v>44638.119409104627</v>
      </c>
      <c r="J698">
        <v>36585.125356652949</v>
      </c>
    </row>
    <row r="699" spans="1:10">
      <c r="A699" s="1">
        <v>46119.606944444437</v>
      </c>
      <c r="B699">
        <v>1378.0023411095931</v>
      </c>
      <c r="C699">
        <v>223440.18420424449</v>
      </c>
      <c r="D699">
        <v>123440.18420424451</v>
      </c>
      <c r="E699">
        <v>100000</v>
      </c>
      <c r="F699">
        <v>0</v>
      </c>
      <c r="G699">
        <v>6924.5788700634712</v>
      </c>
      <c r="H699">
        <v>8302.5812111730647</v>
      </c>
      <c r="I699">
        <v>44688.036840848923</v>
      </c>
      <c r="J699">
        <v>36385.455629675853</v>
      </c>
    </row>
    <row r="700" spans="1:10">
      <c r="A700" s="1">
        <v>46119.607638888891</v>
      </c>
      <c r="B700">
        <v>1378.0023411095931</v>
      </c>
      <c r="C700">
        <v>223440.18420424449</v>
      </c>
      <c r="D700">
        <v>123440.18420424451</v>
      </c>
      <c r="E700">
        <v>100000</v>
      </c>
      <c r="F700">
        <v>0</v>
      </c>
      <c r="G700">
        <v>6924.5788700634712</v>
      </c>
      <c r="H700">
        <v>8302.5812111730647</v>
      </c>
      <c r="I700">
        <v>44688.036840848923</v>
      </c>
      <c r="J700">
        <v>36385.455629675853</v>
      </c>
    </row>
    <row r="701" spans="1:10">
      <c r="A701" s="1">
        <v>46119.60833333333</v>
      </c>
      <c r="B701">
        <v>0</v>
      </c>
      <c r="C701">
        <v>0</v>
      </c>
      <c r="D701">
        <v>0</v>
      </c>
      <c r="E701">
        <v>0</v>
      </c>
      <c r="F701">
        <v>1909.3002602345241</v>
      </c>
      <c r="G701">
        <v>8833.8791302979953</v>
      </c>
      <c r="H701">
        <v>8833.8791302979953</v>
      </c>
      <c r="I701">
        <v>0</v>
      </c>
      <c r="J701">
        <v>-8833.8791302979953</v>
      </c>
    </row>
    <row r="702" spans="1:10">
      <c r="A702" s="1">
        <v>46120.604861111111</v>
      </c>
      <c r="B702">
        <v>0</v>
      </c>
      <c r="C702">
        <v>222062.18186313499</v>
      </c>
      <c r="D702">
        <v>122062.181863135</v>
      </c>
      <c r="E702">
        <v>100000</v>
      </c>
      <c r="F702">
        <v>0</v>
      </c>
      <c r="G702">
        <v>8833.8791302979953</v>
      </c>
      <c r="H702">
        <v>8833.8791302979953</v>
      </c>
      <c r="I702">
        <v>44412.436372626988</v>
      </c>
      <c r="J702">
        <v>35578.557242329</v>
      </c>
    </row>
    <row r="703" spans="1:10">
      <c r="A703" s="1">
        <v>46120.605555555558</v>
      </c>
      <c r="B703">
        <v>644.9170776736139</v>
      </c>
      <c r="C703">
        <v>221365.223778485</v>
      </c>
      <c r="D703">
        <v>122036.16135964679</v>
      </c>
      <c r="E703">
        <v>99329.062418838192</v>
      </c>
      <c r="F703">
        <v>0</v>
      </c>
      <c r="G703">
        <v>8833.8791302979953</v>
      </c>
      <c r="H703">
        <v>9478.796207971609</v>
      </c>
      <c r="I703">
        <v>44273.044755697003</v>
      </c>
      <c r="J703">
        <v>34794.248547725387</v>
      </c>
    </row>
    <row r="704" spans="1:10">
      <c r="A704" s="1">
        <v>46120.606249999997</v>
      </c>
      <c r="B704">
        <v>574.80395924311426</v>
      </c>
      <c r="C704">
        <v>221182.56629160151</v>
      </c>
      <c r="D704">
        <v>121909.77605698979</v>
      </c>
      <c r="E704">
        <v>99272.790234611719</v>
      </c>
      <c r="F704">
        <v>0</v>
      </c>
      <c r="G704">
        <v>8833.8791302979953</v>
      </c>
      <c r="H704">
        <v>9408.6830895411094</v>
      </c>
      <c r="I704">
        <v>44236.513258320309</v>
      </c>
      <c r="J704">
        <v>34827.830168779197</v>
      </c>
    </row>
    <row r="705" spans="1:10">
      <c r="A705" s="1">
        <v>46120.606944444437</v>
      </c>
      <c r="B705">
        <v>425.28234756149448</v>
      </c>
      <c r="C705">
        <v>221465.90763550819</v>
      </c>
      <c r="D705">
        <v>121976.6859231023</v>
      </c>
      <c r="E705">
        <v>99489.221712405852</v>
      </c>
      <c r="F705">
        <v>0</v>
      </c>
      <c r="G705">
        <v>8833.8791302979953</v>
      </c>
      <c r="H705">
        <v>9259.1614778594903</v>
      </c>
      <c r="I705">
        <v>44293.181527101638</v>
      </c>
      <c r="J705">
        <v>35034.02004924215</v>
      </c>
    </row>
    <row r="706" spans="1:10">
      <c r="A706" s="1">
        <v>46120.607638888891</v>
      </c>
      <c r="B706">
        <v>743.76201466008786</v>
      </c>
      <c r="C706">
        <v>222485.62529065969</v>
      </c>
      <c r="D706">
        <v>122645.7845842274</v>
      </c>
      <c r="E706">
        <v>99839.84070643234</v>
      </c>
      <c r="F706">
        <v>0</v>
      </c>
      <c r="G706">
        <v>8833.8791302979953</v>
      </c>
      <c r="H706">
        <v>9577.6411449580828</v>
      </c>
      <c r="I706">
        <v>44497.125058131947</v>
      </c>
      <c r="J706">
        <v>34919.483913173863</v>
      </c>
    </row>
    <row r="707" spans="1:10">
      <c r="A707" s="1">
        <v>46120.60833333333</v>
      </c>
      <c r="B707">
        <v>707.10850500702509</v>
      </c>
      <c r="C707">
        <v>221020.52402756541</v>
      </c>
      <c r="D707">
        <v>121894.9071978537</v>
      </c>
      <c r="E707">
        <v>99125.616829711711</v>
      </c>
      <c r="F707">
        <v>0</v>
      </c>
      <c r="G707">
        <v>8833.8791302979953</v>
      </c>
      <c r="H707">
        <v>9540.9876353050204</v>
      </c>
      <c r="I707">
        <v>44204.104805513081</v>
      </c>
      <c r="J707">
        <v>34663.117170208061</v>
      </c>
    </row>
    <row r="708" spans="1:10">
      <c r="A708" s="1">
        <v>46120.609027777777</v>
      </c>
      <c r="B708">
        <v>254.766716417298</v>
      </c>
      <c r="C708">
        <v>221472.8658161551</v>
      </c>
      <c r="D708">
        <v>121894.9071978537</v>
      </c>
      <c r="E708">
        <v>99577.958618301433</v>
      </c>
      <c r="F708">
        <v>0</v>
      </c>
      <c r="G708">
        <v>8833.8791302979953</v>
      </c>
      <c r="H708">
        <v>9088.6458467152934</v>
      </c>
      <c r="I708">
        <v>44294.573163231027</v>
      </c>
      <c r="J708">
        <v>35205.927316515743</v>
      </c>
    </row>
    <row r="709" spans="1:10">
      <c r="A709" s="1">
        <v>46120.609722222223</v>
      </c>
      <c r="B709">
        <v>0</v>
      </c>
      <c r="C709">
        <v>0</v>
      </c>
      <c r="D709">
        <v>0</v>
      </c>
      <c r="E709">
        <v>0</v>
      </c>
      <c r="F709">
        <v>1150.5565612703761</v>
      </c>
      <c r="G709">
        <v>9984.4356915683711</v>
      </c>
      <c r="H709">
        <v>9984.4356915683711</v>
      </c>
      <c r="I709">
        <v>0</v>
      </c>
      <c r="J709">
        <v>-9984.4356915683711</v>
      </c>
    </row>
    <row r="710" spans="1:10">
      <c r="A710" s="1">
        <v>46121.857638888891</v>
      </c>
      <c r="B710">
        <v>0</v>
      </c>
      <c r="C710">
        <v>222062.18186313499</v>
      </c>
      <c r="D710">
        <v>122062.181863135</v>
      </c>
      <c r="E710">
        <v>100000</v>
      </c>
      <c r="F710">
        <v>0</v>
      </c>
      <c r="G710">
        <v>9984.4356915683711</v>
      </c>
      <c r="H710">
        <v>9984.4356915683711</v>
      </c>
      <c r="I710">
        <v>44412.436372626988</v>
      </c>
      <c r="J710">
        <v>34428.00068105862</v>
      </c>
    </row>
    <row r="711" spans="1:10">
      <c r="A711" s="1">
        <v>46121.85833333333</v>
      </c>
      <c r="B711">
        <v>-12.00239039418746</v>
      </c>
      <c r="C711">
        <v>221983.15534405439</v>
      </c>
      <c r="D711">
        <v>122016.6674083976</v>
      </c>
      <c r="E711">
        <v>99966.487935656827</v>
      </c>
      <c r="F711">
        <v>0</v>
      </c>
      <c r="G711">
        <v>9984.4356915683711</v>
      </c>
      <c r="H711">
        <v>9972.4333011741837</v>
      </c>
      <c r="I711">
        <v>44396.631068810893</v>
      </c>
      <c r="J711">
        <v>34424.197767636702</v>
      </c>
    </row>
    <row r="712" spans="1:10">
      <c r="A712" s="1">
        <v>46121.859027777777</v>
      </c>
      <c r="B712">
        <v>36.26530772153253</v>
      </c>
      <c r="C712">
        <v>221919.7161610263</v>
      </c>
      <c r="D712">
        <v>122009.0816659414</v>
      </c>
      <c r="E712">
        <v>99910.634495084887</v>
      </c>
      <c r="F712">
        <v>0</v>
      </c>
      <c r="G712">
        <v>9984.4356915683711</v>
      </c>
      <c r="H712">
        <v>10020.7009992899</v>
      </c>
      <c r="I712">
        <v>44383.94323220526</v>
      </c>
      <c r="J712">
        <v>34363.242232915363</v>
      </c>
    </row>
    <row r="713" spans="1:10">
      <c r="A713" s="1">
        <v>46121.859722222223</v>
      </c>
      <c r="B713">
        <v>-4.4180642767575193</v>
      </c>
      <c r="C713">
        <v>221664.55557723169</v>
      </c>
      <c r="D713">
        <v>121861.15968804499</v>
      </c>
      <c r="E713">
        <v>99803.395889186781</v>
      </c>
      <c r="F713">
        <v>0</v>
      </c>
      <c r="G713">
        <v>9984.4356915683711</v>
      </c>
      <c r="H713">
        <v>9980.0176272916142</v>
      </c>
      <c r="I713">
        <v>44332.911115446354</v>
      </c>
      <c r="J713">
        <v>34352.893488154739</v>
      </c>
    </row>
    <row r="714" spans="1:10">
      <c r="A714" s="1">
        <v>46121.86041666667</v>
      </c>
      <c r="B714">
        <v>117.9920265338084</v>
      </c>
      <c r="C714">
        <v>221572.48845624601</v>
      </c>
      <c r="D714">
        <v>121876.33117295741</v>
      </c>
      <c r="E714">
        <v>99696.157283288645</v>
      </c>
      <c r="F714">
        <v>0</v>
      </c>
      <c r="G714">
        <v>9984.4356915683711</v>
      </c>
      <c r="H714">
        <v>10102.427718102181</v>
      </c>
      <c r="I714">
        <v>44314.497691249213</v>
      </c>
      <c r="J714">
        <v>34212.069973147038</v>
      </c>
    </row>
    <row r="715" spans="1:10">
      <c r="A715" s="1">
        <v>46121.861111111109</v>
      </c>
      <c r="B715">
        <v>3.736994903932271</v>
      </c>
      <c r="C715">
        <v>221163.32725839631</v>
      </c>
      <c r="D715">
        <v>121614.62305821761</v>
      </c>
      <c r="E715">
        <v>99548.704200178734</v>
      </c>
      <c r="F715">
        <v>0</v>
      </c>
      <c r="G715">
        <v>9984.4356915683711</v>
      </c>
      <c r="H715">
        <v>9988.1726864723041</v>
      </c>
      <c r="I715">
        <v>44232.66545167927</v>
      </c>
      <c r="J715">
        <v>34244.492765206967</v>
      </c>
    </row>
    <row r="716" spans="1:10">
      <c r="A716" s="1">
        <v>46121.861805555563</v>
      </c>
      <c r="B716">
        <v>96.116712413932419</v>
      </c>
      <c r="C716">
        <v>221237.83387492341</v>
      </c>
      <c r="D716">
        <v>121698.06622523611</v>
      </c>
      <c r="E716">
        <v>99539.76764968723</v>
      </c>
      <c r="F716">
        <v>0</v>
      </c>
      <c r="G716">
        <v>9984.4356915683711</v>
      </c>
      <c r="H716">
        <v>10080.552403982299</v>
      </c>
      <c r="I716">
        <v>44247.566774984683</v>
      </c>
      <c r="J716">
        <v>34167.014371002369</v>
      </c>
    </row>
    <row r="717" spans="1:10">
      <c r="A717" s="1">
        <v>46121.862500000003</v>
      </c>
      <c r="B717">
        <v>39.172016684453183</v>
      </c>
      <c r="C717">
        <v>221256.84985837169</v>
      </c>
      <c r="D717">
        <v>121679.1018690955</v>
      </c>
      <c r="E717">
        <v>99577.747989276133</v>
      </c>
      <c r="F717">
        <v>0</v>
      </c>
      <c r="G717">
        <v>9984.4356915683711</v>
      </c>
      <c r="H717">
        <v>10023.607708252821</v>
      </c>
      <c r="I717">
        <v>44251.369971674343</v>
      </c>
      <c r="J717">
        <v>34227.762263421508</v>
      </c>
    </row>
    <row r="718" spans="1:10">
      <c r="A718" s="1">
        <v>46121.863194444442</v>
      </c>
      <c r="B718">
        <v>-65.366389481915462</v>
      </c>
      <c r="C718">
        <v>221004.8583690954</v>
      </c>
      <c r="D718">
        <v>121500.8369213742</v>
      </c>
      <c r="E718">
        <v>99504.021447721185</v>
      </c>
      <c r="F718">
        <v>0</v>
      </c>
      <c r="G718">
        <v>9984.4356915683711</v>
      </c>
      <c r="H718">
        <v>9919.0693020864564</v>
      </c>
      <c r="I718">
        <v>44200.971673819076</v>
      </c>
      <c r="J718">
        <v>34281.902371732627</v>
      </c>
    </row>
    <row r="719" spans="1:10">
      <c r="A719" s="1">
        <v>46121.863888888889</v>
      </c>
      <c r="B719">
        <v>32.935665924697098</v>
      </c>
      <c r="C719">
        <v>220906.55631368881</v>
      </c>
      <c r="D719">
        <v>121500.8369213742</v>
      </c>
      <c r="E719">
        <v>99405.719392314568</v>
      </c>
      <c r="F719">
        <v>0</v>
      </c>
      <c r="G719">
        <v>9984.4356915683711</v>
      </c>
      <c r="H719">
        <v>10017.37135749307</v>
      </c>
      <c r="I719">
        <v>44181.311262737763</v>
      </c>
      <c r="J719">
        <v>34163.93990524469</v>
      </c>
    </row>
    <row r="720" spans="1:10">
      <c r="A720" s="1">
        <v>46121.864583333343</v>
      </c>
      <c r="B720">
        <v>125.2623397881289</v>
      </c>
      <c r="C720">
        <v>220730.78647280691</v>
      </c>
      <c r="D720">
        <v>121459.11533786501</v>
      </c>
      <c r="E720">
        <v>99271.671134941906</v>
      </c>
      <c r="F720">
        <v>0</v>
      </c>
      <c r="G720">
        <v>9984.4356915683711</v>
      </c>
      <c r="H720">
        <v>10109.6980313565</v>
      </c>
      <c r="I720">
        <v>44146.157294561381</v>
      </c>
      <c r="J720">
        <v>34036.459263204881</v>
      </c>
    </row>
    <row r="721" spans="1:10">
      <c r="A721" s="1">
        <v>46121.865277777782</v>
      </c>
      <c r="B721">
        <v>33.454771680182937</v>
      </c>
      <c r="C721">
        <v>220799.83681354611</v>
      </c>
      <c r="D721">
        <v>121447.73672418061</v>
      </c>
      <c r="E721">
        <v>99352.1000893655</v>
      </c>
      <c r="F721">
        <v>0</v>
      </c>
      <c r="G721">
        <v>9984.4356915683711</v>
      </c>
      <c r="H721">
        <v>10017.89046324855</v>
      </c>
      <c r="I721">
        <v>44159.967362709227</v>
      </c>
      <c r="J721">
        <v>34142.076899460677</v>
      </c>
    </row>
    <row r="722" spans="1:10">
      <c r="A722" s="1">
        <v>46121.865972222222</v>
      </c>
      <c r="B722">
        <v>29.299092958743131</v>
      </c>
      <c r="C722">
        <v>221001.22179612951</v>
      </c>
      <c r="D722">
        <v>121546.3513761116</v>
      </c>
      <c r="E722">
        <v>99454.870420017876</v>
      </c>
      <c r="F722">
        <v>0</v>
      </c>
      <c r="G722">
        <v>9984.4356915683711</v>
      </c>
      <c r="H722">
        <v>10013.734784527111</v>
      </c>
      <c r="I722">
        <v>44200.244359225893</v>
      </c>
      <c r="J722">
        <v>34186.509574698779</v>
      </c>
    </row>
    <row r="723" spans="1:10">
      <c r="A723" s="1">
        <v>46121.866666666669</v>
      </c>
      <c r="B723">
        <v>7.8410463175765699</v>
      </c>
      <c r="C723">
        <v>221037.85132768311</v>
      </c>
      <c r="D723">
        <v>121553.9371185678</v>
      </c>
      <c r="E723">
        <v>99483.91420911529</v>
      </c>
      <c r="F723">
        <v>0</v>
      </c>
      <c r="G723">
        <v>9984.4356915683711</v>
      </c>
      <c r="H723">
        <v>9992.276737885948</v>
      </c>
      <c r="I723">
        <v>44207.570265536633</v>
      </c>
      <c r="J723">
        <v>34215.293527650683</v>
      </c>
    </row>
    <row r="724" spans="1:10">
      <c r="A724" s="1">
        <v>46121.867361111108</v>
      </c>
      <c r="B724">
        <v>0</v>
      </c>
      <c r="C724">
        <v>0</v>
      </c>
      <c r="D724">
        <v>0</v>
      </c>
      <c r="E724">
        <v>0</v>
      </c>
      <c r="F724">
        <v>84.214243231166478</v>
      </c>
      <c r="G724">
        <v>10068.64993479954</v>
      </c>
      <c r="H724">
        <v>10068.64993479954</v>
      </c>
      <c r="I724">
        <v>0</v>
      </c>
      <c r="J724">
        <v>-10068.64993479954</v>
      </c>
    </row>
    <row r="725" spans="1:10">
      <c r="A725" s="1">
        <v>46122.604166666657</v>
      </c>
      <c r="B725">
        <v>0</v>
      </c>
      <c r="C725">
        <v>222062.18186313499</v>
      </c>
      <c r="D725">
        <v>100000</v>
      </c>
      <c r="E725">
        <v>122062.181863135</v>
      </c>
      <c r="F725">
        <v>0</v>
      </c>
      <c r="G725">
        <v>10068.64993479954</v>
      </c>
      <c r="H725">
        <v>10068.64993479954</v>
      </c>
      <c r="I725">
        <v>44412.436372626988</v>
      </c>
      <c r="J725">
        <v>34343.786437827453</v>
      </c>
    </row>
    <row r="726" spans="1:10">
      <c r="A726" s="1">
        <v>46122.604861111111</v>
      </c>
      <c r="B726">
        <v>622.91234088651959</v>
      </c>
      <c r="C726">
        <v>222685.0942040215</v>
      </c>
      <c r="D726">
        <v>100622.9123408865</v>
      </c>
      <c r="E726">
        <v>122062.181863135</v>
      </c>
      <c r="F726">
        <v>0</v>
      </c>
      <c r="G726">
        <v>10068.64993479954</v>
      </c>
      <c r="H726">
        <v>10691.562275686059</v>
      </c>
      <c r="I726">
        <v>44537.018840804303</v>
      </c>
      <c r="J726">
        <v>33845.456565118227</v>
      </c>
    </row>
    <row r="727" spans="1:10">
      <c r="A727" s="1">
        <v>46122.605555555558</v>
      </c>
      <c r="B727">
        <v>281.61756122696107</v>
      </c>
      <c r="C727">
        <v>223026.38898368101</v>
      </c>
      <c r="D727">
        <v>100622.9123408865</v>
      </c>
      <c r="E727">
        <v>122403.4766427945</v>
      </c>
      <c r="F727">
        <v>0</v>
      </c>
      <c r="G727">
        <v>10068.64993479954</v>
      </c>
      <c r="H727">
        <v>10350.267496026499</v>
      </c>
      <c r="I727">
        <v>44605.277796736213</v>
      </c>
      <c r="J727">
        <v>34255.010300709713</v>
      </c>
    </row>
    <row r="728" spans="1:10">
      <c r="A728" s="1">
        <v>46122.606249999997</v>
      </c>
      <c r="B728">
        <v>239.90375482411989</v>
      </c>
      <c r="C728">
        <v>223068.10279008391</v>
      </c>
      <c r="D728">
        <v>100622.9123408865</v>
      </c>
      <c r="E728">
        <v>122445.1904491974</v>
      </c>
      <c r="F728">
        <v>0</v>
      </c>
      <c r="G728">
        <v>10068.64993479954</v>
      </c>
      <c r="H728">
        <v>10308.553689623661</v>
      </c>
      <c r="I728">
        <v>44613.620558016773</v>
      </c>
      <c r="J728">
        <v>34305.066868393107</v>
      </c>
    </row>
    <row r="729" spans="1:10">
      <c r="A729" s="1">
        <v>46122.606944444437</v>
      </c>
      <c r="B729">
        <v>39.037094175933021</v>
      </c>
      <c r="C729">
        <v>222867.23612943571</v>
      </c>
      <c r="D729">
        <v>100422.0456802383</v>
      </c>
      <c r="E729">
        <v>122445.1904491974</v>
      </c>
      <c r="F729">
        <v>0</v>
      </c>
      <c r="G729">
        <v>10068.64993479954</v>
      </c>
      <c r="H729">
        <v>10107.68702897547</v>
      </c>
      <c r="I729">
        <v>44573.447225887139</v>
      </c>
      <c r="J729">
        <v>34465.760196911673</v>
      </c>
    </row>
    <row r="730" spans="1:10">
      <c r="A730" s="1">
        <v>46122.607638888891</v>
      </c>
      <c r="B730">
        <v>285.52776837450068</v>
      </c>
      <c r="C730">
        <v>222620.74545523711</v>
      </c>
      <c r="D730">
        <v>100422.0456802383</v>
      </c>
      <c r="E730">
        <v>122198.69977499879</v>
      </c>
      <c r="F730">
        <v>0</v>
      </c>
      <c r="G730">
        <v>10068.64993479954</v>
      </c>
      <c r="H730">
        <v>10354.17770317404</v>
      </c>
      <c r="I730">
        <v>44524.149091047417</v>
      </c>
      <c r="J730">
        <v>34169.971387873389</v>
      </c>
    </row>
    <row r="731" spans="1:10">
      <c r="A731" s="1">
        <v>46122.60833333333</v>
      </c>
      <c r="B731">
        <v>422.04568023833269</v>
      </c>
      <c r="C731">
        <v>222484.2275433733</v>
      </c>
      <c r="D731">
        <v>100422.0456802383</v>
      </c>
      <c r="E731">
        <v>122062.181863135</v>
      </c>
      <c r="F731">
        <v>0</v>
      </c>
      <c r="G731">
        <v>10068.64993479954</v>
      </c>
      <c r="H731">
        <v>10490.69561503787</v>
      </c>
      <c r="I731">
        <v>44496.845508674662</v>
      </c>
      <c r="J731">
        <v>34006.149893636793</v>
      </c>
    </row>
    <row r="732" spans="1:10">
      <c r="A732" s="1">
        <v>46122.609027777777</v>
      </c>
      <c r="B732">
        <v>-433.33032409496241</v>
      </c>
      <c r="C732">
        <v>221628.85153904001</v>
      </c>
      <c r="D732">
        <v>99566.669675905039</v>
      </c>
      <c r="E732">
        <v>122062.181863135</v>
      </c>
      <c r="F732">
        <v>0</v>
      </c>
      <c r="G732">
        <v>10068.64993479954</v>
      </c>
      <c r="H732">
        <v>9635.3196107045751</v>
      </c>
      <c r="I732">
        <v>44325.770307808001</v>
      </c>
      <c r="J732">
        <v>34690.450697103428</v>
      </c>
    </row>
    <row r="733" spans="1:10">
      <c r="A733" s="1">
        <v>46122.609722222223</v>
      </c>
      <c r="B733">
        <v>-187.32508802021849</v>
      </c>
      <c r="C733">
        <v>221874.85677511469</v>
      </c>
      <c r="D733">
        <v>99812.674911979775</v>
      </c>
      <c r="E733">
        <v>122062.181863135</v>
      </c>
      <c r="F733">
        <v>0</v>
      </c>
      <c r="G733">
        <v>10068.64993479954</v>
      </c>
      <c r="H733">
        <v>9881.3248467793201</v>
      </c>
      <c r="I733">
        <v>44374.97135502295</v>
      </c>
      <c r="J733">
        <v>34493.646508243633</v>
      </c>
    </row>
    <row r="734" spans="1:10">
      <c r="A734" s="1">
        <v>46122.61041666667</v>
      </c>
      <c r="B734">
        <v>-187.32508802021849</v>
      </c>
      <c r="C734">
        <v>221874.85677511469</v>
      </c>
      <c r="D734">
        <v>99812.674911979775</v>
      </c>
      <c r="E734">
        <v>122062.181863135</v>
      </c>
      <c r="F734">
        <v>0</v>
      </c>
      <c r="G734">
        <v>10068.64993479954</v>
      </c>
      <c r="H734">
        <v>9881.3248467793201</v>
      </c>
      <c r="I734">
        <v>44374.97135502295</v>
      </c>
      <c r="J734">
        <v>34493.646508243633</v>
      </c>
    </row>
    <row r="735" spans="1:10">
      <c r="A735" s="1">
        <v>46122.611111111109</v>
      </c>
      <c r="B735">
        <v>-187.32508802021849</v>
      </c>
      <c r="C735">
        <v>221874.85677511469</v>
      </c>
      <c r="D735">
        <v>99812.674911979775</v>
      </c>
      <c r="E735">
        <v>122062.181863135</v>
      </c>
      <c r="F735">
        <v>0</v>
      </c>
      <c r="G735">
        <v>10068.64993479954</v>
      </c>
      <c r="H735">
        <v>9881.3248467793201</v>
      </c>
      <c r="I735">
        <v>44374.97135502295</v>
      </c>
      <c r="J735">
        <v>34493.646508243633</v>
      </c>
    </row>
    <row r="736" spans="1:10">
      <c r="A736" s="1">
        <v>46122.611805555563</v>
      </c>
      <c r="B736">
        <v>9.8674513386356182</v>
      </c>
      <c r="C736">
        <v>221677.66423575589</v>
      </c>
      <c r="D736">
        <v>99812.674911979775</v>
      </c>
      <c r="E736">
        <v>121864.9893237761</v>
      </c>
      <c r="F736">
        <v>0</v>
      </c>
      <c r="G736">
        <v>10068.64993479954</v>
      </c>
      <c r="H736">
        <v>10078.51738613817</v>
      </c>
      <c r="I736">
        <v>44335.532847151182</v>
      </c>
      <c r="J736">
        <v>34257.015461013012</v>
      </c>
    </row>
    <row r="737" spans="1:10">
      <c r="A737" s="1">
        <v>46122.612500000003</v>
      </c>
      <c r="B737">
        <v>-12.88553397200306</v>
      </c>
      <c r="C737">
        <v>221700.41722106651</v>
      </c>
      <c r="D737">
        <v>99812.674911979775</v>
      </c>
      <c r="E737">
        <v>121887.7423090868</v>
      </c>
      <c r="F737">
        <v>0</v>
      </c>
      <c r="G737">
        <v>10068.64993479954</v>
      </c>
      <c r="H737">
        <v>10055.764400827529</v>
      </c>
      <c r="I737">
        <v>44340.083444213313</v>
      </c>
      <c r="J737">
        <v>34284.319043385782</v>
      </c>
    </row>
    <row r="738" spans="1:10">
      <c r="A738" s="1">
        <v>46122.613194444442</v>
      </c>
      <c r="B738">
        <v>185.7241979048579</v>
      </c>
      <c r="C738">
        <v>221899.02695294339</v>
      </c>
      <c r="D738">
        <v>100011.2846438566</v>
      </c>
      <c r="E738">
        <v>121887.7423090868</v>
      </c>
      <c r="F738">
        <v>0</v>
      </c>
      <c r="G738">
        <v>10068.64993479954</v>
      </c>
      <c r="H738">
        <v>10254.374132704401</v>
      </c>
      <c r="I738">
        <v>44379.805390588677</v>
      </c>
      <c r="J738">
        <v>34125.43125788428</v>
      </c>
    </row>
    <row r="739" spans="1:10">
      <c r="A739" s="1">
        <v>46122.613888888889</v>
      </c>
      <c r="B739">
        <v>-60.766476293709758</v>
      </c>
      <c r="C739">
        <v>222145.51762714199</v>
      </c>
      <c r="D739">
        <v>100011.2846438566</v>
      </c>
      <c r="E739">
        <v>122134.2329832853</v>
      </c>
      <c r="F739">
        <v>0</v>
      </c>
      <c r="G739">
        <v>10068.64993479954</v>
      </c>
      <c r="H739">
        <v>10007.88345850583</v>
      </c>
      <c r="I739">
        <v>44429.103525428392</v>
      </c>
      <c r="J739">
        <v>34421.220066922557</v>
      </c>
    </row>
    <row r="740" spans="1:10">
      <c r="A740" s="1">
        <v>46122.614583333343</v>
      </c>
      <c r="B740">
        <v>0</v>
      </c>
      <c r="C740">
        <v>0</v>
      </c>
      <c r="D740">
        <v>0</v>
      </c>
      <c r="E740">
        <v>0</v>
      </c>
      <c r="F740">
        <v>197.49567287121531</v>
      </c>
      <c r="G740">
        <v>10266.145607670751</v>
      </c>
      <c r="H740">
        <v>10266.145607670751</v>
      </c>
      <c r="I740">
        <v>0</v>
      </c>
      <c r="J740">
        <v>-10266.145607670751</v>
      </c>
    </row>
    <row r="741" spans="1:10">
      <c r="A741" s="1">
        <v>46122.847222222219</v>
      </c>
      <c r="B741">
        <v>0</v>
      </c>
      <c r="C741">
        <v>177505.10211373889</v>
      </c>
      <c r="D741">
        <v>77505.10211373886</v>
      </c>
      <c r="E741">
        <v>100000</v>
      </c>
      <c r="F741">
        <v>0</v>
      </c>
      <c r="G741">
        <v>10266.145607670751</v>
      </c>
      <c r="H741">
        <v>10266.145607670751</v>
      </c>
      <c r="I741">
        <v>35501.020422747781</v>
      </c>
      <c r="J741">
        <v>25234.87481507703</v>
      </c>
    </row>
    <row r="742" spans="1:10">
      <c r="A742" s="1">
        <v>46122.847916666673</v>
      </c>
      <c r="B742">
        <v>-113.0522966581256</v>
      </c>
      <c r="C742">
        <v>177525.0993114927</v>
      </c>
      <c r="D742">
        <v>77458.574564286697</v>
      </c>
      <c r="E742">
        <v>100066.524747206</v>
      </c>
      <c r="F742">
        <v>0</v>
      </c>
      <c r="G742">
        <v>10266.145607670751</v>
      </c>
      <c r="H742">
        <v>10153.09331101263</v>
      </c>
      <c r="I742">
        <v>35505.019862298534</v>
      </c>
      <c r="J742">
        <v>25351.926551285909</v>
      </c>
    </row>
    <row r="743" spans="1:10">
      <c r="A743" s="1">
        <v>46122.848611111112</v>
      </c>
      <c r="B743">
        <v>-111.0278212579466</v>
      </c>
      <c r="C743">
        <v>177537.76774644581</v>
      </c>
      <c r="D743">
        <v>77465.921019463349</v>
      </c>
      <c r="E743">
        <v>100071.8467269824</v>
      </c>
      <c r="F743">
        <v>0</v>
      </c>
      <c r="G743">
        <v>10266.145607670751</v>
      </c>
      <c r="H743">
        <v>10155.117786412809</v>
      </c>
      <c r="I743">
        <v>35507.553549289158</v>
      </c>
      <c r="J743">
        <v>25352.43576287635</v>
      </c>
    </row>
    <row r="744" spans="1:10">
      <c r="A744" s="1">
        <v>46122.849305555559</v>
      </c>
      <c r="B744">
        <v>-134.97673025210091</v>
      </c>
      <c r="C744">
        <v>177561.7166554399</v>
      </c>
      <c r="D744">
        <v>77465.921019463349</v>
      </c>
      <c r="E744">
        <v>100095.7956359766</v>
      </c>
      <c r="F744">
        <v>0</v>
      </c>
      <c r="G744">
        <v>10266.145607670751</v>
      </c>
      <c r="H744">
        <v>10131.16887741865</v>
      </c>
      <c r="I744">
        <v>35512.343331087977</v>
      </c>
      <c r="J744">
        <v>25381.17445366933</v>
      </c>
    </row>
    <row r="745" spans="1:10">
      <c r="A745" s="1">
        <v>46122.85</v>
      </c>
      <c r="B745">
        <v>-180.42572984814831</v>
      </c>
      <c r="C745">
        <v>177612.06329182049</v>
      </c>
      <c r="D745">
        <v>77468.369837855586</v>
      </c>
      <c r="E745">
        <v>100143.69345396489</v>
      </c>
      <c r="F745">
        <v>0</v>
      </c>
      <c r="G745">
        <v>10266.145607670751</v>
      </c>
      <c r="H745">
        <v>10085.719877822599</v>
      </c>
      <c r="I745">
        <v>35522.412658364097</v>
      </c>
      <c r="J745">
        <v>25436.692780541489</v>
      </c>
    </row>
    <row r="746" spans="1:10">
      <c r="A746" s="1">
        <v>46122.850694444453</v>
      </c>
      <c r="B746">
        <v>-106.3423559695176</v>
      </c>
      <c r="C746">
        <v>177547.77519151071</v>
      </c>
      <c r="D746">
        <v>77473.267474640015</v>
      </c>
      <c r="E746">
        <v>100074.50771687071</v>
      </c>
      <c r="F746">
        <v>0</v>
      </c>
      <c r="G746">
        <v>10266.145607670751</v>
      </c>
      <c r="H746">
        <v>10159.803251701231</v>
      </c>
      <c r="I746">
        <v>35509.55503830214</v>
      </c>
      <c r="J746">
        <v>25349.751786600911</v>
      </c>
    </row>
    <row r="747" spans="1:10">
      <c r="A747" s="1">
        <v>46122.851388888892</v>
      </c>
      <c r="B747">
        <v>-143.49897484485371</v>
      </c>
      <c r="C747">
        <v>177521.2625321883</v>
      </c>
      <c r="D747">
        <v>77441.432835541171</v>
      </c>
      <c r="E747">
        <v>100079.8296966472</v>
      </c>
      <c r="F747">
        <v>0</v>
      </c>
      <c r="G747">
        <v>10266.145607670751</v>
      </c>
      <c r="H747">
        <v>10122.646632825899</v>
      </c>
      <c r="I747">
        <v>35504.252506437668</v>
      </c>
      <c r="J747">
        <v>25381.60587361177</v>
      </c>
    </row>
    <row r="748" spans="1:10">
      <c r="A748" s="1">
        <v>46122.852083333331</v>
      </c>
      <c r="B748">
        <v>-65.985472277901863</v>
      </c>
      <c r="C748">
        <v>177620.06395386119</v>
      </c>
      <c r="D748">
        <v>77529.590297661067</v>
      </c>
      <c r="E748">
        <v>100090.47365620011</v>
      </c>
      <c r="F748">
        <v>0</v>
      </c>
      <c r="G748">
        <v>10266.145607670751</v>
      </c>
      <c r="H748">
        <v>10200.160135392851</v>
      </c>
      <c r="I748">
        <v>35524.012790772242</v>
      </c>
      <c r="J748">
        <v>25323.852655379389</v>
      </c>
    </row>
    <row r="749" spans="1:10">
      <c r="A749" s="1">
        <v>46122.852777777778</v>
      </c>
      <c r="B749">
        <v>-129.8492295956265</v>
      </c>
      <c r="C749">
        <v>177683.9277111789</v>
      </c>
      <c r="D749">
        <v>77529.590297661067</v>
      </c>
      <c r="E749">
        <v>100154.3374135178</v>
      </c>
      <c r="F749">
        <v>0</v>
      </c>
      <c r="G749">
        <v>10266.145607670751</v>
      </c>
      <c r="H749">
        <v>10136.296378075131</v>
      </c>
      <c r="I749">
        <v>35536.785542235782</v>
      </c>
      <c r="J749">
        <v>25400.489164160659</v>
      </c>
    </row>
    <row r="750" spans="1:10">
      <c r="A750" s="1">
        <v>46122.853472222218</v>
      </c>
      <c r="B750">
        <v>-92.67491834429805</v>
      </c>
      <c r="C750">
        <v>177832.8635977362</v>
      </c>
      <c r="D750">
        <v>77622.645396565393</v>
      </c>
      <c r="E750">
        <v>100210.21820117081</v>
      </c>
      <c r="F750">
        <v>0</v>
      </c>
      <c r="G750">
        <v>10266.145607670751</v>
      </c>
      <c r="H750">
        <v>10173.47068932645</v>
      </c>
      <c r="I750">
        <v>35566.57271954725</v>
      </c>
      <c r="J750">
        <v>25393.102030220802</v>
      </c>
    </row>
    <row r="751" spans="1:10">
      <c r="A751" s="1">
        <v>46122.854166666657</v>
      </c>
      <c r="B751">
        <v>0</v>
      </c>
      <c r="C751">
        <v>0</v>
      </c>
      <c r="D751">
        <v>0</v>
      </c>
      <c r="E751">
        <v>0</v>
      </c>
      <c r="F751">
        <v>43.180573138895241</v>
      </c>
      <c r="G751">
        <v>10309.32618080965</v>
      </c>
      <c r="H751">
        <v>10309.32618080965</v>
      </c>
      <c r="I751">
        <v>0</v>
      </c>
      <c r="J751">
        <v>-10309.32618080965</v>
      </c>
    </row>
    <row r="752" spans="1:10">
      <c r="A752" s="1">
        <v>46125.606944444437</v>
      </c>
      <c r="B752">
        <v>0</v>
      </c>
      <c r="C752">
        <v>177505.10211373889</v>
      </c>
      <c r="D752">
        <v>77505.10211373886</v>
      </c>
      <c r="E752">
        <v>100000</v>
      </c>
      <c r="F752">
        <v>0</v>
      </c>
      <c r="G752">
        <v>10309.32618080965</v>
      </c>
      <c r="H752">
        <v>10309.32618080965</v>
      </c>
      <c r="I752">
        <v>35501.020422747773</v>
      </c>
      <c r="J752">
        <v>25191.694241938119</v>
      </c>
    </row>
    <row r="753" spans="1:10">
      <c r="A753" s="1">
        <v>46125.607638888891</v>
      </c>
      <c r="B753">
        <v>-60.922004454887357</v>
      </c>
      <c r="C753">
        <v>177585.31599177531</v>
      </c>
      <c r="D753">
        <v>77514.748050529626</v>
      </c>
      <c r="E753">
        <v>100070.5679412457</v>
      </c>
      <c r="F753">
        <v>0</v>
      </c>
      <c r="G753">
        <v>10309.32618080965</v>
      </c>
      <c r="H753">
        <v>10248.404176354759</v>
      </c>
      <c r="I753">
        <v>35517.063198355063</v>
      </c>
      <c r="J753">
        <v>25268.659022000291</v>
      </c>
    </row>
    <row r="754" spans="1:10">
      <c r="A754" s="1">
        <v>46125.60833333333</v>
      </c>
      <c r="B754">
        <v>-290.92122036665012</v>
      </c>
      <c r="C754">
        <v>177815.315207687</v>
      </c>
      <c r="D754">
        <v>77514.748050529626</v>
      </c>
      <c r="E754">
        <v>100300.56715715741</v>
      </c>
      <c r="F754">
        <v>0</v>
      </c>
      <c r="G754">
        <v>10309.32618080965</v>
      </c>
      <c r="H754">
        <v>10018.404960443</v>
      </c>
      <c r="I754">
        <v>35563.063041537411</v>
      </c>
      <c r="J754">
        <v>25544.658081094411</v>
      </c>
    </row>
    <row r="755" spans="1:10">
      <c r="A755" s="1">
        <v>46125.609027777777</v>
      </c>
      <c r="B755">
        <v>-309.21661254144772</v>
      </c>
      <c r="C755">
        <v>177833.6105998618</v>
      </c>
      <c r="D755">
        <v>77514.748050529626</v>
      </c>
      <c r="E755">
        <v>100318.8625493322</v>
      </c>
      <c r="F755">
        <v>0</v>
      </c>
      <c r="G755">
        <v>10309.32618080965</v>
      </c>
      <c r="H755">
        <v>10000.109568268201</v>
      </c>
      <c r="I755">
        <v>35566.722119972357</v>
      </c>
      <c r="J755">
        <v>25566.612551704169</v>
      </c>
    </row>
    <row r="756" spans="1:10">
      <c r="A756" s="1">
        <v>46125.609722222223</v>
      </c>
      <c r="B756">
        <v>-340.58014198396222</v>
      </c>
      <c r="C756">
        <v>177864.97412930429</v>
      </c>
      <c r="D756">
        <v>77514.748050529626</v>
      </c>
      <c r="E756">
        <v>100350.22607877471</v>
      </c>
      <c r="F756">
        <v>0</v>
      </c>
      <c r="G756">
        <v>10309.32618080965</v>
      </c>
      <c r="H756">
        <v>9968.7460388256859</v>
      </c>
      <c r="I756">
        <v>35572.994825860871</v>
      </c>
      <c r="J756">
        <v>25604.24878703518</v>
      </c>
    </row>
    <row r="757" spans="1:10">
      <c r="A757" s="1">
        <v>46125.61041666667</v>
      </c>
      <c r="B757">
        <v>-316.62473864527198</v>
      </c>
      <c r="C757">
        <v>177705.97561089511</v>
      </c>
      <c r="D757">
        <v>77447.226492994319</v>
      </c>
      <c r="E757">
        <v>100258.7491179007</v>
      </c>
      <c r="F757">
        <v>0</v>
      </c>
      <c r="G757">
        <v>10309.32618080965</v>
      </c>
      <c r="H757">
        <v>9992.7014421643762</v>
      </c>
      <c r="I757">
        <v>35541.195122179022</v>
      </c>
      <c r="J757">
        <v>25548.493680014639</v>
      </c>
    </row>
    <row r="758" spans="1:10">
      <c r="A758" s="1">
        <v>46125.611111111109</v>
      </c>
      <c r="B758">
        <v>-611.5318846388061</v>
      </c>
      <c r="C758">
        <v>177865.83964181799</v>
      </c>
      <c r="D758">
        <v>77379.704935459013</v>
      </c>
      <c r="E758">
        <v>100486.13470635899</v>
      </c>
      <c r="F758">
        <v>0</v>
      </c>
      <c r="G758">
        <v>10309.32618080965</v>
      </c>
      <c r="H758">
        <v>9697.7942961708432</v>
      </c>
      <c r="I758">
        <v>35573.167928363597</v>
      </c>
      <c r="J758">
        <v>25875.37363219275</v>
      </c>
    </row>
    <row r="759" spans="1:10">
      <c r="A759" s="1">
        <v>46125.611805555563</v>
      </c>
      <c r="B759">
        <v>-617.75562095260102</v>
      </c>
      <c r="C759">
        <v>177833.47963096871</v>
      </c>
      <c r="D759">
        <v>77360.413061877494</v>
      </c>
      <c r="E759">
        <v>100473.0665690912</v>
      </c>
      <c r="F759">
        <v>0</v>
      </c>
      <c r="G759">
        <v>10309.32618080965</v>
      </c>
      <c r="H759">
        <v>9691.5705598570476</v>
      </c>
      <c r="I759">
        <v>35566.695926193752</v>
      </c>
      <c r="J759">
        <v>25875.125366336699</v>
      </c>
    </row>
    <row r="760" spans="1:10">
      <c r="A760" s="1">
        <v>46125.612500000003</v>
      </c>
      <c r="B760">
        <v>-466.16522864710947</v>
      </c>
      <c r="C760">
        <v>177681.88923866331</v>
      </c>
      <c r="D760">
        <v>77360.413061877494</v>
      </c>
      <c r="E760">
        <v>100321.4761767858</v>
      </c>
      <c r="F760">
        <v>0</v>
      </c>
      <c r="G760">
        <v>10309.32618080965</v>
      </c>
      <c r="H760">
        <v>9843.1609521625396</v>
      </c>
      <c r="I760">
        <v>35536.377847732649</v>
      </c>
      <c r="J760">
        <v>25693.216895570109</v>
      </c>
    </row>
    <row r="761" spans="1:10">
      <c r="A761" s="1">
        <v>46125.613194444442</v>
      </c>
      <c r="B761">
        <v>-667.79035933651392</v>
      </c>
      <c r="C761">
        <v>177767.76312786361</v>
      </c>
      <c r="D761">
        <v>77302.537441132954</v>
      </c>
      <c r="E761">
        <v>100465.2256867306</v>
      </c>
      <c r="F761">
        <v>0</v>
      </c>
      <c r="G761">
        <v>10309.32618080965</v>
      </c>
      <c r="H761">
        <v>9641.535821473135</v>
      </c>
      <c r="I761">
        <v>35553.552625572724</v>
      </c>
      <c r="J761">
        <v>25912.016804099581</v>
      </c>
    </row>
    <row r="762" spans="1:10">
      <c r="A762" s="1">
        <v>46125.613888888889</v>
      </c>
      <c r="B762">
        <v>-680.85849660423071</v>
      </c>
      <c r="C762">
        <v>177780.8312651313</v>
      </c>
      <c r="D762">
        <v>77302.537441132954</v>
      </c>
      <c r="E762">
        <v>100478.29382399831</v>
      </c>
      <c r="F762">
        <v>0</v>
      </c>
      <c r="G762">
        <v>10309.32618080965</v>
      </c>
      <c r="H762">
        <v>9628.4676842054178</v>
      </c>
      <c r="I762">
        <v>35556.166253026247</v>
      </c>
      <c r="J762">
        <v>25927.698568820841</v>
      </c>
    </row>
    <row r="763" spans="1:10">
      <c r="A763" s="1">
        <v>46125.614583333343</v>
      </c>
      <c r="B763">
        <v>-701.76751623256882</v>
      </c>
      <c r="C763">
        <v>177801.74028475961</v>
      </c>
      <c r="D763">
        <v>77302.537441132954</v>
      </c>
      <c r="E763">
        <v>100499.2028436267</v>
      </c>
      <c r="F763">
        <v>0</v>
      </c>
      <c r="G763">
        <v>10309.32618080965</v>
      </c>
      <c r="H763">
        <v>9607.55866457708</v>
      </c>
      <c r="I763">
        <v>35560.348056951923</v>
      </c>
      <c r="J763">
        <v>25952.789392374842</v>
      </c>
    </row>
    <row r="764" spans="1:10">
      <c r="A764" s="1">
        <v>46125.615277777782</v>
      </c>
      <c r="B764">
        <v>-701.36322972086248</v>
      </c>
      <c r="C764">
        <v>177791.69006145719</v>
      </c>
      <c r="D764">
        <v>77297.714472737571</v>
      </c>
      <c r="E764">
        <v>100493.97558871959</v>
      </c>
      <c r="F764">
        <v>0</v>
      </c>
      <c r="G764">
        <v>10309.32618080965</v>
      </c>
      <c r="H764">
        <v>9607.9629510887862</v>
      </c>
      <c r="I764">
        <v>35558.338012291431</v>
      </c>
      <c r="J764">
        <v>25950.375061202649</v>
      </c>
    </row>
    <row r="765" spans="1:10">
      <c r="A765" s="1">
        <v>46125.615972222222</v>
      </c>
      <c r="B765">
        <v>-732.72675916337698</v>
      </c>
      <c r="C765">
        <v>177823.05359089971</v>
      </c>
      <c r="D765">
        <v>77297.714472737571</v>
      </c>
      <c r="E765">
        <v>100525.3391181621</v>
      </c>
      <c r="F765">
        <v>0</v>
      </c>
      <c r="G765">
        <v>10309.32618080965</v>
      </c>
      <c r="H765">
        <v>9576.5994216462714</v>
      </c>
      <c r="I765">
        <v>35564.610718179938</v>
      </c>
      <c r="J765">
        <v>25988.01129653367</v>
      </c>
    </row>
    <row r="766" spans="1:10">
      <c r="A766" s="1">
        <v>46125.616666666669</v>
      </c>
      <c r="B766">
        <v>-748.40852388463418</v>
      </c>
      <c r="C766">
        <v>177838.73535562091</v>
      </c>
      <c r="D766">
        <v>77297.714472737571</v>
      </c>
      <c r="E766">
        <v>100541.0208828834</v>
      </c>
      <c r="F766">
        <v>0</v>
      </c>
      <c r="G766">
        <v>10309.32618080965</v>
      </c>
      <c r="H766">
        <v>9560.9176569250139</v>
      </c>
      <c r="I766">
        <v>35567.747071124177</v>
      </c>
      <c r="J766">
        <v>26006.829414199168</v>
      </c>
    </row>
    <row r="767" spans="1:10">
      <c r="A767" s="1">
        <v>46125.617361111108</v>
      </c>
      <c r="B767">
        <v>-570.68185704372388</v>
      </c>
      <c r="C767">
        <v>177661.00868878001</v>
      </c>
      <c r="D767">
        <v>77297.714472737571</v>
      </c>
      <c r="E767">
        <v>100363.2942160424</v>
      </c>
      <c r="F767">
        <v>0</v>
      </c>
      <c r="G767">
        <v>10309.32618080965</v>
      </c>
      <c r="H767">
        <v>9738.6443237659241</v>
      </c>
      <c r="I767">
        <v>35532.201737755997</v>
      </c>
      <c r="J767">
        <v>25793.557413990078</v>
      </c>
    </row>
    <row r="768" spans="1:10">
      <c r="A768" s="1">
        <v>46125.618055555547</v>
      </c>
      <c r="B768">
        <v>-361.59166076029908</v>
      </c>
      <c r="C768">
        <v>177451.9184924966</v>
      </c>
      <c r="D768">
        <v>77297.714472737571</v>
      </c>
      <c r="E768">
        <v>100154.204019759</v>
      </c>
      <c r="F768">
        <v>0</v>
      </c>
      <c r="G768">
        <v>10309.32618080965</v>
      </c>
      <c r="H768">
        <v>9947.7345200493492</v>
      </c>
      <c r="I768">
        <v>35490.383698499318</v>
      </c>
      <c r="J768">
        <v>25542.64917844997</v>
      </c>
    </row>
    <row r="769" spans="1:10">
      <c r="A769" s="1">
        <v>46125.618750000001</v>
      </c>
      <c r="B769">
        <v>0</v>
      </c>
      <c r="C769">
        <v>0</v>
      </c>
      <c r="D769">
        <v>0</v>
      </c>
      <c r="E769">
        <v>0</v>
      </c>
      <c r="F769">
        <v>-281.67092294155952</v>
      </c>
      <c r="G769">
        <v>10027.655257868089</v>
      </c>
      <c r="H769">
        <v>10027.655257868089</v>
      </c>
      <c r="I769">
        <v>0</v>
      </c>
      <c r="J769">
        <v>-10027.655257868089</v>
      </c>
    </row>
    <row r="770" spans="1:10">
      <c r="A770" s="1">
        <v>46127.607638888891</v>
      </c>
      <c r="B770">
        <v>0</v>
      </c>
      <c r="C770">
        <v>177505.10211373889</v>
      </c>
      <c r="D770">
        <v>100000</v>
      </c>
      <c r="E770">
        <v>77505.10211373886</v>
      </c>
      <c r="F770">
        <v>0</v>
      </c>
      <c r="G770">
        <v>10027.655257868089</v>
      </c>
      <c r="H770">
        <v>10027.655257868089</v>
      </c>
      <c r="I770">
        <v>35501.020422747773</v>
      </c>
      <c r="J770">
        <v>25473.36516487968</v>
      </c>
    </row>
    <row r="771" spans="1:10">
      <c r="A771" s="1">
        <v>46127.60833333333</v>
      </c>
      <c r="B771">
        <v>-61.897841649163396</v>
      </c>
      <c r="C771">
        <v>177443.2042720897</v>
      </c>
      <c r="D771">
        <v>99938.102158350826</v>
      </c>
      <c r="E771">
        <v>77505.10211373886</v>
      </c>
      <c r="F771">
        <v>0</v>
      </c>
      <c r="G771">
        <v>10027.655257868089</v>
      </c>
      <c r="H771">
        <v>9965.7574162189267</v>
      </c>
      <c r="I771">
        <v>35488.640854417943</v>
      </c>
      <c r="J771">
        <v>25522.88343819902</v>
      </c>
    </row>
    <row r="772" spans="1:10">
      <c r="A772" s="1">
        <v>46127.609027777777</v>
      </c>
      <c r="B772">
        <v>-102.2659992464598</v>
      </c>
      <c r="C772">
        <v>177402.83611449241</v>
      </c>
      <c r="D772">
        <v>99897.734000753539</v>
      </c>
      <c r="E772">
        <v>77505.10211373886</v>
      </c>
      <c r="F772">
        <v>0</v>
      </c>
      <c r="G772">
        <v>10027.655257868089</v>
      </c>
      <c r="H772">
        <v>9925.3892586216298</v>
      </c>
      <c r="I772">
        <v>35480.567222898477</v>
      </c>
      <c r="J772">
        <v>25555.177964276849</v>
      </c>
    </row>
    <row r="773" spans="1:10">
      <c r="A773" s="1">
        <v>46127.609722222223</v>
      </c>
      <c r="B773">
        <v>-101.0639402649778</v>
      </c>
      <c r="C773">
        <v>177062.54153169371</v>
      </c>
      <c r="D773">
        <v>99728.187738844936</v>
      </c>
      <c r="E773">
        <v>77334.353792848764</v>
      </c>
      <c r="F773">
        <v>0</v>
      </c>
      <c r="G773">
        <v>10027.655257868089</v>
      </c>
      <c r="H773">
        <v>9926.5913176031117</v>
      </c>
      <c r="I773">
        <v>35412.508306338743</v>
      </c>
      <c r="J773">
        <v>25485.916988735629</v>
      </c>
    </row>
    <row r="774" spans="1:10">
      <c r="A774" s="1">
        <v>46127.61041666667</v>
      </c>
      <c r="B774">
        <v>-62.024482057005912</v>
      </c>
      <c r="C774">
        <v>176867.41186410951</v>
      </c>
      <c r="D774">
        <v>99650.142634156829</v>
      </c>
      <c r="E774">
        <v>77217.269229952697</v>
      </c>
      <c r="F774">
        <v>0</v>
      </c>
      <c r="G774">
        <v>10027.655257868089</v>
      </c>
      <c r="H774">
        <v>9965.6307758110834</v>
      </c>
      <c r="I774">
        <v>35373.482372821913</v>
      </c>
      <c r="J774">
        <v>25407.85159701082</v>
      </c>
    </row>
    <row r="775" spans="1:10">
      <c r="A775" s="1">
        <v>46127.611111111109</v>
      </c>
      <c r="B775">
        <v>-118.53990269320261</v>
      </c>
      <c r="C775">
        <v>176810.89644347329</v>
      </c>
      <c r="D775">
        <v>99593.627213520638</v>
      </c>
      <c r="E775">
        <v>77217.269229952697</v>
      </c>
      <c r="F775">
        <v>0</v>
      </c>
      <c r="G775">
        <v>10027.655257868089</v>
      </c>
      <c r="H775">
        <v>9909.1153551748866</v>
      </c>
      <c r="I775">
        <v>35362.179288694671</v>
      </c>
      <c r="J775">
        <v>25453.063933519781</v>
      </c>
    </row>
    <row r="776" spans="1:10">
      <c r="A776" s="1">
        <v>46127.611805555563</v>
      </c>
      <c r="B776">
        <v>124.7106497363184</v>
      </c>
      <c r="C776">
        <v>176605.3228381346</v>
      </c>
      <c r="D776">
        <v>99612.46568706604</v>
      </c>
      <c r="E776">
        <v>76992.857151068587</v>
      </c>
      <c r="F776">
        <v>0</v>
      </c>
      <c r="G776">
        <v>10027.655257868089</v>
      </c>
      <c r="H776">
        <v>10152.36590760441</v>
      </c>
      <c r="I776">
        <v>35321.064567626927</v>
      </c>
      <c r="J776">
        <v>25168.698660022521</v>
      </c>
    </row>
    <row r="777" spans="1:10">
      <c r="A777" s="1">
        <v>46127.612500000003</v>
      </c>
      <c r="B777">
        <v>130.09307074930049</v>
      </c>
      <c r="C777">
        <v>176610.70525914759</v>
      </c>
      <c r="D777">
        <v>99617.848108079022</v>
      </c>
      <c r="E777">
        <v>76992.857151068587</v>
      </c>
      <c r="F777">
        <v>0</v>
      </c>
      <c r="G777">
        <v>10027.655257868089</v>
      </c>
      <c r="H777">
        <v>10157.74832861739</v>
      </c>
      <c r="I777">
        <v>35322.141051829523</v>
      </c>
      <c r="J777">
        <v>25164.392723212139</v>
      </c>
    </row>
    <row r="778" spans="1:10">
      <c r="A778" s="1">
        <v>46127.613194444442</v>
      </c>
      <c r="B778">
        <v>193.51387565133169</v>
      </c>
      <c r="C778">
        <v>176547.28445424559</v>
      </c>
      <c r="D778">
        <v>99617.848108079022</v>
      </c>
      <c r="E778">
        <v>76929.436346166549</v>
      </c>
      <c r="F778">
        <v>0</v>
      </c>
      <c r="G778">
        <v>10027.655257868089</v>
      </c>
      <c r="H778">
        <v>10221.169133519419</v>
      </c>
      <c r="I778">
        <v>35309.45689084912</v>
      </c>
      <c r="J778">
        <v>25088.287757329701</v>
      </c>
    </row>
    <row r="779" spans="1:10">
      <c r="A779" s="1">
        <v>46127.613888888889</v>
      </c>
      <c r="B779">
        <v>0</v>
      </c>
      <c r="C779">
        <v>0</v>
      </c>
      <c r="D779">
        <v>0</v>
      </c>
      <c r="E779">
        <v>0</v>
      </c>
      <c r="F779">
        <v>422.32371384194289</v>
      </c>
      <c r="G779">
        <v>10449.97897171003</v>
      </c>
      <c r="H779">
        <v>10449.97897171003</v>
      </c>
      <c r="I779">
        <v>0</v>
      </c>
      <c r="J779">
        <v>-10449.97897171003</v>
      </c>
    </row>
    <row r="780" spans="1:10">
      <c r="A780" s="1">
        <v>46129.604861111111</v>
      </c>
      <c r="B780">
        <v>0</v>
      </c>
      <c r="C780">
        <v>177505.1021137388</v>
      </c>
      <c r="D780">
        <v>99999.999999999985</v>
      </c>
      <c r="E780">
        <v>77505.10211373886</v>
      </c>
      <c r="F780">
        <v>0</v>
      </c>
      <c r="G780">
        <v>10449.97897171003</v>
      </c>
      <c r="H780">
        <v>10449.97897171003</v>
      </c>
      <c r="I780">
        <v>35501.020422747773</v>
      </c>
      <c r="J780">
        <v>25051.04145103773</v>
      </c>
    </row>
    <row r="781" spans="1:10">
      <c r="A781" s="1">
        <v>46129.605555555558</v>
      </c>
      <c r="B781">
        <v>175.44762643522</v>
      </c>
      <c r="C781">
        <v>177473.88258959461</v>
      </c>
      <c r="D781">
        <v>100072.1140511455</v>
      </c>
      <c r="E781">
        <v>77401.768538449134</v>
      </c>
      <c r="F781">
        <v>0</v>
      </c>
      <c r="G781">
        <v>10449.97897171003</v>
      </c>
      <c r="H781">
        <v>10625.42659814525</v>
      </c>
      <c r="I781">
        <v>35494.77651791893</v>
      </c>
      <c r="J781">
        <v>24869.349919773678</v>
      </c>
    </row>
    <row r="782" spans="1:10">
      <c r="A782" s="1">
        <v>46129.606249999997</v>
      </c>
      <c r="B782">
        <v>283.62761778632358</v>
      </c>
      <c r="C782">
        <v>177887.14266037251</v>
      </c>
      <c r="D782">
        <v>100332.83408221</v>
      </c>
      <c r="E782">
        <v>77554.308578162541</v>
      </c>
      <c r="F782">
        <v>0</v>
      </c>
      <c r="G782">
        <v>10449.97897171003</v>
      </c>
      <c r="H782">
        <v>10733.606589496359</v>
      </c>
      <c r="I782">
        <v>35577.428532074511</v>
      </c>
      <c r="J782">
        <v>24843.821942578161</v>
      </c>
    </row>
    <row r="783" spans="1:10">
      <c r="A783" s="1">
        <v>46129.606944444437</v>
      </c>
      <c r="B783">
        <v>392.76677745391908</v>
      </c>
      <c r="C783">
        <v>177445.16941849489</v>
      </c>
      <c r="D783">
        <v>100166.417041105</v>
      </c>
      <c r="E783">
        <v>77278.752377389945</v>
      </c>
      <c r="F783">
        <v>0</v>
      </c>
      <c r="G783">
        <v>10449.97897171003</v>
      </c>
      <c r="H783">
        <v>10842.745749163951</v>
      </c>
      <c r="I783">
        <v>35489.033883698983</v>
      </c>
      <c r="J783">
        <v>24646.288134535029</v>
      </c>
    </row>
    <row r="784" spans="1:10">
      <c r="A784" s="1">
        <v>46129.607638888891</v>
      </c>
      <c r="B784">
        <v>32.196521726396128</v>
      </c>
      <c r="C784">
        <v>177084.59916276741</v>
      </c>
      <c r="D784">
        <v>99805.846785377464</v>
      </c>
      <c r="E784">
        <v>77278.752377389945</v>
      </c>
      <c r="F784">
        <v>0</v>
      </c>
      <c r="G784">
        <v>10449.97897171003</v>
      </c>
      <c r="H784">
        <v>10482.175493436431</v>
      </c>
      <c r="I784">
        <v>35416.919832553482</v>
      </c>
      <c r="J784">
        <v>24934.744339117049</v>
      </c>
    </row>
    <row r="785" spans="1:10">
      <c r="A785" s="1">
        <v>46129.60833333333</v>
      </c>
      <c r="B785">
        <v>218.0288842936607</v>
      </c>
      <c r="C785">
        <v>177270.43152533469</v>
      </c>
      <c r="D785">
        <v>99991.679147944727</v>
      </c>
      <c r="E785">
        <v>77278.752377389945</v>
      </c>
      <c r="F785">
        <v>0</v>
      </c>
      <c r="G785">
        <v>10449.97897171003</v>
      </c>
      <c r="H785">
        <v>10668.007856003691</v>
      </c>
      <c r="I785">
        <v>35454.086305066943</v>
      </c>
      <c r="J785">
        <v>24786.07844906324</v>
      </c>
    </row>
    <row r="786" spans="1:10">
      <c r="A786" s="1">
        <v>46129.609027777777</v>
      </c>
      <c r="B786">
        <v>-50.643760239331741</v>
      </c>
      <c r="C786">
        <v>177356.0454246522</v>
      </c>
      <c r="D786">
        <v>99900.149775336977</v>
      </c>
      <c r="E786">
        <v>77455.895649315178</v>
      </c>
      <c r="F786">
        <v>0</v>
      </c>
      <c r="G786">
        <v>10449.97897171003</v>
      </c>
      <c r="H786">
        <v>10399.3352114707</v>
      </c>
      <c r="I786">
        <v>35471.209084930437</v>
      </c>
      <c r="J786">
        <v>25071.873873459739</v>
      </c>
    </row>
    <row r="787" spans="1:10">
      <c r="A787" s="1">
        <v>46129.609722222223</v>
      </c>
      <c r="B787">
        <v>223.21679504325729</v>
      </c>
      <c r="C787">
        <v>177226.41297166061</v>
      </c>
      <c r="D787">
        <v>99972.263826482478</v>
      </c>
      <c r="E787">
        <v>77254.149145178089</v>
      </c>
      <c r="F787">
        <v>0</v>
      </c>
      <c r="G787">
        <v>10449.97897171003</v>
      </c>
      <c r="H787">
        <v>10673.19576675329</v>
      </c>
      <c r="I787">
        <v>35445.282594332108</v>
      </c>
      <c r="J787">
        <v>24772.08682757882</v>
      </c>
    </row>
    <row r="788" spans="1:10">
      <c r="A788" s="1">
        <v>46129.61041666667</v>
      </c>
      <c r="B788">
        <v>-130.6272798394977</v>
      </c>
      <c r="C788">
        <v>177413.84000543831</v>
      </c>
      <c r="D788">
        <v>99889.055305929971</v>
      </c>
      <c r="E788">
        <v>77524.784699508338</v>
      </c>
      <c r="F788">
        <v>0</v>
      </c>
      <c r="G788">
        <v>10449.97897171003</v>
      </c>
      <c r="H788">
        <v>10319.35169187053</v>
      </c>
      <c r="I788">
        <v>35482.768001087657</v>
      </c>
      <c r="J788">
        <v>25163.416309217129</v>
      </c>
    </row>
    <row r="789" spans="1:10">
      <c r="A789" s="1">
        <v>46129.611111111109</v>
      </c>
      <c r="B789">
        <v>293.45108140536178</v>
      </c>
      <c r="C789">
        <v>177267.12337936851</v>
      </c>
      <c r="D789">
        <v>100027.73617351751</v>
      </c>
      <c r="E789">
        <v>77239.387205850988</v>
      </c>
      <c r="F789">
        <v>0</v>
      </c>
      <c r="G789">
        <v>10449.97897171003</v>
      </c>
      <c r="H789">
        <v>10743.430053115389</v>
      </c>
      <c r="I789">
        <v>35453.424675873692</v>
      </c>
      <c r="J789">
        <v>24709.994622758299</v>
      </c>
    </row>
    <row r="790" spans="1:10">
      <c r="A790" s="1">
        <v>46129.611805555563</v>
      </c>
      <c r="B790">
        <v>407.59403252916479</v>
      </c>
      <c r="C790">
        <v>176603.80419259809</v>
      </c>
      <c r="D790">
        <v>99753.148055694212</v>
      </c>
      <c r="E790">
        <v>76850.656136903912</v>
      </c>
      <c r="F790">
        <v>0</v>
      </c>
      <c r="G790">
        <v>10449.97897171003</v>
      </c>
      <c r="H790">
        <v>10857.573004239201</v>
      </c>
      <c r="I790">
        <v>35320.760838519629</v>
      </c>
      <c r="J790">
        <v>24463.18783428043</v>
      </c>
    </row>
    <row r="791" spans="1:10">
      <c r="A791" s="1">
        <v>46129.612500000003</v>
      </c>
      <c r="B791">
        <v>0</v>
      </c>
      <c r="C791">
        <v>0</v>
      </c>
      <c r="D791">
        <v>0</v>
      </c>
      <c r="E791">
        <v>0</v>
      </c>
      <c r="F791">
        <v>583.18490404570036</v>
      </c>
      <c r="G791">
        <v>11033.16387575573</v>
      </c>
      <c r="H791">
        <v>11033.16387575573</v>
      </c>
      <c r="I791">
        <v>0</v>
      </c>
      <c r="J791">
        <v>-11033.16387575573</v>
      </c>
    </row>
    <row r="792" spans="1:10">
      <c r="A792" s="1">
        <v>46132.604861111111</v>
      </c>
      <c r="B792">
        <v>0</v>
      </c>
      <c r="C792">
        <v>177505.1021137388</v>
      </c>
      <c r="D792">
        <v>77505.10211373886</v>
      </c>
      <c r="E792">
        <v>99999.999999999985</v>
      </c>
      <c r="F792">
        <v>0</v>
      </c>
      <c r="G792">
        <v>11033.16387575573</v>
      </c>
      <c r="H792">
        <v>11033.16387575573</v>
      </c>
      <c r="I792">
        <v>35501.020422747773</v>
      </c>
      <c r="J792">
        <v>24467.85654699204</v>
      </c>
    </row>
    <row r="793" spans="1:10">
      <c r="A793" s="1">
        <v>46132.605555555558</v>
      </c>
      <c r="B793">
        <v>66.962622080062175</v>
      </c>
      <c r="C793">
        <v>177637.04903128091</v>
      </c>
      <c r="D793">
        <v>77604.556883549885</v>
      </c>
      <c r="E793">
        <v>100032.492147731</v>
      </c>
      <c r="F793">
        <v>0</v>
      </c>
      <c r="G793">
        <v>11033.16387575573</v>
      </c>
      <c r="H793">
        <v>11100.12649783579</v>
      </c>
      <c r="I793">
        <v>35527.409806256182</v>
      </c>
      <c r="J793">
        <v>24427.283308420381</v>
      </c>
    </row>
    <row r="794" spans="1:10">
      <c r="A794" s="1">
        <v>46132.606249999997</v>
      </c>
      <c r="B794">
        <v>104.8701277661843</v>
      </c>
      <c r="C794">
        <v>177599.14152559469</v>
      </c>
      <c r="D794">
        <v>77604.556883549885</v>
      </c>
      <c r="E794">
        <v>99994.584642044836</v>
      </c>
      <c r="F794">
        <v>0</v>
      </c>
      <c r="G794">
        <v>11033.16387575573</v>
      </c>
      <c r="H794">
        <v>11138.03400352192</v>
      </c>
      <c r="I794">
        <v>35519.828305118943</v>
      </c>
      <c r="J794">
        <v>24381.79430159703</v>
      </c>
    </row>
    <row r="795" spans="1:10">
      <c r="A795" s="1">
        <v>46132.606944444437</v>
      </c>
      <c r="B795">
        <v>0</v>
      </c>
      <c r="C795">
        <v>0</v>
      </c>
      <c r="D795">
        <v>0</v>
      </c>
      <c r="E795">
        <v>0</v>
      </c>
      <c r="F795">
        <v>421.83687285064542</v>
      </c>
      <c r="G795">
        <v>11455.000748606381</v>
      </c>
      <c r="H795">
        <v>11455.000748606381</v>
      </c>
      <c r="I795">
        <v>0</v>
      </c>
      <c r="J795">
        <v>-11455.000748606381</v>
      </c>
    </row>
    <row r="796" spans="1:10">
      <c r="A796" s="1">
        <v>46132.673611111109</v>
      </c>
      <c r="B796">
        <v>0</v>
      </c>
      <c r="C796">
        <v>177505.10211373889</v>
      </c>
      <c r="D796">
        <v>100000</v>
      </c>
      <c r="E796">
        <v>77505.10211373886</v>
      </c>
      <c r="F796">
        <v>0</v>
      </c>
      <c r="G796">
        <v>11455.000748606381</v>
      </c>
      <c r="H796">
        <v>11455.000748606381</v>
      </c>
      <c r="I796">
        <v>35501.020422747773</v>
      </c>
      <c r="J796">
        <v>24046.0196741414</v>
      </c>
    </row>
    <row r="797" spans="1:10">
      <c r="A797" s="1">
        <v>46132.674305555563</v>
      </c>
      <c r="B797">
        <v>-32.437692598801043</v>
      </c>
      <c r="C797">
        <v>177472.66442114001</v>
      </c>
      <c r="D797">
        <v>99967.562307401196</v>
      </c>
      <c r="E797">
        <v>77505.10211373886</v>
      </c>
      <c r="F797">
        <v>0</v>
      </c>
      <c r="G797">
        <v>11455.000748606381</v>
      </c>
      <c r="H797">
        <v>11422.563056007581</v>
      </c>
      <c r="I797">
        <v>35494.532884228007</v>
      </c>
      <c r="J797">
        <v>24071.96982822043</v>
      </c>
    </row>
    <row r="798" spans="1:10">
      <c r="A798" s="1">
        <v>46132.675000000003</v>
      </c>
      <c r="B798">
        <v>-37.843974698596092</v>
      </c>
      <c r="C798">
        <v>177467.25813904029</v>
      </c>
      <c r="D798">
        <v>99962.156025301403</v>
      </c>
      <c r="E798">
        <v>77505.10211373886</v>
      </c>
      <c r="F798">
        <v>0</v>
      </c>
      <c r="G798">
        <v>11455.000748606381</v>
      </c>
      <c r="H798">
        <v>11417.15677390778</v>
      </c>
      <c r="I798">
        <v>35493.451627808063</v>
      </c>
      <c r="J798">
        <v>24076.294853900279</v>
      </c>
    </row>
    <row r="799" spans="1:10">
      <c r="A799" s="1">
        <v>46132.675694444442</v>
      </c>
      <c r="B799">
        <v>-10.81256419960547</v>
      </c>
      <c r="C799">
        <v>177494.2895495393</v>
      </c>
      <c r="D799">
        <v>99989.187435800399</v>
      </c>
      <c r="E799">
        <v>77505.10211373886</v>
      </c>
      <c r="F799">
        <v>0</v>
      </c>
      <c r="G799">
        <v>11455.000748606381</v>
      </c>
      <c r="H799">
        <v>11444.18818440677</v>
      </c>
      <c r="I799">
        <v>35498.857909907863</v>
      </c>
      <c r="J799">
        <v>24054.66972550108</v>
      </c>
    </row>
    <row r="800" spans="1:10">
      <c r="A800" s="1">
        <v>46132.676388888889</v>
      </c>
      <c r="B800">
        <v>-72.984808347294646</v>
      </c>
      <c r="C800">
        <v>177432.11730539161</v>
      </c>
      <c r="D800">
        <v>99927.01519165271</v>
      </c>
      <c r="E800">
        <v>77505.10211373886</v>
      </c>
      <c r="F800">
        <v>0</v>
      </c>
      <c r="G800">
        <v>11455.000748606381</v>
      </c>
      <c r="H800">
        <v>11382.01594025908</v>
      </c>
      <c r="I800">
        <v>35486.423461078317</v>
      </c>
      <c r="J800">
        <v>24104.407520819241</v>
      </c>
    </row>
    <row r="801" spans="1:10">
      <c r="A801" s="1">
        <v>46132.677083333343</v>
      </c>
      <c r="B801">
        <v>-31.114205408376439</v>
      </c>
      <c r="C801">
        <v>177444.30952345059</v>
      </c>
      <c r="D801">
        <v>99954.046602151691</v>
      </c>
      <c r="E801">
        <v>77490.262921298927</v>
      </c>
      <c r="F801">
        <v>0</v>
      </c>
      <c r="G801">
        <v>11455.000748606381</v>
      </c>
      <c r="H801">
        <v>11423.886543197999</v>
      </c>
      <c r="I801">
        <v>35488.861904690122</v>
      </c>
      <c r="J801">
        <v>24064.975361492121</v>
      </c>
    </row>
    <row r="802" spans="1:10">
      <c r="A802" s="1">
        <v>46132.677777777782</v>
      </c>
      <c r="B802">
        <v>1.3234871904245951</v>
      </c>
      <c r="C802">
        <v>177476.74721604941</v>
      </c>
      <c r="D802">
        <v>99986.484294750495</v>
      </c>
      <c r="E802">
        <v>77490.262921298927</v>
      </c>
      <c r="F802">
        <v>0</v>
      </c>
      <c r="G802">
        <v>11455.000748606381</v>
      </c>
      <c r="H802">
        <v>11456.324235796799</v>
      </c>
      <c r="I802">
        <v>35495.349443209881</v>
      </c>
      <c r="J802">
        <v>24039.02520741308</v>
      </c>
    </row>
    <row r="803" spans="1:10">
      <c r="A803" s="1">
        <v>46132.678472222222</v>
      </c>
      <c r="B803">
        <v>-28.411064358478921</v>
      </c>
      <c r="C803">
        <v>177447.01266450051</v>
      </c>
      <c r="D803">
        <v>99956.749743201595</v>
      </c>
      <c r="E803">
        <v>77490.262921298927</v>
      </c>
      <c r="F803">
        <v>0</v>
      </c>
      <c r="G803">
        <v>11455.000748606381</v>
      </c>
      <c r="H803">
        <v>11426.5896842479</v>
      </c>
      <c r="I803">
        <v>35489.402532900102</v>
      </c>
      <c r="J803">
        <v>24062.8128486522</v>
      </c>
    </row>
    <row r="804" spans="1:10">
      <c r="A804" s="1">
        <v>46132.679166666669</v>
      </c>
      <c r="B804">
        <v>-2.759307718945859</v>
      </c>
      <c r="C804">
        <v>177442.9860362602</v>
      </c>
      <c r="D804">
        <v>99967.562307401196</v>
      </c>
      <c r="E804">
        <v>77475.423728859008</v>
      </c>
      <c r="F804">
        <v>0</v>
      </c>
      <c r="G804">
        <v>11455.000748606381</v>
      </c>
      <c r="H804">
        <v>11452.24144088743</v>
      </c>
      <c r="I804">
        <v>35488.597207252053</v>
      </c>
      <c r="J804">
        <v>24036.35576636461</v>
      </c>
    </row>
    <row r="805" spans="1:10">
      <c r="A805" s="1">
        <v>46132.679861111108</v>
      </c>
      <c r="B805">
        <v>24.272102780060131</v>
      </c>
      <c r="C805">
        <v>177470.01744675919</v>
      </c>
      <c r="D805">
        <v>99994.593717900207</v>
      </c>
      <c r="E805">
        <v>77475.423728859008</v>
      </c>
      <c r="F805">
        <v>0</v>
      </c>
      <c r="G805">
        <v>11455.000748606381</v>
      </c>
      <c r="H805">
        <v>11479.27285138644</v>
      </c>
      <c r="I805">
        <v>35494.003489351853</v>
      </c>
      <c r="J805">
        <v>24014.730637965411</v>
      </c>
    </row>
    <row r="806" spans="1:10">
      <c r="A806" s="1">
        <v>46132.680555555547</v>
      </c>
      <c r="B806">
        <v>26.975243829957648</v>
      </c>
      <c r="C806">
        <v>177472.7205878091</v>
      </c>
      <c r="D806">
        <v>99997.296858950111</v>
      </c>
      <c r="E806">
        <v>77475.423728859008</v>
      </c>
      <c r="F806">
        <v>0</v>
      </c>
      <c r="G806">
        <v>11455.000748606381</v>
      </c>
      <c r="H806">
        <v>11481.975992436341</v>
      </c>
      <c r="I806">
        <v>35494.544117561833</v>
      </c>
      <c r="J806">
        <v>24012.56812512549</v>
      </c>
    </row>
    <row r="807" spans="1:10">
      <c r="A807" s="1">
        <v>46132.681250000001</v>
      </c>
      <c r="B807">
        <v>-100.87982141690139</v>
      </c>
      <c r="C807">
        <v>177443.79347216169</v>
      </c>
      <c r="D807">
        <v>99918.905768502998</v>
      </c>
      <c r="E807">
        <v>77524.887703658751</v>
      </c>
      <c r="F807">
        <v>0</v>
      </c>
      <c r="G807">
        <v>11455.000748606381</v>
      </c>
      <c r="H807">
        <v>11354.12092718947</v>
      </c>
      <c r="I807">
        <v>35488.758694432348</v>
      </c>
      <c r="J807">
        <v>24134.637767242872</v>
      </c>
    </row>
    <row r="808" spans="1:10">
      <c r="A808" s="1">
        <v>46132.681944444441</v>
      </c>
      <c r="B808">
        <v>-132.33630247327099</v>
      </c>
      <c r="C808">
        <v>177258.9986692261</v>
      </c>
      <c r="D808">
        <v>99810.780126507001</v>
      </c>
      <c r="E808">
        <v>77448.218542719129</v>
      </c>
      <c r="F808">
        <v>0</v>
      </c>
      <c r="G808">
        <v>11455.000748606381</v>
      </c>
      <c r="H808">
        <v>11322.664446133111</v>
      </c>
      <c r="I808">
        <v>35451.799733845233</v>
      </c>
      <c r="J808">
        <v>24129.135287712121</v>
      </c>
    </row>
    <row r="809" spans="1:10">
      <c r="A809" s="1">
        <v>46132.682638888888</v>
      </c>
      <c r="B809">
        <v>-212.68454037150349</v>
      </c>
      <c r="C809">
        <v>177252.84639352761</v>
      </c>
      <c r="D809">
        <v>99767.529869708596</v>
      </c>
      <c r="E809">
        <v>77485.316523818954</v>
      </c>
      <c r="F809">
        <v>0</v>
      </c>
      <c r="G809">
        <v>11455.000748606381</v>
      </c>
      <c r="H809">
        <v>11242.31620823487</v>
      </c>
      <c r="I809">
        <v>35450.569278705509</v>
      </c>
      <c r="J809">
        <v>24208.253070470641</v>
      </c>
    </row>
    <row r="810" spans="1:10">
      <c r="A810" s="1">
        <v>46132.683333333327</v>
      </c>
      <c r="B810">
        <v>-299.18505396830119</v>
      </c>
      <c r="C810">
        <v>177166.3458799308</v>
      </c>
      <c r="D810">
        <v>99681.029356111801</v>
      </c>
      <c r="E810">
        <v>77485.316523818954</v>
      </c>
      <c r="F810">
        <v>0</v>
      </c>
      <c r="G810">
        <v>11455.000748606381</v>
      </c>
      <c r="H810">
        <v>11155.81569463808</v>
      </c>
      <c r="I810">
        <v>35433.269175986163</v>
      </c>
      <c r="J810">
        <v>24277.453481348079</v>
      </c>
    </row>
    <row r="811" spans="1:10">
      <c r="A811" s="1">
        <v>46132.684027777781</v>
      </c>
      <c r="B811">
        <v>-337.02902866689732</v>
      </c>
      <c r="C811">
        <v>177128.50190523209</v>
      </c>
      <c r="D811">
        <v>99643.185381413205</v>
      </c>
      <c r="E811">
        <v>77485.316523818954</v>
      </c>
      <c r="F811">
        <v>0</v>
      </c>
      <c r="G811">
        <v>11455.000748606381</v>
      </c>
      <c r="H811">
        <v>11117.97171993948</v>
      </c>
      <c r="I811">
        <v>35425.70038104643</v>
      </c>
      <c r="J811">
        <v>24307.72866110695</v>
      </c>
    </row>
    <row r="812" spans="1:10">
      <c r="A812" s="1">
        <v>46132.68472222222</v>
      </c>
      <c r="B812">
        <v>-230.04782258671571</v>
      </c>
      <c r="C812">
        <v>176978.27044235359</v>
      </c>
      <c r="D812">
        <v>99621.560253014017</v>
      </c>
      <c r="E812">
        <v>77356.710189339588</v>
      </c>
      <c r="F812">
        <v>0</v>
      </c>
      <c r="G812">
        <v>11455.000748606381</v>
      </c>
      <c r="H812">
        <v>11224.95292601966</v>
      </c>
      <c r="I812">
        <v>35395.654088470728</v>
      </c>
      <c r="J812">
        <v>24170.701162451071</v>
      </c>
    </row>
    <row r="813" spans="1:10">
      <c r="A813" s="1">
        <v>46132.685416666667</v>
      </c>
      <c r="B813">
        <v>-251.6729509859266</v>
      </c>
      <c r="C813">
        <v>176956.64531395439</v>
      </c>
      <c r="D813">
        <v>99599.9351246148</v>
      </c>
      <c r="E813">
        <v>77356.710189339588</v>
      </c>
      <c r="F813">
        <v>0</v>
      </c>
      <c r="G813">
        <v>11455.000748606381</v>
      </c>
      <c r="H813">
        <v>11203.32779762045</v>
      </c>
      <c r="I813">
        <v>35391.329062790879</v>
      </c>
      <c r="J813">
        <v>24188.001265170431</v>
      </c>
    </row>
    <row r="814" spans="1:10">
      <c r="A814" s="1">
        <v>46132.686111111107</v>
      </c>
      <c r="B814">
        <v>-225.5613097265838</v>
      </c>
      <c r="C814">
        <v>176962.97136529381</v>
      </c>
      <c r="D814">
        <v>99616.153970914194</v>
      </c>
      <c r="E814">
        <v>77346.817394379643</v>
      </c>
      <c r="F814">
        <v>0</v>
      </c>
      <c r="G814">
        <v>11455.000748606381</v>
      </c>
      <c r="H814">
        <v>11229.43943887979</v>
      </c>
      <c r="I814">
        <v>35392.59427305877</v>
      </c>
      <c r="J814">
        <v>24163.154834178971</v>
      </c>
    </row>
    <row r="815" spans="1:10">
      <c r="A815" s="1">
        <v>46132.686805555553</v>
      </c>
      <c r="B815">
        <v>-181.27367471671289</v>
      </c>
      <c r="C815">
        <v>176913.27744818421</v>
      </c>
      <c r="D815">
        <v>99613.450829864305</v>
      </c>
      <c r="E815">
        <v>77299.826618319872</v>
      </c>
      <c r="F815">
        <v>0</v>
      </c>
      <c r="G815">
        <v>11455.000748606381</v>
      </c>
      <c r="H815">
        <v>11273.72707388966</v>
      </c>
      <c r="I815">
        <v>35382.65548963684</v>
      </c>
      <c r="J815">
        <v>24108.928415747181</v>
      </c>
    </row>
    <row r="816" spans="1:10">
      <c r="A816" s="1">
        <v>46132.6875</v>
      </c>
      <c r="B816">
        <v>-105.5857253195054</v>
      </c>
      <c r="C816">
        <v>176988.9653975814</v>
      </c>
      <c r="D816">
        <v>99689.138779261513</v>
      </c>
      <c r="E816">
        <v>77299.826618319872</v>
      </c>
      <c r="F816">
        <v>0</v>
      </c>
      <c r="G816">
        <v>11455.000748606381</v>
      </c>
      <c r="H816">
        <v>11349.415023286871</v>
      </c>
      <c r="I816">
        <v>35397.793079516283</v>
      </c>
      <c r="J816">
        <v>24048.378056229409</v>
      </c>
    </row>
    <row r="817" spans="1:10">
      <c r="A817" s="1">
        <v>46132.688194444447</v>
      </c>
      <c r="B817">
        <v>0</v>
      </c>
      <c r="C817">
        <v>0</v>
      </c>
      <c r="D817">
        <v>0</v>
      </c>
      <c r="E817">
        <v>0</v>
      </c>
      <c r="F817">
        <v>-137.87345797144289</v>
      </c>
      <c r="G817">
        <v>11317.12729063493</v>
      </c>
      <c r="H817">
        <v>11317.12729063493</v>
      </c>
      <c r="I817">
        <v>0</v>
      </c>
      <c r="J817">
        <v>-11317.12729063493</v>
      </c>
    </row>
    <row r="818" spans="1:10">
      <c r="A818" s="1">
        <v>46134.604166666657</v>
      </c>
      <c r="B818">
        <v>0</v>
      </c>
      <c r="C818">
        <v>177505.10211373889</v>
      </c>
      <c r="D818">
        <v>77505.10211373886</v>
      </c>
      <c r="E818">
        <v>100000</v>
      </c>
      <c r="F818">
        <v>0</v>
      </c>
      <c r="G818">
        <v>11317.12729063493</v>
      </c>
      <c r="H818">
        <v>11317.12729063493</v>
      </c>
      <c r="I818">
        <v>35501.020422747773</v>
      </c>
      <c r="J818">
        <v>24183.89313211284</v>
      </c>
    </row>
    <row r="819" spans="1:10">
      <c r="A819" s="1">
        <v>46134.604861111111</v>
      </c>
      <c r="B819">
        <v>84.878385188719975</v>
      </c>
      <c r="C819">
        <v>177420.2237285501</v>
      </c>
      <c r="D819">
        <v>77505.10211373886</v>
      </c>
      <c r="E819">
        <v>99915.121614811273</v>
      </c>
      <c r="F819">
        <v>0</v>
      </c>
      <c r="G819">
        <v>11317.12729063493</v>
      </c>
      <c r="H819">
        <v>11402.00567582365</v>
      </c>
      <c r="I819">
        <v>35484.044745710031</v>
      </c>
      <c r="J819">
        <v>24082.039069886381</v>
      </c>
    </row>
    <row r="820" spans="1:10">
      <c r="A820" s="1">
        <v>46134.605555555558</v>
      </c>
      <c r="B820">
        <v>-188.61037916134291</v>
      </c>
      <c r="C820">
        <v>177857.59144015561</v>
      </c>
      <c r="D820">
        <v>77587.041587366562</v>
      </c>
      <c r="E820">
        <v>100270.549852789</v>
      </c>
      <c r="F820">
        <v>0</v>
      </c>
      <c r="G820">
        <v>11317.12729063493</v>
      </c>
      <c r="H820">
        <v>11128.516911473591</v>
      </c>
      <c r="I820">
        <v>35571.518288031133</v>
      </c>
      <c r="J820">
        <v>24443.001376557531</v>
      </c>
    </row>
    <row r="821" spans="1:10">
      <c r="A821" s="1">
        <v>46134.606249999997</v>
      </c>
      <c r="B821">
        <v>1.4919357732904359</v>
      </c>
      <c r="C821">
        <v>178212.14562639341</v>
      </c>
      <c r="D821">
        <v>77859.369837952763</v>
      </c>
      <c r="E821">
        <v>100352.7757884406</v>
      </c>
      <c r="F821">
        <v>0</v>
      </c>
      <c r="G821">
        <v>11317.12729063493</v>
      </c>
      <c r="H821">
        <v>11318.61922640822</v>
      </c>
      <c r="I821">
        <v>35642.429125278679</v>
      </c>
      <c r="J821">
        <v>24323.809898870459</v>
      </c>
    </row>
    <row r="822" spans="1:10">
      <c r="A822" s="1">
        <v>46134.606944444437</v>
      </c>
      <c r="B822">
        <v>191.02817800418941</v>
      </c>
      <c r="C822">
        <v>177998.5095389779</v>
      </c>
      <c r="D822">
        <v>77847.319915360451</v>
      </c>
      <c r="E822">
        <v>100151.18962361741</v>
      </c>
      <c r="F822">
        <v>0</v>
      </c>
      <c r="G822">
        <v>11317.12729063493</v>
      </c>
      <c r="H822">
        <v>11508.155468639119</v>
      </c>
      <c r="I822">
        <v>35599.701907795577</v>
      </c>
      <c r="J822">
        <v>24091.546439156449</v>
      </c>
    </row>
    <row r="823" spans="1:10">
      <c r="A823" s="1">
        <v>46134.607638888891</v>
      </c>
      <c r="B823">
        <v>311.57140093247739</v>
      </c>
      <c r="C823">
        <v>177959.90578967729</v>
      </c>
      <c r="D823">
        <v>77888.28965217431</v>
      </c>
      <c r="E823">
        <v>100071.61613750301</v>
      </c>
      <c r="F823">
        <v>0</v>
      </c>
      <c r="G823">
        <v>11317.12729063493</v>
      </c>
      <c r="H823">
        <v>11628.69869156741</v>
      </c>
      <c r="I823">
        <v>35591.981157935457</v>
      </c>
      <c r="J823">
        <v>23963.282466368051</v>
      </c>
    </row>
    <row r="824" spans="1:10">
      <c r="A824" s="1">
        <v>46134.60833333333</v>
      </c>
      <c r="B824">
        <v>345.15671318261519</v>
      </c>
      <c r="C824">
        <v>177680.50205654401</v>
      </c>
      <c r="D824">
        <v>77765.380441732748</v>
      </c>
      <c r="E824">
        <v>99915.121614811273</v>
      </c>
      <c r="F824">
        <v>0</v>
      </c>
      <c r="G824">
        <v>11317.12729063493</v>
      </c>
      <c r="H824">
        <v>11662.284003817549</v>
      </c>
      <c r="I824">
        <v>35536.100411308813</v>
      </c>
      <c r="J824">
        <v>23873.81640749126</v>
      </c>
    </row>
    <row r="825" spans="1:10">
      <c r="A825" s="1">
        <v>46134.609027777777</v>
      </c>
      <c r="B825">
        <v>282.82757473164952</v>
      </c>
      <c r="C825">
        <v>177294.5740745611</v>
      </c>
      <c r="D825">
        <v>77541.251881515782</v>
      </c>
      <c r="E825">
        <v>99753.322193045271</v>
      </c>
      <c r="F825">
        <v>0</v>
      </c>
      <c r="G825">
        <v>11317.12729063493</v>
      </c>
      <c r="H825">
        <v>11599.954865366581</v>
      </c>
      <c r="I825">
        <v>35458.914814912212</v>
      </c>
      <c r="J825">
        <v>23858.959949545631</v>
      </c>
    </row>
    <row r="826" spans="1:10">
      <c r="A826" s="1">
        <v>46134.609722222223</v>
      </c>
      <c r="B826">
        <v>158.16244648570711</v>
      </c>
      <c r="C826">
        <v>177419.23920280699</v>
      </c>
      <c r="D826">
        <v>77541.251881515782</v>
      </c>
      <c r="E826">
        <v>99877.987321291221</v>
      </c>
      <c r="F826">
        <v>0</v>
      </c>
      <c r="G826">
        <v>11317.12729063493</v>
      </c>
      <c r="H826">
        <v>11475.28973712064</v>
      </c>
      <c r="I826">
        <v>35483.847840561408</v>
      </c>
      <c r="J826">
        <v>24008.55810344077</v>
      </c>
    </row>
    <row r="827" spans="1:10">
      <c r="A827" s="1">
        <v>46134.61041666667</v>
      </c>
      <c r="B827">
        <v>229.50678763322409</v>
      </c>
      <c r="C827">
        <v>177458.75414950869</v>
      </c>
      <c r="D827">
        <v>77596.681525440406</v>
      </c>
      <c r="E827">
        <v>99862.072624068329</v>
      </c>
      <c r="F827">
        <v>0</v>
      </c>
      <c r="G827">
        <v>11317.12729063493</v>
      </c>
      <c r="H827">
        <v>11546.63407826816</v>
      </c>
      <c r="I827">
        <v>35491.750829901743</v>
      </c>
      <c r="J827">
        <v>23945.116751633581</v>
      </c>
    </row>
    <row r="828" spans="1:10">
      <c r="A828" s="1">
        <v>46134.611111111109</v>
      </c>
      <c r="B828">
        <v>200.3298427245974</v>
      </c>
      <c r="C828">
        <v>177487.93109441729</v>
      </c>
      <c r="D828">
        <v>77596.681525440406</v>
      </c>
      <c r="E828">
        <v>99891.249568976957</v>
      </c>
      <c r="F828">
        <v>0</v>
      </c>
      <c r="G828">
        <v>11317.12729063493</v>
      </c>
      <c r="H828">
        <v>11517.45713335953</v>
      </c>
      <c r="I828">
        <v>35497.586218883473</v>
      </c>
      <c r="J828">
        <v>23980.129085523939</v>
      </c>
    </row>
    <row r="829" spans="1:10">
      <c r="A829" s="1">
        <v>46134.611805555563</v>
      </c>
      <c r="B829">
        <v>30.57307234715741</v>
      </c>
      <c r="C829">
        <v>177657.6878647948</v>
      </c>
      <c r="D829">
        <v>77596.681525440406</v>
      </c>
      <c r="E829">
        <v>100061.0063393544</v>
      </c>
      <c r="F829">
        <v>0</v>
      </c>
      <c r="G829">
        <v>11317.12729063493</v>
      </c>
      <c r="H829">
        <v>11347.70036298209</v>
      </c>
      <c r="I829">
        <v>35531.537572958972</v>
      </c>
      <c r="J829">
        <v>24183.837209976871</v>
      </c>
    </row>
    <row r="830" spans="1:10">
      <c r="A830" s="1">
        <v>46134.612500000003</v>
      </c>
      <c r="B830">
        <v>-99.536760313006525</v>
      </c>
      <c r="C830">
        <v>177421.48005064871</v>
      </c>
      <c r="D830">
        <v>77413.522702037299</v>
      </c>
      <c r="E830">
        <v>100007.9573486115</v>
      </c>
      <c r="F830">
        <v>0</v>
      </c>
      <c r="G830">
        <v>11317.12729063493</v>
      </c>
      <c r="H830">
        <v>11217.59053032193</v>
      </c>
      <c r="I830">
        <v>35484.29601012975</v>
      </c>
      <c r="J830">
        <v>24266.705479807821</v>
      </c>
    </row>
    <row r="831" spans="1:10">
      <c r="A831" s="1">
        <v>46134.613194444442</v>
      </c>
      <c r="B831">
        <v>-112.52721164326999</v>
      </c>
      <c r="C831">
        <v>177323.61121412981</v>
      </c>
      <c r="D831">
        <v>77358.093058112674</v>
      </c>
      <c r="E831">
        <v>99965.518156017089</v>
      </c>
      <c r="F831">
        <v>0</v>
      </c>
      <c r="G831">
        <v>11317.12729063493</v>
      </c>
      <c r="H831">
        <v>11204.60007899166</v>
      </c>
      <c r="I831">
        <v>35464.722242825963</v>
      </c>
      <c r="J831">
        <v>24260.12216383429</v>
      </c>
    </row>
    <row r="832" spans="1:10">
      <c r="A832" s="1">
        <v>46134.613888888889</v>
      </c>
      <c r="B832">
        <v>-164.5770109746849</v>
      </c>
      <c r="C832">
        <v>177250.3418185011</v>
      </c>
      <c r="D832">
        <v>77295.433460632659</v>
      </c>
      <c r="E832">
        <v>99954.90835786848</v>
      </c>
      <c r="F832">
        <v>0</v>
      </c>
      <c r="G832">
        <v>11317.12729063493</v>
      </c>
      <c r="H832">
        <v>11152.55027966025</v>
      </c>
      <c r="I832">
        <v>35450.068363700229</v>
      </c>
      <c r="J832">
        <v>24297.518084039981</v>
      </c>
    </row>
    <row r="833" spans="1:10">
      <c r="A833" s="1">
        <v>46134.614583333343</v>
      </c>
      <c r="B833">
        <v>-211.83617260598581</v>
      </c>
      <c r="C833">
        <v>177287.9610420586</v>
      </c>
      <c r="D833">
        <v>77290.613491595723</v>
      </c>
      <c r="E833">
        <v>99997.347550462859</v>
      </c>
      <c r="F833">
        <v>0</v>
      </c>
      <c r="G833">
        <v>11317.12729063493</v>
      </c>
      <c r="H833">
        <v>11105.29111802895</v>
      </c>
      <c r="I833">
        <v>35457.592208411719</v>
      </c>
      <c r="J833">
        <v>24352.301090382771</v>
      </c>
    </row>
    <row r="834" spans="1:10">
      <c r="A834" s="1">
        <v>46134.615277777782</v>
      </c>
      <c r="B834">
        <v>-211.83617260598581</v>
      </c>
      <c r="C834">
        <v>177287.9610420586</v>
      </c>
      <c r="D834">
        <v>77290.613491595723</v>
      </c>
      <c r="E834">
        <v>99997.347550462859</v>
      </c>
      <c r="F834">
        <v>0</v>
      </c>
      <c r="G834">
        <v>11317.12729063493</v>
      </c>
      <c r="H834">
        <v>11105.29111802895</v>
      </c>
      <c r="I834">
        <v>35457.592208411719</v>
      </c>
      <c r="J834">
        <v>24352.301090382771</v>
      </c>
    </row>
    <row r="835" spans="1:10">
      <c r="A835" s="1">
        <v>46134.615972222222</v>
      </c>
      <c r="B835">
        <v>-95.12839297149398</v>
      </c>
      <c r="C835">
        <v>177171.25326242411</v>
      </c>
      <c r="D835">
        <v>77290.613491595723</v>
      </c>
      <c r="E835">
        <v>99880.639770828362</v>
      </c>
      <c r="F835">
        <v>0</v>
      </c>
      <c r="G835">
        <v>11317.12729063493</v>
      </c>
      <c r="H835">
        <v>11221.998897663439</v>
      </c>
      <c r="I835">
        <v>35434.250652484821</v>
      </c>
      <c r="J835">
        <v>24212.25175482138</v>
      </c>
    </row>
    <row r="836" spans="1:10">
      <c r="A836" s="1">
        <v>46134.616666666669</v>
      </c>
      <c r="B836">
        <v>0</v>
      </c>
      <c r="C836">
        <v>0</v>
      </c>
      <c r="D836">
        <v>0</v>
      </c>
      <c r="E836">
        <v>0</v>
      </c>
      <c r="F836">
        <v>73.240365035516618</v>
      </c>
      <c r="G836">
        <v>11390.36765567045</v>
      </c>
      <c r="H836">
        <v>11390.36765567045</v>
      </c>
      <c r="I836">
        <v>0</v>
      </c>
      <c r="J836">
        <v>-11390.36765567045</v>
      </c>
    </row>
    <row r="837" spans="1:10">
      <c r="A837" s="1">
        <v>46134.871527777781</v>
      </c>
      <c r="B837">
        <v>0</v>
      </c>
      <c r="C837">
        <v>177505.10211373889</v>
      </c>
      <c r="D837">
        <v>100000</v>
      </c>
      <c r="E837">
        <v>77505.10211373886</v>
      </c>
      <c r="F837">
        <v>0</v>
      </c>
      <c r="G837">
        <v>11390.36765567045</v>
      </c>
      <c r="H837">
        <v>11390.36765567045</v>
      </c>
      <c r="I837">
        <v>35501.020422747773</v>
      </c>
      <c r="J837">
        <v>24110.652767077321</v>
      </c>
    </row>
    <row r="838" spans="1:10">
      <c r="A838" s="1">
        <v>46134.87222222222</v>
      </c>
      <c r="B838">
        <v>38.01498082123674</v>
      </c>
      <c r="C838">
        <v>177456.34685957769</v>
      </c>
      <c r="D838">
        <v>99994.629863330032</v>
      </c>
      <c r="E838">
        <v>77461.716996247647</v>
      </c>
      <c r="F838">
        <v>0</v>
      </c>
      <c r="G838">
        <v>11390.36765567045</v>
      </c>
      <c r="H838">
        <v>11428.382636491689</v>
      </c>
      <c r="I838">
        <v>35491.269371915543</v>
      </c>
      <c r="J838">
        <v>24062.88673542385</v>
      </c>
    </row>
    <row r="839" spans="1:10">
      <c r="A839" s="1">
        <v>46134.872916666667</v>
      </c>
      <c r="B839">
        <v>68.86188069149722</v>
      </c>
      <c r="C839">
        <v>177463.09091639731</v>
      </c>
      <c r="D839">
        <v>100013.425341675</v>
      </c>
      <c r="E839">
        <v>77449.665574722312</v>
      </c>
      <c r="F839">
        <v>0</v>
      </c>
      <c r="G839">
        <v>11390.36765567045</v>
      </c>
      <c r="H839">
        <v>11459.229536361951</v>
      </c>
      <c r="I839">
        <v>35492.618183279461</v>
      </c>
      <c r="J839">
        <v>24033.388646917509</v>
      </c>
    </row>
    <row r="840" spans="1:10">
      <c r="A840" s="1">
        <v>46134.873611111107</v>
      </c>
      <c r="B840">
        <v>16.17318197415393</v>
      </c>
      <c r="C840">
        <v>177569.48098181441</v>
      </c>
      <c r="D840">
        <v>100040.2760250248</v>
      </c>
      <c r="E840">
        <v>77529.20495678953</v>
      </c>
      <c r="F840">
        <v>0</v>
      </c>
      <c r="G840">
        <v>11390.36765567045</v>
      </c>
      <c r="H840">
        <v>11406.540837644599</v>
      </c>
      <c r="I840">
        <v>35513.896196362883</v>
      </c>
      <c r="J840">
        <v>24107.355358718269</v>
      </c>
    </row>
    <row r="841" spans="1:10">
      <c r="A841" s="1">
        <v>46134.874305555553</v>
      </c>
      <c r="B841">
        <v>124.4239636364981</v>
      </c>
      <c r="C841">
        <v>177504.19129351189</v>
      </c>
      <c r="D841">
        <v>100061.7565717048</v>
      </c>
      <c r="E841">
        <v>77442.43472180712</v>
      </c>
      <c r="F841">
        <v>0</v>
      </c>
      <c r="G841">
        <v>11390.36765567045</v>
      </c>
      <c r="H841">
        <v>11514.79161930695</v>
      </c>
      <c r="I841">
        <v>35500.838258702381</v>
      </c>
      <c r="J841">
        <v>23986.04663939543</v>
      </c>
    </row>
    <row r="842" spans="1:10">
      <c r="A842" s="1">
        <v>46135.586111111108</v>
      </c>
      <c r="B842">
        <v>124.4239636364981</v>
      </c>
      <c r="C842">
        <v>177504.19129351189</v>
      </c>
      <c r="D842">
        <v>100061.7565717048</v>
      </c>
      <c r="E842">
        <v>77442.43472180712</v>
      </c>
      <c r="F842">
        <v>0</v>
      </c>
      <c r="G842">
        <v>11390.36765567045</v>
      </c>
      <c r="H842">
        <v>11514.79161930695</v>
      </c>
      <c r="I842">
        <v>35500.838258702381</v>
      </c>
      <c r="J842">
        <v>23986.04663939543</v>
      </c>
    </row>
    <row r="843" spans="1:10">
      <c r="A843" s="1">
        <v>46135.604166666657</v>
      </c>
      <c r="B843">
        <v>548.66476056477575</v>
      </c>
      <c r="C843">
        <v>177928.43209044021</v>
      </c>
      <c r="D843">
        <v>100485.997368633</v>
      </c>
      <c r="E843">
        <v>77442.43472180712</v>
      </c>
      <c r="F843">
        <v>0</v>
      </c>
      <c r="G843">
        <v>11390.36765567045</v>
      </c>
      <c r="H843">
        <v>11939.03241623523</v>
      </c>
      <c r="I843">
        <v>35585.686418088029</v>
      </c>
      <c r="J843">
        <v>23646.654001852799</v>
      </c>
    </row>
    <row r="844" spans="1:10">
      <c r="A844" s="1">
        <v>46135.604861111111</v>
      </c>
      <c r="B844">
        <v>520.8866238783454</v>
      </c>
      <c r="C844">
        <v>179250.4131645913</v>
      </c>
      <c r="D844">
        <v>101133.0988373654</v>
      </c>
      <c r="E844">
        <v>78117.314327225919</v>
      </c>
      <c r="F844">
        <v>0</v>
      </c>
      <c r="G844">
        <v>11390.36765567045</v>
      </c>
      <c r="H844">
        <v>11911.254279548801</v>
      </c>
      <c r="I844">
        <v>35850.082632918267</v>
      </c>
      <c r="J844">
        <v>23938.82835336947</v>
      </c>
    </row>
    <row r="845" spans="1:10">
      <c r="A845" s="1">
        <v>46135.605555555558</v>
      </c>
      <c r="B845">
        <v>0</v>
      </c>
      <c r="C845">
        <v>0</v>
      </c>
      <c r="D845">
        <v>0</v>
      </c>
      <c r="E845">
        <v>0</v>
      </c>
      <c r="F845">
        <v>193.1163851140885</v>
      </c>
      <c r="G845">
        <v>11583.48404078454</v>
      </c>
      <c r="H845">
        <v>11583.48404078454</v>
      </c>
      <c r="I845">
        <v>0</v>
      </c>
      <c r="J845">
        <v>-11583.48404078454</v>
      </c>
    </row>
    <row r="846" spans="1:10">
      <c r="A846" s="1">
        <v>46136.604861111111</v>
      </c>
      <c r="B846">
        <v>0</v>
      </c>
      <c r="C846">
        <v>177505.10211373889</v>
      </c>
      <c r="D846">
        <v>100000</v>
      </c>
      <c r="E846">
        <v>77505.10211373886</v>
      </c>
      <c r="F846">
        <v>0</v>
      </c>
      <c r="G846">
        <v>11583.48404078454</v>
      </c>
      <c r="H846">
        <v>11583.48404078454</v>
      </c>
      <c r="I846">
        <v>35501.020422747773</v>
      </c>
      <c r="J846">
        <v>23917.536381963229</v>
      </c>
    </row>
    <row r="847" spans="1:10">
      <c r="A847" s="1">
        <v>46136.605555555558</v>
      </c>
      <c r="B847">
        <v>-32.91349790212368</v>
      </c>
      <c r="C847">
        <v>177414.2931802262</v>
      </c>
      <c r="D847">
        <v>99938.13878429262</v>
      </c>
      <c r="E847">
        <v>77476.154395933612</v>
      </c>
      <c r="F847">
        <v>0</v>
      </c>
      <c r="G847">
        <v>11583.48404078454</v>
      </c>
      <c r="H847">
        <v>11550.570542882409</v>
      </c>
      <c r="I847">
        <v>35482.858636045246</v>
      </c>
      <c r="J847">
        <v>23932.288093162832</v>
      </c>
    </row>
    <row r="848" spans="1:10">
      <c r="A848" s="1">
        <v>46136.606249999997</v>
      </c>
      <c r="B848">
        <v>-3.1311351262662872</v>
      </c>
      <c r="C848">
        <v>177868.64207081241</v>
      </c>
      <c r="D848">
        <v>100180.2044109736</v>
      </c>
      <c r="E848">
        <v>77688.437659838775</v>
      </c>
      <c r="F848">
        <v>0</v>
      </c>
      <c r="G848">
        <v>11583.48404078454</v>
      </c>
      <c r="H848">
        <v>11580.35290565827</v>
      </c>
      <c r="I848">
        <v>35573.728414162477</v>
      </c>
      <c r="J848">
        <v>23993.37550850421</v>
      </c>
    </row>
    <row r="849" spans="1:10">
      <c r="A849" s="1">
        <v>46136.606944444437</v>
      </c>
      <c r="B849">
        <v>-360.85033899932728</v>
      </c>
      <c r="C849">
        <v>177510.92286693939</v>
      </c>
      <c r="D849">
        <v>99822.485207100588</v>
      </c>
      <c r="E849">
        <v>77688.437659838775</v>
      </c>
      <c r="F849">
        <v>0</v>
      </c>
      <c r="G849">
        <v>11583.48404078454</v>
      </c>
      <c r="H849">
        <v>11222.633701785209</v>
      </c>
      <c r="I849">
        <v>35502.184573387873</v>
      </c>
      <c r="J849">
        <v>24279.55087160266</v>
      </c>
    </row>
    <row r="850" spans="1:10">
      <c r="A850" s="1">
        <v>46136.607638888891</v>
      </c>
      <c r="B850">
        <v>-387.74651974165272</v>
      </c>
      <c r="C850">
        <v>177484.026686197</v>
      </c>
      <c r="D850">
        <v>99795.589026358255</v>
      </c>
      <c r="E850">
        <v>77688.437659838775</v>
      </c>
      <c r="F850">
        <v>0</v>
      </c>
      <c r="G850">
        <v>11583.48404078454</v>
      </c>
      <c r="H850">
        <v>11195.737521042891</v>
      </c>
      <c r="I850">
        <v>35496.805337239413</v>
      </c>
      <c r="J850">
        <v>24301.067816196519</v>
      </c>
    </row>
    <row r="851" spans="1:10">
      <c r="A851" s="1">
        <v>46136.60833333333</v>
      </c>
      <c r="B851">
        <v>-370.30573450766718</v>
      </c>
      <c r="C851">
        <v>177477.34437326001</v>
      </c>
      <c r="D851">
        <v>99800.968262506722</v>
      </c>
      <c r="E851">
        <v>77676.376110753248</v>
      </c>
      <c r="F851">
        <v>0</v>
      </c>
      <c r="G851">
        <v>11583.48404078454</v>
      </c>
      <c r="H851">
        <v>11213.17830627687</v>
      </c>
      <c r="I851">
        <v>35495.468874651997</v>
      </c>
      <c r="J851">
        <v>24282.29056837512</v>
      </c>
    </row>
    <row r="852" spans="1:10">
      <c r="A852" s="1">
        <v>46136.609027777777</v>
      </c>
      <c r="B852">
        <v>-400.30885580953458</v>
      </c>
      <c r="C852">
        <v>177206.11027024771</v>
      </c>
      <c r="D852">
        <v>99650.349650349643</v>
      </c>
      <c r="E852">
        <v>77555.76061989805</v>
      </c>
      <c r="F852">
        <v>0</v>
      </c>
      <c r="G852">
        <v>11583.48404078454</v>
      </c>
      <c r="H852">
        <v>11183.175184975</v>
      </c>
      <c r="I852">
        <v>35441.22205404954</v>
      </c>
      <c r="J852">
        <v>24258.04686907454</v>
      </c>
    </row>
    <row r="853" spans="1:10">
      <c r="A853" s="1">
        <v>46136.609722222223</v>
      </c>
      <c r="B853">
        <v>-558.91285769225442</v>
      </c>
      <c r="C853">
        <v>177095.7524647071</v>
      </c>
      <c r="D853">
        <v>99515.868746637978</v>
      </c>
      <c r="E853">
        <v>77579.88371806909</v>
      </c>
      <c r="F853">
        <v>0</v>
      </c>
      <c r="G853">
        <v>11583.48404078454</v>
      </c>
      <c r="H853">
        <v>11024.571183092279</v>
      </c>
      <c r="I853">
        <v>35419.150492941408</v>
      </c>
      <c r="J853">
        <v>24394.57930984913</v>
      </c>
    </row>
    <row r="854" spans="1:10">
      <c r="A854" s="1">
        <v>46136.61041666667</v>
      </c>
      <c r="B854">
        <v>-715.68608103806048</v>
      </c>
      <c r="C854">
        <v>177112.66554819269</v>
      </c>
      <c r="D854">
        <v>99445.938676707912</v>
      </c>
      <c r="E854">
        <v>77666.726871484832</v>
      </c>
      <c r="F854">
        <v>0</v>
      </c>
      <c r="G854">
        <v>11583.48404078454</v>
      </c>
      <c r="H854">
        <v>10867.79795974648</v>
      </c>
      <c r="I854">
        <v>35422.533109638549</v>
      </c>
      <c r="J854">
        <v>24554.735149892069</v>
      </c>
    </row>
    <row r="855" spans="1:10">
      <c r="A855" s="1">
        <v>46136.611111111109</v>
      </c>
      <c r="B855">
        <v>-634.00140524477388</v>
      </c>
      <c r="C855">
        <v>176837.32837105461</v>
      </c>
      <c r="D855">
        <v>99349.112426035499</v>
      </c>
      <c r="E855">
        <v>77488.215945019139</v>
      </c>
      <c r="F855">
        <v>0</v>
      </c>
      <c r="G855">
        <v>11583.48404078454</v>
      </c>
      <c r="H855">
        <v>10949.482635539771</v>
      </c>
      <c r="I855">
        <v>35367.465674210929</v>
      </c>
      <c r="J855">
        <v>24417.983038671158</v>
      </c>
    </row>
    <row r="856" spans="1:10">
      <c r="A856" s="1">
        <v>46136.611805555563</v>
      </c>
      <c r="B856">
        <v>-386.55654241529152</v>
      </c>
      <c r="C856">
        <v>177084.7732338841</v>
      </c>
      <c r="D856">
        <v>99596.557288864977</v>
      </c>
      <c r="E856">
        <v>77488.215945019139</v>
      </c>
      <c r="F856">
        <v>0</v>
      </c>
      <c r="G856">
        <v>11583.48404078454</v>
      </c>
      <c r="H856">
        <v>11196.92749836925</v>
      </c>
      <c r="I856">
        <v>35416.95464677683</v>
      </c>
      <c r="J856">
        <v>24220.027148407589</v>
      </c>
    </row>
    <row r="857" spans="1:10">
      <c r="A857" s="1">
        <v>46136.612500000003</v>
      </c>
      <c r="B857">
        <v>-268.21334714901991</v>
      </c>
      <c r="C857">
        <v>177203.1164291504</v>
      </c>
      <c r="D857">
        <v>99714.900484131256</v>
      </c>
      <c r="E857">
        <v>77488.215945019139</v>
      </c>
      <c r="F857">
        <v>0</v>
      </c>
      <c r="G857">
        <v>11583.48404078454</v>
      </c>
      <c r="H857">
        <v>11315.270693635521</v>
      </c>
      <c r="I857">
        <v>35440.623285830079</v>
      </c>
      <c r="J857">
        <v>24125.352592194558</v>
      </c>
    </row>
    <row r="858" spans="1:10">
      <c r="A858" s="1">
        <v>46136.613194444442</v>
      </c>
      <c r="B858">
        <v>-657.17675898299137</v>
      </c>
      <c r="C858">
        <v>177721.1815085476</v>
      </c>
      <c r="D858">
        <v>99779.451317912855</v>
      </c>
      <c r="E858">
        <v>77941.730190634713</v>
      </c>
      <c r="F858">
        <v>0</v>
      </c>
      <c r="G858">
        <v>11583.48404078454</v>
      </c>
      <c r="H858">
        <v>10926.30728180155</v>
      </c>
      <c r="I858">
        <v>35544.236301709512</v>
      </c>
      <c r="J858">
        <v>24617.929019907959</v>
      </c>
    </row>
    <row r="859" spans="1:10">
      <c r="A859" s="1">
        <v>46136.613888888889</v>
      </c>
      <c r="B859">
        <v>-732.48606506153612</v>
      </c>
      <c r="C859">
        <v>177645.87220246901</v>
      </c>
      <c r="D859">
        <v>99704.142011834309</v>
      </c>
      <c r="E859">
        <v>77941.730190634713</v>
      </c>
      <c r="F859">
        <v>0</v>
      </c>
      <c r="G859">
        <v>11583.48404078454</v>
      </c>
      <c r="H859">
        <v>10850.997975722999</v>
      </c>
      <c r="I859">
        <v>35529.174440493807</v>
      </c>
      <c r="J859">
        <v>24678.176464770801</v>
      </c>
    </row>
    <row r="860" spans="1:10">
      <c r="A860" s="1">
        <v>46136.614583333343</v>
      </c>
      <c r="B860">
        <v>-752.50608910673395</v>
      </c>
      <c r="C860">
        <v>177558.3075035449</v>
      </c>
      <c r="D860">
        <v>99650.349650349643</v>
      </c>
      <c r="E860">
        <v>77907.957853195243</v>
      </c>
      <c r="F860">
        <v>0</v>
      </c>
      <c r="G860">
        <v>11583.48404078454</v>
      </c>
      <c r="H860">
        <v>10830.977951677811</v>
      </c>
      <c r="I860">
        <v>35511.661500708979</v>
      </c>
      <c r="J860">
        <v>24680.683549031171</v>
      </c>
    </row>
    <row r="861" spans="1:10">
      <c r="A861" s="1">
        <v>46136.615277777782</v>
      </c>
      <c r="B861">
        <v>-611.87057420632914</v>
      </c>
      <c r="C861">
        <v>177525.25671161379</v>
      </c>
      <c r="D861">
        <v>99704.142011834309</v>
      </c>
      <c r="E861">
        <v>77821.1146997795</v>
      </c>
      <c r="F861">
        <v>0</v>
      </c>
      <c r="G861">
        <v>11583.48404078454</v>
      </c>
      <c r="H861">
        <v>10971.61346657821</v>
      </c>
      <c r="I861">
        <v>35505.05134232276</v>
      </c>
      <c r="J861">
        <v>24533.437875744548</v>
      </c>
    </row>
    <row r="862" spans="1:10">
      <c r="A862" s="1">
        <v>46136.615972222222</v>
      </c>
      <c r="B862">
        <v>-638.76675494865458</v>
      </c>
      <c r="C862">
        <v>177498.36053087149</v>
      </c>
      <c r="D862">
        <v>99677.24583109199</v>
      </c>
      <c r="E862">
        <v>77821.1146997795</v>
      </c>
      <c r="F862">
        <v>0</v>
      </c>
      <c r="G862">
        <v>11583.48404078454</v>
      </c>
      <c r="H862">
        <v>10944.717285835881</v>
      </c>
      <c r="I862">
        <v>35499.672106174301</v>
      </c>
      <c r="J862">
        <v>24554.954820338418</v>
      </c>
    </row>
    <row r="863" spans="1:10">
      <c r="A863" s="1">
        <v>46136.616666666669</v>
      </c>
      <c r="B863">
        <v>-758.41302700351184</v>
      </c>
      <c r="C863">
        <v>177402.83735698761</v>
      </c>
      <c r="D863">
        <v>99569.661108122644</v>
      </c>
      <c r="E863">
        <v>77833.176248865013</v>
      </c>
      <c r="F863">
        <v>0</v>
      </c>
      <c r="G863">
        <v>11583.48404078454</v>
      </c>
      <c r="H863">
        <v>10825.071013781029</v>
      </c>
      <c r="I863">
        <v>35480.567471397531</v>
      </c>
      <c r="J863">
        <v>24655.4964576165</v>
      </c>
    </row>
    <row r="864" spans="1:10">
      <c r="A864" s="1">
        <v>46136.617361111108</v>
      </c>
      <c r="B864">
        <v>-742.27531855811048</v>
      </c>
      <c r="C864">
        <v>177418.9750654331</v>
      </c>
      <c r="D864">
        <v>99585.798816568044</v>
      </c>
      <c r="E864">
        <v>77833.176248865013</v>
      </c>
      <c r="F864">
        <v>0</v>
      </c>
      <c r="G864">
        <v>11583.48404078454</v>
      </c>
      <c r="H864">
        <v>10841.208722226431</v>
      </c>
      <c r="I864">
        <v>35483.795013086623</v>
      </c>
      <c r="J864">
        <v>24642.586290860188</v>
      </c>
    </row>
    <row r="865" spans="1:10">
      <c r="A865" s="1">
        <v>46136.618055555547</v>
      </c>
      <c r="B865">
        <v>-712.02452396427407</v>
      </c>
      <c r="C865">
        <v>177367.20732624541</v>
      </c>
      <c r="D865">
        <v>99575.04034427111</v>
      </c>
      <c r="E865">
        <v>77792.166981974253</v>
      </c>
      <c r="F865">
        <v>0</v>
      </c>
      <c r="G865">
        <v>11583.48404078454</v>
      </c>
      <c r="H865">
        <v>10871.45951682026</v>
      </c>
      <c r="I865">
        <v>35473.441465249067</v>
      </c>
      <c r="J865">
        <v>24601.981948428809</v>
      </c>
    </row>
    <row r="866" spans="1:10">
      <c r="A866" s="1">
        <v>46136.618750000001</v>
      </c>
      <c r="B866">
        <v>-596.50824080119764</v>
      </c>
      <c r="C866">
        <v>177714.3053518504</v>
      </c>
      <c r="D866">
        <v>99806.347498655188</v>
      </c>
      <c r="E866">
        <v>77907.957853195243</v>
      </c>
      <c r="F866">
        <v>0</v>
      </c>
      <c r="G866">
        <v>11583.48404078454</v>
      </c>
      <c r="H866">
        <v>10986.97579998334</v>
      </c>
      <c r="I866">
        <v>35542.861070370091</v>
      </c>
      <c r="J866">
        <v>24555.885270386749</v>
      </c>
    </row>
    <row r="867" spans="1:10">
      <c r="A867" s="1">
        <v>46136.619444444441</v>
      </c>
      <c r="B867">
        <v>-616.91595236654314</v>
      </c>
      <c r="C867">
        <v>177713.19611882191</v>
      </c>
      <c r="D867">
        <v>99795.589026358255</v>
      </c>
      <c r="E867">
        <v>77917.607092463673</v>
      </c>
      <c r="F867">
        <v>0</v>
      </c>
      <c r="G867">
        <v>11583.48404078454</v>
      </c>
      <c r="H867">
        <v>10966.568088417989</v>
      </c>
      <c r="I867">
        <v>35542.639223764381</v>
      </c>
      <c r="J867">
        <v>24576.071135346381</v>
      </c>
    </row>
    <row r="868" spans="1:10">
      <c r="A868" s="1">
        <v>46136.620138888888</v>
      </c>
      <c r="B868">
        <v>-541.02511500781179</v>
      </c>
      <c r="C868">
        <v>177658.82222605709</v>
      </c>
      <c r="D868">
        <v>99806.347498655188</v>
      </c>
      <c r="E868">
        <v>77852.474727401859</v>
      </c>
      <c r="F868">
        <v>0</v>
      </c>
      <c r="G868">
        <v>11583.48404078454</v>
      </c>
      <c r="H868">
        <v>11042.458925776729</v>
      </c>
      <c r="I868">
        <v>35531.764445211411</v>
      </c>
      <c r="J868">
        <v>24489.305519434682</v>
      </c>
    </row>
    <row r="869" spans="1:10">
      <c r="A869" s="1">
        <v>46136.620833333327</v>
      </c>
      <c r="B869">
        <v>0</v>
      </c>
      <c r="C869">
        <v>0</v>
      </c>
      <c r="D869">
        <v>0</v>
      </c>
      <c r="E869">
        <v>0</v>
      </c>
      <c r="F869">
        <v>-506.06488985166192</v>
      </c>
      <c r="G869">
        <v>11077.419150932879</v>
      </c>
      <c r="H869">
        <v>11077.419150932879</v>
      </c>
      <c r="I869">
        <v>0</v>
      </c>
      <c r="J869">
        <v>-11077.419150932879</v>
      </c>
    </row>
    <row r="870" spans="1:10">
      <c r="A870" s="1">
        <v>46139.604166666657</v>
      </c>
      <c r="B870">
        <v>0</v>
      </c>
      <c r="C870">
        <v>171286.78579861991</v>
      </c>
      <c r="D870">
        <v>71286.785798619836</v>
      </c>
      <c r="E870">
        <v>100000</v>
      </c>
      <c r="F870">
        <v>0</v>
      </c>
      <c r="G870">
        <v>11077.419150932879</v>
      </c>
      <c r="H870">
        <v>11077.419150932879</v>
      </c>
      <c r="I870">
        <v>34257.357159723972</v>
      </c>
      <c r="J870">
        <v>23179.93800879109</v>
      </c>
    </row>
    <row r="871" spans="1:10">
      <c r="A871" s="1">
        <v>46139.604861111111</v>
      </c>
      <c r="B871">
        <v>-150.5644152558452</v>
      </c>
      <c r="C871">
        <v>171938.4033182268</v>
      </c>
      <c r="D871">
        <v>71537.312350795401</v>
      </c>
      <c r="E871">
        <v>100401.0909674314</v>
      </c>
      <c r="F871">
        <v>0</v>
      </c>
      <c r="G871">
        <v>11077.419150932879</v>
      </c>
      <c r="H871">
        <v>10926.85473567703</v>
      </c>
      <c r="I871">
        <v>34387.680663645362</v>
      </c>
      <c r="J871">
        <v>23460.82592796833</v>
      </c>
    </row>
    <row r="872" spans="1:10">
      <c r="A872" s="1">
        <v>46139.605555555558</v>
      </c>
      <c r="B872">
        <v>118.9784637659584</v>
      </c>
      <c r="C872">
        <v>172143.77164245959</v>
      </c>
      <c r="D872">
        <v>71774.767952422699</v>
      </c>
      <c r="E872">
        <v>100369.0036900369</v>
      </c>
      <c r="F872">
        <v>0</v>
      </c>
      <c r="G872">
        <v>11077.419150932879</v>
      </c>
      <c r="H872">
        <v>11196.397614698841</v>
      </c>
      <c r="I872">
        <v>34428.754328491923</v>
      </c>
      <c r="J872">
        <v>23232.356713793091</v>
      </c>
    </row>
    <row r="873" spans="1:10">
      <c r="A873" s="1">
        <v>46139.606249999997</v>
      </c>
      <c r="B873">
        <v>530.91750345181413</v>
      </c>
      <c r="C873">
        <v>172459.44884996189</v>
      </c>
      <c r="D873">
        <v>72138.576076016776</v>
      </c>
      <c r="E873">
        <v>100320.8727739451</v>
      </c>
      <c r="F873">
        <v>0</v>
      </c>
      <c r="G873">
        <v>11077.419150932879</v>
      </c>
      <c r="H873">
        <v>11608.33665438469</v>
      </c>
      <c r="I873">
        <v>34491.889769992376</v>
      </c>
      <c r="J873">
        <v>22883.55311560769</v>
      </c>
    </row>
    <row r="874" spans="1:10">
      <c r="A874" s="1">
        <v>46139.606944444437</v>
      </c>
      <c r="B874">
        <v>390.30643522832338</v>
      </c>
      <c r="C874">
        <v>172308.14202260689</v>
      </c>
      <c r="D874">
        <v>71992.617128227532</v>
      </c>
      <c r="E874">
        <v>100315.5248943794</v>
      </c>
      <c r="F874">
        <v>0</v>
      </c>
      <c r="G874">
        <v>11077.419150932879</v>
      </c>
      <c r="H874">
        <v>11467.725586161199</v>
      </c>
      <c r="I874">
        <v>34461.628404521383</v>
      </c>
      <c r="J874">
        <v>22993.90281836018</v>
      </c>
    </row>
    <row r="875" spans="1:10">
      <c r="A875" s="1">
        <v>46139.607638888891</v>
      </c>
      <c r="B875">
        <v>0</v>
      </c>
      <c r="C875">
        <v>0</v>
      </c>
      <c r="D875">
        <v>0</v>
      </c>
      <c r="E875">
        <v>0</v>
      </c>
      <c r="F875">
        <v>528.08816739045949</v>
      </c>
      <c r="G875">
        <v>11605.50731832334</v>
      </c>
      <c r="H875">
        <v>11605.50731832334</v>
      </c>
      <c r="I875">
        <v>0</v>
      </c>
      <c r="J875">
        <v>-11605.50731832334</v>
      </c>
    </row>
    <row r="876" spans="1:10">
      <c r="A876" s="1">
        <v>46139.791666666657</v>
      </c>
      <c r="B876">
        <v>0</v>
      </c>
      <c r="C876">
        <v>171286.78579861991</v>
      </c>
      <c r="D876">
        <v>71286.785798619836</v>
      </c>
      <c r="E876">
        <v>100000</v>
      </c>
      <c r="F876">
        <v>0</v>
      </c>
      <c r="G876">
        <v>11605.50731832334</v>
      </c>
      <c r="H876">
        <v>11605.50731832334</v>
      </c>
      <c r="I876">
        <v>34257.357159723972</v>
      </c>
      <c r="J876">
        <v>22651.849841400639</v>
      </c>
    </row>
    <row r="877" spans="1:10">
      <c r="A877" s="1">
        <v>46139.792361111111</v>
      </c>
      <c r="B877">
        <v>-9.7708045421279515</v>
      </c>
      <c r="C877">
        <v>171287.88160641131</v>
      </c>
      <c r="D877">
        <v>71282.448300244505</v>
      </c>
      <c r="E877">
        <v>100005.4333061668</v>
      </c>
      <c r="F877">
        <v>0</v>
      </c>
      <c r="G877">
        <v>11605.50731832334</v>
      </c>
      <c r="H877">
        <v>11595.73651378121</v>
      </c>
      <c r="I877">
        <v>34257.576321282257</v>
      </c>
      <c r="J877">
        <v>22661.839807501059</v>
      </c>
    </row>
    <row r="878" spans="1:10">
      <c r="A878" s="1">
        <v>46139.793055555558</v>
      </c>
      <c r="B878">
        <v>-73.441098832899229</v>
      </c>
      <c r="C878">
        <v>171446.9768649594</v>
      </c>
      <c r="D878">
        <v>71330.160782373176</v>
      </c>
      <c r="E878">
        <v>100116.8160825862</v>
      </c>
      <c r="F878">
        <v>0</v>
      </c>
      <c r="G878">
        <v>11605.50731832334</v>
      </c>
      <c r="H878">
        <v>11532.06621949044</v>
      </c>
      <c r="I878">
        <v>34289.395372991879</v>
      </c>
      <c r="J878">
        <v>22757.32915350144</v>
      </c>
    </row>
    <row r="879" spans="1:10">
      <c r="A879" s="1">
        <v>46139.793749999997</v>
      </c>
      <c r="B879">
        <v>-129.44073858339729</v>
      </c>
      <c r="C879">
        <v>171537.6764917126</v>
      </c>
      <c r="D879">
        <v>71347.510775874529</v>
      </c>
      <c r="E879">
        <v>100190.1657158381</v>
      </c>
      <c r="F879">
        <v>0</v>
      </c>
      <c r="G879">
        <v>11605.50731832334</v>
      </c>
      <c r="H879">
        <v>11476.06657973994</v>
      </c>
      <c r="I879">
        <v>34307.535298342533</v>
      </c>
      <c r="J879">
        <v>22831.46871860258</v>
      </c>
    </row>
    <row r="880" spans="1:10">
      <c r="A880" s="1">
        <v>46139.794444444437</v>
      </c>
      <c r="B880">
        <v>-157.17803970840629</v>
      </c>
      <c r="C880">
        <v>171591.4387830896</v>
      </c>
      <c r="D880">
        <v>71360.523271000537</v>
      </c>
      <c r="E880">
        <v>100230.91551208909</v>
      </c>
      <c r="F880">
        <v>0</v>
      </c>
      <c r="G880">
        <v>11605.50731832334</v>
      </c>
      <c r="H880">
        <v>11448.32927861493</v>
      </c>
      <c r="I880">
        <v>34318.28775661793</v>
      </c>
      <c r="J880">
        <v>22869.958478003002</v>
      </c>
    </row>
    <row r="881" spans="1:10">
      <c r="A881" s="1">
        <v>46139.795138888891</v>
      </c>
      <c r="B881">
        <v>-237.0567869185152</v>
      </c>
      <c r="C881">
        <v>171679.9925270504</v>
      </c>
      <c r="D881">
        <v>71364.860769375853</v>
      </c>
      <c r="E881">
        <v>100315.13175767451</v>
      </c>
      <c r="F881">
        <v>0</v>
      </c>
      <c r="G881">
        <v>11605.50731832334</v>
      </c>
      <c r="H881">
        <v>11368.45053140482</v>
      </c>
      <c r="I881">
        <v>34335.998505410083</v>
      </c>
      <c r="J881">
        <v>22967.547974005261</v>
      </c>
    </row>
    <row r="882" spans="1:10">
      <c r="A882" s="1">
        <v>46139.79583333333</v>
      </c>
      <c r="B882">
        <v>-162.6342122704884</v>
      </c>
      <c r="C882">
        <v>171618.5824475284</v>
      </c>
      <c r="D882">
        <v>71371.36701693885</v>
      </c>
      <c r="E882">
        <v>100247.21543058949</v>
      </c>
      <c r="F882">
        <v>0</v>
      </c>
      <c r="G882">
        <v>11605.50731832334</v>
      </c>
      <c r="H882">
        <v>11442.87310605285</v>
      </c>
      <c r="I882">
        <v>34323.716489505678</v>
      </c>
      <c r="J882">
        <v>22880.84338345283</v>
      </c>
    </row>
    <row r="883" spans="1:10">
      <c r="A883" s="1">
        <v>46139.796527777777</v>
      </c>
      <c r="B883">
        <v>-252.28376402272539</v>
      </c>
      <c r="C883">
        <v>171708.2319992806</v>
      </c>
      <c r="D883">
        <v>71371.36701693885</v>
      </c>
      <c r="E883">
        <v>100336.86498234179</v>
      </c>
      <c r="F883">
        <v>0</v>
      </c>
      <c r="G883">
        <v>11605.50731832334</v>
      </c>
      <c r="H883">
        <v>11353.22355430061</v>
      </c>
      <c r="I883">
        <v>34341.646399856123</v>
      </c>
      <c r="J883">
        <v>22988.422845555509</v>
      </c>
    </row>
    <row r="884" spans="1:10">
      <c r="A884" s="1">
        <v>46139.797222222223</v>
      </c>
      <c r="B884">
        <v>-203.42974131204551</v>
      </c>
      <c r="C884">
        <v>171702.7529603233</v>
      </c>
      <c r="D884">
        <v>71393.054508815534</v>
      </c>
      <c r="E884">
        <v>100309.69845150771</v>
      </c>
      <c r="F884">
        <v>0</v>
      </c>
      <c r="G884">
        <v>11605.50731832334</v>
      </c>
      <c r="H884">
        <v>11402.07757701129</v>
      </c>
      <c r="I884">
        <v>34340.550592064661</v>
      </c>
      <c r="J884">
        <v>22938.473015053369</v>
      </c>
    </row>
    <row r="885" spans="1:10">
      <c r="A885" s="1">
        <v>46139.79791666667</v>
      </c>
      <c r="B885">
        <v>-230.59627214604879</v>
      </c>
      <c r="C885">
        <v>171729.91949115731</v>
      </c>
      <c r="D885">
        <v>71393.054508815534</v>
      </c>
      <c r="E885">
        <v>100336.86498234179</v>
      </c>
      <c r="F885">
        <v>0</v>
      </c>
      <c r="G885">
        <v>11605.50731832334</v>
      </c>
      <c r="H885">
        <v>11374.911046177291</v>
      </c>
      <c r="I885">
        <v>34345.983898231461</v>
      </c>
      <c r="J885">
        <v>22971.072852054171</v>
      </c>
    </row>
    <row r="886" spans="1:10">
      <c r="A886" s="1">
        <v>46139.798611111109</v>
      </c>
      <c r="B886">
        <v>-219.7296598124536</v>
      </c>
      <c r="C886">
        <v>171719.05287882371</v>
      </c>
      <c r="D886">
        <v>71393.054508815534</v>
      </c>
      <c r="E886">
        <v>100325.99837000819</v>
      </c>
      <c r="F886">
        <v>0</v>
      </c>
      <c r="G886">
        <v>11605.50731832334</v>
      </c>
      <c r="H886">
        <v>11385.77765851088</v>
      </c>
      <c r="I886">
        <v>34343.810575764743</v>
      </c>
      <c r="J886">
        <v>22958.032917253851</v>
      </c>
    </row>
    <row r="887" spans="1:10">
      <c r="A887" s="1">
        <v>46139.799305555563</v>
      </c>
      <c r="B887">
        <v>-282.21268073067188</v>
      </c>
      <c r="C887">
        <v>171781.5358997419</v>
      </c>
      <c r="D887">
        <v>71393.054508815534</v>
      </c>
      <c r="E887">
        <v>100388.4813909264</v>
      </c>
      <c r="F887">
        <v>0</v>
      </c>
      <c r="G887">
        <v>11605.50731832334</v>
      </c>
      <c r="H887">
        <v>11323.29463759266</v>
      </c>
      <c r="I887">
        <v>34356.307179948388</v>
      </c>
      <c r="J887">
        <v>23033.012542355729</v>
      </c>
    </row>
    <row r="888" spans="1:10">
      <c r="A888" s="1">
        <v>46139.8</v>
      </c>
      <c r="B888">
        <v>-314.28748023102668</v>
      </c>
      <c r="C888">
        <v>171830.9606927436</v>
      </c>
      <c r="D888">
        <v>71401.729505566211</v>
      </c>
      <c r="E888">
        <v>100429.2311871774</v>
      </c>
      <c r="F888">
        <v>0</v>
      </c>
      <c r="G888">
        <v>11605.50731832334</v>
      </c>
      <c r="H888">
        <v>11291.219838092309</v>
      </c>
      <c r="I888">
        <v>34366.192138548722</v>
      </c>
      <c r="J888">
        <v>23074.972300456411</v>
      </c>
    </row>
    <row r="889" spans="1:10">
      <c r="A889" s="1">
        <v>46139.800694444442</v>
      </c>
      <c r="B889">
        <v>-357.77679596072272</v>
      </c>
      <c r="C889">
        <v>171896.13750035001</v>
      </c>
      <c r="D889">
        <v>71412.573251504524</v>
      </c>
      <c r="E889">
        <v>100483.5642488454</v>
      </c>
      <c r="F889">
        <v>0</v>
      </c>
      <c r="G889">
        <v>11605.50731832334</v>
      </c>
      <c r="H889">
        <v>11247.73052236261</v>
      </c>
      <c r="I889">
        <v>34379.227500070003</v>
      </c>
      <c r="J889">
        <v>23131.496977707378</v>
      </c>
    </row>
    <row r="890" spans="1:10">
      <c r="A890" s="1">
        <v>46139.801388888889</v>
      </c>
      <c r="B890">
        <v>-338.235186876439</v>
      </c>
      <c r="C890">
        <v>171893.94588476699</v>
      </c>
      <c r="D890">
        <v>71421.2482482552</v>
      </c>
      <c r="E890">
        <v>100472.6976365118</v>
      </c>
      <c r="F890">
        <v>0</v>
      </c>
      <c r="G890">
        <v>11605.50731832334</v>
      </c>
      <c r="H890">
        <v>11267.2721314469</v>
      </c>
      <c r="I890">
        <v>34378.789176953404</v>
      </c>
      <c r="J890">
        <v>23111.517045506509</v>
      </c>
    </row>
    <row r="891" spans="1:10">
      <c r="A891" s="1">
        <v>46139.802083333343</v>
      </c>
      <c r="B891">
        <v>-340.47253524991783</v>
      </c>
      <c r="C891">
        <v>171956.9082103952</v>
      </c>
      <c r="D891">
        <v>71451.610736882547</v>
      </c>
      <c r="E891">
        <v>100505.2974735126</v>
      </c>
      <c r="F891">
        <v>0</v>
      </c>
      <c r="G891">
        <v>11605.50731832334</v>
      </c>
      <c r="H891">
        <v>11265.034783073421</v>
      </c>
      <c r="I891">
        <v>34391.381642079039</v>
      </c>
      <c r="J891">
        <v>23126.346859005622</v>
      </c>
    </row>
    <row r="892" spans="1:10">
      <c r="A892" s="1">
        <v>46139.802777777782</v>
      </c>
      <c r="B892">
        <v>-323.67044564432069</v>
      </c>
      <c r="C892">
        <v>171979.14360616761</v>
      </c>
      <c r="D892">
        <v>71471.129479571551</v>
      </c>
      <c r="E892">
        <v>100508.014126596</v>
      </c>
      <c r="F892">
        <v>0</v>
      </c>
      <c r="G892">
        <v>11605.50731832334</v>
      </c>
      <c r="H892">
        <v>11281.83687267902</v>
      </c>
      <c r="I892">
        <v>34395.82872123352</v>
      </c>
      <c r="J892">
        <v>23113.991848554509</v>
      </c>
    </row>
    <row r="893" spans="1:10">
      <c r="A893" s="1">
        <v>46139.803472222222</v>
      </c>
      <c r="B893">
        <v>-323.67044564432069</v>
      </c>
      <c r="C893">
        <v>171979.14360616761</v>
      </c>
      <c r="D893">
        <v>71471.129479571551</v>
      </c>
      <c r="E893">
        <v>100508.014126596</v>
      </c>
      <c r="F893">
        <v>0</v>
      </c>
      <c r="G893">
        <v>11605.50731832334</v>
      </c>
      <c r="H893">
        <v>11281.83687267902</v>
      </c>
      <c r="I893">
        <v>34395.82872123352</v>
      </c>
      <c r="J893">
        <v>23113.991848554509</v>
      </c>
    </row>
    <row r="894" spans="1:10">
      <c r="A894" s="1">
        <v>46139.804166666669</v>
      </c>
      <c r="B894">
        <v>-369.87641445740297</v>
      </c>
      <c r="C894">
        <v>172047.03706685739</v>
      </c>
      <c r="D894">
        <v>71481.973225509893</v>
      </c>
      <c r="E894">
        <v>100565.0638413475</v>
      </c>
      <c r="F894">
        <v>0</v>
      </c>
      <c r="G894">
        <v>11605.50731832334</v>
      </c>
      <c r="H894">
        <v>11235.630903865929</v>
      </c>
      <c r="I894">
        <v>34409.407413371468</v>
      </c>
      <c r="J894">
        <v>23173.77650950554</v>
      </c>
    </row>
    <row r="895" spans="1:10">
      <c r="A895" s="1">
        <v>46139.804861111108</v>
      </c>
      <c r="B895">
        <v>-437.79274154243421</v>
      </c>
      <c r="C895">
        <v>172114.95339394241</v>
      </c>
      <c r="D895">
        <v>71481.973225509893</v>
      </c>
      <c r="E895">
        <v>100632.98016843251</v>
      </c>
      <c r="F895">
        <v>0</v>
      </c>
      <c r="G895">
        <v>11605.50731832334</v>
      </c>
      <c r="H895">
        <v>11167.7145767809</v>
      </c>
      <c r="I895">
        <v>34422.990678788483</v>
      </c>
      <c r="J895">
        <v>23255.27610200757</v>
      </c>
    </row>
    <row r="896" spans="1:10">
      <c r="A896" s="1">
        <v>46139.805555555547</v>
      </c>
      <c r="B896">
        <v>-380.2179892905491</v>
      </c>
      <c r="C896">
        <v>172074.7286351918</v>
      </c>
      <c r="D896">
        <v>71490.648222260555</v>
      </c>
      <c r="E896">
        <v>100584.0804129313</v>
      </c>
      <c r="F896">
        <v>0</v>
      </c>
      <c r="G896">
        <v>11605.50731832334</v>
      </c>
      <c r="H896">
        <v>11225.28932903279</v>
      </c>
      <c r="I896">
        <v>34414.945727038357</v>
      </c>
      <c r="J896">
        <v>23189.65639800558</v>
      </c>
    </row>
    <row r="897" spans="1:10">
      <c r="A897" s="1">
        <v>46139.806250000001</v>
      </c>
      <c r="B897">
        <v>-339.60539141113611</v>
      </c>
      <c r="C897">
        <v>172164.24098857239</v>
      </c>
      <c r="D897">
        <v>71555.710697890565</v>
      </c>
      <c r="E897">
        <v>100608.5302906819</v>
      </c>
      <c r="F897">
        <v>0</v>
      </c>
      <c r="G897">
        <v>11605.50731832334</v>
      </c>
      <c r="H897">
        <v>11265.9019269122</v>
      </c>
      <c r="I897">
        <v>34432.848197714477</v>
      </c>
      <c r="J897">
        <v>23166.94627080228</v>
      </c>
    </row>
    <row r="898" spans="1:10">
      <c r="A898" s="1">
        <v>46139.806944444441</v>
      </c>
      <c r="B898">
        <v>-349.46766153434987</v>
      </c>
      <c r="C898">
        <v>172252.1782294517</v>
      </c>
      <c r="D898">
        <v>71594.748183268573</v>
      </c>
      <c r="E898">
        <v>100657.4300461831</v>
      </c>
      <c r="F898">
        <v>0</v>
      </c>
      <c r="G898">
        <v>11605.50731832334</v>
      </c>
      <c r="H898">
        <v>11256.039656788989</v>
      </c>
      <c r="I898">
        <v>34450.435645890328</v>
      </c>
      <c r="J898">
        <v>23194.395989101351</v>
      </c>
    </row>
    <row r="899" spans="1:10">
      <c r="A899" s="1">
        <v>46139.807638888888</v>
      </c>
      <c r="B899">
        <v>-369.55717451436709</v>
      </c>
      <c r="C899">
        <v>172259.2552473057</v>
      </c>
      <c r="D899">
        <v>71588.241935705577</v>
      </c>
      <c r="E899">
        <v>100671.01331160009</v>
      </c>
      <c r="F899">
        <v>0</v>
      </c>
      <c r="G899">
        <v>11605.50731832334</v>
      </c>
      <c r="H899">
        <v>11235.95014380897</v>
      </c>
      <c r="I899">
        <v>34451.851049461133</v>
      </c>
      <c r="J899">
        <v>23215.900905652161</v>
      </c>
    </row>
    <row r="900" spans="1:10">
      <c r="A900" s="1">
        <v>46139.808333333327</v>
      </c>
      <c r="B900">
        <v>-410.30697076539508</v>
      </c>
      <c r="C900">
        <v>172300.00504355671</v>
      </c>
      <c r="D900">
        <v>71588.241935705577</v>
      </c>
      <c r="E900">
        <v>100711.7631078511</v>
      </c>
      <c r="F900">
        <v>0</v>
      </c>
      <c r="G900">
        <v>11605.50731832334</v>
      </c>
      <c r="H900">
        <v>11195.20034755794</v>
      </c>
      <c r="I900">
        <v>34460.001008711341</v>
      </c>
      <c r="J900">
        <v>23264.8006611534</v>
      </c>
    </row>
    <row r="901" spans="1:10">
      <c r="A901" s="1">
        <v>46139.809027777781</v>
      </c>
      <c r="B901">
        <v>-320.65741901314283</v>
      </c>
      <c r="C901">
        <v>172210.35549180451</v>
      </c>
      <c r="D901">
        <v>71588.241935705577</v>
      </c>
      <c r="E901">
        <v>100622.11355609891</v>
      </c>
      <c r="F901">
        <v>0</v>
      </c>
      <c r="G901">
        <v>11605.50731832334</v>
      </c>
      <c r="H901">
        <v>11284.849899310189</v>
      </c>
      <c r="I901">
        <v>34442.071098360902</v>
      </c>
      <c r="J901">
        <v>23157.221199050698</v>
      </c>
    </row>
    <row r="902" spans="1:10">
      <c r="A902" s="1">
        <v>46139.80972222222</v>
      </c>
      <c r="B902">
        <v>-392.8426452876908</v>
      </c>
      <c r="C902">
        <v>172208.80324569831</v>
      </c>
      <c r="D902">
        <v>71551.373199515234</v>
      </c>
      <c r="E902">
        <v>100657.4300461831</v>
      </c>
      <c r="F902">
        <v>0</v>
      </c>
      <c r="G902">
        <v>11605.50731832334</v>
      </c>
      <c r="H902">
        <v>11212.66467303565</v>
      </c>
      <c r="I902">
        <v>34441.760649139673</v>
      </c>
      <c r="J902">
        <v>23229.095976104021</v>
      </c>
    </row>
    <row r="903" spans="1:10">
      <c r="A903" s="1">
        <v>46139.810416666667</v>
      </c>
      <c r="B903">
        <v>-397.20301005830578</v>
      </c>
      <c r="C903">
        <v>172226.1761055949</v>
      </c>
      <c r="D903">
        <v>71557.87944707823</v>
      </c>
      <c r="E903">
        <v>100668.2966585167</v>
      </c>
      <c r="F903">
        <v>0</v>
      </c>
      <c r="G903">
        <v>11605.50731832334</v>
      </c>
      <c r="H903">
        <v>11208.304308265029</v>
      </c>
      <c r="I903">
        <v>34445.235221118986</v>
      </c>
      <c r="J903">
        <v>23236.93091285395</v>
      </c>
    </row>
    <row r="904" spans="1:10">
      <c r="A904" s="1">
        <v>46139.811111111107</v>
      </c>
      <c r="B904">
        <v>-389.05305080809387</v>
      </c>
      <c r="C904">
        <v>172218.0261463447</v>
      </c>
      <c r="D904">
        <v>71557.87944707823</v>
      </c>
      <c r="E904">
        <v>100660.14669926649</v>
      </c>
      <c r="F904">
        <v>0</v>
      </c>
      <c r="G904">
        <v>11605.50731832334</v>
      </c>
      <c r="H904">
        <v>11216.454267515241</v>
      </c>
      <c r="I904">
        <v>34443.605229268949</v>
      </c>
      <c r="J904">
        <v>23227.150961753709</v>
      </c>
    </row>
    <row r="905" spans="1:10">
      <c r="A905" s="1">
        <v>46139.811805555553</v>
      </c>
      <c r="B905">
        <v>-509.49866310707472</v>
      </c>
      <c r="C905">
        <v>172173.64682038099</v>
      </c>
      <c r="D905">
        <v>71475.466977946882</v>
      </c>
      <c r="E905">
        <v>100698.1798424341</v>
      </c>
      <c r="F905">
        <v>0</v>
      </c>
      <c r="G905">
        <v>11605.50731832334</v>
      </c>
      <c r="H905">
        <v>11096.008655216259</v>
      </c>
      <c r="I905">
        <v>34434.7293640762</v>
      </c>
      <c r="J905">
        <v>23338.720708859939</v>
      </c>
    </row>
    <row r="906" spans="1:10">
      <c r="A906" s="1">
        <v>46139.8125</v>
      </c>
      <c r="B906">
        <v>-528.51523469088158</v>
      </c>
      <c r="C906">
        <v>172192.6633919648</v>
      </c>
      <c r="D906">
        <v>71475.466977946882</v>
      </c>
      <c r="E906">
        <v>100717.1964140179</v>
      </c>
      <c r="F906">
        <v>0</v>
      </c>
      <c r="G906">
        <v>11605.50731832334</v>
      </c>
      <c r="H906">
        <v>11076.992083632451</v>
      </c>
      <c r="I906">
        <v>34438.532678392963</v>
      </c>
      <c r="J906">
        <v>23361.54059476051</v>
      </c>
    </row>
    <row r="907" spans="1:10">
      <c r="A907" s="1">
        <v>46139.813194444447</v>
      </c>
      <c r="B907">
        <v>-570.33797233809207</v>
      </c>
      <c r="C907">
        <v>172221.473634486</v>
      </c>
      <c r="D907">
        <v>71468.960730383886</v>
      </c>
      <c r="E907">
        <v>100752.5129041021</v>
      </c>
      <c r="F907">
        <v>0</v>
      </c>
      <c r="G907">
        <v>11605.50731832334</v>
      </c>
      <c r="H907">
        <v>11035.169345985239</v>
      </c>
      <c r="I907">
        <v>34444.294726897213</v>
      </c>
      <c r="J907">
        <v>23409.125380911959</v>
      </c>
    </row>
    <row r="908" spans="1:10">
      <c r="A908" s="1">
        <v>46139.813888888893</v>
      </c>
      <c r="B908">
        <v>-573.05462542149087</v>
      </c>
      <c r="C908">
        <v>172224.19028756939</v>
      </c>
      <c r="D908">
        <v>71468.960730383886</v>
      </c>
      <c r="E908">
        <v>100755.22955718559</v>
      </c>
      <c r="F908">
        <v>0</v>
      </c>
      <c r="G908">
        <v>11605.50731832334</v>
      </c>
      <c r="H908">
        <v>11032.452692901839</v>
      </c>
      <c r="I908">
        <v>34444.838057513887</v>
      </c>
      <c r="J908">
        <v>23412.385364612041</v>
      </c>
    </row>
    <row r="909" spans="1:10">
      <c r="A909" s="1">
        <v>46139.814583333333</v>
      </c>
      <c r="B909">
        <v>-602.93780933890832</v>
      </c>
      <c r="C909">
        <v>172254.07347148689</v>
      </c>
      <c r="D909">
        <v>71468.960730383886</v>
      </c>
      <c r="E909">
        <v>100785.112741103</v>
      </c>
      <c r="F909">
        <v>0</v>
      </c>
      <c r="G909">
        <v>11605.50731832334</v>
      </c>
      <c r="H909">
        <v>11002.56950898443</v>
      </c>
      <c r="I909">
        <v>34450.814694297384</v>
      </c>
      <c r="J909">
        <v>23448.24518531295</v>
      </c>
    </row>
    <row r="910" spans="1:10">
      <c r="A910" s="1">
        <v>46139.81527777778</v>
      </c>
      <c r="B910">
        <v>-590.40461892283713</v>
      </c>
      <c r="C910">
        <v>172206.8402940681</v>
      </c>
      <c r="D910">
        <v>71451.610736882547</v>
      </c>
      <c r="E910">
        <v>100755.22955718559</v>
      </c>
      <c r="F910">
        <v>0</v>
      </c>
      <c r="G910">
        <v>11605.50731832334</v>
      </c>
      <c r="H910">
        <v>11015.102699400501</v>
      </c>
      <c r="I910">
        <v>34441.368058813619</v>
      </c>
      <c r="J910">
        <v>23426.265359413119</v>
      </c>
    </row>
    <row r="911" spans="1:10">
      <c r="A911" s="1">
        <v>46139.815972222219</v>
      </c>
      <c r="B911">
        <v>-596.95659927637416</v>
      </c>
      <c r="C911">
        <v>172243.75476304899</v>
      </c>
      <c r="D911">
        <v>71466.791981196206</v>
      </c>
      <c r="E911">
        <v>100776.9627818528</v>
      </c>
      <c r="F911">
        <v>0</v>
      </c>
      <c r="G911">
        <v>11605.50731832334</v>
      </c>
      <c r="H911">
        <v>11008.55071904696</v>
      </c>
      <c r="I911">
        <v>34448.750952609793</v>
      </c>
      <c r="J911">
        <v>23440.200233562831</v>
      </c>
    </row>
    <row r="912" spans="1:10">
      <c r="A912" s="1">
        <v>46139.816666666673</v>
      </c>
      <c r="B912">
        <v>-613.25651777678229</v>
      </c>
      <c r="C912">
        <v>172260.0546815494</v>
      </c>
      <c r="D912">
        <v>71466.791981196206</v>
      </c>
      <c r="E912">
        <v>100793.2627003532</v>
      </c>
      <c r="F912">
        <v>0</v>
      </c>
      <c r="G912">
        <v>11605.50731832334</v>
      </c>
      <c r="H912">
        <v>10992.25080054655</v>
      </c>
      <c r="I912">
        <v>34452.010936309867</v>
      </c>
      <c r="J912">
        <v>23459.760135763321</v>
      </c>
    </row>
    <row r="913" spans="1:10">
      <c r="A913" s="1">
        <v>46139.817361111112</v>
      </c>
      <c r="B913">
        <v>-572.07314960637882</v>
      </c>
      <c r="C913">
        <v>172322.971274387</v>
      </c>
      <c r="D913">
        <v>71518.841961700222</v>
      </c>
      <c r="E913">
        <v>100804.1293126868</v>
      </c>
      <c r="F913">
        <v>0</v>
      </c>
      <c r="G913">
        <v>11605.50731832334</v>
      </c>
      <c r="H913">
        <v>11033.43416871696</v>
      </c>
      <c r="I913">
        <v>34464.594254877396</v>
      </c>
      <c r="J913">
        <v>23431.160086160438</v>
      </c>
    </row>
    <row r="914" spans="1:10">
      <c r="A914" s="1">
        <v>46139.818055555559</v>
      </c>
      <c r="B914">
        <v>-550.33992493917299</v>
      </c>
      <c r="C914">
        <v>172301.2380497198</v>
      </c>
      <c r="D914">
        <v>71518.841961700222</v>
      </c>
      <c r="E914">
        <v>100782.3960880196</v>
      </c>
      <c r="F914">
        <v>0</v>
      </c>
      <c r="G914">
        <v>11605.50731832334</v>
      </c>
      <c r="H914">
        <v>11055.167393384159</v>
      </c>
      <c r="I914">
        <v>34460.247609943959</v>
      </c>
      <c r="J914">
        <v>23405.0802165598</v>
      </c>
    </row>
    <row r="915" spans="1:10">
      <c r="A915" s="1">
        <v>46139.818749999999</v>
      </c>
      <c r="B915">
        <v>-572.07314960637882</v>
      </c>
      <c r="C915">
        <v>172322.971274387</v>
      </c>
      <c r="D915">
        <v>71518.841961700222</v>
      </c>
      <c r="E915">
        <v>100804.1293126868</v>
      </c>
      <c r="F915">
        <v>0</v>
      </c>
      <c r="G915">
        <v>11605.50731832334</v>
      </c>
      <c r="H915">
        <v>11033.43416871696</v>
      </c>
      <c r="I915">
        <v>34464.594254877396</v>
      </c>
      <c r="J915">
        <v>23431.160086160438</v>
      </c>
    </row>
    <row r="916" spans="1:10">
      <c r="A916" s="1">
        <v>46139.819444444453</v>
      </c>
      <c r="B916">
        <v>-599.23968044039748</v>
      </c>
      <c r="C916">
        <v>172350.13780522099</v>
      </c>
      <c r="D916">
        <v>71518.841961700222</v>
      </c>
      <c r="E916">
        <v>100831.2958435208</v>
      </c>
      <c r="F916">
        <v>0</v>
      </c>
      <c r="G916">
        <v>11605.50731832334</v>
      </c>
      <c r="H916">
        <v>11006.26763788294</v>
      </c>
      <c r="I916">
        <v>34470.027561044197</v>
      </c>
      <c r="J916">
        <v>23463.759923161269</v>
      </c>
    </row>
    <row r="917" spans="1:10">
      <c r="A917" s="1">
        <v>46139.820138888892</v>
      </c>
      <c r="B917">
        <v>-563.55821762257733</v>
      </c>
      <c r="C917">
        <v>172483.61877904131</v>
      </c>
      <c r="D917">
        <v>71603.42318001925</v>
      </c>
      <c r="E917">
        <v>100880.195599022</v>
      </c>
      <c r="F917">
        <v>0</v>
      </c>
      <c r="G917">
        <v>11605.50731832334</v>
      </c>
      <c r="H917">
        <v>11041.94910070076</v>
      </c>
      <c r="I917">
        <v>34496.723755808249</v>
      </c>
      <c r="J917">
        <v>23454.774655107489</v>
      </c>
    </row>
    <row r="918" spans="1:10">
      <c r="A918" s="1">
        <v>46139.820833333331</v>
      </c>
      <c r="B918">
        <v>-552.69160528898215</v>
      </c>
      <c r="C918">
        <v>172472.75216670771</v>
      </c>
      <c r="D918">
        <v>71603.42318001925</v>
      </c>
      <c r="E918">
        <v>100869.3289866884</v>
      </c>
      <c r="F918">
        <v>0</v>
      </c>
      <c r="G918">
        <v>11605.50731832334</v>
      </c>
      <c r="H918">
        <v>11052.81571303435</v>
      </c>
      <c r="I918">
        <v>34494.55043334153</v>
      </c>
      <c r="J918">
        <v>23441.73472030718</v>
      </c>
    </row>
    <row r="919" spans="1:10">
      <c r="A919" s="1">
        <v>46139.821527777778</v>
      </c>
      <c r="B919">
        <v>0</v>
      </c>
      <c r="C919">
        <v>0</v>
      </c>
      <c r="D919">
        <v>0</v>
      </c>
      <c r="E919">
        <v>0</v>
      </c>
      <c r="F919">
        <v>-564.23526664313704</v>
      </c>
      <c r="G919">
        <v>11041.2720516802</v>
      </c>
      <c r="H919">
        <v>11041.2720516802</v>
      </c>
      <c r="I919">
        <v>0</v>
      </c>
      <c r="J919">
        <v>-11041.2720516802</v>
      </c>
    </row>
    <row r="920" spans="1:10">
      <c r="A920" s="1">
        <v>46141.795138888891</v>
      </c>
      <c r="B920">
        <v>0</v>
      </c>
      <c r="C920">
        <v>171286.78579861991</v>
      </c>
      <c r="D920">
        <v>71286.785798619836</v>
      </c>
      <c r="E920">
        <v>100000</v>
      </c>
      <c r="F920">
        <v>0</v>
      </c>
      <c r="G920">
        <v>11041.2720516802</v>
      </c>
      <c r="H920">
        <v>11041.2720516802</v>
      </c>
      <c r="I920">
        <v>34257.357159723972</v>
      </c>
      <c r="J920">
        <v>23216.085108043771</v>
      </c>
    </row>
    <row r="921" spans="1:10">
      <c r="A921" s="1">
        <v>46141.79583333333</v>
      </c>
      <c r="B921">
        <v>24.526676689703269</v>
      </c>
      <c r="C921">
        <v>171311.3124753095</v>
      </c>
      <c r="D921">
        <v>71311.312475309533</v>
      </c>
      <c r="E921">
        <v>100000</v>
      </c>
      <c r="F921">
        <v>0</v>
      </c>
      <c r="G921">
        <v>11041.2720516802</v>
      </c>
      <c r="H921">
        <v>11065.7987283699</v>
      </c>
      <c r="I921">
        <v>34262.262495061907</v>
      </c>
      <c r="J921">
        <v>23196.463766691999</v>
      </c>
    </row>
    <row r="922" spans="1:10">
      <c r="A922" s="1">
        <v>46141.796527777777</v>
      </c>
      <c r="B922">
        <v>7.7506964885102008</v>
      </c>
      <c r="C922">
        <v>171336.26401440729</v>
      </c>
      <c r="D922">
        <v>71315.400254757827</v>
      </c>
      <c r="E922">
        <v>100020.8637596495</v>
      </c>
      <c r="F922">
        <v>0</v>
      </c>
      <c r="G922">
        <v>11041.2720516802</v>
      </c>
      <c r="H922">
        <v>11049.022748168711</v>
      </c>
      <c r="I922">
        <v>34267.252802881463</v>
      </c>
      <c r="J922">
        <v>23218.230054712749</v>
      </c>
    </row>
    <row r="923" spans="1:10">
      <c r="A923" s="1">
        <v>46141.797222222223</v>
      </c>
      <c r="B923">
        <v>-60.759820428367007</v>
      </c>
      <c r="C923">
        <v>171372.07229573789</v>
      </c>
      <c r="D923">
        <v>71299.049136964677</v>
      </c>
      <c r="E923">
        <v>100073.0231587732</v>
      </c>
      <c r="F923">
        <v>0</v>
      </c>
      <c r="G923">
        <v>11041.2720516802</v>
      </c>
      <c r="H923">
        <v>10980.512231251831</v>
      </c>
      <c r="I923">
        <v>34274.414459147592</v>
      </c>
      <c r="J923">
        <v>23293.902227895749</v>
      </c>
    </row>
    <row r="924" spans="1:10">
      <c r="A924" s="1">
        <v>46141.79791666667</v>
      </c>
      <c r="B924">
        <v>-87.469604666166134</v>
      </c>
      <c r="C924">
        <v>171308.85093211351</v>
      </c>
      <c r="D924">
        <v>71254.083563033564</v>
      </c>
      <c r="E924">
        <v>100054.7673690799</v>
      </c>
      <c r="F924">
        <v>0</v>
      </c>
      <c r="G924">
        <v>11041.2720516802</v>
      </c>
      <c r="H924">
        <v>10953.80244701403</v>
      </c>
      <c r="I924">
        <v>34261.770186422698</v>
      </c>
      <c r="J924">
        <v>23307.967739408661</v>
      </c>
    </row>
    <row r="925" spans="1:10">
      <c r="A925" s="1">
        <v>46141.798611111109</v>
      </c>
      <c r="B925">
        <v>-87.469604666166134</v>
      </c>
      <c r="C925">
        <v>171308.85093211351</v>
      </c>
      <c r="D925">
        <v>71254.083563033564</v>
      </c>
      <c r="E925">
        <v>100054.7673690799</v>
      </c>
      <c r="F925">
        <v>0</v>
      </c>
      <c r="G925">
        <v>11041.2720516802</v>
      </c>
      <c r="H925">
        <v>10953.80244701403</v>
      </c>
      <c r="I925">
        <v>34261.770186422698</v>
      </c>
      <c r="J925">
        <v>23307.967739408661</v>
      </c>
    </row>
    <row r="926" spans="1:10">
      <c r="A926" s="1">
        <v>46141.799305555563</v>
      </c>
      <c r="B926">
        <v>-264.23306358248902</v>
      </c>
      <c r="C926">
        <v>171179.0309324085</v>
      </c>
      <c r="D926">
        <v>71100.791833722935</v>
      </c>
      <c r="E926">
        <v>100078.2390986856</v>
      </c>
      <c r="F926">
        <v>0</v>
      </c>
      <c r="G926">
        <v>11041.2720516802</v>
      </c>
      <c r="H926">
        <v>10777.038988097711</v>
      </c>
      <c r="I926">
        <v>34235.806186481706</v>
      </c>
      <c r="J926">
        <v>23458.767198384001</v>
      </c>
    </row>
    <row r="927" spans="1:10">
      <c r="A927" s="1">
        <v>46141.8</v>
      </c>
      <c r="B927">
        <v>-227.72148419588709</v>
      </c>
      <c r="C927">
        <v>171142.5193530219</v>
      </c>
      <c r="D927">
        <v>71100.791833722935</v>
      </c>
      <c r="E927">
        <v>100041.72751929901</v>
      </c>
      <c r="F927">
        <v>0</v>
      </c>
      <c r="G927">
        <v>11041.2720516802</v>
      </c>
      <c r="H927">
        <v>10813.55056748431</v>
      </c>
      <c r="I927">
        <v>34228.503870604392</v>
      </c>
      <c r="J927">
        <v>23414.95330312007</v>
      </c>
    </row>
    <row r="928" spans="1:10">
      <c r="A928" s="1">
        <v>46141.800694444442</v>
      </c>
      <c r="B928">
        <v>-314.05571946182482</v>
      </c>
      <c r="C928">
        <v>171004.02571863221</v>
      </c>
      <c r="D928">
        <v>70988.377898895124</v>
      </c>
      <c r="E928">
        <v>100015.6478197371</v>
      </c>
      <c r="F928">
        <v>0</v>
      </c>
      <c r="G928">
        <v>11041.2720516802</v>
      </c>
      <c r="H928">
        <v>10727.216332218381</v>
      </c>
      <c r="I928">
        <v>34200.805143726451</v>
      </c>
      <c r="J928">
        <v>23473.588811508071</v>
      </c>
    </row>
    <row r="929" spans="1:10">
      <c r="A929" s="1">
        <v>46141.801388888889</v>
      </c>
      <c r="B929">
        <v>-353.31448662858111</v>
      </c>
      <c r="C929">
        <v>171006.49447076439</v>
      </c>
      <c r="D929">
        <v>70969.982891377847</v>
      </c>
      <c r="E929">
        <v>100036.5115793866</v>
      </c>
      <c r="F929">
        <v>0</v>
      </c>
      <c r="G929">
        <v>11041.2720516802</v>
      </c>
      <c r="H929">
        <v>10687.95756505162</v>
      </c>
      <c r="I929">
        <v>34201.298894152889</v>
      </c>
      <c r="J929">
        <v>23513.341329101269</v>
      </c>
    </row>
    <row r="930" spans="1:10">
      <c r="A930" s="1">
        <v>46141.802083333343</v>
      </c>
      <c r="B930">
        <v>-429.49527771773688</v>
      </c>
      <c r="C930">
        <v>170784.26736212891</v>
      </c>
      <c r="D930">
        <v>70820.778941515498</v>
      </c>
      <c r="E930">
        <v>99963.488420613401</v>
      </c>
      <c r="F930">
        <v>0</v>
      </c>
      <c r="G930">
        <v>11041.2720516802</v>
      </c>
      <c r="H930">
        <v>10611.77677396246</v>
      </c>
      <c r="I930">
        <v>34156.853472425777</v>
      </c>
      <c r="J930">
        <v>23545.076698463319</v>
      </c>
    </row>
    <row r="931" spans="1:10">
      <c r="A931" s="1">
        <v>46141.802777777782</v>
      </c>
      <c r="B931">
        <v>-359.9298137168513</v>
      </c>
      <c r="C931">
        <v>170796.45748709369</v>
      </c>
      <c r="D931">
        <v>70861.656735998331</v>
      </c>
      <c r="E931">
        <v>99934.800751095347</v>
      </c>
      <c r="F931">
        <v>0</v>
      </c>
      <c r="G931">
        <v>11041.2720516802</v>
      </c>
      <c r="H931">
        <v>10681.34223796335</v>
      </c>
      <c r="I931">
        <v>34159.291497418737</v>
      </c>
      <c r="J931">
        <v>23477.949259455389</v>
      </c>
    </row>
    <row r="932" spans="1:10">
      <c r="A932" s="1">
        <v>46141.803472222222</v>
      </c>
      <c r="B932">
        <v>-278.45266039912292</v>
      </c>
      <c r="C932">
        <v>170804.91148163821</v>
      </c>
      <c r="D932">
        <v>70906.622309929458</v>
      </c>
      <c r="E932">
        <v>99898.289171708748</v>
      </c>
      <c r="F932">
        <v>0</v>
      </c>
      <c r="G932">
        <v>11041.2720516802</v>
      </c>
      <c r="H932">
        <v>10762.81939128108</v>
      </c>
      <c r="I932">
        <v>34160.982296327653</v>
      </c>
      <c r="J932">
        <v>23398.162905046571</v>
      </c>
    </row>
    <row r="933" spans="1:10">
      <c r="A933" s="1">
        <v>46141.804166666669</v>
      </c>
      <c r="B933">
        <v>-265.41281061818938</v>
      </c>
      <c r="C933">
        <v>170791.8716318573</v>
      </c>
      <c r="D933">
        <v>70906.622309929458</v>
      </c>
      <c r="E933">
        <v>99885.249321927811</v>
      </c>
      <c r="F933">
        <v>0</v>
      </c>
      <c r="G933">
        <v>11041.2720516802</v>
      </c>
      <c r="H933">
        <v>10775.859241062009</v>
      </c>
      <c r="I933">
        <v>34158.374326371457</v>
      </c>
      <c r="J933">
        <v>23382.515085309449</v>
      </c>
    </row>
    <row r="934" spans="1:10">
      <c r="A934" s="1">
        <v>46141.804861111108</v>
      </c>
      <c r="B934">
        <v>-400.30953241155731</v>
      </c>
      <c r="C934">
        <v>170656.9749100639</v>
      </c>
      <c r="D934">
        <v>70771.725588136091</v>
      </c>
      <c r="E934">
        <v>99885.249321927811</v>
      </c>
      <c r="F934">
        <v>0</v>
      </c>
      <c r="G934">
        <v>11041.2720516802</v>
      </c>
      <c r="H934">
        <v>10640.96251926864</v>
      </c>
      <c r="I934">
        <v>34131.394982012782</v>
      </c>
      <c r="J934">
        <v>23490.432462744138</v>
      </c>
    </row>
    <row r="935" spans="1:10">
      <c r="A935" s="1">
        <v>46141.805555555547</v>
      </c>
      <c r="B935">
        <v>-382.19296054222713</v>
      </c>
      <c r="C935">
        <v>170602.06832316</v>
      </c>
      <c r="D935">
        <v>70753.330580618815</v>
      </c>
      <c r="E935">
        <v>99848.737742541212</v>
      </c>
      <c r="F935">
        <v>0</v>
      </c>
      <c r="G935">
        <v>11041.2720516802</v>
      </c>
      <c r="H935">
        <v>10659.07909113797</v>
      </c>
      <c r="I935">
        <v>34120.413664631997</v>
      </c>
      <c r="J935">
        <v>23461.33457349403</v>
      </c>
    </row>
    <row r="936" spans="1:10">
      <c r="A936" s="1">
        <v>46141.806250000001</v>
      </c>
      <c r="B936">
        <v>-382.19296054222713</v>
      </c>
      <c r="C936">
        <v>170602.06832316</v>
      </c>
      <c r="D936">
        <v>70753.330580618815</v>
      </c>
      <c r="E936">
        <v>99848.737742541212</v>
      </c>
      <c r="F936">
        <v>0</v>
      </c>
      <c r="G936">
        <v>11041.2720516802</v>
      </c>
      <c r="H936">
        <v>10659.07909113797</v>
      </c>
      <c r="I936">
        <v>34120.413664631997</v>
      </c>
      <c r="J936">
        <v>23461.33457349403</v>
      </c>
    </row>
    <row r="937" spans="1:10">
      <c r="A937" s="1">
        <v>46141.806944444441</v>
      </c>
      <c r="B937">
        <v>-518.85513641178193</v>
      </c>
      <c r="C937">
        <v>170538.42930606371</v>
      </c>
      <c r="D937">
        <v>70653.179984135859</v>
      </c>
      <c r="E937">
        <v>99885.249321927811</v>
      </c>
      <c r="F937">
        <v>0</v>
      </c>
      <c r="G937">
        <v>11041.2720516802</v>
      </c>
      <c r="H937">
        <v>10522.416915268421</v>
      </c>
      <c r="I937">
        <v>34107.68586121274</v>
      </c>
      <c r="J937">
        <v>23585.268945944321</v>
      </c>
    </row>
    <row r="938" spans="1:10">
      <c r="A938" s="1">
        <v>46141.807638888888</v>
      </c>
      <c r="B938">
        <v>-435.19487554594292</v>
      </c>
      <c r="C938">
        <v>170585.5779875429</v>
      </c>
      <c r="D938">
        <v>70718.584455308403</v>
      </c>
      <c r="E938">
        <v>99866.993532234512</v>
      </c>
      <c r="F938">
        <v>0</v>
      </c>
      <c r="G938">
        <v>11041.2720516802</v>
      </c>
      <c r="H938">
        <v>10606.07717613426</v>
      </c>
      <c r="I938">
        <v>34117.115597508579</v>
      </c>
      <c r="J938">
        <v>23511.03842137432</v>
      </c>
    </row>
    <row r="939" spans="1:10">
      <c r="A939" s="1">
        <v>46141.808333333327</v>
      </c>
      <c r="B939">
        <v>-408.83674033613772</v>
      </c>
      <c r="C939">
        <v>170632.79988240221</v>
      </c>
      <c r="D939">
        <v>70755.374470342955</v>
      </c>
      <c r="E939">
        <v>99877.425412059267</v>
      </c>
      <c r="F939">
        <v>0</v>
      </c>
      <c r="G939">
        <v>11041.2720516802</v>
      </c>
      <c r="H939">
        <v>10632.435311344059</v>
      </c>
      <c r="I939">
        <v>34126.55997648045</v>
      </c>
      <c r="J939">
        <v>23494.124665136391</v>
      </c>
    </row>
    <row r="940" spans="1:10">
      <c r="A940" s="1">
        <v>46141.809027777781</v>
      </c>
      <c r="B940">
        <v>-413.13695098845272</v>
      </c>
      <c r="C940">
        <v>170649.3634313994</v>
      </c>
      <c r="D940">
        <v>70761.506139515375</v>
      </c>
      <c r="E940">
        <v>99887.857291883993</v>
      </c>
      <c r="F940">
        <v>0</v>
      </c>
      <c r="G940">
        <v>11041.2720516802</v>
      </c>
      <c r="H940">
        <v>10628.13510069175</v>
      </c>
      <c r="I940">
        <v>34129.872686279872</v>
      </c>
      <c r="J940">
        <v>23501.737585588129</v>
      </c>
    </row>
    <row r="941" spans="1:10">
      <c r="A941" s="1">
        <v>46141.80972222222</v>
      </c>
      <c r="B941">
        <v>-452.3225047751564</v>
      </c>
      <c r="C941">
        <v>170594.53005787561</v>
      </c>
      <c r="D941">
        <v>70714.496675860122</v>
      </c>
      <c r="E941">
        <v>99880.033382015448</v>
      </c>
      <c r="F941">
        <v>0</v>
      </c>
      <c r="G941">
        <v>11041.2720516802</v>
      </c>
      <c r="H941">
        <v>10588.94954690504</v>
      </c>
      <c r="I941">
        <v>34118.906011575113</v>
      </c>
      <c r="J941">
        <v>23529.956464670071</v>
      </c>
    </row>
    <row r="942" spans="1:10">
      <c r="A942" s="1">
        <v>46141.810416666667</v>
      </c>
      <c r="B942">
        <v>-524.07107632414943</v>
      </c>
      <c r="C942">
        <v>170543.64524597599</v>
      </c>
      <c r="D942">
        <v>70653.179984135859</v>
      </c>
      <c r="E942">
        <v>99890.465261840189</v>
      </c>
      <c r="F942">
        <v>0</v>
      </c>
      <c r="G942">
        <v>11041.2720516802</v>
      </c>
      <c r="H942">
        <v>10517.200975356051</v>
      </c>
      <c r="I942">
        <v>34108.729049195208</v>
      </c>
      <c r="J942">
        <v>23591.528073839159</v>
      </c>
    </row>
    <row r="943" spans="1:10">
      <c r="A943" s="1">
        <v>46141.811111111107</v>
      </c>
      <c r="B943">
        <v>-534.50295614889922</v>
      </c>
      <c r="C943">
        <v>170554.0771258008</v>
      </c>
      <c r="D943">
        <v>70653.179984135859</v>
      </c>
      <c r="E943">
        <v>99900.897141664929</v>
      </c>
      <c r="F943">
        <v>0</v>
      </c>
      <c r="G943">
        <v>11041.2720516802</v>
      </c>
      <c r="H943">
        <v>10506.769095531299</v>
      </c>
      <c r="I943">
        <v>34110.815425160159</v>
      </c>
      <c r="J943">
        <v>23604.046329628862</v>
      </c>
    </row>
    <row r="944" spans="1:10">
      <c r="A944" s="1">
        <v>46141.811805555553</v>
      </c>
      <c r="B944">
        <v>-560.58265571076618</v>
      </c>
      <c r="C944">
        <v>170580.15682536259</v>
      </c>
      <c r="D944">
        <v>70653.179984135859</v>
      </c>
      <c r="E944">
        <v>99926.976841226802</v>
      </c>
      <c r="F944">
        <v>0</v>
      </c>
      <c r="G944">
        <v>11041.2720516802</v>
      </c>
      <c r="H944">
        <v>10480.68939596943</v>
      </c>
      <c r="I944">
        <v>34116.031365072529</v>
      </c>
      <c r="J944">
        <v>23635.34196910309</v>
      </c>
    </row>
    <row r="945" spans="1:10">
      <c r="A945" s="1">
        <v>46141.8125</v>
      </c>
      <c r="B945">
        <v>-514.91378372362522</v>
      </c>
      <c r="C945">
        <v>170657.121336824</v>
      </c>
      <c r="D945">
        <v>70714.496675860122</v>
      </c>
      <c r="E945">
        <v>99942.62466096392</v>
      </c>
      <c r="F945">
        <v>0</v>
      </c>
      <c r="G945">
        <v>11041.2720516802</v>
      </c>
      <c r="H945">
        <v>10526.358267956581</v>
      </c>
      <c r="I945">
        <v>34131.424267364797</v>
      </c>
      <c r="J945">
        <v>23605.065999408231</v>
      </c>
    </row>
    <row r="946" spans="1:10">
      <c r="A946" s="1">
        <v>46141.813194444447</v>
      </c>
      <c r="B946">
        <v>-527.60198447654989</v>
      </c>
      <c r="C946">
        <v>170686.1606553701</v>
      </c>
      <c r="D946">
        <v>70722.672234756683</v>
      </c>
      <c r="E946">
        <v>99963.488420613401</v>
      </c>
      <c r="F946">
        <v>0</v>
      </c>
      <c r="G946">
        <v>11041.2720516802</v>
      </c>
      <c r="H946">
        <v>10513.67006720365</v>
      </c>
      <c r="I946">
        <v>34137.232131074023</v>
      </c>
      <c r="J946">
        <v>23623.562063870369</v>
      </c>
    </row>
    <row r="947" spans="1:10">
      <c r="A947" s="1">
        <v>46141.813888888893</v>
      </c>
      <c r="B947">
        <v>-688.85684147971142</v>
      </c>
      <c r="C947">
        <v>170504.04203871739</v>
      </c>
      <c r="D947">
        <v>70550.985497928763</v>
      </c>
      <c r="E947">
        <v>99953.056540788646</v>
      </c>
      <c r="F947">
        <v>0</v>
      </c>
      <c r="G947">
        <v>11041.2720516802</v>
      </c>
      <c r="H947">
        <v>10352.41521020049</v>
      </c>
      <c r="I947">
        <v>34100.808407743483</v>
      </c>
      <c r="J947">
        <v>23748.393197542999</v>
      </c>
    </row>
    <row r="948" spans="1:10">
      <c r="A948" s="1">
        <v>46141.814583333333</v>
      </c>
      <c r="B948">
        <v>-725.64685651426635</v>
      </c>
      <c r="C948">
        <v>170467.2520236829</v>
      </c>
      <c r="D948">
        <v>70514.195482894211</v>
      </c>
      <c r="E948">
        <v>99953.056540788646</v>
      </c>
      <c r="F948">
        <v>0</v>
      </c>
      <c r="G948">
        <v>11041.2720516802</v>
      </c>
      <c r="H948">
        <v>10315.625195165931</v>
      </c>
      <c r="I948">
        <v>34093.450404736577</v>
      </c>
      <c r="J948">
        <v>23777.825209570641</v>
      </c>
    </row>
    <row r="949" spans="1:10">
      <c r="A949" s="1">
        <v>46141.81527777778</v>
      </c>
      <c r="B949">
        <v>-673.48745739054721</v>
      </c>
      <c r="C949">
        <v>170415.0926245591</v>
      </c>
      <c r="D949">
        <v>70514.195482894211</v>
      </c>
      <c r="E949">
        <v>99900.897141664929</v>
      </c>
      <c r="F949">
        <v>0</v>
      </c>
      <c r="G949">
        <v>11041.2720516802</v>
      </c>
      <c r="H949">
        <v>10367.784594289649</v>
      </c>
      <c r="I949">
        <v>34083.018524911829</v>
      </c>
      <c r="J949">
        <v>23715.23393062218</v>
      </c>
    </row>
    <row r="950" spans="1:10">
      <c r="A950" s="1">
        <v>46141.815972222219</v>
      </c>
      <c r="B950">
        <v>-621.60649391478114</v>
      </c>
      <c r="C950">
        <v>170289.63163101429</v>
      </c>
      <c r="D950">
        <v>70477.405467859659</v>
      </c>
      <c r="E950">
        <v>99812.226163154613</v>
      </c>
      <c r="F950">
        <v>0</v>
      </c>
      <c r="G950">
        <v>11041.2720516802</v>
      </c>
      <c r="H950">
        <v>10419.66555776542</v>
      </c>
      <c r="I950">
        <v>34057.926326202862</v>
      </c>
      <c r="J950">
        <v>23638.260768437449</v>
      </c>
    </row>
    <row r="951" spans="1:10">
      <c r="A951" s="1">
        <v>46141.816666666673</v>
      </c>
      <c r="B951">
        <v>-689.97058407150848</v>
      </c>
      <c r="C951">
        <v>170210.83566103279</v>
      </c>
      <c r="D951">
        <v>70403.825437790554</v>
      </c>
      <c r="E951">
        <v>99807.010223242221</v>
      </c>
      <c r="F951">
        <v>0</v>
      </c>
      <c r="G951">
        <v>11041.2720516802</v>
      </c>
      <c r="H951">
        <v>10351.30146760869</v>
      </c>
      <c r="I951">
        <v>34042.167132206552</v>
      </c>
      <c r="J951">
        <v>23690.865664597859</v>
      </c>
    </row>
    <row r="952" spans="1:10">
      <c r="A952" s="1">
        <v>46141.817361111112</v>
      </c>
      <c r="B952">
        <v>-671.64158099814017</v>
      </c>
      <c r="C952">
        <v>170135.27774568339</v>
      </c>
      <c r="D952">
        <v>70375.210981652563</v>
      </c>
      <c r="E952">
        <v>99760.066764030882</v>
      </c>
      <c r="F952">
        <v>0</v>
      </c>
      <c r="G952">
        <v>11041.2720516802</v>
      </c>
      <c r="H952">
        <v>10369.630470682059</v>
      </c>
      <c r="I952">
        <v>34027.05554913669</v>
      </c>
      <c r="J952">
        <v>23657.425078454631</v>
      </c>
    </row>
    <row r="953" spans="1:10">
      <c r="A953" s="1">
        <v>46141.818055555559</v>
      </c>
      <c r="B953">
        <v>-633.02010744348343</v>
      </c>
      <c r="C953">
        <v>170194.76297888759</v>
      </c>
      <c r="D953">
        <v>70424.26433503197</v>
      </c>
      <c r="E953">
        <v>99770.498643855623</v>
      </c>
      <c r="F953">
        <v>0</v>
      </c>
      <c r="G953">
        <v>11041.2720516802</v>
      </c>
      <c r="H953">
        <v>10408.251944236719</v>
      </c>
      <c r="I953">
        <v>34038.952595777519</v>
      </c>
      <c r="J953">
        <v>23630.700651540799</v>
      </c>
    </row>
    <row r="954" spans="1:10">
      <c r="A954" s="1">
        <v>46141.818749999999</v>
      </c>
      <c r="B954">
        <v>-640.492368284029</v>
      </c>
      <c r="C954">
        <v>170218.5863575213</v>
      </c>
      <c r="D954">
        <v>70432.439893928546</v>
      </c>
      <c r="E954">
        <v>99786.14646359274</v>
      </c>
      <c r="F954">
        <v>0</v>
      </c>
      <c r="G954">
        <v>11041.2720516802</v>
      </c>
      <c r="H954">
        <v>10400.779683396169</v>
      </c>
      <c r="I954">
        <v>34043.717271504262</v>
      </c>
      <c r="J954">
        <v>23642.937588108089</v>
      </c>
    </row>
    <row r="955" spans="1:10">
      <c r="A955" s="1">
        <v>46141.819444444453</v>
      </c>
      <c r="B955">
        <v>-799.21967764723843</v>
      </c>
      <c r="C955">
        <v>170242.4169450911</v>
      </c>
      <c r="D955">
        <v>70364.991533031862</v>
      </c>
      <c r="E955">
        <v>99877.425412059267</v>
      </c>
      <c r="F955">
        <v>0</v>
      </c>
      <c r="G955">
        <v>11041.2720516802</v>
      </c>
      <c r="H955">
        <v>10242.052374032961</v>
      </c>
      <c r="I955">
        <v>34048.483389018227</v>
      </c>
      <c r="J955">
        <v>23806.431014985272</v>
      </c>
    </row>
    <row r="956" spans="1:10">
      <c r="A956" s="1">
        <v>46141.820138888892</v>
      </c>
      <c r="B956">
        <v>-846.2291413024933</v>
      </c>
      <c r="C956">
        <v>170195.40748143589</v>
      </c>
      <c r="D956">
        <v>70317.982069376594</v>
      </c>
      <c r="E956">
        <v>99877.425412059267</v>
      </c>
      <c r="F956">
        <v>0</v>
      </c>
      <c r="G956">
        <v>11041.2720516802</v>
      </c>
      <c r="H956">
        <v>10195.04291037771</v>
      </c>
      <c r="I956">
        <v>34039.081496287166</v>
      </c>
      <c r="J956">
        <v>23844.038585909471</v>
      </c>
    </row>
    <row r="957" spans="1:10">
      <c r="A957" s="1">
        <v>46141.820833333331</v>
      </c>
      <c r="B957">
        <v>-737.26569231086899</v>
      </c>
      <c r="C957">
        <v>170241.77965147901</v>
      </c>
      <c r="D957">
        <v>70395.649878893993</v>
      </c>
      <c r="E957">
        <v>99846.129772585031</v>
      </c>
      <c r="F957">
        <v>0</v>
      </c>
      <c r="G957">
        <v>11041.2720516802</v>
      </c>
      <c r="H957">
        <v>10304.00635936933</v>
      </c>
      <c r="I957">
        <v>34048.355930295809</v>
      </c>
      <c r="J957">
        <v>23744.349570926479</v>
      </c>
    </row>
    <row r="958" spans="1:10">
      <c r="A958" s="1">
        <v>46141.821527777778</v>
      </c>
      <c r="B958">
        <v>-749.10416824764434</v>
      </c>
      <c r="C958">
        <v>170188.21365624329</v>
      </c>
      <c r="D958">
        <v>70362.947643307722</v>
      </c>
      <c r="E958">
        <v>99825.266012935535</v>
      </c>
      <c r="F958">
        <v>0</v>
      </c>
      <c r="G958">
        <v>11041.2720516802</v>
      </c>
      <c r="H958">
        <v>10292.167883432559</v>
      </c>
      <c r="I958">
        <v>34037.642731248663</v>
      </c>
      <c r="J958">
        <v>23745.474847816098</v>
      </c>
    </row>
    <row r="959" spans="1:10">
      <c r="A959" s="1">
        <v>46141.822222222218</v>
      </c>
      <c r="B959">
        <v>-707.37664894867498</v>
      </c>
      <c r="C959">
        <v>170146.4861369443</v>
      </c>
      <c r="D959">
        <v>70362.947643307722</v>
      </c>
      <c r="E959">
        <v>99783.538493636559</v>
      </c>
      <c r="F959">
        <v>0</v>
      </c>
      <c r="G959">
        <v>11041.2720516802</v>
      </c>
      <c r="H959">
        <v>10333.895402731519</v>
      </c>
      <c r="I959">
        <v>34029.297227388852</v>
      </c>
      <c r="J959">
        <v>23695.401824657329</v>
      </c>
    </row>
    <row r="960" spans="1:10">
      <c r="A960" s="1">
        <v>46141.822916666657</v>
      </c>
      <c r="B960">
        <v>-870.9610402600822</v>
      </c>
      <c r="C960">
        <v>170040.27708466901</v>
      </c>
      <c r="D960">
        <v>70228.050921514354</v>
      </c>
      <c r="E960">
        <v>99812.226163154613</v>
      </c>
      <c r="F960">
        <v>0</v>
      </c>
      <c r="G960">
        <v>11041.2720516802</v>
      </c>
      <c r="H960">
        <v>10170.311011420121</v>
      </c>
      <c r="I960">
        <v>34008.055416933799</v>
      </c>
      <c r="J960">
        <v>23837.74440551368</v>
      </c>
    </row>
    <row r="961" spans="1:10">
      <c r="A961" s="1">
        <v>46141.823611111111</v>
      </c>
      <c r="B961">
        <v>-818.37677872828681</v>
      </c>
      <c r="C961">
        <v>169946.8150286543</v>
      </c>
      <c r="D961">
        <v>70207.612024272938</v>
      </c>
      <c r="E961">
        <v>99739.203004381387</v>
      </c>
      <c r="F961">
        <v>0</v>
      </c>
      <c r="G961">
        <v>11041.2720516802</v>
      </c>
      <c r="H961">
        <v>10222.89527295191</v>
      </c>
      <c r="I961">
        <v>33989.363005730869</v>
      </c>
      <c r="J961">
        <v>23766.46773277895</v>
      </c>
    </row>
    <row r="962" spans="1:10">
      <c r="A962" s="1">
        <v>46141.824305555558</v>
      </c>
      <c r="B962">
        <v>-725.7644475297941</v>
      </c>
      <c r="C962">
        <v>169976.83608090441</v>
      </c>
      <c r="D962">
        <v>70268.928715997186</v>
      </c>
      <c r="E962">
        <v>99707.907364907151</v>
      </c>
      <c r="F962">
        <v>0</v>
      </c>
      <c r="G962">
        <v>11041.2720516802</v>
      </c>
      <c r="H962">
        <v>10315.507604150411</v>
      </c>
      <c r="I962">
        <v>33995.367216180872</v>
      </c>
      <c r="J962">
        <v>23679.859612030461</v>
      </c>
    </row>
    <row r="963" spans="1:10">
      <c r="A963" s="1">
        <v>46141.824999999997</v>
      </c>
      <c r="B963">
        <v>0</v>
      </c>
      <c r="C963">
        <v>0</v>
      </c>
      <c r="D963">
        <v>0</v>
      </c>
      <c r="E963">
        <v>0</v>
      </c>
      <c r="F963">
        <v>-679.27237433094285</v>
      </c>
      <c r="G963">
        <v>10361.99967734926</v>
      </c>
      <c r="H963">
        <v>10361.99967734926</v>
      </c>
      <c r="I963">
        <v>0</v>
      </c>
      <c r="J963">
        <v>-10361.99967734926</v>
      </c>
    </row>
    <row r="964" spans="1:10">
      <c r="A964" s="1">
        <v>46142.604166666657</v>
      </c>
      <c r="B964">
        <v>0</v>
      </c>
      <c r="C964">
        <v>171286.78579861979</v>
      </c>
      <c r="D964">
        <v>99999.999999999985</v>
      </c>
      <c r="E964">
        <v>71286.785798619836</v>
      </c>
      <c r="F964">
        <v>0</v>
      </c>
      <c r="G964">
        <v>10361.99967734926</v>
      </c>
      <c r="H964">
        <v>10361.99967734926</v>
      </c>
      <c r="I964">
        <v>34257.357159723957</v>
      </c>
      <c r="J964">
        <v>23895.357482374711</v>
      </c>
    </row>
    <row r="965" spans="1:10">
      <c r="A965" s="1">
        <v>46142.604861111111</v>
      </c>
      <c r="B965">
        <v>139.48499583829769</v>
      </c>
      <c r="C965">
        <v>171893.80652069769</v>
      </c>
      <c r="D965">
        <v>100373.25285895811</v>
      </c>
      <c r="E965">
        <v>71520.553661739614</v>
      </c>
      <c r="F965">
        <v>0</v>
      </c>
      <c r="G965">
        <v>10361.99967734926</v>
      </c>
      <c r="H965">
        <v>10501.48467318756</v>
      </c>
      <c r="I965">
        <v>34378.761304139531</v>
      </c>
      <c r="J965">
        <v>23877.276630951979</v>
      </c>
    </row>
    <row r="966" spans="1:10">
      <c r="A966" s="1">
        <v>46142.605555555558</v>
      </c>
      <c r="B966">
        <v>-197.27799692927729</v>
      </c>
      <c r="C966">
        <v>172045.26667568469</v>
      </c>
      <c r="D966">
        <v>100280.6014400678</v>
      </c>
      <c r="E966">
        <v>71764.665235616878</v>
      </c>
      <c r="F966">
        <v>0</v>
      </c>
      <c r="G966">
        <v>10361.99967734926</v>
      </c>
      <c r="H966">
        <v>10164.72168041998</v>
      </c>
      <c r="I966">
        <v>34409.05333513693</v>
      </c>
      <c r="J966">
        <v>24244.331654716949</v>
      </c>
    </row>
    <row r="967" spans="1:10">
      <c r="A967" s="1">
        <v>46142.606249999997</v>
      </c>
      <c r="B967">
        <v>155.3556721727966</v>
      </c>
      <c r="C967">
        <v>172534.4373267859</v>
      </c>
      <c r="D967">
        <v>100701.5036001694</v>
      </c>
      <c r="E967">
        <v>71832.933726616466</v>
      </c>
      <c r="F967">
        <v>0</v>
      </c>
      <c r="G967">
        <v>10361.99967734926</v>
      </c>
      <c r="H967">
        <v>10517.355349522049</v>
      </c>
      <c r="I967">
        <v>34506.887465357177</v>
      </c>
      <c r="J967">
        <v>23989.532115835122</v>
      </c>
    </row>
    <row r="968" spans="1:10">
      <c r="A968" s="1">
        <v>46142.606944444437</v>
      </c>
      <c r="B968">
        <v>213.2680283681577</v>
      </c>
      <c r="C968">
        <v>173101.2602522508</v>
      </c>
      <c r="D968">
        <v>101013.87124099959</v>
      </c>
      <c r="E968">
        <v>72087.389011251245</v>
      </c>
      <c r="F968">
        <v>0</v>
      </c>
      <c r="G968">
        <v>10361.99967734926</v>
      </c>
      <c r="H968">
        <v>10575.267705717421</v>
      </c>
      <c r="I968">
        <v>34620.252050450174</v>
      </c>
      <c r="J968">
        <v>24044.984344732751</v>
      </c>
    </row>
    <row r="969" spans="1:10">
      <c r="A969" s="1">
        <v>46142.607638888891</v>
      </c>
      <c r="B969">
        <v>285.52511630598661</v>
      </c>
      <c r="C969">
        <v>173463.14124139899</v>
      </c>
      <c r="D969">
        <v>101230.9402795426</v>
      </c>
      <c r="E969">
        <v>72232.200961856419</v>
      </c>
      <c r="F969">
        <v>0</v>
      </c>
      <c r="G969">
        <v>10361.99967734926</v>
      </c>
      <c r="H969">
        <v>10647.524793655241</v>
      </c>
      <c r="I969">
        <v>34692.628248279798</v>
      </c>
      <c r="J969">
        <v>24045.10345462455</v>
      </c>
    </row>
    <row r="970" spans="1:10">
      <c r="A970" s="1">
        <v>46142.60833333333</v>
      </c>
      <c r="B970">
        <v>425.57307363018958</v>
      </c>
      <c r="C970">
        <v>173090.14114515061</v>
      </c>
      <c r="D970">
        <v>101114.46421008051</v>
      </c>
      <c r="E970">
        <v>71975.676935070122</v>
      </c>
      <c r="F970">
        <v>0</v>
      </c>
      <c r="G970">
        <v>10361.99967734926</v>
      </c>
      <c r="H970">
        <v>10787.572750979451</v>
      </c>
      <c r="I970">
        <v>34618.028229030118</v>
      </c>
      <c r="J970">
        <v>23830.45547805067</v>
      </c>
    </row>
    <row r="971" spans="1:10">
      <c r="A971" s="1">
        <v>46142.609027777777</v>
      </c>
      <c r="B971">
        <v>-79.260503115678375</v>
      </c>
      <c r="C971">
        <v>173992.05223142641</v>
      </c>
      <c r="D971">
        <v>101313.00296484539</v>
      </c>
      <c r="E971">
        <v>72679.049266580929</v>
      </c>
      <c r="F971">
        <v>0</v>
      </c>
      <c r="G971">
        <v>10361.99967734926</v>
      </c>
      <c r="H971">
        <v>10282.73917423358</v>
      </c>
      <c r="I971">
        <v>34798.41044628527</v>
      </c>
      <c r="J971">
        <v>24515.671272051692</v>
      </c>
    </row>
    <row r="972" spans="1:10">
      <c r="A972" s="1">
        <v>46142.609722222223</v>
      </c>
      <c r="B972">
        <v>-184.76635284229681</v>
      </c>
      <c r="C972">
        <v>174097.55808115299</v>
      </c>
      <c r="D972">
        <v>101313.00296484539</v>
      </c>
      <c r="E972">
        <v>72784.555116307543</v>
      </c>
      <c r="F972">
        <v>0</v>
      </c>
      <c r="G972">
        <v>10361.99967734926</v>
      </c>
      <c r="H972">
        <v>10177.23332450696</v>
      </c>
      <c r="I972">
        <v>34819.511616230593</v>
      </c>
      <c r="J972">
        <v>24642.278291723629</v>
      </c>
    </row>
    <row r="973" spans="1:10">
      <c r="A973" s="1">
        <v>46142.61041666667</v>
      </c>
      <c r="B973">
        <v>-159.94144702426749</v>
      </c>
      <c r="C973">
        <v>174072.7331753349</v>
      </c>
      <c r="D973">
        <v>101313.00296484539</v>
      </c>
      <c r="E973">
        <v>72759.730210489506</v>
      </c>
      <c r="F973">
        <v>0</v>
      </c>
      <c r="G973">
        <v>10361.99967734926</v>
      </c>
      <c r="H973">
        <v>10202.05823032499</v>
      </c>
      <c r="I973">
        <v>34814.546635066989</v>
      </c>
      <c r="J973">
        <v>24612.488404741998</v>
      </c>
    </row>
    <row r="974" spans="1:10">
      <c r="A974" s="1">
        <v>46142.611111111109</v>
      </c>
      <c r="B974">
        <v>7.9197578099594921</v>
      </c>
      <c r="C974">
        <v>174153.7072098061</v>
      </c>
      <c r="D974">
        <v>101437.4205844981</v>
      </c>
      <c r="E974">
        <v>72716.28662530797</v>
      </c>
      <c r="F974">
        <v>0</v>
      </c>
      <c r="G974">
        <v>10361.99967734926</v>
      </c>
      <c r="H974">
        <v>10369.91943515922</v>
      </c>
      <c r="I974">
        <v>34830.741441961218</v>
      </c>
      <c r="J974">
        <v>24460.822006801998</v>
      </c>
    </row>
    <row r="975" spans="1:10">
      <c r="A975" s="1">
        <v>46142.611805555563</v>
      </c>
      <c r="B975">
        <v>137.63174425638289</v>
      </c>
      <c r="C975">
        <v>174283.41919625251</v>
      </c>
      <c r="D975">
        <v>101567.13257094449</v>
      </c>
      <c r="E975">
        <v>72716.28662530797</v>
      </c>
      <c r="F975">
        <v>0</v>
      </c>
      <c r="G975">
        <v>10361.99967734926</v>
      </c>
      <c r="H975">
        <v>10499.63142160564</v>
      </c>
      <c r="I975">
        <v>34856.683839250487</v>
      </c>
      <c r="J975">
        <v>24357.052417644849</v>
      </c>
    </row>
    <row r="976" spans="1:10">
      <c r="A976" s="1">
        <v>46142.612500000003</v>
      </c>
      <c r="B976">
        <v>177.15496415871601</v>
      </c>
      <c r="C976">
        <v>173905.05650155139</v>
      </c>
      <c r="D976">
        <v>101397.7128335451</v>
      </c>
      <c r="E976">
        <v>72507.34366800623</v>
      </c>
      <c r="F976">
        <v>0</v>
      </c>
      <c r="G976">
        <v>10361.99967734926</v>
      </c>
      <c r="H976">
        <v>10539.15464150797</v>
      </c>
      <c r="I976">
        <v>34781.011300310267</v>
      </c>
      <c r="J976">
        <v>24241.856658802299</v>
      </c>
    </row>
    <row r="977" spans="1:10">
      <c r="A977" s="1">
        <v>46142.613194444442</v>
      </c>
      <c r="B977">
        <v>0.46825327926308091</v>
      </c>
      <c r="C977">
        <v>174187.6305483054</v>
      </c>
      <c r="D977">
        <v>101450.6565014824</v>
      </c>
      <c r="E977">
        <v>72736.974046823001</v>
      </c>
      <c r="F977">
        <v>0</v>
      </c>
      <c r="G977">
        <v>10361.99967734926</v>
      </c>
      <c r="H977">
        <v>10362.46793062852</v>
      </c>
      <c r="I977">
        <v>34837.526109661077</v>
      </c>
      <c r="J977">
        <v>24475.05817903257</v>
      </c>
    </row>
    <row r="978" spans="1:10">
      <c r="A978" s="1">
        <v>46142.613888888889</v>
      </c>
      <c r="B978">
        <v>119.59150613821789</v>
      </c>
      <c r="C978">
        <v>174306.75380116439</v>
      </c>
      <c r="D978">
        <v>101569.77975434141</v>
      </c>
      <c r="E978">
        <v>72736.974046823001</v>
      </c>
      <c r="F978">
        <v>0</v>
      </c>
      <c r="G978">
        <v>10361.99967734926</v>
      </c>
      <c r="H978">
        <v>10481.591183487481</v>
      </c>
      <c r="I978">
        <v>34861.350760232883</v>
      </c>
      <c r="J978">
        <v>24379.759576745411</v>
      </c>
    </row>
    <row r="979" spans="1:10">
      <c r="A979" s="1">
        <v>46142.614583333343</v>
      </c>
      <c r="B979">
        <v>65.627419028231316</v>
      </c>
      <c r="C979">
        <v>174434.83902338659</v>
      </c>
      <c r="D979">
        <v>101606.8403218975</v>
      </c>
      <c r="E979">
        <v>72827.998701489094</v>
      </c>
      <c r="F979">
        <v>0</v>
      </c>
      <c r="G979">
        <v>10361.99967734926</v>
      </c>
      <c r="H979">
        <v>10427.62709637749</v>
      </c>
      <c r="I979">
        <v>34886.967804677319</v>
      </c>
      <c r="J979">
        <v>24459.340708299831</v>
      </c>
    </row>
    <row r="980" spans="1:10">
      <c r="A980" s="1">
        <v>46142.615277777782</v>
      </c>
      <c r="B980">
        <v>105.3351699812263</v>
      </c>
      <c r="C980">
        <v>174474.5467743396</v>
      </c>
      <c r="D980">
        <v>101646.54807285051</v>
      </c>
      <c r="E980">
        <v>72827.998701489094</v>
      </c>
      <c r="F980">
        <v>0</v>
      </c>
      <c r="G980">
        <v>10361.99967734926</v>
      </c>
      <c r="H980">
        <v>10467.33484733048</v>
      </c>
      <c r="I980">
        <v>34894.909354867923</v>
      </c>
      <c r="J980">
        <v>24427.574507537429</v>
      </c>
    </row>
    <row r="981" spans="1:10">
      <c r="A981" s="1">
        <v>46142.615972222222</v>
      </c>
      <c r="B981">
        <v>88.96202394012289</v>
      </c>
      <c r="C981">
        <v>174416.79878526839</v>
      </c>
      <c r="D981">
        <v>101609.4875052944</v>
      </c>
      <c r="E981">
        <v>72807.311279974077</v>
      </c>
      <c r="F981">
        <v>0</v>
      </c>
      <c r="G981">
        <v>10361.99967734926</v>
      </c>
      <c r="H981">
        <v>10450.96170128938</v>
      </c>
      <c r="I981">
        <v>34883.359757053688</v>
      </c>
      <c r="J981">
        <v>24432.398055764312</v>
      </c>
    </row>
    <row r="982" spans="1:10">
      <c r="A982" s="1">
        <v>46142.616666666669</v>
      </c>
      <c r="B982">
        <v>126.6894283270753</v>
      </c>
      <c r="C982">
        <v>174421.42631523139</v>
      </c>
      <c r="D982">
        <v>101630.6649724693</v>
      </c>
      <c r="E982">
        <v>72790.761342762053</v>
      </c>
      <c r="F982">
        <v>0</v>
      </c>
      <c r="G982">
        <v>10361.99967734926</v>
      </c>
      <c r="H982">
        <v>10488.689105676331</v>
      </c>
      <c r="I982">
        <v>34884.285263046273</v>
      </c>
      <c r="J982">
        <v>24395.596157369939</v>
      </c>
    </row>
    <row r="983" spans="1:10">
      <c r="A983" s="1">
        <v>46142.617361111108</v>
      </c>
      <c r="B983">
        <v>0</v>
      </c>
      <c r="C983">
        <v>0</v>
      </c>
      <c r="D983">
        <v>0</v>
      </c>
      <c r="E983">
        <v>0</v>
      </c>
      <c r="F983">
        <v>173.3854730832422</v>
      </c>
      <c r="G983">
        <v>10535.385150432499</v>
      </c>
      <c r="H983">
        <v>10535.385150432499</v>
      </c>
      <c r="I983">
        <v>0</v>
      </c>
      <c r="J983">
        <v>-10535.385150432499</v>
      </c>
    </row>
    <row r="984" spans="1:10">
      <c r="A984" s="1">
        <v>46143.604166666657</v>
      </c>
      <c r="B984">
        <v>0</v>
      </c>
      <c r="C984">
        <v>171286.78579861991</v>
      </c>
      <c r="D984">
        <v>100000</v>
      </c>
      <c r="E984">
        <v>71286.785798619836</v>
      </c>
      <c r="F984">
        <v>0</v>
      </c>
      <c r="G984">
        <v>10535.385150432499</v>
      </c>
      <c r="H984">
        <v>10535.385150432499</v>
      </c>
      <c r="I984">
        <v>34257.357159723972</v>
      </c>
      <c r="J984">
        <v>23721.972009291469</v>
      </c>
    </row>
    <row r="985" spans="1:10">
      <c r="A985" s="1">
        <v>46143.604861111111</v>
      </c>
      <c r="B985">
        <v>744.87840390546012</v>
      </c>
      <c r="C985">
        <v>171232.7536814156</v>
      </c>
      <c r="D985">
        <v>100345.42314335061</v>
      </c>
      <c r="E985">
        <v>70887.330538064984</v>
      </c>
      <c r="F985">
        <v>0</v>
      </c>
      <c r="G985">
        <v>10535.385150432499</v>
      </c>
      <c r="H985">
        <v>11280.26355433796</v>
      </c>
      <c r="I985">
        <v>34246.550736283119</v>
      </c>
      <c r="J985">
        <v>22966.287181945161</v>
      </c>
    </row>
    <row r="986" spans="1:10">
      <c r="A986" s="1">
        <v>46143.605555555558</v>
      </c>
      <c r="B986">
        <v>0</v>
      </c>
      <c r="C986">
        <v>0</v>
      </c>
      <c r="D986">
        <v>0</v>
      </c>
      <c r="E986">
        <v>0</v>
      </c>
      <c r="F986">
        <v>1357.366014888654</v>
      </c>
      <c r="G986">
        <v>11892.75116532115</v>
      </c>
      <c r="H986">
        <v>11892.75116532115</v>
      </c>
      <c r="I986">
        <v>0</v>
      </c>
      <c r="J986">
        <v>-11892.75116532115</v>
      </c>
    </row>
    <row r="987" spans="1:10">
      <c r="A987" s="1">
        <v>46147.604861111111</v>
      </c>
      <c r="B987">
        <v>0</v>
      </c>
      <c r="C987">
        <v>171286.78579861991</v>
      </c>
      <c r="D987">
        <v>100000</v>
      </c>
      <c r="E987">
        <v>71286.785798619836</v>
      </c>
      <c r="F987">
        <v>0</v>
      </c>
      <c r="G987">
        <v>11892.75116532115</v>
      </c>
      <c r="H987">
        <v>11892.75116532115</v>
      </c>
      <c r="I987">
        <v>34257.357159723972</v>
      </c>
      <c r="J987">
        <v>22364.60599440282</v>
      </c>
    </row>
    <row r="988" spans="1:10">
      <c r="A988" s="1">
        <v>46147.605555555558</v>
      </c>
      <c r="B988">
        <v>204.88961193357571</v>
      </c>
      <c r="C988">
        <v>171060.96364181209</v>
      </c>
      <c r="D988">
        <v>99989.533727562914</v>
      </c>
      <c r="E988">
        <v>71071.42991424918</v>
      </c>
      <c r="F988">
        <v>0</v>
      </c>
      <c r="G988">
        <v>11892.75116532115</v>
      </c>
      <c r="H988">
        <v>12097.64077725473</v>
      </c>
      <c r="I988">
        <v>34212.192728362417</v>
      </c>
      <c r="J988">
        <v>22114.551951107689</v>
      </c>
    </row>
    <row r="989" spans="1:10">
      <c r="A989" s="1">
        <v>46147.606249999997</v>
      </c>
      <c r="B989">
        <v>34.81268483116915</v>
      </c>
      <c r="C989">
        <v>170890.88671470969</v>
      </c>
      <c r="D989">
        <v>99819.45680046051</v>
      </c>
      <c r="E989">
        <v>71071.42991424918</v>
      </c>
      <c r="F989">
        <v>0</v>
      </c>
      <c r="G989">
        <v>11892.75116532115</v>
      </c>
      <c r="H989">
        <v>11927.563850152321</v>
      </c>
      <c r="I989">
        <v>34178.177342941941</v>
      </c>
      <c r="J989">
        <v>22250.61349278962</v>
      </c>
    </row>
    <row r="990" spans="1:10">
      <c r="A990" s="1">
        <v>46147.606944444437</v>
      </c>
      <c r="B990">
        <v>-116.86048815263349</v>
      </c>
      <c r="C990">
        <v>171058.2592963491</v>
      </c>
      <c r="D990">
        <v>99827.306504788314</v>
      </c>
      <c r="E990">
        <v>71230.952791560776</v>
      </c>
      <c r="F990">
        <v>0</v>
      </c>
      <c r="G990">
        <v>11892.75116532115</v>
      </c>
      <c r="H990">
        <v>11775.89067716852</v>
      </c>
      <c r="I990">
        <v>34211.651859269819</v>
      </c>
      <c r="J990">
        <v>22435.761182101302</v>
      </c>
    </row>
    <row r="991" spans="1:10">
      <c r="A991" s="1">
        <v>46147.607638888891</v>
      </c>
      <c r="B991">
        <v>58.449575168318958</v>
      </c>
      <c r="C991">
        <v>171233.56935966999</v>
      </c>
      <c r="D991">
        <v>100002.6165681093</v>
      </c>
      <c r="E991">
        <v>71230.952791560776</v>
      </c>
      <c r="F991">
        <v>0</v>
      </c>
      <c r="G991">
        <v>11892.75116532115</v>
      </c>
      <c r="H991">
        <v>11951.20074048947</v>
      </c>
      <c r="I991">
        <v>34246.713871934007</v>
      </c>
      <c r="J991">
        <v>22295.513131444539</v>
      </c>
    </row>
    <row r="992" spans="1:10">
      <c r="A992" s="1">
        <v>46147.60833333333</v>
      </c>
      <c r="B992">
        <v>47.983302731242063</v>
      </c>
      <c r="C992">
        <v>171223.103087233</v>
      </c>
      <c r="D992">
        <v>99992.150295672182</v>
      </c>
      <c r="E992">
        <v>71230.952791560776</v>
      </c>
      <c r="F992">
        <v>0</v>
      </c>
      <c r="G992">
        <v>11892.75116532115</v>
      </c>
      <c r="H992">
        <v>11940.734468052389</v>
      </c>
      <c r="I992">
        <v>34244.620617446599</v>
      </c>
      <c r="J992">
        <v>22303.886149394199</v>
      </c>
    </row>
    <row r="993" spans="1:10">
      <c r="A993" s="1">
        <v>46147.609027777777</v>
      </c>
      <c r="B993">
        <v>-169.1918503379882</v>
      </c>
      <c r="C993">
        <v>171005.92793416369</v>
      </c>
      <c r="D993">
        <v>99774.975142602954</v>
      </c>
      <c r="E993">
        <v>71230.952791560776</v>
      </c>
      <c r="F993">
        <v>0</v>
      </c>
      <c r="G993">
        <v>11892.75116532115</v>
      </c>
      <c r="H993">
        <v>11723.559314983169</v>
      </c>
      <c r="I993">
        <v>34201.185586832748</v>
      </c>
      <c r="J993">
        <v>22477.626271849578</v>
      </c>
    </row>
    <row r="994" spans="1:10">
      <c r="A994" s="1">
        <v>46147.609722222223</v>
      </c>
      <c r="B994">
        <v>-169.1918503379882</v>
      </c>
      <c r="C994">
        <v>171005.92793416369</v>
      </c>
      <c r="D994">
        <v>99774.975142602954</v>
      </c>
      <c r="E994">
        <v>71230.952791560776</v>
      </c>
      <c r="F994">
        <v>0</v>
      </c>
      <c r="G994">
        <v>11892.75116532115</v>
      </c>
      <c r="H994">
        <v>11723.559314983169</v>
      </c>
      <c r="I994">
        <v>34201.185586832748</v>
      </c>
      <c r="J994">
        <v>22477.626271849578</v>
      </c>
    </row>
    <row r="995" spans="1:10">
      <c r="A995" s="1">
        <v>46147.61041666667</v>
      </c>
      <c r="B995">
        <v>249.45904714487921</v>
      </c>
      <c r="C995">
        <v>171424.57883164659</v>
      </c>
      <c r="D995">
        <v>100193.6260400858</v>
      </c>
      <c r="E995">
        <v>71230.952791560776</v>
      </c>
      <c r="F995">
        <v>0</v>
      </c>
      <c r="G995">
        <v>11892.75116532115</v>
      </c>
      <c r="H995">
        <v>12142.21021246603</v>
      </c>
      <c r="I995">
        <v>34284.915766329323</v>
      </c>
      <c r="J995">
        <v>22142.705553863289</v>
      </c>
    </row>
    <row r="996" spans="1:10">
      <c r="A996" s="1">
        <v>46147.611111111109</v>
      </c>
      <c r="B996">
        <v>-293.18128033611629</v>
      </c>
      <c r="C996">
        <v>172082.34815593541</v>
      </c>
      <c r="D996">
        <v>100251.1905384897</v>
      </c>
      <c r="E996">
        <v>71831.157617445657</v>
      </c>
      <c r="F996">
        <v>0</v>
      </c>
      <c r="G996">
        <v>11892.75116532115</v>
      </c>
      <c r="H996">
        <v>11599.56988498504</v>
      </c>
      <c r="I996">
        <v>34416.469631187072</v>
      </c>
      <c r="J996">
        <v>22816.899746202031</v>
      </c>
    </row>
    <row r="997" spans="1:10">
      <c r="A997" s="1">
        <v>46147.611805555563</v>
      </c>
      <c r="B997">
        <v>-501.52420941336271</v>
      </c>
      <c r="C997">
        <v>171997.63545677459</v>
      </c>
      <c r="D997">
        <v>100104.6627243707</v>
      </c>
      <c r="E997">
        <v>71892.972732403912</v>
      </c>
      <c r="F997">
        <v>0</v>
      </c>
      <c r="G997">
        <v>11892.75116532115</v>
      </c>
      <c r="H997">
        <v>11391.22695590779</v>
      </c>
      <c r="I997">
        <v>34399.527091354918</v>
      </c>
      <c r="J997">
        <v>23008.300135447131</v>
      </c>
    </row>
    <row r="998" spans="1:10">
      <c r="A998" s="1">
        <v>46147.612500000003</v>
      </c>
      <c r="B998">
        <v>-496.29107319481682</v>
      </c>
      <c r="C998">
        <v>172002.86859299321</v>
      </c>
      <c r="D998">
        <v>100109.8958605893</v>
      </c>
      <c r="E998">
        <v>71892.972732403912</v>
      </c>
      <c r="F998">
        <v>0</v>
      </c>
      <c r="G998">
        <v>11892.75116532115</v>
      </c>
      <c r="H998">
        <v>11396.460092126341</v>
      </c>
      <c r="I998">
        <v>34400.573718598644</v>
      </c>
      <c r="J998">
        <v>23004.113626472299</v>
      </c>
    </row>
    <row r="999" spans="1:10">
      <c r="A999" s="1">
        <v>46147.613194444442</v>
      </c>
      <c r="B999">
        <v>-536.17179252271364</v>
      </c>
      <c r="C999">
        <v>172042.7493123211</v>
      </c>
      <c r="D999">
        <v>100109.8958605893</v>
      </c>
      <c r="E999">
        <v>71932.853451731804</v>
      </c>
      <c r="F999">
        <v>0</v>
      </c>
      <c r="G999">
        <v>11892.75116532115</v>
      </c>
      <c r="H999">
        <v>11356.57937279844</v>
      </c>
      <c r="I999">
        <v>34408.549862464213</v>
      </c>
      <c r="J999">
        <v>23051.970489665771</v>
      </c>
    </row>
    <row r="1000" spans="1:10">
      <c r="A1000" s="1">
        <v>46147.613888888889</v>
      </c>
      <c r="B1000">
        <v>-536.17179252271364</v>
      </c>
      <c r="C1000">
        <v>172042.7493123211</v>
      </c>
      <c r="D1000">
        <v>100109.8958605893</v>
      </c>
      <c r="E1000">
        <v>71932.853451731804</v>
      </c>
      <c r="F1000">
        <v>0</v>
      </c>
      <c r="G1000">
        <v>11892.75116532115</v>
      </c>
      <c r="H1000">
        <v>11356.57937279844</v>
      </c>
      <c r="I1000">
        <v>34408.549862464213</v>
      </c>
      <c r="J1000">
        <v>23051.970489665771</v>
      </c>
    </row>
    <row r="1001" spans="1:10">
      <c r="A1001" s="1">
        <v>46147.614583333343</v>
      </c>
      <c r="B1001">
        <v>-632.98481256562661</v>
      </c>
      <c r="C1001">
        <v>171945.93629227809</v>
      </c>
      <c r="D1001">
        <v>100013.0828405463</v>
      </c>
      <c r="E1001">
        <v>71932.853451731804</v>
      </c>
      <c r="F1001">
        <v>0</v>
      </c>
      <c r="G1001">
        <v>11892.75116532115</v>
      </c>
      <c r="H1001">
        <v>11259.766352755531</v>
      </c>
      <c r="I1001">
        <v>34389.187258455633</v>
      </c>
      <c r="J1001">
        <v>23129.42090570011</v>
      </c>
    </row>
    <row r="1002" spans="1:10">
      <c r="A1002" s="1">
        <v>46147.615277777782</v>
      </c>
      <c r="B1002">
        <v>-632.98481256562661</v>
      </c>
      <c r="C1002">
        <v>171945.93629227809</v>
      </c>
      <c r="D1002">
        <v>100013.0828405463</v>
      </c>
      <c r="E1002">
        <v>71932.853451731804</v>
      </c>
      <c r="F1002">
        <v>0</v>
      </c>
      <c r="G1002">
        <v>11892.75116532115</v>
      </c>
      <c r="H1002">
        <v>11259.766352755531</v>
      </c>
      <c r="I1002">
        <v>34389.187258455633</v>
      </c>
      <c r="J1002">
        <v>23129.42090570011</v>
      </c>
    </row>
    <row r="1003" spans="1:10">
      <c r="A1003" s="1">
        <v>46147.615972222222</v>
      </c>
      <c r="B1003">
        <v>-680.08303853245025</v>
      </c>
      <c r="C1003">
        <v>171898.83806631129</v>
      </c>
      <c r="D1003">
        <v>99965.984614579516</v>
      </c>
      <c r="E1003">
        <v>71932.853451731804</v>
      </c>
      <c r="F1003">
        <v>0</v>
      </c>
      <c r="G1003">
        <v>11892.75116532115</v>
      </c>
      <c r="H1003">
        <v>11212.6681267887</v>
      </c>
      <c r="I1003">
        <v>34379.767613262273</v>
      </c>
      <c r="J1003">
        <v>23167.099486473558</v>
      </c>
    </row>
    <row r="1004" spans="1:10">
      <c r="A1004" s="1">
        <v>46147.616666666669</v>
      </c>
      <c r="B1004">
        <v>-475.99072600956242</v>
      </c>
      <c r="C1004">
        <v>172102.93037883419</v>
      </c>
      <c r="D1004">
        <v>100170.0769271024</v>
      </c>
      <c r="E1004">
        <v>71932.853451731804</v>
      </c>
      <c r="F1004">
        <v>0</v>
      </c>
      <c r="G1004">
        <v>11892.75116532115</v>
      </c>
      <c r="H1004">
        <v>11416.760439311591</v>
      </c>
      <c r="I1004">
        <v>34420.586075766842</v>
      </c>
      <c r="J1004">
        <v>23003.825636455251</v>
      </c>
    </row>
    <row r="1005" spans="1:10">
      <c r="A1005" s="1">
        <v>46147.617361111108</v>
      </c>
      <c r="B1005">
        <v>-536.17179252271364</v>
      </c>
      <c r="C1005">
        <v>172042.7493123211</v>
      </c>
      <c r="D1005">
        <v>100109.8958605893</v>
      </c>
      <c r="E1005">
        <v>71932.853451731804</v>
      </c>
      <c r="F1005">
        <v>0</v>
      </c>
      <c r="G1005">
        <v>11892.75116532115</v>
      </c>
      <c r="H1005">
        <v>11356.57937279844</v>
      </c>
      <c r="I1005">
        <v>34408.549862464213</v>
      </c>
      <c r="J1005">
        <v>23051.970489665771</v>
      </c>
    </row>
    <row r="1006" spans="1:10">
      <c r="A1006" s="1">
        <v>46147.618055555547</v>
      </c>
      <c r="B1006">
        <v>-546.63806495979054</v>
      </c>
      <c r="C1006">
        <v>172032.283039884</v>
      </c>
      <c r="D1006">
        <v>100099.4295881522</v>
      </c>
      <c r="E1006">
        <v>71932.853451731804</v>
      </c>
      <c r="F1006">
        <v>0</v>
      </c>
      <c r="G1006">
        <v>11892.75116532115</v>
      </c>
      <c r="H1006">
        <v>11346.113100361359</v>
      </c>
      <c r="I1006">
        <v>34406.456607976797</v>
      </c>
      <c r="J1006">
        <v>23060.343507615431</v>
      </c>
    </row>
    <row r="1007" spans="1:10">
      <c r="A1007" s="1">
        <v>46147.618750000001</v>
      </c>
      <c r="B1007">
        <v>-324.29822193373889</v>
      </c>
      <c r="C1007">
        <v>171768.07810710961</v>
      </c>
      <c r="D1007">
        <v>100078.497043278</v>
      </c>
      <c r="E1007">
        <v>71689.581063831618</v>
      </c>
      <c r="F1007">
        <v>0</v>
      </c>
      <c r="G1007">
        <v>11892.75116532115</v>
      </c>
      <c r="H1007">
        <v>11568.45294338741</v>
      </c>
      <c r="I1007">
        <v>34353.61562142193</v>
      </c>
      <c r="J1007">
        <v>22785.162678034521</v>
      </c>
    </row>
    <row r="1008" spans="1:10">
      <c r="A1008" s="1">
        <v>46147.619444444441</v>
      </c>
      <c r="B1008">
        <v>-324.29822193373889</v>
      </c>
      <c r="C1008">
        <v>171768.07810710961</v>
      </c>
      <c r="D1008">
        <v>100078.497043278</v>
      </c>
      <c r="E1008">
        <v>71689.581063831618</v>
      </c>
      <c r="F1008">
        <v>0</v>
      </c>
      <c r="G1008">
        <v>11892.75116532115</v>
      </c>
      <c r="H1008">
        <v>11568.45294338741</v>
      </c>
      <c r="I1008">
        <v>34353.61562142193</v>
      </c>
      <c r="J1008">
        <v>22785.162678034521</v>
      </c>
    </row>
    <row r="1009" spans="1:10">
      <c r="A1009" s="1">
        <v>46147.620138888888</v>
      </c>
      <c r="B1009">
        <v>0</v>
      </c>
      <c r="C1009">
        <v>0</v>
      </c>
      <c r="D1009">
        <v>0</v>
      </c>
      <c r="E1009">
        <v>0</v>
      </c>
      <c r="F1009">
        <v>-38.610233834384672</v>
      </c>
      <c r="G1009">
        <v>11854.140931486771</v>
      </c>
      <c r="H1009">
        <v>11854.140931486771</v>
      </c>
      <c r="I1009">
        <v>0</v>
      </c>
      <c r="J1009">
        <v>-11854.140931486771</v>
      </c>
    </row>
    <row r="1010" spans="1:10">
      <c r="A1010" s="1">
        <v>46149.604166666657</v>
      </c>
      <c r="B1010">
        <v>0</v>
      </c>
      <c r="C1010">
        <v>171286.78579861979</v>
      </c>
      <c r="D1010">
        <v>99999.999999999985</v>
      </c>
      <c r="E1010">
        <v>71286.785798619836</v>
      </c>
      <c r="F1010">
        <v>0</v>
      </c>
      <c r="G1010">
        <v>11854.140931486771</v>
      </c>
      <c r="H1010">
        <v>11854.140931486771</v>
      </c>
      <c r="I1010">
        <v>34257.357159723957</v>
      </c>
      <c r="J1010">
        <v>22403.21622823719</v>
      </c>
    </row>
    <row r="1011" spans="1:10">
      <c r="A1011" s="1">
        <v>46149.604861111111</v>
      </c>
      <c r="B1011">
        <v>674.52236936092288</v>
      </c>
      <c r="C1011">
        <v>171122.24125630991</v>
      </c>
      <c r="D1011">
        <v>100254.98891352551</v>
      </c>
      <c r="E1011">
        <v>70867.252342784413</v>
      </c>
      <c r="F1011">
        <v>0</v>
      </c>
      <c r="G1011">
        <v>11854.140931486771</v>
      </c>
      <c r="H1011">
        <v>12528.663300847689</v>
      </c>
      <c r="I1011">
        <v>34224.44825126198</v>
      </c>
      <c r="J1011">
        <v>21695.784950414291</v>
      </c>
    </row>
    <row r="1012" spans="1:10">
      <c r="A1012" s="1">
        <v>46149.605555555558</v>
      </c>
      <c r="B1012">
        <v>735.49797911701216</v>
      </c>
      <c r="C1012">
        <v>171183.21686606601</v>
      </c>
      <c r="D1012">
        <v>100315.9645232816</v>
      </c>
      <c r="E1012">
        <v>70867.252342784413</v>
      </c>
      <c r="F1012">
        <v>0</v>
      </c>
      <c r="G1012">
        <v>11854.140931486771</v>
      </c>
      <c r="H1012">
        <v>12589.63891060378</v>
      </c>
      <c r="I1012">
        <v>34236.643373213199</v>
      </c>
      <c r="J1012">
        <v>21647.00446260942</v>
      </c>
    </row>
    <row r="1013" spans="1:10">
      <c r="A1013" s="1">
        <v>46149.606249999997</v>
      </c>
      <c r="B1013">
        <v>868.53567313032102</v>
      </c>
      <c r="C1013">
        <v>171316.25456007931</v>
      </c>
      <c r="D1013">
        <v>100449.0022172949</v>
      </c>
      <c r="E1013">
        <v>70867.252342784413</v>
      </c>
      <c r="F1013">
        <v>0</v>
      </c>
      <c r="G1013">
        <v>11854.140931486771</v>
      </c>
      <c r="H1013">
        <v>12722.676604617091</v>
      </c>
      <c r="I1013">
        <v>34263.250912015857</v>
      </c>
      <c r="J1013">
        <v>21540.57430739878</v>
      </c>
    </row>
    <row r="1014" spans="1:10">
      <c r="A1014" s="1">
        <v>46149.606944444437</v>
      </c>
      <c r="B1014">
        <v>901.7950966336482</v>
      </c>
      <c r="C1014">
        <v>171349.51398358261</v>
      </c>
      <c r="D1014">
        <v>100482.2616407982</v>
      </c>
      <c r="E1014">
        <v>70867.252342784413</v>
      </c>
      <c r="F1014">
        <v>0</v>
      </c>
      <c r="G1014">
        <v>11854.140931486771</v>
      </c>
      <c r="H1014">
        <v>12755.936028120421</v>
      </c>
      <c r="I1014">
        <v>34269.902796716517</v>
      </c>
      <c r="J1014">
        <v>21513.96676859611</v>
      </c>
    </row>
    <row r="1015" spans="1:10">
      <c r="A1015" s="1">
        <v>46149.607638888891</v>
      </c>
      <c r="B1015">
        <v>665.31755887026293</v>
      </c>
      <c r="C1015">
        <v>171719.0292153593</v>
      </c>
      <c r="D1015">
        <v>100548.78048780491</v>
      </c>
      <c r="E1015">
        <v>71170.248727554441</v>
      </c>
      <c r="F1015">
        <v>0</v>
      </c>
      <c r="G1015">
        <v>11854.140931486771</v>
      </c>
      <c r="H1015">
        <v>12519.45849035703</v>
      </c>
      <c r="I1015">
        <v>34343.805843071859</v>
      </c>
      <c r="J1015">
        <v>21824.347352714831</v>
      </c>
    </row>
    <row r="1016" spans="1:10">
      <c r="A1016" s="1">
        <v>46149.60833333333</v>
      </c>
      <c r="B1016">
        <v>698.57698237359023</v>
      </c>
      <c r="C1016">
        <v>171752.28863886261</v>
      </c>
      <c r="D1016">
        <v>100582.03991130819</v>
      </c>
      <c r="E1016">
        <v>71170.248727554441</v>
      </c>
      <c r="F1016">
        <v>0</v>
      </c>
      <c r="G1016">
        <v>11854.140931486771</v>
      </c>
      <c r="H1016">
        <v>12552.717913860361</v>
      </c>
      <c r="I1016">
        <v>34350.457727772533</v>
      </c>
      <c r="J1016">
        <v>21797.739813912169</v>
      </c>
    </row>
    <row r="1017" spans="1:10">
      <c r="A1017" s="1">
        <v>46149.609027777777</v>
      </c>
      <c r="B1017">
        <v>413.85795565985569</v>
      </c>
      <c r="C1017">
        <v>172192.2183085919</v>
      </c>
      <c r="D1017">
        <v>100659.64523281599</v>
      </c>
      <c r="E1017">
        <v>71532.573075775945</v>
      </c>
      <c r="F1017">
        <v>0</v>
      </c>
      <c r="G1017">
        <v>11854.140931486771</v>
      </c>
      <c r="H1017">
        <v>12267.998887146619</v>
      </c>
      <c r="I1017">
        <v>34438.443661718382</v>
      </c>
      <c r="J1017">
        <v>22170.444774571759</v>
      </c>
    </row>
    <row r="1018" spans="1:10">
      <c r="A1018" s="1">
        <v>46149.609722222223</v>
      </c>
      <c r="B1018">
        <v>430.48766741151928</v>
      </c>
      <c r="C1018">
        <v>172208.8480203436</v>
      </c>
      <c r="D1018">
        <v>100676.2749445676</v>
      </c>
      <c r="E1018">
        <v>71532.573075775945</v>
      </c>
      <c r="F1018">
        <v>0</v>
      </c>
      <c r="G1018">
        <v>11854.140931486771</v>
      </c>
      <c r="H1018">
        <v>12284.628598898291</v>
      </c>
      <c r="I1018">
        <v>34441.769604068722</v>
      </c>
      <c r="J1018">
        <v>22157.14100517043</v>
      </c>
    </row>
    <row r="1019" spans="1:10">
      <c r="A1019" s="1">
        <v>46149.61041666667</v>
      </c>
      <c r="B1019">
        <v>330.70939690153779</v>
      </c>
      <c r="C1019">
        <v>172109.06974983361</v>
      </c>
      <c r="D1019">
        <v>100576.49667405761</v>
      </c>
      <c r="E1019">
        <v>71532.573075775945</v>
      </c>
      <c r="F1019">
        <v>0</v>
      </c>
      <c r="G1019">
        <v>11854.140931486771</v>
      </c>
      <c r="H1019">
        <v>12184.850328388309</v>
      </c>
      <c r="I1019">
        <v>34421.813949966723</v>
      </c>
      <c r="J1019">
        <v>22236.963621578408</v>
      </c>
    </row>
    <row r="1020" spans="1:10">
      <c r="A1020" s="1">
        <v>46149.611111111109</v>
      </c>
      <c r="B1020">
        <v>242.0176008926704</v>
      </c>
      <c r="C1020">
        <v>172020.3779538247</v>
      </c>
      <c r="D1020">
        <v>100487.8048780488</v>
      </c>
      <c r="E1020">
        <v>71532.573075775945</v>
      </c>
      <c r="F1020">
        <v>0</v>
      </c>
      <c r="G1020">
        <v>11854.140931486771</v>
      </c>
      <c r="H1020">
        <v>12096.158532379441</v>
      </c>
      <c r="I1020">
        <v>34404.075590764944</v>
      </c>
      <c r="J1020">
        <v>22307.917058385501</v>
      </c>
    </row>
    <row r="1021" spans="1:10">
      <c r="A1021" s="1">
        <v>46149.611805555563</v>
      </c>
      <c r="B1021">
        <v>269.73378714544839</v>
      </c>
      <c r="C1021">
        <v>172048.0941400775</v>
      </c>
      <c r="D1021">
        <v>100515.5210643015</v>
      </c>
      <c r="E1021">
        <v>71532.573075775945</v>
      </c>
      <c r="F1021">
        <v>0</v>
      </c>
      <c r="G1021">
        <v>11854.140931486771</v>
      </c>
      <c r="H1021">
        <v>12123.87471863222</v>
      </c>
      <c r="I1021">
        <v>34409.618828015497</v>
      </c>
      <c r="J1021">
        <v>22285.744109383279</v>
      </c>
    </row>
    <row r="1022" spans="1:10">
      <c r="A1022" s="1">
        <v>46149.612500000003</v>
      </c>
      <c r="B1022">
        <v>425.88684922681949</v>
      </c>
      <c r="C1022">
        <v>171958.4599250028</v>
      </c>
      <c r="D1022">
        <v>100548.78048780491</v>
      </c>
      <c r="E1022">
        <v>71409.67943719789</v>
      </c>
      <c r="F1022">
        <v>0</v>
      </c>
      <c r="G1022">
        <v>11854.140931486771</v>
      </c>
      <c r="H1022">
        <v>12280.02778071359</v>
      </c>
      <c r="I1022">
        <v>34391.691985000558</v>
      </c>
      <c r="J1022">
        <v>22111.664204286972</v>
      </c>
    </row>
    <row r="1023" spans="1:10">
      <c r="A1023" s="1">
        <v>46149.613194444442</v>
      </c>
      <c r="B1023">
        <v>337.0449786337814</v>
      </c>
      <c r="C1023">
        <v>171958.60999958689</v>
      </c>
      <c r="D1023">
        <v>100504.4345898004</v>
      </c>
      <c r="E1023">
        <v>71454.17540978649</v>
      </c>
      <c r="F1023">
        <v>0</v>
      </c>
      <c r="G1023">
        <v>11854.140931486771</v>
      </c>
      <c r="H1023">
        <v>12191.18591012055</v>
      </c>
      <c r="I1023">
        <v>34391.72199991739</v>
      </c>
      <c r="J1023">
        <v>22200.536089796838</v>
      </c>
    </row>
    <row r="1024" spans="1:10">
      <c r="A1024" s="1">
        <v>46149.613888888889</v>
      </c>
      <c r="B1024">
        <v>442.36648639431229</v>
      </c>
      <c r="C1024">
        <v>172063.93150734741</v>
      </c>
      <c r="D1024">
        <v>100609.756097561</v>
      </c>
      <c r="E1024">
        <v>71454.17540978649</v>
      </c>
      <c r="F1024">
        <v>0</v>
      </c>
      <c r="G1024">
        <v>11854.140931486771</v>
      </c>
      <c r="H1024">
        <v>12296.507417881079</v>
      </c>
      <c r="I1024">
        <v>34412.786301469489</v>
      </c>
      <c r="J1024">
        <v>22116.278883588409</v>
      </c>
    </row>
    <row r="1025" spans="1:10">
      <c r="A1025" s="1">
        <v>46149.614583333343</v>
      </c>
      <c r="B1025">
        <v>0</v>
      </c>
      <c r="C1025">
        <v>0</v>
      </c>
      <c r="D1025">
        <v>0</v>
      </c>
      <c r="E1025">
        <v>0</v>
      </c>
      <c r="F1025">
        <v>631.04314866488915</v>
      </c>
      <c r="G1025">
        <v>12485.184080151659</v>
      </c>
      <c r="H1025">
        <v>12485.184080151659</v>
      </c>
      <c r="I1025">
        <v>0</v>
      </c>
      <c r="J1025">
        <v>-12485.184080151659</v>
      </c>
    </row>
    <row r="1026" spans="1:10">
      <c r="A1026" s="1">
        <v>46150.605555555558</v>
      </c>
      <c r="B1026">
        <v>0</v>
      </c>
      <c r="C1026">
        <v>171286.78579861991</v>
      </c>
      <c r="D1026">
        <v>100000</v>
      </c>
      <c r="E1026">
        <v>71286.785798619836</v>
      </c>
      <c r="F1026">
        <v>0</v>
      </c>
      <c r="G1026">
        <v>12485.184080151659</v>
      </c>
      <c r="H1026">
        <v>12485.184080151659</v>
      </c>
      <c r="I1026">
        <v>34257.357159723972</v>
      </c>
      <c r="J1026">
        <v>21772.173079572309</v>
      </c>
    </row>
    <row r="1027" spans="1:10">
      <c r="A1027" s="1">
        <v>46150.606249999997</v>
      </c>
      <c r="B1027">
        <v>123.6584580811068</v>
      </c>
      <c r="C1027">
        <v>171444.31272992541</v>
      </c>
      <c r="D1027">
        <v>100140.5926946933</v>
      </c>
      <c r="E1027">
        <v>71303.720035232036</v>
      </c>
      <c r="F1027">
        <v>0</v>
      </c>
      <c r="G1027">
        <v>12485.184080151659</v>
      </c>
      <c r="H1027">
        <v>12608.84253823276</v>
      </c>
      <c r="I1027">
        <v>34288.862545985066</v>
      </c>
      <c r="J1027">
        <v>21680.020007752311</v>
      </c>
    </row>
    <row r="1028" spans="1:10">
      <c r="A1028" s="1">
        <v>46150.606944444437</v>
      </c>
      <c r="B1028">
        <v>-8.664078100841726</v>
      </c>
      <c r="C1028">
        <v>171311.9901937434</v>
      </c>
      <c r="D1028">
        <v>100008.2701585114</v>
      </c>
      <c r="E1028">
        <v>71303.720035232036</v>
      </c>
      <c r="F1028">
        <v>0</v>
      </c>
      <c r="G1028">
        <v>12485.184080151659</v>
      </c>
      <c r="H1028">
        <v>12476.52000205082</v>
      </c>
      <c r="I1028">
        <v>34262.398038748681</v>
      </c>
      <c r="J1028">
        <v>21785.878036697861</v>
      </c>
    </row>
    <row r="1029" spans="1:10">
      <c r="A1029" s="1">
        <v>46150.607638888891</v>
      </c>
      <c r="B1029">
        <v>0</v>
      </c>
      <c r="C1029">
        <v>0</v>
      </c>
      <c r="D1029">
        <v>0</v>
      </c>
      <c r="E1029">
        <v>0</v>
      </c>
      <c r="F1029">
        <v>477.01767881483738</v>
      </c>
      <c r="G1029">
        <v>12962.20175896649</v>
      </c>
      <c r="H1029">
        <v>12962.20175896649</v>
      </c>
      <c r="I1029">
        <v>0</v>
      </c>
      <c r="J1029">
        <v>-12962.20175896649</v>
      </c>
    </row>
    <row r="1030" spans="1:10">
      <c r="A1030" s="1">
        <v>46168.604166666657</v>
      </c>
      <c r="B1030">
        <v>0</v>
      </c>
      <c r="C1030">
        <v>175386.18284002121</v>
      </c>
      <c r="D1030">
        <v>100000</v>
      </c>
      <c r="E1030">
        <v>75386.182840021196</v>
      </c>
      <c r="F1030">
        <v>0</v>
      </c>
      <c r="G1030">
        <v>12962.20175896649</v>
      </c>
      <c r="H1030">
        <v>12962.20175896649</v>
      </c>
      <c r="I1030">
        <v>35077.236568004242</v>
      </c>
      <c r="J1030">
        <v>22115.034809037748</v>
      </c>
    </row>
    <row r="1031" spans="1:10">
      <c r="A1031" s="1">
        <v>46168.604861111111</v>
      </c>
      <c r="B1031">
        <v>-403.96131799360148</v>
      </c>
      <c r="C1031">
        <v>176152.81442327009</v>
      </c>
      <c r="D1031">
        <v>100181.3351326277</v>
      </c>
      <c r="E1031">
        <v>75971.47929064247</v>
      </c>
      <c r="F1031">
        <v>0</v>
      </c>
      <c r="G1031">
        <v>12962.20175896649</v>
      </c>
      <c r="H1031">
        <v>12558.24044097289</v>
      </c>
      <c r="I1031">
        <v>35230.562884654028</v>
      </c>
      <c r="J1031">
        <v>22672.32244368114</v>
      </c>
    </row>
    <row r="1032" spans="1:10">
      <c r="A1032" s="1">
        <v>46168.605555555558</v>
      </c>
      <c r="B1032">
        <v>52.288655600950023</v>
      </c>
      <c r="C1032">
        <v>175932.72183170231</v>
      </c>
      <c r="D1032">
        <v>100299.41382364109</v>
      </c>
      <c r="E1032">
        <v>75633.308008061285</v>
      </c>
      <c r="F1032">
        <v>0</v>
      </c>
      <c r="G1032">
        <v>12962.20175896649</v>
      </c>
      <c r="H1032">
        <v>13014.490414567441</v>
      </c>
      <c r="I1032">
        <v>35186.544366340473</v>
      </c>
      <c r="J1032">
        <v>22172.053951773021</v>
      </c>
    </row>
    <row r="1033" spans="1:10">
      <c r="A1033" s="1">
        <v>46168.606249999997</v>
      </c>
      <c r="B1033">
        <v>39.081169316466969</v>
      </c>
      <c r="C1033">
        <v>176114.61316229159</v>
      </c>
      <c r="D1033">
        <v>100383.7557457934</v>
      </c>
      <c r="E1033">
        <v>75730.857416498169</v>
      </c>
      <c r="F1033">
        <v>0</v>
      </c>
      <c r="G1033">
        <v>12962.20175896649</v>
      </c>
      <c r="H1033">
        <v>13001.282928282961</v>
      </c>
      <c r="I1033">
        <v>35222.922632458321</v>
      </c>
      <c r="J1033">
        <v>22221.639704175359</v>
      </c>
    </row>
    <row r="1034" spans="1:10">
      <c r="A1034" s="1">
        <v>46168.606944444437</v>
      </c>
      <c r="B1034">
        <v>-331.60658274367421</v>
      </c>
      <c r="C1034">
        <v>176485.3009143518</v>
      </c>
      <c r="D1034">
        <v>100383.7557457934</v>
      </c>
      <c r="E1034">
        <v>76101.54516855831</v>
      </c>
      <c r="F1034">
        <v>0</v>
      </c>
      <c r="G1034">
        <v>12962.20175896649</v>
      </c>
      <c r="H1034">
        <v>12630.59517622282</v>
      </c>
      <c r="I1034">
        <v>35297.060182870358</v>
      </c>
      <c r="J1034">
        <v>22666.465006647541</v>
      </c>
    </row>
    <row r="1035" spans="1:10">
      <c r="A1035" s="1">
        <v>46168.607638888891</v>
      </c>
      <c r="B1035">
        <v>-353.75796168793812</v>
      </c>
      <c r="C1035">
        <v>176541.18906215701</v>
      </c>
      <c r="D1035">
        <v>100400.62413022391</v>
      </c>
      <c r="E1035">
        <v>76140.56493193307</v>
      </c>
      <c r="F1035">
        <v>0</v>
      </c>
      <c r="G1035">
        <v>12962.20175896649</v>
      </c>
      <c r="H1035">
        <v>12608.44379727856</v>
      </c>
      <c r="I1035">
        <v>35308.237812431413</v>
      </c>
      <c r="J1035">
        <v>22699.794015152849</v>
      </c>
    </row>
    <row r="1036" spans="1:10">
      <c r="A1036" s="1">
        <v>46168.60833333333</v>
      </c>
      <c r="B1036">
        <v>-260.16334492407668</v>
      </c>
      <c r="C1036">
        <v>177037.98790045999</v>
      </c>
      <c r="D1036">
        <v>100695.8208577574</v>
      </c>
      <c r="E1036">
        <v>76342.167042702626</v>
      </c>
      <c r="F1036">
        <v>0</v>
      </c>
      <c r="G1036">
        <v>12962.20175896649</v>
      </c>
      <c r="H1036">
        <v>12702.038414042419</v>
      </c>
      <c r="I1036">
        <v>35407.597580091991</v>
      </c>
      <c r="J1036">
        <v>22705.55916604957</v>
      </c>
    </row>
    <row r="1037" spans="1:10">
      <c r="A1037" s="1">
        <v>46168.609027777777</v>
      </c>
      <c r="B1037">
        <v>-208.13699375774161</v>
      </c>
      <c r="C1037">
        <v>176985.96154929369</v>
      </c>
      <c r="D1037">
        <v>100695.8208577574</v>
      </c>
      <c r="E1037">
        <v>76290.14069153629</v>
      </c>
      <c r="F1037">
        <v>0</v>
      </c>
      <c r="G1037">
        <v>12962.20175896649</v>
      </c>
      <c r="H1037">
        <v>12754.06476520875</v>
      </c>
      <c r="I1037">
        <v>35397.192309858743</v>
      </c>
      <c r="J1037">
        <v>22643.127544649989</v>
      </c>
    </row>
    <row r="1038" spans="1:10">
      <c r="A1038" s="1">
        <v>46168.609722222223</v>
      </c>
      <c r="B1038">
        <v>-409.73910452729592</v>
      </c>
      <c r="C1038">
        <v>177187.5636600632</v>
      </c>
      <c r="D1038">
        <v>100695.8208577574</v>
      </c>
      <c r="E1038">
        <v>76491.742802305846</v>
      </c>
      <c r="F1038">
        <v>0</v>
      </c>
      <c r="G1038">
        <v>12962.20175896649</v>
      </c>
      <c r="H1038">
        <v>12552.462654439199</v>
      </c>
      <c r="I1038">
        <v>35437.512732012641</v>
      </c>
      <c r="J1038">
        <v>22885.05007757344</v>
      </c>
    </row>
    <row r="1039" spans="1:10">
      <c r="A1039" s="1">
        <v>46168.61041666667</v>
      </c>
      <c r="B1039">
        <v>-182.2168132086839</v>
      </c>
      <c r="C1039">
        <v>177584.17159267241</v>
      </c>
      <c r="D1039">
        <v>101007.8859697213</v>
      </c>
      <c r="E1039">
        <v>76576.285622951138</v>
      </c>
      <c r="F1039">
        <v>0</v>
      </c>
      <c r="G1039">
        <v>12962.20175896649</v>
      </c>
      <c r="H1039">
        <v>12779.984945757809</v>
      </c>
      <c r="I1039">
        <v>35516.834318534493</v>
      </c>
      <c r="J1039">
        <v>22736.84937277668</v>
      </c>
    </row>
    <row r="1040" spans="1:10">
      <c r="A1040" s="1">
        <v>46168.611111111109</v>
      </c>
      <c r="B1040">
        <v>-185.16711241725031</v>
      </c>
      <c r="C1040">
        <v>177334.0961254237</v>
      </c>
      <c r="D1040">
        <v>100881.3730864926</v>
      </c>
      <c r="E1040">
        <v>76452.723038931086</v>
      </c>
      <c r="F1040">
        <v>0</v>
      </c>
      <c r="G1040">
        <v>12962.20175896649</v>
      </c>
      <c r="H1040">
        <v>12777.03464654924</v>
      </c>
      <c r="I1040">
        <v>35466.81922508475</v>
      </c>
      <c r="J1040">
        <v>22689.784578535509</v>
      </c>
    </row>
    <row r="1041" spans="1:10">
      <c r="A1041" s="1">
        <v>46168.611805555563</v>
      </c>
      <c r="B1041">
        <v>-290.23921563903752</v>
      </c>
      <c r="C1041">
        <v>177203.0108466188</v>
      </c>
      <c r="D1041">
        <v>100763.2943954793</v>
      </c>
      <c r="E1041">
        <v>76439.716451139509</v>
      </c>
      <c r="F1041">
        <v>0</v>
      </c>
      <c r="G1041">
        <v>12962.20175896649</v>
      </c>
      <c r="H1041">
        <v>12671.96254332746</v>
      </c>
      <c r="I1041">
        <v>35440.602169323764</v>
      </c>
      <c r="J1041">
        <v>22768.639625996311</v>
      </c>
    </row>
    <row r="1042" spans="1:10">
      <c r="A1042" s="1">
        <v>46168.612500000003</v>
      </c>
      <c r="B1042">
        <v>-132.4301623134659</v>
      </c>
      <c r="C1042">
        <v>177230.7540220285</v>
      </c>
      <c r="D1042">
        <v>100856.0705098469</v>
      </c>
      <c r="E1042">
        <v>76374.683512181582</v>
      </c>
      <c r="F1042">
        <v>0</v>
      </c>
      <c r="G1042">
        <v>12962.20175896649</v>
      </c>
      <c r="H1042">
        <v>12829.77159665303</v>
      </c>
      <c r="I1042">
        <v>35446.150804405697</v>
      </c>
      <c r="J1042">
        <v>22616.37920775267</v>
      </c>
    </row>
    <row r="1043" spans="1:10">
      <c r="A1043" s="1">
        <v>46168.613194444442</v>
      </c>
      <c r="B1043">
        <v>-200.6142989728385</v>
      </c>
      <c r="C1043">
        <v>177214.59623653549</v>
      </c>
      <c r="D1043">
        <v>100813.8995487707</v>
      </c>
      <c r="E1043">
        <v>76400.69668776475</v>
      </c>
      <c r="F1043">
        <v>0</v>
      </c>
      <c r="G1043">
        <v>12962.20175896649</v>
      </c>
      <c r="H1043">
        <v>12761.58745999366</v>
      </c>
      <c r="I1043">
        <v>35442.919247307087</v>
      </c>
      <c r="J1043">
        <v>22681.33178731344</v>
      </c>
    </row>
    <row r="1044" spans="1:10">
      <c r="A1044" s="1">
        <v>46168.613888888889</v>
      </c>
      <c r="B1044">
        <v>-81.825009022020367</v>
      </c>
      <c r="C1044">
        <v>177281.35917531999</v>
      </c>
      <c r="D1044">
        <v>100906.67566313841</v>
      </c>
      <c r="E1044">
        <v>76374.683512181582</v>
      </c>
      <c r="F1044">
        <v>0</v>
      </c>
      <c r="G1044">
        <v>12962.20175896649</v>
      </c>
      <c r="H1044">
        <v>12880.376749944469</v>
      </c>
      <c r="I1044">
        <v>35456.271835063992</v>
      </c>
      <c r="J1044">
        <v>22575.895085119519</v>
      </c>
    </row>
    <row r="1045" spans="1:10">
      <c r="A1045" s="1">
        <v>46168.614583333343</v>
      </c>
      <c r="B1045">
        <v>-211.18028800041341</v>
      </c>
      <c r="C1045">
        <v>177360.10930100689</v>
      </c>
      <c r="D1045">
        <v>100881.3730864926</v>
      </c>
      <c r="E1045">
        <v>76478.736214514254</v>
      </c>
      <c r="F1045">
        <v>0</v>
      </c>
      <c r="G1045">
        <v>12962.20175896649</v>
      </c>
      <c r="H1045">
        <v>12751.02147096608</v>
      </c>
      <c r="I1045">
        <v>35472.021860201377</v>
      </c>
      <c r="J1045">
        <v>22721.000389235302</v>
      </c>
    </row>
    <row r="1046" spans="1:10">
      <c r="A1046" s="1">
        <v>46168.615277777782</v>
      </c>
      <c r="B1046">
        <v>-304.97580325717632</v>
      </c>
      <c r="C1046">
        <v>177032.1952055016</v>
      </c>
      <c r="D1046">
        <v>100670.5182811116</v>
      </c>
      <c r="E1046">
        <v>76361.676924389991</v>
      </c>
      <c r="F1046">
        <v>0</v>
      </c>
      <c r="G1046">
        <v>12962.20175896649</v>
      </c>
      <c r="H1046">
        <v>12657.22595570932</v>
      </c>
      <c r="I1046">
        <v>35406.439041100333</v>
      </c>
      <c r="J1046">
        <v>22749.213085391009</v>
      </c>
    </row>
    <row r="1047" spans="1:10">
      <c r="A1047" s="1">
        <v>46168.615972222222</v>
      </c>
      <c r="B1047">
        <v>-389.00892345790987</v>
      </c>
      <c r="C1047">
        <v>177234.30701671579</v>
      </c>
      <c r="D1047">
        <v>100729.55762661831</v>
      </c>
      <c r="E1047">
        <v>76504.749390097422</v>
      </c>
      <c r="F1047">
        <v>0</v>
      </c>
      <c r="G1047">
        <v>12962.20175896649</v>
      </c>
      <c r="H1047">
        <v>12573.19283550858</v>
      </c>
      <c r="I1047">
        <v>35446.861403343151</v>
      </c>
      <c r="J1047">
        <v>22873.668567834571</v>
      </c>
    </row>
    <row r="1048" spans="1:10">
      <c r="A1048" s="1">
        <v>46168.616666666669</v>
      </c>
      <c r="B1048">
        <v>-407.2985057632892</v>
      </c>
      <c r="C1048">
        <v>177320.07013674299</v>
      </c>
      <c r="D1048">
        <v>100763.2943954793</v>
      </c>
      <c r="E1048">
        <v>76556.775741263758</v>
      </c>
      <c r="F1048">
        <v>0</v>
      </c>
      <c r="G1048">
        <v>12962.20175896649</v>
      </c>
      <c r="H1048">
        <v>12554.903253203211</v>
      </c>
      <c r="I1048">
        <v>35464.014027348603</v>
      </c>
      <c r="J1048">
        <v>22909.1107741454</v>
      </c>
    </row>
    <row r="1049" spans="1:10">
      <c r="A1049" s="1">
        <v>46168.617361111108</v>
      </c>
      <c r="B1049">
        <v>-316.45328971509292</v>
      </c>
      <c r="C1049">
        <v>177397.90876499971</v>
      </c>
      <c r="D1049">
        <v>100847.6363176317</v>
      </c>
      <c r="E1049">
        <v>76550.272447367955</v>
      </c>
      <c r="F1049">
        <v>0</v>
      </c>
      <c r="G1049">
        <v>12962.20175896649</v>
      </c>
      <c r="H1049">
        <v>12645.748469251401</v>
      </c>
      <c r="I1049">
        <v>35479.581752999933</v>
      </c>
      <c r="J1049">
        <v>22833.833283748529</v>
      </c>
    </row>
    <row r="1050" spans="1:10">
      <c r="A1050" s="1">
        <v>46168.618055555547</v>
      </c>
      <c r="B1050">
        <v>-456.88425816562687</v>
      </c>
      <c r="C1050">
        <v>177504.6029645892</v>
      </c>
      <c r="D1050">
        <v>100830.7679332012</v>
      </c>
      <c r="E1050">
        <v>76673.835031388022</v>
      </c>
      <c r="F1050">
        <v>0</v>
      </c>
      <c r="G1050">
        <v>12962.20175896649</v>
      </c>
      <c r="H1050">
        <v>12505.317500800869</v>
      </c>
      <c r="I1050">
        <v>35500.92059291785</v>
      </c>
      <c r="J1050">
        <v>22995.60309211698</v>
      </c>
    </row>
    <row r="1051" spans="1:10">
      <c r="A1051" s="1">
        <v>46168.618750000001</v>
      </c>
      <c r="B1051">
        <v>-438.94997532896753</v>
      </c>
      <c r="C1051">
        <v>177444.49772067639</v>
      </c>
      <c r="D1051">
        <v>100809.6824526631</v>
      </c>
      <c r="E1051">
        <v>76634.815268013263</v>
      </c>
      <c r="F1051">
        <v>0</v>
      </c>
      <c r="G1051">
        <v>12962.20175896649</v>
      </c>
      <c r="H1051">
        <v>12523.25178363753</v>
      </c>
      <c r="I1051">
        <v>35488.899544135267</v>
      </c>
      <c r="J1051">
        <v>22965.647760497752</v>
      </c>
    </row>
    <row r="1052" spans="1:10">
      <c r="A1052" s="1">
        <v>46168.619444444441</v>
      </c>
      <c r="B1052">
        <v>-408.21000319363122</v>
      </c>
      <c r="C1052">
        <v>177540.27063176961</v>
      </c>
      <c r="D1052">
        <v>100872.93889427739</v>
      </c>
      <c r="E1052">
        <v>76667.331737492219</v>
      </c>
      <c r="F1052">
        <v>0</v>
      </c>
      <c r="G1052">
        <v>12962.20175896649</v>
      </c>
      <c r="H1052">
        <v>12553.99175577286</v>
      </c>
      <c r="I1052">
        <v>35508.054126353927</v>
      </c>
      <c r="J1052">
        <v>22954.062370581061</v>
      </c>
    </row>
    <row r="1053" spans="1:10">
      <c r="A1053" s="1">
        <v>46168.620138888888</v>
      </c>
      <c r="B1053">
        <v>-399.62141000255849</v>
      </c>
      <c r="C1053">
        <v>177691.93169066811</v>
      </c>
      <c r="D1053">
        <v>100953.0637203222</v>
      </c>
      <c r="E1053">
        <v>76738.867970345935</v>
      </c>
      <c r="F1053">
        <v>0</v>
      </c>
      <c r="G1053">
        <v>12962.20175896649</v>
      </c>
      <c r="H1053">
        <v>12562.580348963929</v>
      </c>
      <c r="I1053">
        <v>35538.38633813362</v>
      </c>
      <c r="J1053">
        <v>22975.805989169679</v>
      </c>
    </row>
    <row r="1054" spans="1:10">
      <c r="A1054" s="1">
        <v>46168.620833333327</v>
      </c>
      <c r="B1054">
        <v>-357.09514945762578</v>
      </c>
      <c r="C1054">
        <v>177708.44477562991</v>
      </c>
      <c r="D1054">
        <v>100982.5833930755</v>
      </c>
      <c r="E1054">
        <v>76725.861382554358</v>
      </c>
      <c r="F1054">
        <v>0</v>
      </c>
      <c r="G1054">
        <v>12962.20175896649</v>
      </c>
      <c r="H1054">
        <v>12605.10660950887</v>
      </c>
      <c r="I1054">
        <v>35541.688955125981</v>
      </c>
      <c r="J1054">
        <v>22936.582345617109</v>
      </c>
    </row>
    <row r="1055" spans="1:10">
      <c r="A1055" s="1">
        <v>46168.621527777781</v>
      </c>
      <c r="B1055">
        <v>0</v>
      </c>
      <c r="C1055">
        <v>0</v>
      </c>
      <c r="D1055">
        <v>0</v>
      </c>
      <c r="E1055">
        <v>0</v>
      </c>
      <c r="F1055">
        <v>-316.50401581545282</v>
      </c>
      <c r="G1055">
        <v>12645.69774315104</v>
      </c>
      <c r="H1055">
        <v>12645.69774315104</v>
      </c>
      <c r="I1055">
        <v>0</v>
      </c>
      <c r="J1055">
        <v>-12645.69774315104</v>
      </c>
    </row>
    <row r="1056" spans="1:10">
      <c r="A1056" s="1">
        <v>46169.604166666657</v>
      </c>
      <c r="B1056">
        <v>0</v>
      </c>
      <c r="C1056">
        <v>175386.18284002121</v>
      </c>
      <c r="D1056">
        <v>75386.182840021196</v>
      </c>
      <c r="E1056">
        <v>100000</v>
      </c>
      <c r="F1056">
        <v>0</v>
      </c>
      <c r="G1056">
        <v>12645.69774315104</v>
      </c>
      <c r="H1056">
        <v>12645.69774315104</v>
      </c>
      <c r="I1056">
        <v>35077.236568004242</v>
      </c>
      <c r="J1056">
        <v>22431.5388248532</v>
      </c>
    </row>
    <row r="1057" spans="1:10">
      <c r="A1057" s="1">
        <v>46169.604861111111</v>
      </c>
      <c r="B1057">
        <v>-87.49678356672473</v>
      </c>
      <c r="C1057">
        <v>175150.595982845</v>
      </c>
      <c r="D1057">
        <v>75224.641019649731</v>
      </c>
      <c r="E1057">
        <v>99925.954963195254</v>
      </c>
      <c r="F1057">
        <v>0</v>
      </c>
      <c r="G1057">
        <v>12645.69774315104</v>
      </c>
      <c r="H1057">
        <v>12558.200959584319</v>
      </c>
      <c r="I1057">
        <v>35030.119196569001</v>
      </c>
      <c r="J1057">
        <v>22471.918236984689</v>
      </c>
    </row>
    <row r="1058" spans="1:10">
      <c r="A1058" s="1">
        <v>46169.605555555558</v>
      </c>
      <c r="B1058">
        <v>69.304470843304102</v>
      </c>
      <c r="C1058">
        <v>174993.79472843491</v>
      </c>
      <c r="D1058">
        <v>75224.641019649731</v>
      </c>
      <c r="E1058">
        <v>99769.153708785219</v>
      </c>
      <c r="F1058">
        <v>0</v>
      </c>
      <c r="G1058">
        <v>12645.69774315104</v>
      </c>
      <c r="H1058">
        <v>12715.002213994339</v>
      </c>
      <c r="I1058">
        <v>34998.75894568699</v>
      </c>
      <c r="J1058">
        <v>22283.75673169264</v>
      </c>
    </row>
    <row r="1059" spans="1:10">
      <c r="A1059" s="1">
        <v>46169.606249999997</v>
      </c>
      <c r="B1059">
        <v>105.7293826993494</v>
      </c>
      <c r="C1059">
        <v>175065.06436349321</v>
      </c>
      <c r="D1059">
        <v>75278.488293106886</v>
      </c>
      <c r="E1059">
        <v>99786.576070386334</v>
      </c>
      <c r="F1059">
        <v>0</v>
      </c>
      <c r="G1059">
        <v>12645.69774315104</v>
      </c>
      <c r="H1059">
        <v>12751.42712585039</v>
      </c>
      <c r="I1059">
        <v>35013.012872698651</v>
      </c>
      <c r="J1059">
        <v>22261.585746848261</v>
      </c>
    </row>
    <row r="1060" spans="1:10">
      <c r="A1060" s="1">
        <v>46169.606944444437</v>
      </c>
      <c r="B1060">
        <v>-104.1189792386531</v>
      </c>
      <c r="C1060">
        <v>174924.9054479597</v>
      </c>
      <c r="D1060">
        <v>75103.484654371117</v>
      </c>
      <c r="E1060">
        <v>99821.420793588564</v>
      </c>
      <c r="F1060">
        <v>0</v>
      </c>
      <c r="G1060">
        <v>12645.69774315104</v>
      </c>
      <c r="H1060">
        <v>12541.57876391239</v>
      </c>
      <c r="I1060">
        <v>34984.981089591944</v>
      </c>
      <c r="J1060">
        <v>22443.402325679552</v>
      </c>
    </row>
    <row r="1061" spans="1:10">
      <c r="A1061" s="1">
        <v>46169.607638888891</v>
      </c>
      <c r="B1061">
        <v>-17.027314437661509</v>
      </c>
      <c r="C1061">
        <v>175430.1337911874</v>
      </c>
      <c r="D1061">
        <v>75399.644658385485</v>
      </c>
      <c r="E1061">
        <v>100030.4891328019</v>
      </c>
      <c r="F1061">
        <v>0</v>
      </c>
      <c r="G1061">
        <v>12645.69774315104</v>
      </c>
      <c r="H1061">
        <v>12628.67042871338</v>
      </c>
      <c r="I1061">
        <v>35086.026758237487</v>
      </c>
      <c r="J1061">
        <v>22457.356329524111</v>
      </c>
    </row>
    <row r="1062" spans="1:10">
      <c r="A1062" s="1">
        <v>46169.60833333333</v>
      </c>
      <c r="B1062">
        <v>-29.71414587847573</v>
      </c>
      <c r="C1062">
        <v>175913.98426537841</v>
      </c>
      <c r="D1062">
        <v>75635.22647976056</v>
      </c>
      <c r="E1062">
        <v>100278.7577856178</v>
      </c>
      <c r="F1062">
        <v>0</v>
      </c>
      <c r="G1062">
        <v>12645.69774315104</v>
      </c>
      <c r="H1062">
        <v>12615.98359727257</v>
      </c>
      <c r="I1062">
        <v>35182.796853075677</v>
      </c>
      <c r="J1062">
        <v>22566.81325580311</v>
      </c>
    </row>
    <row r="1063" spans="1:10">
      <c r="A1063" s="1">
        <v>46169.609027777777</v>
      </c>
      <c r="B1063">
        <v>-134.24327968402829</v>
      </c>
      <c r="C1063">
        <v>175870.43339717679</v>
      </c>
      <c r="D1063">
        <v>75561.186478756965</v>
      </c>
      <c r="E1063">
        <v>100309.2469184198</v>
      </c>
      <c r="F1063">
        <v>0</v>
      </c>
      <c r="G1063">
        <v>12645.69774315104</v>
      </c>
      <c r="H1063">
        <v>12511.454463467009</v>
      </c>
      <c r="I1063">
        <v>35174.086679435357</v>
      </c>
      <c r="J1063">
        <v>22662.63221596834</v>
      </c>
    </row>
    <row r="1064" spans="1:10">
      <c r="A1064" s="1">
        <v>46169.609722222223</v>
      </c>
      <c r="B1064">
        <v>-114.0505521375933</v>
      </c>
      <c r="C1064">
        <v>175890.6261247232</v>
      </c>
      <c r="D1064">
        <v>75581.379206303405</v>
      </c>
      <c r="E1064">
        <v>100309.2469184198</v>
      </c>
      <c r="F1064">
        <v>0</v>
      </c>
      <c r="G1064">
        <v>12645.69774315104</v>
      </c>
      <c r="H1064">
        <v>12531.64719101345</v>
      </c>
      <c r="I1064">
        <v>35178.125224944641</v>
      </c>
      <c r="J1064">
        <v>22646.478033931191</v>
      </c>
    </row>
    <row r="1065" spans="1:10">
      <c r="A1065" s="1">
        <v>46169.61041666667</v>
      </c>
      <c r="B1065">
        <v>-110.49009186536971</v>
      </c>
      <c r="C1065">
        <v>175981.29839300099</v>
      </c>
      <c r="D1065">
        <v>75628.495570578409</v>
      </c>
      <c r="E1065">
        <v>100352.8028224226</v>
      </c>
      <c r="F1065">
        <v>0</v>
      </c>
      <c r="G1065">
        <v>12645.69774315104</v>
      </c>
      <c r="H1065">
        <v>12535.207651285669</v>
      </c>
      <c r="I1065">
        <v>35196.259678600203</v>
      </c>
      <c r="J1065">
        <v>22661.05202731453</v>
      </c>
    </row>
    <row r="1066" spans="1:10">
      <c r="A1066" s="1">
        <v>46169.611111111109</v>
      </c>
      <c r="B1066">
        <v>-256.99997682103918</v>
      </c>
      <c r="C1066">
        <v>176235.50282487099</v>
      </c>
      <c r="D1066">
        <v>75682.342844035564</v>
      </c>
      <c r="E1066">
        <v>100553.15998083539</v>
      </c>
      <c r="F1066">
        <v>0</v>
      </c>
      <c r="G1066">
        <v>12645.69774315104</v>
      </c>
      <c r="H1066">
        <v>12388.69776633</v>
      </c>
      <c r="I1066">
        <v>35247.1005649742</v>
      </c>
      <c r="J1066">
        <v>22858.402798644202</v>
      </c>
    </row>
    <row r="1067" spans="1:10">
      <c r="A1067" s="1">
        <v>46169.611805555563</v>
      </c>
      <c r="B1067">
        <v>-272.84214976834102</v>
      </c>
      <c r="C1067">
        <v>176359.0395447326</v>
      </c>
      <c r="D1067">
        <v>75736.190117492719</v>
      </c>
      <c r="E1067">
        <v>100622.8494272399</v>
      </c>
      <c r="F1067">
        <v>0</v>
      </c>
      <c r="G1067">
        <v>12645.69774315104</v>
      </c>
      <c r="H1067">
        <v>12372.855593382699</v>
      </c>
      <c r="I1067">
        <v>35271.807908946517</v>
      </c>
      <c r="J1067">
        <v>22898.95231556382</v>
      </c>
    </row>
    <row r="1068" spans="1:10">
      <c r="A1068" s="1">
        <v>46169.612500000003</v>
      </c>
      <c r="B1068">
        <v>-352.83303722945448</v>
      </c>
      <c r="C1068">
        <v>176627.49588929379</v>
      </c>
      <c r="D1068">
        <v>75830.422846042755</v>
      </c>
      <c r="E1068">
        <v>100797.073043251</v>
      </c>
      <c r="F1068">
        <v>0</v>
      </c>
      <c r="G1068">
        <v>12645.69774315104</v>
      </c>
      <c r="H1068">
        <v>12292.864705921589</v>
      </c>
      <c r="I1068">
        <v>35325.49917785875</v>
      </c>
      <c r="J1068">
        <v>23032.634471937159</v>
      </c>
    </row>
    <row r="1069" spans="1:10">
      <c r="A1069" s="1">
        <v>46169.613194444442</v>
      </c>
      <c r="B1069">
        <v>-395.59884690534238</v>
      </c>
      <c r="C1069">
        <v>176724.10897242679</v>
      </c>
      <c r="D1069">
        <v>75857.346482771332</v>
      </c>
      <c r="E1069">
        <v>100866.76248965551</v>
      </c>
      <c r="F1069">
        <v>0</v>
      </c>
      <c r="G1069">
        <v>12645.69774315104</v>
      </c>
      <c r="H1069">
        <v>12250.0988962457</v>
      </c>
      <c r="I1069">
        <v>35344.82179448536</v>
      </c>
      <c r="J1069">
        <v>23094.722898239659</v>
      </c>
    </row>
    <row r="1070" spans="1:10">
      <c r="A1070" s="1">
        <v>46169.613888888889</v>
      </c>
      <c r="B1070">
        <v>-435.96415879362132</v>
      </c>
      <c r="C1070">
        <v>176091.38336610061</v>
      </c>
      <c r="D1070">
        <v>75520.801023664098</v>
      </c>
      <c r="E1070">
        <v>100570.58234243649</v>
      </c>
      <c r="F1070">
        <v>0</v>
      </c>
      <c r="G1070">
        <v>12645.69774315104</v>
      </c>
      <c r="H1070">
        <v>12209.73358435742</v>
      </c>
      <c r="I1070">
        <v>35218.27667322012</v>
      </c>
      <c r="J1070">
        <v>23008.543088862702</v>
      </c>
    </row>
    <row r="1071" spans="1:10">
      <c r="A1071" s="1">
        <v>46169.614583333343</v>
      </c>
      <c r="B1071">
        <v>-490.20647941423778</v>
      </c>
      <c r="C1071">
        <v>176011.00750307829</v>
      </c>
      <c r="D1071">
        <v>75453.49193184264</v>
      </c>
      <c r="E1071">
        <v>100557.51557123569</v>
      </c>
      <c r="F1071">
        <v>0</v>
      </c>
      <c r="G1071">
        <v>12645.69774315104</v>
      </c>
      <c r="H1071">
        <v>12155.4912637368</v>
      </c>
      <c r="I1071">
        <v>35202.201500615673</v>
      </c>
      <c r="J1071">
        <v>23046.710236878858</v>
      </c>
    </row>
    <row r="1072" spans="1:10">
      <c r="A1072" s="1">
        <v>46169.615277777782</v>
      </c>
      <c r="B1072">
        <v>-633.15086829652023</v>
      </c>
      <c r="C1072">
        <v>176207.79916541779</v>
      </c>
      <c r="D1072">
        <v>75480.415568571232</v>
      </c>
      <c r="E1072">
        <v>100727.3835968465</v>
      </c>
      <c r="F1072">
        <v>0</v>
      </c>
      <c r="G1072">
        <v>12645.69774315104</v>
      </c>
      <c r="H1072">
        <v>12012.546874854521</v>
      </c>
      <c r="I1072">
        <v>35241.559833083556</v>
      </c>
      <c r="J1072">
        <v>23229.012958229039</v>
      </c>
    </row>
    <row r="1073" spans="1:10">
      <c r="A1073" s="1">
        <v>46169.615972222222</v>
      </c>
      <c r="B1073">
        <v>-494.58221301909401</v>
      </c>
      <c r="C1073">
        <v>176607.70324471191</v>
      </c>
      <c r="D1073">
        <v>75749.651935857022</v>
      </c>
      <c r="E1073">
        <v>100858.05130885491</v>
      </c>
      <c r="F1073">
        <v>0</v>
      </c>
      <c r="G1073">
        <v>12645.69774315104</v>
      </c>
      <c r="H1073">
        <v>12151.11553013195</v>
      </c>
      <c r="I1073">
        <v>35321.540648942391</v>
      </c>
      <c r="J1073">
        <v>23170.42511881045</v>
      </c>
    </row>
    <row r="1074" spans="1:10">
      <c r="A1074" s="1">
        <v>46169.616666666669</v>
      </c>
      <c r="B1074">
        <v>-445.47550552337611</v>
      </c>
      <c r="C1074">
        <v>176343.2074433876</v>
      </c>
      <c r="D1074">
        <v>75641.957388942697</v>
      </c>
      <c r="E1074">
        <v>100701.2500544449</v>
      </c>
      <c r="F1074">
        <v>0</v>
      </c>
      <c r="G1074">
        <v>12645.69774315104</v>
      </c>
      <c r="H1074">
        <v>12200.22223762766</v>
      </c>
      <c r="I1074">
        <v>35268.641488677516</v>
      </c>
      <c r="J1074">
        <v>23068.419251049851</v>
      </c>
    </row>
    <row r="1075" spans="1:10">
      <c r="A1075" s="1">
        <v>46169.617361111108</v>
      </c>
      <c r="B1075">
        <v>-509.62925583835408</v>
      </c>
      <c r="C1075">
        <v>176636.21210589551</v>
      </c>
      <c r="D1075">
        <v>75756.382845039159</v>
      </c>
      <c r="E1075">
        <v>100879.82926085631</v>
      </c>
      <c r="F1075">
        <v>0</v>
      </c>
      <c r="G1075">
        <v>12645.69774315104</v>
      </c>
      <c r="H1075">
        <v>12136.06848731269</v>
      </c>
      <c r="I1075">
        <v>35327.242421179093</v>
      </c>
      <c r="J1075">
        <v>23191.173933866401</v>
      </c>
    </row>
    <row r="1076" spans="1:10">
      <c r="A1076" s="1">
        <v>46169.618055555547</v>
      </c>
      <c r="B1076">
        <v>-591.5903433155861</v>
      </c>
      <c r="C1076">
        <v>176623.94046482269</v>
      </c>
      <c r="D1076">
        <v>75709.266480764156</v>
      </c>
      <c r="E1076">
        <v>100914.67398405851</v>
      </c>
      <c r="F1076">
        <v>0</v>
      </c>
      <c r="G1076">
        <v>12645.69774315104</v>
      </c>
      <c r="H1076">
        <v>12054.10739983545</v>
      </c>
      <c r="I1076">
        <v>35324.78809296454</v>
      </c>
      <c r="J1076">
        <v>23270.680693129081</v>
      </c>
    </row>
    <row r="1077" spans="1:10">
      <c r="A1077" s="1">
        <v>46169.618750000001</v>
      </c>
      <c r="B1077">
        <v>-519.1254951646622</v>
      </c>
      <c r="C1077">
        <v>176443.78106975739</v>
      </c>
      <c r="D1077">
        <v>75655.419207306986</v>
      </c>
      <c r="E1077">
        <v>100788.3618624505</v>
      </c>
      <c r="F1077">
        <v>0</v>
      </c>
      <c r="G1077">
        <v>12645.69774315104</v>
      </c>
      <c r="H1077">
        <v>12126.57224798638</v>
      </c>
      <c r="I1077">
        <v>35288.756213951492</v>
      </c>
      <c r="J1077">
        <v>23162.18396596512</v>
      </c>
    </row>
    <row r="1078" spans="1:10">
      <c r="A1078" s="1">
        <v>46169.619444444441</v>
      </c>
      <c r="B1078">
        <v>-620.48921586142899</v>
      </c>
      <c r="C1078">
        <v>176464.37388026851</v>
      </c>
      <c r="D1078">
        <v>75615.03375221412</v>
      </c>
      <c r="E1078">
        <v>100849.3401280543</v>
      </c>
      <c r="F1078">
        <v>0</v>
      </c>
      <c r="G1078">
        <v>12645.69774315104</v>
      </c>
      <c r="H1078">
        <v>12025.208527289609</v>
      </c>
      <c r="I1078">
        <v>35292.874776053701</v>
      </c>
      <c r="J1078">
        <v>23267.66624876409</v>
      </c>
    </row>
    <row r="1079" spans="1:10">
      <c r="A1079" s="1">
        <v>46169.620138888888</v>
      </c>
      <c r="B1079">
        <v>-443.49019810381128</v>
      </c>
      <c r="C1079">
        <v>176179.68031559649</v>
      </c>
      <c r="D1079">
        <v>75561.186478756965</v>
      </c>
      <c r="E1079">
        <v>100618.4938368396</v>
      </c>
      <c r="F1079">
        <v>0</v>
      </c>
      <c r="G1079">
        <v>12645.69774315104</v>
      </c>
      <c r="H1079">
        <v>12202.207545047229</v>
      </c>
      <c r="I1079">
        <v>35235.936063119312</v>
      </c>
      <c r="J1079">
        <v>23033.728518072079</v>
      </c>
    </row>
    <row r="1080" spans="1:10">
      <c r="A1080" s="1">
        <v>46169.620833333327</v>
      </c>
      <c r="B1080">
        <v>-468.44363481627892</v>
      </c>
      <c r="C1080">
        <v>176433.48466450191</v>
      </c>
      <c r="D1080">
        <v>75675.611934853427</v>
      </c>
      <c r="E1080">
        <v>100757.8727296485</v>
      </c>
      <c r="F1080">
        <v>0</v>
      </c>
      <c r="G1080">
        <v>12645.69774315104</v>
      </c>
      <c r="H1080">
        <v>12177.254108334761</v>
      </c>
      <c r="I1080">
        <v>35286.696932900377</v>
      </c>
      <c r="J1080">
        <v>23109.44282456562</v>
      </c>
    </row>
    <row r="1081" spans="1:10">
      <c r="A1081" s="1">
        <v>46169.621527777781</v>
      </c>
      <c r="B1081">
        <v>-382.13702854105549</v>
      </c>
      <c r="C1081">
        <v>176737.5707907911</v>
      </c>
      <c r="D1081">
        <v>75870.808301135621</v>
      </c>
      <c r="E1081">
        <v>100866.76248965551</v>
      </c>
      <c r="F1081">
        <v>0</v>
      </c>
      <c r="G1081">
        <v>12645.69774315104</v>
      </c>
      <c r="H1081">
        <v>12263.560714609979</v>
      </c>
      <c r="I1081">
        <v>35347.514158158221</v>
      </c>
      <c r="J1081">
        <v>23083.953443548231</v>
      </c>
    </row>
    <row r="1082" spans="1:10">
      <c r="A1082" s="1">
        <v>46169.62222222222</v>
      </c>
      <c r="B1082">
        <v>-487.46129247463728</v>
      </c>
      <c r="C1082">
        <v>176789.04778126749</v>
      </c>
      <c r="D1082">
        <v>75843.884664407044</v>
      </c>
      <c r="E1082">
        <v>100945.16311686049</v>
      </c>
      <c r="F1082">
        <v>0</v>
      </c>
      <c r="G1082">
        <v>12645.69774315104</v>
      </c>
      <c r="H1082">
        <v>12158.236450676401</v>
      </c>
      <c r="I1082">
        <v>35357.809556253509</v>
      </c>
      <c r="J1082">
        <v>23199.57310557711</v>
      </c>
    </row>
    <row r="1083" spans="1:10">
      <c r="A1083" s="1">
        <v>46169.622916666667</v>
      </c>
      <c r="B1083">
        <v>-489.44156409306078</v>
      </c>
      <c r="C1083">
        <v>176804.4898712502</v>
      </c>
      <c r="D1083">
        <v>75850.615573589181</v>
      </c>
      <c r="E1083">
        <v>100953.8742976611</v>
      </c>
      <c r="F1083">
        <v>0</v>
      </c>
      <c r="G1083">
        <v>12645.69774315104</v>
      </c>
      <c r="H1083">
        <v>12156.25617905798</v>
      </c>
      <c r="I1083">
        <v>35360.897974250052</v>
      </c>
      <c r="J1083">
        <v>23204.64179519207</v>
      </c>
    </row>
    <row r="1084" spans="1:10">
      <c r="A1084" s="1">
        <v>46169.623611111107</v>
      </c>
      <c r="B1084">
        <v>-516.7652837862355</v>
      </c>
      <c r="C1084">
        <v>176899.12268276481</v>
      </c>
      <c r="D1084">
        <v>75884.27011949991</v>
      </c>
      <c r="E1084">
        <v>101014.8525632649</v>
      </c>
      <c r="F1084">
        <v>0</v>
      </c>
      <c r="G1084">
        <v>12645.69774315104</v>
      </c>
      <c r="H1084">
        <v>12128.932459364811</v>
      </c>
      <c r="I1084">
        <v>35379.824536552973</v>
      </c>
      <c r="J1084">
        <v>23250.89207718816</v>
      </c>
    </row>
    <row r="1085" spans="1:10">
      <c r="A1085" s="1">
        <v>46169.624305555553</v>
      </c>
      <c r="B1085">
        <v>-434.79412470669871</v>
      </c>
      <c r="C1085">
        <v>176615.224248221</v>
      </c>
      <c r="D1085">
        <v>75783.306481767737</v>
      </c>
      <c r="E1085">
        <v>100831.9177664532</v>
      </c>
      <c r="F1085">
        <v>0</v>
      </c>
      <c r="G1085">
        <v>12645.69774315104</v>
      </c>
      <c r="H1085">
        <v>12210.903618444339</v>
      </c>
      <c r="I1085">
        <v>35323.044849644197</v>
      </c>
      <c r="J1085">
        <v>23112.141231199861</v>
      </c>
    </row>
    <row r="1086" spans="1:10">
      <c r="A1086" s="1">
        <v>46169.625</v>
      </c>
      <c r="B1086">
        <v>-553.97021836688532</v>
      </c>
      <c r="C1086">
        <v>176478.62579295959</v>
      </c>
      <c r="D1086">
        <v>75655.419207306986</v>
      </c>
      <c r="E1086">
        <v>100823.2065856527</v>
      </c>
      <c r="F1086">
        <v>0</v>
      </c>
      <c r="G1086">
        <v>12645.69774315104</v>
      </c>
      <c r="H1086">
        <v>12091.727524784161</v>
      </c>
      <c r="I1086">
        <v>35295.725158591929</v>
      </c>
      <c r="J1086">
        <v>23203.997633807779</v>
      </c>
    </row>
    <row r="1087" spans="1:10">
      <c r="A1087" s="1">
        <v>46169.625694444447</v>
      </c>
      <c r="B1087">
        <v>0</v>
      </c>
      <c r="C1087">
        <v>0</v>
      </c>
      <c r="D1087">
        <v>0</v>
      </c>
      <c r="E1087">
        <v>0</v>
      </c>
      <c r="F1087">
        <v>-446.99773915934537</v>
      </c>
      <c r="G1087">
        <v>12198.700003991689</v>
      </c>
      <c r="H1087">
        <v>12198.700003991689</v>
      </c>
      <c r="I1087">
        <v>0</v>
      </c>
      <c r="J1087">
        <v>-12198.700003991689</v>
      </c>
    </row>
    <row r="1088" spans="1:10">
      <c r="A1088" s="1">
        <v>46174.768055555563</v>
      </c>
      <c r="B1088">
        <v>0</v>
      </c>
      <c r="C1088">
        <v>175386.18284002121</v>
      </c>
      <c r="D1088">
        <v>100000</v>
      </c>
      <c r="E1088">
        <v>75386.182840021196</v>
      </c>
      <c r="F1088">
        <v>0</v>
      </c>
      <c r="G1088">
        <v>12198.700003991689</v>
      </c>
      <c r="H1088">
        <v>12198.700003991689</v>
      </c>
      <c r="I1088">
        <v>35077.236568004242</v>
      </c>
      <c r="J1088">
        <v>22878.536564012549</v>
      </c>
    </row>
    <row r="1089" spans="1:10">
      <c r="A1089" s="1">
        <v>46174.768750000003</v>
      </c>
      <c r="B1089">
        <v>1.9151172327510191</v>
      </c>
      <c r="C1089">
        <v>175349.81466507961</v>
      </c>
      <c r="D1089">
        <v>99982.773471145571</v>
      </c>
      <c r="E1089">
        <v>75367.041193934012</v>
      </c>
      <c r="F1089">
        <v>0</v>
      </c>
      <c r="G1089">
        <v>12198.700003991689</v>
      </c>
      <c r="H1089">
        <v>12200.615121224449</v>
      </c>
      <c r="I1089">
        <v>35069.962933015922</v>
      </c>
      <c r="J1089">
        <v>22869.347811791471</v>
      </c>
    </row>
    <row r="1090" spans="1:10">
      <c r="A1090" s="1">
        <v>46174.769444444442</v>
      </c>
      <c r="B1090">
        <v>-110.057320321078</v>
      </c>
      <c r="C1090">
        <v>175237.84222752581</v>
      </c>
      <c r="D1090">
        <v>99870.80103359175</v>
      </c>
      <c r="E1090">
        <v>75367.041193934012</v>
      </c>
      <c r="F1090">
        <v>0</v>
      </c>
      <c r="G1090">
        <v>12198.700003991689</v>
      </c>
      <c r="H1090">
        <v>12088.64268367062</v>
      </c>
      <c r="I1090">
        <v>35047.56844550516</v>
      </c>
      <c r="J1090">
        <v>22958.92576183454</v>
      </c>
    </row>
    <row r="1091" spans="1:10">
      <c r="A1091" s="1">
        <v>46174.770138888889</v>
      </c>
      <c r="B1091">
        <v>-70.48458167116911</v>
      </c>
      <c r="C1091">
        <v>174715.92668095161</v>
      </c>
      <c r="D1091">
        <v>99629.629629629635</v>
      </c>
      <c r="E1091">
        <v>75086.297051322006</v>
      </c>
      <c r="F1091">
        <v>0</v>
      </c>
      <c r="G1091">
        <v>12198.700003991689</v>
      </c>
      <c r="H1091">
        <v>12128.215422320531</v>
      </c>
      <c r="I1091">
        <v>34943.185336190327</v>
      </c>
      <c r="J1091">
        <v>22814.969913869802</v>
      </c>
    </row>
    <row r="1092" spans="1:10">
      <c r="A1092" s="1">
        <v>46174.770833333343</v>
      </c>
      <c r="B1092">
        <v>-75.585210131629935</v>
      </c>
      <c r="C1092">
        <v>174583.21507857661</v>
      </c>
      <c r="D1092">
        <v>99560.723514211903</v>
      </c>
      <c r="E1092">
        <v>75022.491564364725</v>
      </c>
      <c r="F1092">
        <v>0</v>
      </c>
      <c r="G1092">
        <v>12198.700003991689</v>
      </c>
      <c r="H1092">
        <v>12123.114793860061</v>
      </c>
      <c r="I1092">
        <v>34916.64301571533</v>
      </c>
      <c r="J1092">
        <v>22793.528221855271</v>
      </c>
    </row>
    <row r="1093" spans="1:10">
      <c r="A1093" s="1">
        <v>46174.771527777782</v>
      </c>
      <c r="B1093">
        <v>-156.2996274446061</v>
      </c>
      <c r="C1093">
        <v>174681.15602474401</v>
      </c>
      <c r="D1093">
        <v>99569.336778639103</v>
      </c>
      <c r="E1093">
        <v>75111.819246104904</v>
      </c>
      <c r="F1093">
        <v>0</v>
      </c>
      <c r="G1093">
        <v>12198.700003991689</v>
      </c>
      <c r="H1093">
        <v>12042.40037654709</v>
      </c>
      <c r="I1093">
        <v>34936.231204948803</v>
      </c>
      <c r="J1093">
        <v>22893.830828401711</v>
      </c>
    </row>
    <row r="1094" spans="1:10">
      <c r="A1094" s="1">
        <v>46174.772222222222</v>
      </c>
      <c r="B1094">
        <v>-99.519412420826825</v>
      </c>
      <c r="C1094">
        <v>174865.54721368229</v>
      </c>
      <c r="D1094">
        <v>99689.922480620153</v>
      </c>
      <c r="E1094">
        <v>75175.624733062185</v>
      </c>
      <c r="F1094">
        <v>0</v>
      </c>
      <c r="G1094">
        <v>12198.700003991689</v>
      </c>
      <c r="H1094">
        <v>12099.18059157087</v>
      </c>
      <c r="I1094">
        <v>34973.109442736473</v>
      </c>
      <c r="J1094">
        <v>22873.928851165601</v>
      </c>
    </row>
    <row r="1095" spans="1:10">
      <c r="A1095" s="1">
        <v>46174.772916666669</v>
      </c>
      <c r="B1095">
        <v>-112.91570680976631</v>
      </c>
      <c r="C1095">
        <v>174775.5843349447</v>
      </c>
      <c r="D1095">
        <v>99638.242894056864</v>
      </c>
      <c r="E1095">
        <v>75137.341440887816</v>
      </c>
      <c r="F1095">
        <v>0</v>
      </c>
      <c r="G1095">
        <v>12198.700003991689</v>
      </c>
      <c r="H1095">
        <v>12085.78429718193</v>
      </c>
      <c r="I1095">
        <v>34955.116866988938</v>
      </c>
      <c r="J1095">
        <v>22869.332569807011</v>
      </c>
    </row>
    <row r="1096" spans="1:10">
      <c r="A1096" s="1">
        <v>46174.773611111108</v>
      </c>
      <c r="B1096">
        <v>-90.588549494864026</v>
      </c>
      <c r="C1096">
        <v>174925.52246617421</v>
      </c>
      <c r="D1096">
        <v>99724.375538329041</v>
      </c>
      <c r="E1096">
        <v>75201.146927845097</v>
      </c>
      <c r="F1096">
        <v>0</v>
      </c>
      <c r="G1096">
        <v>12198.700003991689</v>
      </c>
      <c r="H1096">
        <v>12108.11145449683</v>
      </c>
      <c r="I1096">
        <v>34985.10449323483</v>
      </c>
      <c r="J1096">
        <v>22876.993038738001</v>
      </c>
    </row>
    <row r="1097" spans="1:10">
      <c r="A1097" s="1">
        <v>46174.774305555547</v>
      </c>
      <c r="B1097">
        <v>-115.79314577902871</v>
      </c>
      <c r="C1097">
        <v>175002.40664902161</v>
      </c>
      <c r="D1097">
        <v>99750.215331610685</v>
      </c>
      <c r="E1097">
        <v>75252.191317410907</v>
      </c>
      <c r="F1097">
        <v>0</v>
      </c>
      <c r="G1097">
        <v>12198.700003991689</v>
      </c>
      <c r="H1097">
        <v>12082.906858212669</v>
      </c>
      <c r="I1097">
        <v>35000.481329804323</v>
      </c>
      <c r="J1097">
        <v>22917.574471591659</v>
      </c>
    </row>
    <row r="1098" spans="1:10">
      <c r="A1098" s="1">
        <v>46174.775000000001</v>
      </c>
      <c r="B1098">
        <v>-156.30915368488709</v>
      </c>
      <c r="C1098">
        <v>175025.696128073</v>
      </c>
      <c r="D1098">
        <v>99741.60206718347</v>
      </c>
      <c r="E1098">
        <v>75284.094060889547</v>
      </c>
      <c r="F1098">
        <v>0</v>
      </c>
      <c r="G1098">
        <v>12198.700003991689</v>
      </c>
      <c r="H1098">
        <v>12042.390850306811</v>
      </c>
      <c r="I1098">
        <v>35005.139225614606</v>
      </c>
      <c r="J1098">
        <v>22962.748375307801</v>
      </c>
    </row>
    <row r="1099" spans="1:10">
      <c r="A1099" s="1">
        <v>46174.775694444441</v>
      </c>
      <c r="B1099">
        <v>-141.315340561943</v>
      </c>
      <c r="C1099">
        <v>175027.92884380449</v>
      </c>
      <c r="D1099">
        <v>99750.215331610685</v>
      </c>
      <c r="E1099">
        <v>75277.713512193834</v>
      </c>
      <c r="F1099">
        <v>0</v>
      </c>
      <c r="G1099">
        <v>12198.700003991689</v>
      </c>
      <c r="H1099">
        <v>12057.38466342975</v>
      </c>
      <c r="I1099">
        <v>35005.585768760902</v>
      </c>
      <c r="J1099">
        <v>22948.201105331151</v>
      </c>
    </row>
    <row r="1100" spans="1:10">
      <c r="A1100" s="1">
        <v>46174.776388888888</v>
      </c>
      <c r="B1100">
        <v>-158.06547166827241</v>
      </c>
      <c r="C1100">
        <v>175087.7452970469</v>
      </c>
      <c r="D1100">
        <v>99771.748492678729</v>
      </c>
      <c r="E1100">
        <v>75315.996804368202</v>
      </c>
      <c r="F1100">
        <v>0</v>
      </c>
      <c r="G1100">
        <v>12198.700003991689</v>
      </c>
      <c r="H1100">
        <v>12040.63453232342</v>
      </c>
      <c r="I1100">
        <v>35017.549059409394</v>
      </c>
      <c r="J1100">
        <v>22976.91452708597</v>
      </c>
    </row>
    <row r="1101" spans="1:10">
      <c r="A1101" s="1">
        <v>46174.777083333327</v>
      </c>
      <c r="B1101">
        <v>-97.613821428365867</v>
      </c>
      <c r="C1101">
        <v>175173.71914206969</v>
      </c>
      <c r="D1101">
        <v>99844.961240310091</v>
      </c>
      <c r="E1101">
        <v>75328.757901759644</v>
      </c>
      <c r="F1101">
        <v>0</v>
      </c>
      <c r="G1101">
        <v>12198.700003991689</v>
      </c>
      <c r="H1101">
        <v>12101.086182563329</v>
      </c>
      <c r="I1101">
        <v>35034.74382841395</v>
      </c>
      <c r="J1101">
        <v>22933.657645850621</v>
      </c>
    </row>
    <row r="1102" spans="1:10">
      <c r="A1102" s="1">
        <v>46174.777777777781</v>
      </c>
      <c r="B1102">
        <v>-140.8389428138278</v>
      </c>
      <c r="C1102">
        <v>175104.97182590139</v>
      </c>
      <c r="D1102">
        <v>99788.975021533173</v>
      </c>
      <c r="E1102">
        <v>75315.996804368202</v>
      </c>
      <c r="F1102">
        <v>0</v>
      </c>
      <c r="G1102">
        <v>12198.700003991689</v>
      </c>
      <c r="H1102">
        <v>12057.861061177869</v>
      </c>
      <c r="I1102">
        <v>35020.994365180282</v>
      </c>
      <c r="J1102">
        <v>22963.133304002411</v>
      </c>
    </row>
    <row r="1103" spans="1:10">
      <c r="A1103" s="1">
        <v>46174.77847222222</v>
      </c>
      <c r="B1103">
        <v>-102.0792528913457</v>
      </c>
      <c r="C1103">
        <v>175143.73151582389</v>
      </c>
      <c r="D1103">
        <v>99827.734711455661</v>
      </c>
      <c r="E1103">
        <v>75315.996804368202</v>
      </c>
      <c r="F1103">
        <v>0</v>
      </c>
      <c r="G1103">
        <v>12198.700003991689</v>
      </c>
      <c r="H1103">
        <v>12096.62075110035</v>
      </c>
      <c r="I1103">
        <v>35028.746303164771</v>
      </c>
      <c r="J1103">
        <v>22932.125552064419</v>
      </c>
    </row>
    <row r="1104" spans="1:10">
      <c r="A1104" s="1">
        <v>46174.779166666667</v>
      </c>
      <c r="B1104">
        <v>-110.69251731856799</v>
      </c>
      <c r="C1104">
        <v>175135.11825139661</v>
      </c>
      <c r="D1104">
        <v>99819.121447028432</v>
      </c>
      <c r="E1104">
        <v>75315.996804368202</v>
      </c>
      <c r="F1104">
        <v>0</v>
      </c>
      <c r="G1104">
        <v>12198.700003991689</v>
      </c>
      <c r="H1104">
        <v>12088.00748667313</v>
      </c>
      <c r="I1104">
        <v>35027.023650279327</v>
      </c>
      <c r="J1104">
        <v>22939.0161636062</v>
      </c>
    </row>
    <row r="1105" spans="1:10">
      <c r="A1105" s="1">
        <v>46174.779861111107</v>
      </c>
      <c r="B1105">
        <v>0</v>
      </c>
      <c r="C1105">
        <v>0</v>
      </c>
      <c r="D1105">
        <v>0</v>
      </c>
      <c r="E1105">
        <v>0</v>
      </c>
      <c r="F1105">
        <v>-61.494975436288563</v>
      </c>
      <c r="G1105">
        <v>12137.205028555411</v>
      </c>
      <c r="H1105">
        <v>12137.205028555411</v>
      </c>
      <c r="I1105">
        <v>0</v>
      </c>
      <c r="J1105">
        <v>-12137.205028555411</v>
      </c>
    </row>
    <row r="1106" spans="1:10">
      <c r="A1106" s="1">
        <v>46175.604861111111</v>
      </c>
      <c r="B1106">
        <v>0</v>
      </c>
      <c r="C1106">
        <v>175386.18284002121</v>
      </c>
      <c r="D1106">
        <v>75386.182840021196</v>
      </c>
      <c r="E1106">
        <v>100000</v>
      </c>
      <c r="F1106">
        <v>0</v>
      </c>
      <c r="G1106">
        <v>12137.205028555411</v>
      </c>
      <c r="H1106">
        <v>12137.205028555411</v>
      </c>
      <c r="I1106">
        <v>35077.236568004242</v>
      </c>
      <c r="J1106">
        <v>22940.031539448839</v>
      </c>
    </row>
    <row r="1107" spans="1:10">
      <c r="A1107" s="1">
        <v>46175.605555555558</v>
      </c>
      <c r="B1107">
        <v>-91.216606499594661</v>
      </c>
      <c r="C1107">
        <v>175941.15586863979</v>
      </c>
      <c r="D1107">
        <v>75618.061051080731</v>
      </c>
      <c r="E1107">
        <v>100323.0948175591</v>
      </c>
      <c r="F1107">
        <v>0</v>
      </c>
      <c r="G1107">
        <v>12137.205028555411</v>
      </c>
      <c r="H1107">
        <v>12045.988422055811</v>
      </c>
      <c r="I1107">
        <v>35188.231173727967</v>
      </c>
      <c r="J1107">
        <v>23142.242751672158</v>
      </c>
    </row>
    <row r="1108" spans="1:10">
      <c r="A1108" s="1">
        <v>46175.606249999997</v>
      </c>
      <c r="B1108">
        <v>63.368867540090093</v>
      </c>
      <c r="C1108">
        <v>176095.74134267951</v>
      </c>
      <c r="D1108">
        <v>75772.646525120421</v>
      </c>
      <c r="E1108">
        <v>100323.0948175591</v>
      </c>
      <c r="F1108">
        <v>0</v>
      </c>
      <c r="G1108">
        <v>12137.205028555411</v>
      </c>
      <c r="H1108">
        <v>12200.5738960955</v>
      </c>
      <c r="I1108">
        <v>35219.148268535908</v>
      </c>
      <c r="J1108">
        <v>23018.574372440409</v>
      </c>
    </row>
    <row r="1109" spans="1:10">
      <c r="A1109" s="1">
        <v>46175.606944444437</v>
      </c>
      <c r="B1109">
        <v>-175.5337830579127</v>
      </c>
      <c r="C1109">
        <v>176218.70488774779</v>
      </c>
      <c r="D1109">
        <v>75714.676972355534</v>
      </c>
      <c r="E1109">
        <v>100504.0279153922</v>
      </c>
      <c r="F1109">
        <v>0</v>
      </c>
      <c r="G1109">
        <v>12137.205028555411</v>
      </c>
      <c r="H1109">
        <v>11961.67124549749</v>
      </c>
      <c r="I1109">
        <v>35243.740977549547</v>
      </c>
      <c r="J1109">
        <v>23282.069732052059</v>
      </c>
    </row>
    <row r="1110" spans="1:10">
      <c r="A1110" s="1">
        <v>46175.607638888891</v>
      </c>
      <c r="B1110">
        <v>-517.41007661757158</v>
      </c>
      <c r="C1110">
        <v>176186.99961904489</v>
      </c>
      <c r="D1110">
        <v>75527.886191224243</v>
      </c>
      <c r="E1110">
        <v>100659.1134278206</v>
      </c>
      <c r="F1110">
        <v>0</v>
      </c>
      <c r="G1110">
        <v>12137.205028555411</v>
      </c>
      <c r="H1110">
        <v>11619.794951937831</v>
      </c>
      <c r="I1110">
        <v>35237.399923808967</v>
      </c>
      <c r="J1110">
        <v>23617.60497187114</v>
      </c>
    </row>
    <row r="1111" spans="1:10">
      <c r="A1111" s="1">
        <v>46175.60833333333</v>
      </c>
      <c r="B1111">
        <v>-480.77182902801411</v>
      </c>
      <c r="C1111">
        <v>176137.47924861859</v>
      </c>
      <c r="D1111">
        <v>75521.445129805928</v>
      </c>
      <c r="E1111">
        <v>100616.03411881271</v>
      </c>
      <c r="F1111">
        <v>0</v>
      </c>
      <c r="G1111">
        <v>12137.205028555411</v>
      </c>
      <c r="H1111">
        <v>11656.43319952739</v>
      </c>
      <c r="I1111">
        <v>35227.495849723731</v>
      </c>
      <c r="J1111">
        <v>23571.062650196342</v>
      </c>
    </row>
    <row r="1112" spans="1:10">
      <c r="A1112" s="1">
        <v>46175.609027777777</v>
      </c>
      <c r="B1112">
        <v>-474.41410734114538</v>
      </c>
      <c r="C1112">
        <v>176195.53214111499</v>
      </c>
      <c r="D1112">
        <v>75553.650436897529</v>
      </c>
      <c r="E1112">
        <v>100641.88170421751</v>
      </c>
      <c r="F1112">
        <v>0</v>
      </c>
      <c r="G1112">
        <v>12137.205028555411</v>
      </c>
      <c r="H1112">
        <v>11662.79092121426</v>
      </c>
      <c r="I1112">
        <v>35239.106428223</v>
      </c>
      <c r="J1112">
        <v>23576.315507008741</v>
      </c>
    </row>
    <row r="1113" spans="1:10">
      <c r="A1113" s="1">
        <v>46175.609722222223</v>
      </c>
      <c r="B1113">
        <v>-364.91606322969858</v>
      </c>
      <c r="C1113">
        <v>176305.03018522641</v>
      </c>
      <c r="D1113">
        <v>75663.148481008975</v>
      </c>
      <c r="E1113">
        <v>100641.88170421751</v>
      </c>
      <c r="F1113">
        <v>0</v>
      </c>
      <c r="G1113">
        <v>12137.205028555411</v>
      </c>
      <c r="H1113">
        <v>11772.28896532571</v>
      </c>
      <c r="I1113">
        <v>35261.006037045292</v>
      </c>
      <c r="J1113">
        <v>23488.71707171958</v>
      </c>
    </row>
    <row r="1114" spans="1:10">
      <c r="A1114" s="1">
        <v>46175.61041666667</v>
      </c>
      <c r="B1114">
        <v>-383.65586936451291</v>
      </c>
      <c r="C1114">
        <v>175924.42418342541</v>
      </c>
      <c r="D1114">
        <v>75463.475577041041</v>
      </c>
      <c r="E1114">
        <v>100460.94860638439</v>
      </c>
      <c r="F1114">
        <v>0</v>
      </c>
      <c r="G1114">
        <v>12137.205028555411</v>
      </c>
      <c r="H1114">
        <v>11753.54915919089</v>
      </c>
      <c r="I1114">
        <v>35184.88483668508</v>
      </c>
      <c r="J1114">
        <v>23431.335677494189</v>
      </c>
    </row>
    <row r="1115" spans="1:10">
      <c r="A1115" s="1">
        <v>46175.611111111109</v>
      </c>
      <c r="B1115">
        <v>-113.1312897950577</v>
      </c>
      <c r="C1115">
        <v>176194.94876299481</v>
      </c>
      <c r="D1115">
        <v>75734.000156610491</v>
      </c>
      <c r="E1115">
        <v>100460.94860638439</v>
      </c>
      <c r="F1115">
        <v>0</v>
      </c>
      <c r="G1115">
        <v>12137.205028555411</v>
      </c>
      <c r="H1115">
        <v>12024.073738760349</v>
      </c>
      <c r="I1115">
        <v>35238.989752598973</v>
      </c>
      <c r="J1115">
        <v>23214.916013838621</v>
      </c>
    </row>
    <row r="1116" spans="1:10">
      <c r="A1116" s="1">
        <v>46175.611805555563</v>
      </c>
      <c r="B1116">
        <v>-61.602798448496117</v>
      </c>
      <c r="C1116">
        <v>176246.47725434139</v>
      </c>
      <c r="D1116">
        <v>75785.52864795705</v>
      </c>
      <c r="E1116">
        <v>100460.94860638439</v>
      </c>
      <c r="F1116">
        <v>0</v>
      </c>
      <c r="G1116">
        <v>12137.205028555411</v>
      </c>
      <c r="H1116">
        <v>12075.60223010691</v>
      </c>
      <c r="I1116">
        <v>35249.295450868281</v>
      </c>
      <c r="J1116">
        <v>23173.693220761372</v>
      </c>
    </row>
    <row r="1117" spans="1:10">
      <c r="A1117" s="1">
        <v>46175.612500000003</v>
      </c>
      <c r="B1117">
        <v>-225.55419187279779</v>
      </c>
      <c r="C1117">
        <v>176565.01412180541</v>
      </c>
      <c r="D1117">
        <v>75862.821384976909</v>
      </c>
      <c r="E1117">
        <v>100702.1927368285</v>
      </c>
      <c r="F1117">
        <v>0</v>
      </c>
      <c r="G1117">
        <v>12137.205028555411</v>
      </c>
      <c r="H1117">
        <v>11911.650836682609</v>
      </c>
      <c r="I1117">
        <v>35313.00282436108</v>
      </c>
      <c r="J1117">
        <v>23401.35198767847</v>
      </c>
    </row>
    <row r="1118" spans="1:10">
      <c r="A1118" s="1">
        <v>46175.613194444442</v>
      </c>
      <c r="B1118">
        <v>-229.98713237076771</v>
      </c>
      <c r="C1118">
        <v>176646.7397993232</v>
      </c>
      <c r="D1118">
        <v>75901.467753486824</v>
      </c>
      <c r="E1118">
        <v>100745.27204583641</v>
      </c>
      <c r="F1118">
        <v>0</v>
      </c>
      <c r="G1118">
        <v>12137.205028555411</v>
      </c>
      <c r="H1118">
        <v>11907.21789618464</v>
      </c>
      <c r="I1118">
        <v>35329.347959864637</v>
      </c>
      <c r="J1118">
        <v>23422.130063680012</v>
      </c>
    </row>
    <row r="1119" spans="1:10">
      <c r="A1119" s="1">
        <v>46175.613888888889</v>
      </c>
      <c r="B1119">
        <v>-281.51562371732928</v>
      </c>
      <c r="C1119">
        <v>176595.21130797669</v>
      </c>
      <c r="D1119">
        <v>75849.939262140266</v>
      </c>
      <c r="E1119">
        <v>100745.27204583641</v>
      </c>
      <c r="F1119">
        <v>0</v>
      </c>
      <c r="G1119">
        <v>12137.205028555411</v>
      </c>
      <c r="H1119">
        <v>11855.68940483808</v>
      </c>
      <c r="I1119">
        <v>35319.042261595343</v>
      </c>
      <c r="J1119">
        <v>23463.352856757261</v>
      </c>
    </row>
    <row r="1120" spans="1:10">
      <c r="A1120" s="1">
        <v>46175.614583333343</v>
      </c>
      <c r="B1120">
        <v>-79.251220708893015</v>
      </c>
      <c r="C1120">
        <v>176521.76813333461</v>
      </c>
      <c r="D1120">
        <v>75914.349876323467</v>
      </c>
      <c r="E1120">
        <v>100607.4182570111</v>
      </c>
      <c r="F1120">
        <v>0</v>
      </c>
      <c r="G1120">
        <v>12137.205028555411</v>
      </c>
      <c r="H1120">
        <v>12057.95380784651</v>
      </c>
      <c r="I1120">
        <v>35304.353626666933</v>
      </c>
      <c r="J1120">
        <v>23246.39981882041</v>
      </c>
    </row>
    <row r="1121" spans="1:10">
      <c r="A1121" s="1">
        <v>46175.615277777782</v>
      </c>
      <c r="B1121">
        <v>-92.63338193423283</v>
      </c>
      <c r="C1121">
        <v>176818.5569969661</v>
      </c>
      <c r="D1121">
        <v>76056.053227526514</v>
      </c>
      <c r="E1121">
        <v>100762.5037694395</v>
      </c>
      <c r="F1121">
        <v>0</v>
      </c>
      <c r="G1121">
        <v>12137.205028555411</v>
      </c>
      <c r="H1121">
        <v>12044.571646621171</v>
      </c>
      <c r="I1121">
        <v>35363.711399393207</v>
      </c>
      <c r="J1121">
        <v>23319.13975277204</v>
      </c>
    </row>
    <row r="1122" spans="1:10">
      <c r="A1122" s="1">
        <v>46175.615972222222</v>
      </c>
      <c r="B1122">
        <v>-105.515504770871</v>
      </c>
      <c r="C1122">
        <v>176805.67487412941</v>
      </c>
      <c r="D1122">
        <v>76043.171104689871</v>
      </c>
      <c r="E1122">
        <v>100762.5037694395</v>
      </c>
      <c r="F1122">
        <v>0</v>
      </c>
      <c r="G1122">
        <v>12137.205028555411</v>
      </c>
      <c r="H1122">
        <v>12031.68952378454</v>
      </c>
      <c r="I1122">
        <v>35361.134974825887</v>
      </c>
      <c r="J1122">
        <v>23329.445451041349</v>
      </c>
    </row>
    <row r="1123" spans="1:10">
      <c r="A1123" s="1">
        <v>46175.616666666669</v>
      </c>
      <c r="B1123">
        <v>-208.57248746399409</v>
      </c>
      <c r="C1123">
        <v>176702.6178914363</v>
      </c>
      <c r="D1123">
        <v>75940.114121996754</v>
      </c>
      <c r="E1123">
        <v>100762.5037694395</v>
      </c>
      <c r="F1123">
        <v>0</v>
      </c>
      <c r="G1123">
        <v>12137.205028555411</v>
      </c>
      <c r="H1123">
        <v>11928.632541091411</v>
      </c>
      <c r="I1123">
        <v>35340.523578287262</v>
      </c>
      <c r="J1123">
        <v>23411.891037195848</v>
      </c>
    </row>
    <row r="1124" spans="1:10">
      <c r="A1124" s="1">
        <v>46175.617361111108</v>
      </c>
      <c r="B1124">
        <v>-94.474823391689142</v>
      </c>
      <c r="C1124">
        <v>176627.16659587389</v>
      </c>
      <c r="D1124">
        <v>75959.437306251712</v>
      </c>
      <c r="E1124">
        <v>100667.72928962221</v>
      </c>
      <c r="F1124">
        <v>0</v>
      </c>
      <c r="G1124">
        <v>12137.205028555411</v>
      </c>
      <c r="H1124">
        <v>12042.73020516372</v>
      </c>
      <c r="I1124">
        <v>35325.433319174779</v>
      </c>
      <c r="J1124">
        <v>23282.703114011059</v>
      </c>
    </row>
    <row r="1125" spans="1:10">
      <c r="A1125" s="1">
        <v>46175.618055555547</v>
      </c>
      <c r="B1125">
        <v>0</v>
      </c>
      <c r="C1125">
        <v>0</v>
      </c>
      <c r="D1125">
        <v>0</v>
      </c>
      <c r="E1125">
        <v>0</v>
      </c>
      <c r="F1125">
        <v>-86.769969851712929</v>
      </c>
      <c r="G1125">
        <v>12050.43505870369</v>
      </c>
      <c r="H1125">
        <v>12050.43505870369</v>
      </c>
      <c r="I1125">
        <v>0</v>
      </c>
      <c r="J1125">
        <v>-12050.43505870369</v>
      </c>
    </row>
    <row r="1126" spans="1:10">
      <c r="A1126" s="1">
        <v>46176.727083333331</v>
      </c>
      <c r="B1126">
        <v>0</v>
      </c>
      <c r="C1126">
        <v>175386.18284002121</v>
      </c>
      <c r="D1126">
        <v>75386.182840021196</v>
      </c>
      <c r="E1126">
        <v>100000</v>
      </c>
      <c r="F1126">
        <v>0</v>
      </c>
      <c r="G1126">
        <v>12050.43505870369</v>
      </c>
      <c r="H1126">
        <v>12050.43505870369</v>
      </c>
      <c r="I1126">
        <v>35077.236568004242</v>
      </c>
      <c r="J1126">
        <v>23026.801509300549</v>
      </c>
    </row>
    <row r="1127" spans="1:10">
      <c r="A1127" s="1">
        <v>46176.727777777778</v>
      </c>
      <c r="B1127">
        <v>33.467202141894283</v>
      </c>
      <c r="C1127">
        <v>175352.7156378793</v>
      </c>
      <c r="D1127">
        <v>75386.182840021196</v>
      </c>
      <c r="E1127">
        <v>99966.532797858104</v>
      </c>
      <c r="F1127">
        <v>0</v>
      </c>
      <c r="G1127">
        <v>12050.43505870369</v>
      </c>
      <c r="H1127">
        <v>12083.902260845591</v>
      </c>
      <c r="I1127">
        <v>35070.54312757586</v>
      </c>
      <c r="J1127">
        <v>22986.640866730271</v>
      </c>
    </row>
    <row r="1128" spans="1:10">
      <c r="A1128" s="1">
        <v>46176.728472222218</v>
      </c>
      <c r="B1128">
        <v>8.3668005354676254</v>
      </c>
      <c r="C1128">
        <v>175377.81603948571</v>
      </c>
      <c r="D1128">
        <v>75386.182840021196</v>
      </c>
      <c r="E1128">
        <v>99991.63319946453</v>
      </c>
      <c r="F1128">
        <v>0</v>
      </c>
      <c r="G1128">
        <v>12050.43505870369</v>
      </c>
      <c r="H1128">
        <v>12058.80185923916</v>
      </c>
      <c r="I1128">
        <v>35075.563207897147</v>
      </c>
      <c r="J1128">
        <v>23016.76134865799</v>
      </c>
    </row>
    <row r="1129" spans="1:10">
      <c r="A1129" s="1">
        <v>46176.729166666657</v>
      </c>
      <c r="B1129">
        <v>-45.850417194491158</v>
      </c>
      <c r="C1129">
        <v>175382.16642550411</v>
      </c>
      <c r="D1129">
        <v>75361.249424165391</v>
      </c>
      <c r="E1129">
        <v>100020.9170013387</v>
      </c>
      <c r="F1129">
        <v>0</v>
      </c>
      <c r="G1129">
        <v>12050.43505870369</v>
      </c>
      <c r="H1129">
        <v>12004.5846415092</v>
      </c>
      <c r="I1129">
        <v>35076.433285100808</v>
      </c>
      <c r="J1129">
        <v>23071.848643591609</v>
      </c>
    </row>
    <row r="1130" spans="1:10">
      <c r="A1130" s="1">
        <v>46176.729861111111</v>
      </c>
      <c r="B1130">
        <v>-46.981949262282043</v>
      </c>
      <c r="C1130">
        <v>175096.56367523011</v>
      </c>
      <c r="D1130">
        <v>75217.882282994527</v>
      </c>
      <c r="E1130">
        <v>99878.681392235609</v>
      </c>
      <c r="F1130">
        <v>0</v>
      </c>
      <c r="G1130">
        <v>12050.43505870369</v>
      </c>
      <c r="H1130">
        <v>12003.453109441411</v>
      </c>
      <c r="I1130">
        <v>35019.312735046027</v>
      </c>
      <c r="J1130">
        <v>23015.859625604611</v>
      </c>
    </row>
    <row r="1131" spans="1:10">
      <c r="A1131" s="1">
        <v>46176.730555555558</v>
      </c>
      <c r="B1131">
        <v>-57.398703493969848</v>
      </c>
      <c r="C1131">
        <v>175094.51372153391</v>
      </c>
      <c r="D1131">
        <v>75211.648929030576</v>
      </c>
      <c r="E1131">
        <v>99882.864792503344</v>
      </c>
      <c r="F1131">
        <v>0</v>
      </c>
      <c r="G1131">
        <v>12050.43505870369</v>
      </c>
      <c r="H1131">
        <v>11993.036355209721</v>
      </c>
      <c r="I1131">
        <v>35018.90274430679</v>
      </c>
      <c r="J1131">
        <v>23025.86638909706</v>
      </c>
    </row>
    <row r="1132" spans="1:10">
      <c r="A1132" s="1">
        <v>46176.731249999997</v>
      </c>
      <c r="B1132">
        <v>-99.065720420727203</v>
      </c>
      <c r="C1132">
        <v>175086.3139067491</v>
      </c>
      <c r="D1132">
        <v>75186.715513174771</v>
      </c>
      <c r="E1132">
        <v>99899.598393574313</v>
      </c>
      <c r="F1132">
        <v>0</v>
      </c>
      <c r="G1132">
        <v>12050.43505870369</v>
      </c>
      <c r="H1132">
        <v>11951.36933828297</v>
      </c>
      <c r="I1132">
        <v>35017.262781349818</v>
      </c>
      <c r="J1132">
        <v>23065.893443066849</v>
      </c>
    </row>
    <row r="1133" spans="1:10">
      <c r="A1133" s="1">
        <v>46176.731944444437</v>
      </c>
      <c r="B1133">
        <v>-111.36544259800689</v>
      </c>
      <c r="C1133">
        <v>175023.81338135889</v>
      </c>
      <c r="D1133">
        <v>75149.315389391064</v>
      </c>
      <c r="E1133">
        <v>99874.497991967874</v>
      </c>
      <c r="F1133">
        <v>0</v>
      </c>
      <c r="G1133">
        <v>12050.43505870369</v>
      </c>
      <c r="H1133">
        <v>11939.069616105689</v>
      </c>
      <c r="I1133">
        <v>35004.762676271777</v>
      </c>
      <c r="J1133">
        <v>23065.693060166101</v>
      </c>
    </row>
    <row r="1134" spans="1:10">
      <c r="A1134" s="1">
        <v>46176.732638888891</v>
      </c>
      <c r="B1134">
        <v>-78.065226206729051</v>
      </c>
      <c r="C1134">
        <v>175040.37999667929</v>
      </c>
      <c r="D1134">
        <v>75174.248805246869</v>
      </c>
      <c r="E1134">
        <v>99866.131191432403</v>
      </c>
      <c r="F1134">
        <v>0</v>
      </c>
      <c r="G1134">
        <v>12050.43505870369</v>
      </c>
      <c r="H1134">
        <v>11972.369832496959</v>
      </c>
      <c r="I1134">
        <v>35008.075999335852</v>
      </c>
      <c r="J1134">
        <v>23035.706166838889</v>
      </c>
    </row>
    <row r="1135" spans="1:10">
      <c r="A1135" s="1">
        <v>46176.73333333333</v>
      </c>
      <c r="B1135">
        <v>-86.599012492828038</v>
      </c>
      <c r="C1135">
        <v>175098.780614677</v>
      </c>
      <c r="D1135">
        <v>75199.182221102674</v>
      </c>
      <c r="E1135">
        <v>99899.598393574313</v>
      </c>
      <c r="F1135">
        <v>0</v>
      </c>
      <c r="G1135">
        <v>12050.43505870369</v>
      </c>
      <c r="H1135">
        <v>11963.836046210859</v>
      </c>
      <c r="I1135">
        <v>35019.756122935403</v>
      </c>
      <c r="J1135">
        <v>23055.920076724538</v>
      </c>
    </row>
    <row r="1136" spans="1:10">
      <c r="A1136" s="1">
        <v>46176.734027777777</v>
      </c>
      <c r="B1136">
        <v>-90.782412760561854</v>
      </c>
      <c r="C1136">
        <v>175102.96401494471</v>
      </c>
      <c r="D1136">
        <v>75199.182221102674</v>
      </c>
      <c r="E1136">
        <v>99903.781793842034</v>
      </c>
      <c r="F1136">
        <v>0</v>
      </c>
      <c r="G1136">
        <v>12050.43505870369</v>
      </c>
      <c r="H1136">
        <v>11959.65264594313</v>
      </c>
      <c r="I1136">
        <v>35020.59280298894</v>
      </c>
      <c r="J1136">
        <v>23060.94015704581</v>
      </c>
    </row>
    <row r="1137" spans="1:10">
      <c r="A1137" s="1">
        <v>46176.734722222223</v>
      </c>
      <c r="B1137">
        <v>-128.09904366895401</v>
      </c>
      <c r="C1137">
        <v>175040.54698242989</v>
      </c>
      <c r="D1137">
        <v>75149.315389391064</v>
      </c>
      <c r="E1137">
        <v>99891.231593038829</v>
      </c>
      <c r="F1137">
        <v>0</v>
      </c>
      <c r="G1137">
        <v>12050.43505870369</v>
      </c>
      <c r="H1137">
        <v>11922.33601503474</v>
      </c>
      <c r="I1137">
        <v>35008.109396485983</v>
      </c>
      <c r="J1137">
        <v>23085.773381451239</v>
      </c>
    </row>
    <row r="1138" spans="1:10">
      <c r="A1138" s="1">
        <v>46176.73541666667</v>
      </c>
      <c r="B1138">
        <v>-117.9327680632087</v>
      </c>
      <c r="C1138">
        <v>175117.6476623195</v>
      </c>
      <c r="D1138">
        <v>75192.948867138723</v>
      </c>
      <c r="E1138">
        <v>99924.698795180739</v>
      </c>
      <c r="F1138">
        <v>0</v>
      </c>
      <c r="G1138">
        <v>12050.43505870369</v>
      </c>
      <c r="H1138">
        <v>11932.502290640479</v>
      </c>
      <c r="I1138">
        <v>35023.529532463886</v>
      </c>
      <c r="J1138">
        <v>23091.027241823409</v>
      </c>
    </row>
    <row r="1139" spans="1:10">
      <c r="A1139" s="1">
        <v>46176.736111111109</v>
      </c>
      <c r="B1139">
        <v>-90.69891988524769</v>
      </c>
      <c r="C1139">
        <v>175077.9471062136</v>
      </c>
      <c r="D1139">
        <v>75186.715513174771</v>
      </c>
      <c r="E1139">
        <v>99891.231593038829</v>
      </c>
      <c r="F1139">
        <v>0</v>
      </c>
      <c r="G1139">
        <v>12050.43505870369</v>
      </c>
      <c r="H1139">
        <v>11959.736138818451</v>
      </c>
      <c r="I1139">
        <v>35015.589421242723</v>
      </c>
      <c r="J1139">
        <v>23055.853282424279</v>
      </c>
    </row>
    <row r="1140" spans="1:10">
      <c r="A1140" s="1">
        <v>46176.736805555563</v>
      </c>
      <c r="B1140">
        <v>-86.599012492828038</v>
      </c>
      <c r="C1140">
        <v>175098.780614677</v>
      </c>
      <c r="D1140">
        <v>75199.182221102674</v>
      </c>
      <c r="E1140">
        <v>99899.598393574313</v>
      </c>
      <c r="F1140">
        <v>0</v>
      </c>
      <c r="G1140">
        <v>12050.43505870369</v>
      </c>
      <c r="H1140">
        <v>11963.836046210859</v>
      </c>
      <c r="I1140">
        <v>35019.756122935403</v>
      </c>
      <c r="J1140">
        <v>23055.920076724538</v>
      </c>
    </row>
    <row r="1141" spans="1:10">
      <c r="A1141" s="1">
        <v>46176.737500000003</v>
      </c>
      <c r="B1141">
        <v>-94.965813028295671</v>
      </c>
      <c r="C1141">
        <v>175107.14741521241</v>
      </c>
      <c r="D1141">
        <v>75199.182221102674</v>
      </c>
      <c r="E1141">
        <v>99907.965194109769</v>
      </c>
      <c r="F1141">
        <v>0</v>
      </c>
      <c r="G1141">
        <v>12050.43505870369</v>
      </c>
      <c r="H1141">
        <v>11955.4692456754</v>
      </c>
      <c r="I1141">
        <v>35021.429483042491</v>
      </c>
      <c r="J1141">
        <v>23065.96023736709</v>
      </c>
    </row>
    <row r="1142" spans="1:10">
      <c r="A1142" s="1">
        <v>46176.738194444442</v>
      </c>
      <c r="B1142">
        <v>-65.431532528201558</v>
      </c>
      <c r="C1142">
        <v>175002.81288714489</v>
      </c>
      <c r="D1142">
        <v>75161.782097318966</v>
      </c>
      <c r="E1142">
        <v>99841.030789825978</v>
      </c>
      <c r="F1142">
        <v>0</v>
      </c>
      <c r="G1142">
        <v>12050.43505870369</v>
      </c>
      <c r="H1142">
        <v>11985.003526175489</v>
      </c>
      <c r="I1142">
        <v>35000.562577428987</v>
      </c>
      <c r="J1142">
        <v>23015.559051253498</v>
      </c>
    </row>
    <row r="1143" spans="1:10">
      <c r="A1143" s="1">
        <v>46176.738888888889</v>
      </c>
      <c r="B1143">
        <v>-82.165133599148703</v>
      </c>
      <c r="C1143">
        <v>175019.54648821591</v>
      </c>
      <c r="D1143">
        <v>75161.782097318966</v>
      </c>
      <c r="E1143">
        <v>99857.764390896918</v>
      </c>
      <c r="F1143">
        <v>0</v>
      </c>
      <c r="G1143">
        <v>12050.43505870369</v>
      </c>
      <c r="H1143">
        <v>11968.269925104551</v>
      </c>
      <c r="I1143">
        <v>35003.909297643178</v>
      </c>
      <c r="J1143">
        <v>23035.63937253863</v>
      </c>
    </row>
    <row r="1144" spans="1:10">
      <c r="A1144" s="1">
        <v>46176.739583333343</v>
      </c>
      <c r="B1144">
        <v>-57.064731992722052</v>
      </c>
      <c r="C1144">
        <v>174994.44608660939</v>
      </c>
      <c r="D1144">
        <v>75161.782097318966</v>
      </c>
      <c r="E1144">
        <v>99832.663989290493</v>
      </c>
      <c r="F1144">
        <v>0</v>
      </c>
      <c r="G1144">
        <v>12050.43505870369</v>
      </c>
      <c r="H1144">
        <v>11993.37032671097</v>
      </c>
      <c r="I1144">
        <v>34998.889217321892</v>
      </c>
      <c r="J1144">
        <v>23005.518890610922</v>
      </c>
    </row>
    <row r="1145" spans="1:10">
      <c r="A1145" s="1">
        <v>46176.740277777782</v>
      </c>
      <c r="B1145">
        <v>-59.198178564247542</v>
      </c>
      <c r="C1145">
        <v>175009.04624110891</v>
      </c>
      <c r="D1145">
        <v>75168.015451282918</v>
      </c>
      <c r="E1145">
        <v>99841.030789825978</v>
      </c>
      <c r="F1145">
        <v>0</v>
      </c>
      <c r="G1145">
        <v>12050.43505870369</v>
      </c>
      <c r="H1145">
        <v>11991.23688013945</v>
      </c>
      <c r="I1145">
        <v>35001.809248221783</v>
      </c>
      <c r="J1145">
        <v>23010.572368082339</v>
      </c>
    </row>
    <row r="1146" spans="1:10">
      <c r="A1146" s="1">
        <v>46176.740972222222</v>
      </c>
      <c r="B1146">
        <v>0</v>
      </c>
      <c r="C1146">
        <v>0</v>
      </c>
      <c r="D1146">
        <v>0</v>
      </c>
      <c r="E1146">
        <v>0</v>
      </c>
      <c r="F1146">
        <v>-77.41684246584704</v>
      </c>
      <c r="G1146">
        <v>11973.01821623785</v>
      </c>
      <c r="H1146">
        <v>11973.01821623785</v>
      </c>
      <c r="I1146">
        <v>0</v>
      </c>
      <c r="J1146">
        <v>-11973.01821623785</v>
      </c>
    </row>
    <row r="1147" spans="1:10">
      <c r="A1147" s="1">
        <v>46177.604166666657</v>
      </c>
      <c r="B1147">
        <v>0</v>
      </c>
      <c r="C1147">
        <v>175386.18284002121</v>
      </c>
      <c r="D1147">
        <v>75386.182840021196</v>
      </c>
      <c r="E1147">
        <v>100000</v>
      </c>
      <c r="F1147">
        <v>0</v>
      </c>
      <c r="G1147">
        <v>11973.01821623785</v>
      </c>
      <c r="H1147">
        <v>11973.01821623785</v>
      </c>
      <c r="I1147">
        <v>35077.236568004242</v>
      </c>
      <c r="J1147">
        <v>23104.218351766391</v>
      </c>
    </row>
    <row r="1148" spans="1:10">
      <c r="A1148" s="1">
        <v>46177.604861111111</v>
      </c>
      <c r="B1148">
        <v>57.850924757862927</v>
      </c>
      <c r="C1148">
        <v>175444.03376477899</v>
      </c>
      <c r="D1148">
        <v>75444.033764779058</v>
      </c>
      <c r="E1148">
        <v>100000</v>
      </c>
      <c r="F1148">
        <v>0</v>
      </c>
      <c r="G1148">
        <v>11973.01821623785</v>
      </c>
      <c r="H1148">
        <v>12030.86914099571</v>
      </c>
      <c r="I1148">
        <v>35088.80675295581</v>
      </c>
      <c r="J1148">
        <v>23057.9376119601</v>
      </c>
    </row>
    <row r="1149" spans="1:10">
      <c r="A1149" s="1">
        <v>46177.605555555558</v>
      </c>
      <c r="B1149">
        <v>124.62287375576631</v>
      </c>
      <c r="C1149">
        <v>175968.62682441701</v>
      </c>
      <c r="D1149">
        <v>75739.716269097014</v>
      </c>
      <c r="E1149">
        <v>100228.91055532001</v>
      </c>
      <c r="F1149">
        <v>0</v>
      </c>
      <c r="G1149">
        <v>11973.01821623785</v>
      </c>
      <c r="H1149">
        <v>12097.641089993611</v>
      </c>
      <c r="I1149">
        <v>35193.725364883408</v>
      </c>
      <c r="J1149">
        <v>23096.084274889799</v>
      </c>
    </row>
    <row r="1150" spans="1:10">
      <c r="A1150" s="1">
        <v>46177.606249999997</v>
      </c>
      <c r="B1150">
        <v>-61.785661575113181</v>
      </c>
      <c r="C1150">
        <v>175782.21828908619</v>
      </c>
      <c r="D1150">
        <v>75553.307733766123</v>
      </c>
      <c r="E1150">
        <v>100228.91055532001</v>
      </c>
      <c r="F1150">
        <v>0</v>
      </c>
      <c r="G1150">
        <v>11973.01821623785</v>
      </c>
      <c r="H1150">
        <v>11911.232554662731</v>
      </c>
      <c r="I1150">
        <v>35156.443657817232</v>
      </c>
      <c r="J1150">
        <v>23245.211103154499</v>
      </c>
    </row>
    <row r="1151" spans="1:10">
      <c r="A1151" s="1">
        <v>46177.606944444437</v>
      </c>
      <c r="B1151">
        <v>-299.17438561072242</v>
      </c>
      <c r="C1151">
        <v>176019.6070131218</v>
      </c>
      <c r="D1151">
        <v>75553.307733766123</v>
      </c>
      <c r="E1151">
        <v>100466.2992793556</v>
      </c>
      <c r="F1151">
        <v>0</v>
      </c>
      <c r="G1151">
        <v>11973.01821623785</v>
      </c>
      <c r="H1151">
        <v>11673.84383062712</v>
      </c>
      <c r="I1151">
        <v>35203.921402624357</v>
      </c>
      <c r="J1151">
        <v>23530.07757199723</v>
      </c>
    </row>
    <row r="1152" spans="1:10">
      <c r="A1152" s="1">
        <v>46177.607638888891</v>
      </c>
      <c r="B1152">
        <v>-417.59173166060071</v>
      </c>
      <c r="C1152">
        <v>176189.44740340079</v>
      </c>
      <c r="D1152">
        <v>75579.019255880732</v>
      </c>
      <c r="E1152">
        <v>100610.4281475201</v>
      </c>
      <c r="F1152">
        <v>0</v>
      </c>
      <c r="G1152">
        <v>11973.01821623785</v>
      </c>
      <c r="H1152">
        <v>11555.42648457724</v>
      </c>
      <c r="I1152">
        <v>35237.889480680169</v>
      </c>
      <c r="J1152">
        <v>23682.46299610292</v>
      </c>
    </row>
    <row r="1153" spans="1:10">
      <c r="A1153" s="1">
        <v>46177.60833333333</v>
      </c>
      <c r="B1153">
        <v>-418.42277956439813</v>
      </c>
      <c r="C1153">
        <v>176036.009318617</v>
      </c>
      <c r="D1153">
        <v>75501.884689536906</v>
      </c>
      <c r="E1153">
        <v>100534.12462908011</v>
      </c>
      <c r="F1153">
        <v>0</v>
      </c>
      <c r="G1153">
        <v>11973.01821623785</v>
      </c>
      <c r="H1153">
        <v>11554.59543667345</v>
      </c>
      <c r="I1153">
        <v>35207.2018637234</v>
      </c>
      <c r="J1153">
        <v>23652.606427049948</v>
      </c>
    </row>
    <row r="1154" spans="1:10">
      <c r="A1154" s="1">
        <v>46177.609027777777</v>
      </c>
      <c r="B1154">
        <v>-485.58292094161101</v>
      </c>
      <c r="C1154">
        <v>175833.19847779089</v>
      </c>
      <c r="D1154">
        <v>75366.899198435232</v>
      </c>
      <c r="E1154">
        <v>100466.2992793556</v>
      </c>
      <c r="F1154">
        <v>0</v>
      </c>
      <c r="G1154">
        <v>11973.01821623785</v>
      </c>
      <c r="H1154">
        <v>11487.435295296231</v>
      </c>
      <c r="I1154">
        <v>35166.639695558173</v>
      </c>
      <c r="J1154">
        <v>23679.20440026194</v>
      </c>
    </row>
    <row r="1155" spans="1:10">
      <c r="A1155" s="1">
        <v>46177.609722222223</v>
      </c>
      <c r="B1155">
        <v>-629.8776286626412</v>
      </c>
      <c r="C1155">
        <v>175553.25307062091</v>
      </c>
      <c r="D1155">
        <v>75154.779140989747</v>
      </c>
      <c r="E1155">
        <v>100398.4739296312</v>
      </c>
      <c r="F1155">
        <v>0</v>
      </c>
      <c r="G1155">
        <v>11973.01821623785</v>
      </c>
      <c r="H1155">
        <v>11343.140587575201</v>
      </c>
      <c r="I1155">
        <v>35110.650614124192</v>
      </c>
      <c r="J1155">
        <v>23767.510026548989</v>
      </c>
    </row>
    <row r="1156" spans="1:10">
      <c r="A1156" s="1">
        <v>46177.61041666667</v>
      </c>
      <c r="B1156">
        <v>-457.54409467216863</v>
      </c>
      <c r="C1156">
        <v>175895.14997892259</v>
      </c>
      <c r="D1156">
        <v>75411.89436213579</v>
      </c>
      <c r="E1156">
        <v>100483.2556167868</v>
      </c>
      <c r="F1156">
        <v>0</v>
      </c>
      <c r="G1156">
        <v>11973.01821623785</v>
      </c>
      <c r="H1156">
        <v>11515.47412156568</v>
      </c>
      <c r="I1156">
        <v>35179.029995784513</v>
      </c>
      <c r="J1156">
        <v>23663.55587421884</v>
      </c>
    </row>
    <row r="1157" spans="1:10">
      <c r="A1157" s="1">
        <v>46177.611111111109</v>
      </c>
      <c r="B1157">
        <v>-558.4510713550643</v>
      </c>
      <c r="C1157">
        <v>176150.32608829311</v>
      </c>
      <c r="D1157">
        <v>75489.028928479616</v>
      </c>
      <c r="E1157">
        <v>100661.2971598135</v>
      </c>
      <c r="F1157">
        <v>0</v>
      </c>
      <c r="G1157">
        <v>11973.01821623785</v>
      </c>
      <c r="H1157">
        <v>11414.56714488278</v>
      </c>
      <c r="I1157">
        <v>35230.065217658623</v>
      </c>
      <c r="J1157">
        <v>23815.498072775841</v>
      </c>
    </row>
    <row r="1158" spans="1:10">
      <c r="A1158" s="1">
        <v>46177.611805555563</v>
      </c>
      <c r="B1158">
        <v>-644.3408223823576</v>
      </c>
      <c r="C1158">
        <v>176030.52366240349</v>
      </c>
      <c r="D1158">
        <v>75386.182840021196</v>
      </c>
      <c r="E1158">
        <v>100644.34082238231</v>
      </c>
      <c r="F1158">
        <v>0</v>
      </c>
      <c r="G1158">
        <v>11973.01821623785</v>
      </c>
      <c r="H1158">
        <v>11328.677393855491</v>
      </c>
      <c r="I1158">
        <v>35206.104732480708</v>
      </c>
      <c r="J1158">
        <v>23877.427338625221</v>
      </c>
    </row>
    <row r="1159" spans="1:10">
      <c r="A1159" s="1">
        <v>46177.612500000003</v>
      </c>
      <c r="B1159">
        <v>-607.38097187287769</v>
      </c>
      <c r="C1159">
        <v>176559.2172984154</v>
      </c>
      <c r="D1159">
        <v>75669.009583281848</v>
      </c>
      <c r="E1159">
        <v>100890.2077151335</v>
      </c>
      <c r="F1159">
        <v>0</v>
      </c>
      <c r="G1159">
        <v>11973.01821623785</v>
      </c>
      <c r="H1159">
        <v>11365.637244364971</v>
      </c>
      <c r="I1159">
        <v>35311.843459683078</v>
      </c>
      <c r="J1159">
        <v>23946.20621531811</v>
      </c>
    </row>
    <row r="1160" spans="1:10">
      <c r="A1160" s="1">
        <v>46177.613194444442</v>
      </c>
      <c r="B1160">
        <v>-643.23275851063386</v>
      </c>
      <c r="C1160">
        <v>176235.10777544859</v>
      </c>
      <c r="D1160">
        <v>75489.028928479616</v>
      </c>
      <c r="E1160">
        <v>100746.078846969</v>
      </c>
      <c r="F1160">
        <v>0</v>
      </c>
      <c r="G1160">
        <v>11973.01821623785</v>
      </c>
      <c r="H1160">
        <v>11329.78545772721</v>
      </c>
      <c r="I1160">
        <v>35247.021555089726</v>
      </c>
      <c r="J1160">
        <v>23917.236097362518</v>
      </c>
    </row>
    <row r="1161" spans="1:10">
      <c r="A1161" s="1">
        <v>46177.613888888889</v>
      </c>
      <c r="B1161">
        <v>-632.15026967230574</v>
      </c>
      <c r="C1161">
        <v>176314.01561401141</v>
      </c>
      <c r="D1161">
        <v>75534.024092180174</v>
      </c>
      <c r="E1161">
        <v>100779.9915218313</v>
      </c>
      <c r="F1161">
        <v>0</v>
      </c>
      <c r="G1161">
        <v>11973.01821623785</v>
      </c>
      <c r="H1161">
        <v>11340.86794656554</v>
      </c>
      <c r="I1161">
        <v>35262.803122802288</v>
      </c>
      <c r="J1161">
        <v>23921.935176236751</v>
      </c>
    </row>
    <row r="1162" spans="1:10">
      <c r="A1162" s="1">
        <v>46177.614583333343</v>
      </c>
      <c r="B1162">
        <v>-745.24779906525339</v>
      </c>
      <c r="C1162">
        <v>176285.69977177409</v>
      </c>
      <c r="D1162">
        <v>75463.317406365008</v>
      </c>
      <c r="E1162">
        <v>100822.3823654091</v>
      </c>
      <c r="F1162">
        <v>0</v>
      </c>
      <c r="G1162">
        <v>11973.01821623785</v>
      </c>
      <c r="H1162">
        <v>11227.770417172591</v>
      </c>
      <c r="I1162">
        <v>35257.13995435481</v>
      </c>
      <c r="J1162">
        <v>24029.369537182221</v>
      </c>
    </row>
    <row r="1163" spans="1:10">
      <c r="A1163" s="1">
        <v>46177.615277777782</v>
      </c>
      <c r="B1163">
        <v>-835.23812646637043</v>
      </c>
      <c r="C1163">
        <v>176195.709444373</v>
      </c>
      <c r="D1163">
        <v>75373.327078963892</v>
      </c>
      <c r="E1163">
        <v>100822.3823654091</v>
      </c>
      <c r="F1163">
        <v>0</v>
      </c>
      <c r="G1163">
        <v>11973.01821623785</v>
      </c>
      <c r="H1163">
        <v>11137.780089771481</v>
      </c>
      <c r="I1163">
        <v>35239.141888874597</v>
      </c>
      <c r="J1163">
        <v>24101.361799103121</v>
      </c>
    </row>
    <row r="1164" spans="1:10">
      <c r="A1164" s="1">
        <v>46177.615972222222</v>
      </c>
      <c r="B1164">
        <v>-873.80540963827912</v>
      </c>
      <c r="C1164">
        <v>176157.14216120099</v>
      </c>
      <c r="D1164">
        <v>75334.759795791979</v>
      </c>
      <c r="E1164">
        <v>100822.3823654091</v>
      </c>
      <c r="F1164">
        <v>0</v>
      </c>
      <c r="G1164">
        <v>11973.01821623785</v>
      </c>
      <c r="H1164">
        <v>11099.212806599569</v>
      </c>
      <c r="I1164">
        <v>35231.428432240209</v>
      </c>
      <c r="J1164">
        <v>24132.215625640642</v>
      </c>
    </row>
    <row r="1165" spans="1:10">
      <c r="A1165" s="1">
        <v>46177.616666666669</v>
      </c>
      <c r="B1165">
        <v>-831.13755009256784</v>
      </c>
      <c r="C1165">
        <v>176165.8973458845</v>
      </c>
      <c r="D1165">
        <v>75360.471317906588</v>
      </c>
      <c r="E1165">
        <v>100805.426027978</v>
      </c>
      <c r="F1165">
        <v>0</v>
      </c>
      <c r="G1165">
        <v>11973.01821623785</v>
      </c>
      <c r="H1165">
        <v>11141.88066614528</v>
      </c>
      <c r="I1165">
        <v>35233.17946917691</v>
      </c>
      <c r="J1165">
        <v>24091.29880303163</v>
      </c>
    </row>
    <row r="1166" spans="1:10">
      <c r="A1166" s="1">
        <v>46177.617361111108</v>
      </c>
      <c r="B1166">
        <v>-772.6214169874479</v>
      </c>
      <c r="C1166">
        <v>175953.11208009181</v>
      </c>
      <c r="D1166">
        <v>75283.336751562776</v>
      </c>
      <c r="E1166">
        <v>100669.77532852899</v>
      </c>
      <c r="F1166">
        <v>0</v>
      </c>
      <c r="G1166">
        <v>11973.01821623785</v>
      </c>
      <c r="H1166">
        <v>11200.3967992504</v>
      </c>
      <c r="I1166">
        <v>35190.622416018363</v>
      </c>
      <c r="J1166">
        <v>23990.225616767959</v>
      </c>
    </row>
    <row r="1167" spans="1:10">
      <c r="A1167" s="1">
        <v>46177.618055555547</v>
      </c>
      <c r="B1167">
        <v>-805.8415519298577</v>
      </c>
      <c r="C1167">
        <v>176114.88982560721</v>
      </c>
      <c r="D1167">
        <v>75347.615556849283</v>
      </c>
      <c r="E1167">
        <v>100767.2742687579</v>
      </c>
      <c r="F1167">
        <v>0</v>
      </c>
      <c r="G1167">
        <v>11973.01821623785</v>
      </c>
      <c r="H1167">
        <v>11167.17666430799</v>
      </c>
      <c r="I1167">
        <v>35222.977965121449</v>
      </c>
      <c r="J1167">
        <v>24055.801300813459</v>
      </c>
    </row>
    <row r="1168" spans="1:10">
      <c r="A1168" s="1">
        <v>46177.618750000001</v>
      </c>
      <c r="B1168">
        <v>-812.29676403109227</v>
      </c>
      <c r="C1168">
        <v>175709.96068387479</v>
      </c>
      <c r="D1168">
        <v>75141.923379932457</v>
      </c>
      <c r="E1168">
        <v>100568.0373039423</v>
      </c>
      <c r="F1168">
        <v>0</v>
      </c>
      <c r="G1168">
        <v>11973.01821623785</v>
      </c>
      <c r="H1168">
        <v>11160.72145220675</v>
      </c>
      <c r="I1168">
        <v>35141.992136774963</v>
      </c>
      <c r="J1168">
        <v>23981.270684568201</v>
      </c>
    </row>
    <row r="1169" spans="1:10">
      <c r="A1169" s="1">
        <v>46177.619444444441</v>
      </c>
      <c r="B1169">
        <v>-671.99145627249959</v>
      </c>
      <c r="C1169">
        <v>175646.78994245999</v>
      </c>
      <c r="D1169">
        <v>75180.490663104356</v>
      </c>
      <c r="E1169">
        <v>100466.2992793556</v>
      </c>
      <c r="F1169">
        <v>0</v>
      </c>
      <c r="G1169">
        <v>11973.01821623785</v>
      </c>
      <c r="H1169">
        <v>11301.026759965351</v>
      </c>
      <c r="I1169">
        <v>35129.357988491996</v>
      </c>
      <c r="J1169">
        <v>23828.331228526658</v>
      </c>
    </row>
    <row r="1170" spans="1:10">
      <c r="A1170" s="1">
        <v>46177.620138888888</v>
      </c>
      <c r="B1170">
        <v>-706.18114710266104</v>
      </c>
      <c r="C1170">
        <v>175629.55658906099</v>
      </c>
      <c r="D1170">
        <v>75154.779140989747</v>
      </c>
      <c r="E1170">
        <v>100474.7774480712</v>
      </c>
      <c r="F1170">
        <v>0</v>
      </c>
      <c r="G1170">
        <v>11973.01821623785</v>
      </c>
      <c r="H1170">
        <v>11266.837069135179</v>
      </c>
      <c r="I1170">
        <v>35125.911317812192</v>
      </c>
      <c r="J1170">
        <v>23859.07424867701</v>
      </c>
    </row>
    <row r="1171" spans="1:10">
      <c r="A1171" s="1">
        <v>46177.620833333327</v>
      </c>
      <c r="B1171">
        <v>-693.32538604536126</v>
      </c>
      <c r="C1171">
        <v>175642.41235011831</v>
      </c>
      <c r="D1171">
        <v>75167.634902047052</v>
      </c>
      <c r="E1171">
        <v>100474.7774480712</v>
      </c>
      <c r="F1171">
        <v>0</v>
      </c>
      <c r="G1171">
        <v>11973.01821623785</v>
      </c>
      <c r="H1171">
        <v>11279.692830192491</v>
      </c>
      <c r="I1171">
        <v>35128.482470023657</v>
      </c>
      <c r="J1171">
        <v>23848.789639831171</v>
      </c>
    </row>
    <row r="1172" spans="1:10">
      <c r="A1172" s="1">
        <v>46177.621527777781</v>
      </c>
      <c r="B1172">
        <v>0</v>
      </c>
      <c r="C1172">
        <v>0</v>
      </c>
      <c r="D1172">
        <v>0</v>
      </c>
      <c r="E1172">
        <v>0</v>
      </c>
      <c r="F1172">
        <v>-678.09838685923091</v>
      </c>
      <c r="G1172">
        <v>11294.919829378619</v>
      </c>
      <c r="H1172">
        <v>11294.919829378619</v>
      </c>
      <c r="I1172">
        <v>0</v>
      </c>
      <c r="J1172">
        <v>-11294.919829378619</v>
      </c>
    </row>
    <row r="1173" spans="1:10">
      <c r="A1173" s="1">
        <v>46177.786111111112</v>
      </c>
      <c r="B1173">
        <v>0</v>
      </c>
      <c r="C1173">
        <v>175386.18284002121</v>
      </c>
      <c r="D1173">
        <v>100000</v>
      </c>
      <c r="E1173">
        <v>75386.182840021196</v>
      </c>
      <c r="F1173">
        <v>0</v>
      </c>
      <c r="G1173">
        <v>11294.919829378619</v>
      </c>
      <c r="H1173">
        <v>11294.919829378619</v>
      </c>
      <c r="I1173">
        <v>35077.236568004242</v>
      </c>
      <c r="J1173">
        <v>23782.316738625621</v>
      </c>
    </row>
    <row r="1174" spans="1:10">
      <c r="A1174" s="1">
        <v>46177.786805555559</v>
      </c>
      <c r="B1174">
        <v>7.8802800659298242</v>
      </c>
      <c r="C1174">
        <v>175445.67098100789</v>
      </c>
      <c r="D1174">
        <v>100033.68421052631</v>
      </c>
      <c r="E1174">
        <v>75411.986770481584</v>
      </c>
      <c r="F1174">
        <v>0</v>
      </c>
      <c r="G1174">
        <v>11294.919829378619</v>
      </c>
      <c r="H1174">
        <v>11302.80010944455</v>
      </c>
      <c r="I1174">
        <v>35089.134196201587</v>
      </c>
      <c r="J1174">
        <v>23786.33408675704</v>
      </c>
    </row>
    <row r="1175" spans="1:10">
      <c r="A1175" s="1">
        <v>46177.787499999999</v>
      </c>
      <c r="B1175">
        <v>-4.6739328447319792</v>
      </c>
      <c r="C1175">
        <v>175626.64624655011</v>
      </c>
      <c r="D1175">
        <v>100117.89473684211</v>
      </c>
      <c r="E1175">
        <v>75508.751509708032</v>
      </c>
      <c r="F1175">
        <v>0</v>
      </c>
      <c r="G1175">
        <v>11294.919829378619</v>
      </c>
      <c r="H1175">
        <v>11290.245896533879</v>
      </c>
      <c r="I1175">
        <v>35125.329249310031</v>
      </c>
      <c r="J1175">
        <v>23835.08335277615</v>
      </c>
    </row>
    <row r="1176" spans="1:10">
      <c r="A1176" s="1">
        <v>46177.788194444453</v>
      </c>
      <c r="B1176">
        <v>-0.46340652894633649</v>
      </c>
      <c r="C1176">
        <v>175630.8567728659</v>
      </c>
      <c r="D1176">
        <v>100122.10526315789</v>
      </c>
      <c r="E1176">
        <v>75508.751509708032</v>
      </c>
      <c r="F1176">
        <v>0</v>
      </c>
      <c r="G1176">
        <v>11294.919829378619</v>
      </c>
      <c r="H1176">
        <v>11294.456422849669</v>
      </c>
      <c r="I1176">
        <v>35126.171354573184</v>
      </c>
      <c r="J1176">
        <v>23831.71493172352</v>
      </c>
    </row>
    <row r="1177" spans="1:10">
      <c r="A1177" s="1">
        <v>46177.788888888892</v>
      </c>
      <c r="B1177">
        <v>-13.09498547631523</v>
      </c>
      <c r="C1177">
        <v>175618.2251939186</v>
      </c>
      <c r="D1177">
        <v>100109.4736842105</v>
      </c>
      <c r="E1177">
        <v>75508.751509708032</v>
      </c>
      <c r="F1177">
        <v>0</v>
      </c>
      <c r="G1177">
        <v>11294.919829378619</v>
      </c>
      <c r="H1177">
        <v>11281.824843902299</v>
      </c>
      <c r="I1177">
        <v>35123.645038783718</v>
      </c>
      <c r="J1177">
        <v>23841.82019488142</v>
      </c>
    </row>
    <row r="1178" spans="1:10">
      <c r="A1178" s="1">
        <v>46177.789583333331</v>
      </c>
      <c r="B1178">
        <v>-41.950531084475358</v>
      </c>
      <c r="C1178">
        <v>175731.2912658425</v>
      </c>
      <c r="D1178">
        <v>100151.5789473684</v>
      </c>
      <c r="E1178">
        <v>75579.712318474092</v>
      </c>
      <c r="F1178">
        <v>0</v>
      </c>
      <c r="G1178">
        <v>11294.919829378619</v>
      </c>
      <c r="H1178">
        <v>11252.96929829414</v>
      </c>
      <c r="I1178">
        <v>35146.258253168497</v>
      </c>
      <c r="J1178">
        <v>23893.288954874359</v>
      </c>
    </row>
    <row r="1179" spans="1:10">
      <c r="A1179" s="1">
        <v>46177.790277777778</v>
      </c>
      <c r="B1179">
        <v>-3.5150216767363531</v>
      </c>
      <c r="C1179">
        <v>175718.11891432951</v>
      </c>
      <c r="D1179">
        <v>100164.2105263158</v>
      </c>
      <c r="E1179">
        <v>75553.908388013719</v>
      </c>
      <c r="F1179">
        <v>0</v>
      </c>
      <c r="G1179">
        <v>11294.919829378619</v>
      </c>
      <c r="H1179">
        <v>11291.40480770188</v>
      </c>
      <c r="I1179">
        <v>35143.6237828659</v>
      </c>
      <c r="J1179">
        <v>23852.218975164022</v>
      </c>
    </row>
    <row r="1180" spans="1:10">
      <c r="A1180" s="1">
        <v>46177.790972222218</v>
      </c>
      <c r="B1180">
        <v>-10.2363905746586</v>
      </c>
      <c r="C1180">
        <v>175750.10344112219</v>
      </c>
      <c r="D1180">
        <v>100176.8421052631</v>
      </c>
      <c r="E1180">
        <v>75573.261335859002</v>
      </c>
      <c r="F1180">
        <v>0</v>
      </c>
      <c r="G1180">
        <v>11294.919829378619</v>
      </c>
      <c r="H1180">
        <v>11284.683438803961</v>
      </c>
      <c r="I1180">
        <v>35150.020688224431</v>
      </c>
      <c r="J1180">
        <v>23865.33724942047</v>
      </c>
    </row>
    <row r="1181" spans="1:10">
      <c r="A1181" s="1">
        <v>46177.791666666657</v>
      </c>
      <c r="B1181">
        <v>-6.2962505416830936</v>
      </c>
      <c r="C1181">
        <v>175779.84751161549</v>
      </c>
      <c r="D1181">
        <v>100193.68421052631</v>
      </c>
      <c r="E1181">
        <v>75586.163301089196</v>
      </c>
      <c r="F1181">
        <v>0</v>
      </c>
      <c r="G1181">
        <v>11294.919829378619</v>
      </c>
      <c r="H1181">
        <v>11288.62357883693</v>
      </c>
      <c r="I1181">
        <v>35155.969502323103</v>
      </c>
      <c r="J1181">
        <v>23867.345923486169</v>
      </c>
    </row>
    <row r="1182" spans="1:10">
      <c r="A1182" s="1">
        <v>46177.792361111111</v>
      </c>
      <c r="B1182">
        <v>-15.60582805843984</v>
      </c>
      <c r="C1182">
        <v>175654.42024702701</v>
      </c>
      <c r="D1182">
        <v>100126.31578947369</v>
      </c>
      <c r="E1182">
        <v>75528.104457553316</v>
      </c>
      <c r="F1182">
        <v>0</v>
      </c>
      <c r="G1182">
        <v>11294.919829378619</v>
      </c>
      <c r="H1182">
        <v>11279.314001320179</v>
      </c>
      <c r="I1182">
        <v>35130.884049405402</v>
      </c>
      <c r="J1182">
        <v>23851.570048085221</v>
      </c>
    </row>
    <row r="1183" spans="1:10">
      <c r="A1183" s="1">
        <v>46177.793055555558</v>
      </c>
      <c r="B1183">
        <v>-24.026880690023109</v>
      </c>
      <c r="C1183">
        <v>175645.99919439541</v>
      </c>
      <c r="D1183">
        <v>100117.89473684211</v>
      </c>
      <c r="E1183">
        <v>75528.104457553316</v>
      </c>
      <c r="F1183">
        <v>0</v>
      </c>
      <c r="G1183">
        <v>11294.919829378619</v>
      </c>
      <c r="H1183">
        <v>11270.89294868859</v>
      </c>
      <c r="I1183">
        <v>35129.199838879082</v>
      </c>
      <c r="J1183">
        <v>23858.306890190492</v>
      </c>
    </row>
    <row r="1184" spans="1:10">
      <c r="A1184" s="1">
        <v>46177.793749999997</v>
      </c>
      <c r="B1184">
        <v>-47.860741133922012</v>
      </c>
      <c r="C1184">
        <v>175686.67516010249</v>
      </c>
      <c r="D1184">
        <v>100126.31578947369</v>
      </c>
      <c r="E1184">
        <v>75560.359370628808</v>
      </c>
      <c r="F1184">
        <v>0</v>
      </c>
      <c r="G1184">
        <v>11294.919829378619</v>
      </c>
      <c r="H1184">
        <v>11247.05908824469</v>
      </c>
      <c r="I1184">
        <v>35137.335032020499</v>
      </c>
      <c r="J1184">
        <v>23890.27594377581</v>
      </c>
    </row>
    <row r="1185" spans="1:10">
      <c r="A1185" s="1">
        <v>46177.794444444437</v>
      </c>
      <c r="B1185">
        <v>-48.401513699575453</v>
      </c>
      <c r="C1185">
        <v>175737.74224845759</v>
      </c>
      <c r="D1185">
        <v>100151.5789473684</v>
      </c>
      <c r="E1185">
        <v>75586.163301089196</v>
      </c>
      <c r="F1185">
        <v>0</v>
      </c>
      <c r="G1185">
        <v>11294.919829378619</v>
      </c>
      <c r="H1185">
        <v>11246.518315679041</v>
      </c>
      <c r="I1185">
        <v>35147.548449691523</v>
      </c>
      <c r="J1185">
        <v>23901.030134012479</v>
      </c>
    </row>
    <row r="1186" spans="1:10">
      <c r="A1186" s="1">
        <v>46177.795138888891</v>
      </c>
      <c r="B1186">
        <v>-1.81533794307532</v>
      </c>
      <c r="C1186">
        <v>175758.52449375371</v>
      </c>
      <c r="D1186">
        <v>100185.2631578947</v>
      </c>
      <c r="E1186">
        <v>75573.261335859002</v>
      </c>
      <c r="F1186">
        <v>0</v>
      </c>
      <c r="G1186">
        <v>11294.919829378619</v>
      </c>
      <c r="H1186">
        <v>11293.104491435541</v>
      </c>
      <c r="I1186">
        <v>35151.704898750751</v>
      </c>
      <c r="J1186">
        <v>23858.600407315211</v>
      </c>
    </row>
    <row r="1187" spans="1:10">
      <c r="A1187" s="1">
        <v>46177.79583333333</v>
      </c>
      <c r="B1187">
        <v>-3.7854079595585119</v>
      </c>
      <c r="C1187">
        <v>175743.65245850699</v>
      </c>
      <c r="D1187">
        <v>100176.8421052631</v>
      </c>
      <c r="E1187">
        <v>75566.810353243898</v>
      </c>
      <c r="F1187">
        <v>0</v>
      </c>
      <c r="G1187">
        <v>11294.919829378619</v>
      </c>
      <c r="H1187">
        <v>11291.134421419059</v>
      </c>
      <c r="I1187">
        <v>35148.730491701412</v>
      </c>
      <c r="J1187">
        <v>23857.59607028235</v>
      </c>
    </row>
    <row r="1188" spans="1:10">
      <c r="A1188" s="1">
        <v>46177.796527777777</v>
      </c>
      <c r="B1188">
        <v>5.1764172376781801</v>
      </c>
      <c r="C1188">
        <v>175701.00642278351</v>
      </c>
      <c r="D1188">
        <v>100160</v>
      </c>
      <c r="E1188">
        <v>75541.00642278351</v>
      </c>
      <c r="F1188">
        <v>0</v>
      </c>
      <c r="G1188">
        <v>11294.919829378619</v>
      </c>
      <c r="H1188">
        <v>11300.096246616289</v>
      </c>
      <c r="I1188">
        <v>35140.201284556701</v>
      </c>
      <c r="J1188">
        <v>23840.105037940401</v>
      </c>
    </row>
    <row r="1189" spans="1:10">
      <c r="A1189" s="1">
        <v>46177.797222222223</v>
      </c>
      <c r="B1189">
        <v>17.53760990221582</v>
      </c>
      <c r="C1189">
        <v>175739.17154590841</v>
      </c>
      <c r="D1189">
        <v>100185.2631578947</v>
      </c>
      <c r="E1189">
        <v>75553.908388013719</v>
      </c>
      <c r="F1189">
        <v>0</v>
      </c>
      <c r="G1189">
        <v>11294.919829378619</v>
      </c>
      <c r="H1189">
        <v>11312.45743928083</v>
      </c>
      <c r="I1189">
        <v>35147.834309181693</v>
      </c>
      <c r="J1189">
        <v>23835.376869900851</v>
      </c>
    </row>
    <row r="1190" spans="1:10">
      <c r="A1190" s="1">
        <v>46177.79791666667</v>
      </c>
      <c r="B1190">
        <v>-8.2663205581662567</v>
      </c>
      <c r="C1190">
        <v>175764.9754763688</v>
      </c>
      <c r="D1190">
        <v>100185.2631578947</v>
      </c>
      <c r="E1190">
        <v>75579.712318474092</v>
      </c>
      <c r="F1190">
        <v>0</v>
      </c>
      <c r="G1190">
        <v>11294.919829378619</v>
      </c>
      <c r="H1190">
        <v>11286.653508820449</v>
      </c>
      <c r="I1190">
        <v>35152.995095273764</v>
      </c>
      <c r="J1190">
        <v>23866.34158645332</v>
      </c>
    </row>
    <row r="1191" spans="1:10">
      <c r="A1191" s="1">
        <v>46177.798611111109</v>
      </c>
      <c r="B1191">
        <v>-29.04856585428433</v>
      </c>
      <c r="C1191">
        <v>175718.3893006123</v>
      </c>
      <c r="D1191">
        <v>100151.5789473684</v>
      </c>
      <c r="E1191">
        <v>75566.810353243898</v>
      </c>
      <c r="F1191">
        <v>0</v>
      </c>
      <c r="G1191">
        <v>11294.919829378619</v>
      </c>
      <c r="H1191">
        <v>11265.87126352433</v>
      </c>
      <c r="I1191">
        <v>35143.677860122472</v>
      </c>
      <c r="J1191">
        <v>23877.80659659813</v>
      </c>
    </row>
    <row r="1192" spans="1:10">
      <c r="A1192" s="1">
        <v>46177.799305555563</v>
      </c>
      <c r="B1192">
        <v>-2.7038628282488162</v>
      </c>
      <c r="C1192">
        <v>175641.5182817968</v>
      </c>
      <c r="D1192">
        <v>100126.31578947369</v>
      </c>
      <c r="E1192">
        <v>75515.202492323137</v>
      </c>
      <c r="F1192">
        <v>0</v>
      </c>
      <c r="G1192">
        <v>11294.919829378619</v>
      </c>
      <c r="H1192">
        <v>11292.21596655037</v>
      </c>
      <c r="I1192">
        <v>35128.303656359371</v>
      </c>
      <c r="J1192">
        <v>23836.087689808999</v>
      </c>
    </row>
    <row r="1193" spans="1:10">
      <c r="A1193" s="1">
        <v>46177.8</v>
      </c>
      <c r="B1193">
        <v>-63.080528700134593</v>
      </c>
      <c r="C1193">
        <v>175516.63178977399</v>
      </c>
      <c r="D1193">
        <v>100033.68421052631</v>
      </c>
      <c r="E1193">
        <v>75482.947579247644</v>
      </c>
      <c r="F1193">
        <v>0</v>
      </c>
      <c r="G1193">
        <v>11294.919829378619</v>
      </c>
      <c r="H1193">
        <v>11231.839300678481</v>
      </c>
      <c r="I1193">
        <v>35103.326357954793</v>
      </c>
      <c r="J1193">
        <v>23871.48705727631</v>
      </c>
    </row>
    <row r="1194" spans="1:10">
      <c r="A1194" s="1">
        <v>46177.800694444442</v>
      </c>
      <c r="B1194">
        <v>-74.012423913854448</v>
      </c>
      <c r="C1194">
        <v>175544.40579025081</v>
      </c>
      <c r="D1194">
        <v>100042.10526315789</v>
      </c>
      <c r="E1194">
        <v>75502.300527092943</v>
      </c>
      <c r="F1194">
        <v>0</v>
      </c>
      <c r="G1194">
        <v>11294.919829378619</v>
      </c>
      <c r="H1194">
        <v>11220.907405464761</v>
      </c>
      <c r="I1194">
        <v>35108.881158050172</v>
      </c>
      <c r="J1194">
        <v>23887.973752585411</v>
      </c>
    </row>
    <row r="1195" spans="1:10">
      <c r="A1195" s="1">
        <v>46177.801388888889</v>
      </c>
      <c r="B1195">
        <v>-31.636774473130799</v>
      </c>
      <c r="C1195">
        <v>175560.9775092311</v>
      </c>
      <c r="D1195">
        <v>100071.5789473684</v>
      </c>
      <c r="E1195">
        <v>75489.398561862734</v>
      </c>
      <c r="F1195">
        <v>0</v>
      </c>
      <c r="G1195">
        <v>11294.919829378619</v>
      </c>
      <c r="H1195">
        <v>11263.283054905491</v>
      </c>
      <c r="I1195">
        <v>35112.195501846218</v>
      </c>
      <c r="J1195">
        <v>23848.91244694074</v>
      </c>
    </row>
    <row r="1196" spans="1:10">
      <c r="A1196" s="1">
        <v>46177.802083333343</v>
      </c>
      <c r="B1196">
        <v>0</v>
      </c>
      <c r="C1196">
        <v>0</v>
      </c>
      <c r="D1196">
        <v>0</v>
      </c>
      <c r="E1196">
        <v>0</v>
      </c>
      <c r="F1196">
        <v>-33.323139948761813</v>
      </c>
      <c r="G1196">
        <v>11261.596689429851</v>
      </c>
      <c r="H1196">
        <v>11261.596689429851</v>
      </c>
      <c r="I1196">
        <v>0</v>
      </c>
      <c r="J1196">
        <v>-11261.596689429851</v>
      </c>
    </row>
    <row r="1197" spans="1:10">
      <c r="A1197" s="1">
        <v>46181.604861111111</v>
      </c>
      <c r="B1197">
        <v>0</v>
      </c>
      <c r="C1197">
        <v>175386.18284002121</v>
      </c>
      <c r="D1197">
        <v>75386.182840021196</v>
      </c>
      <c r="E1197">
        <v>100000</v>
      </c>
      <c r="F1197">
        <v>0</v>
      </c>
      <c r="G1197">
        <v>11261.596689429851</v>
      </c>
      <c r="H1197">
        <v>11261.596689429851</v>
      </c>
      <c r="I1197">
        <v>35077.236568004242</v>
      </c>
      <c r="J1197">
        <v>23815.639878574391</v>
      </c>
    </row>
    <row r="1198" spans="1:10">
      <c r="A1198" s="1">
        <v>46181.605555555558</v>
      </c>
      <c r="B1198">
        <v>18.942298858067431</v>
      </c>
      <c r="C1198">
        <v>175616.5595096506</v>
      </c>
      <c r="D1198">
        <v>75510.842324264915</v>
      </c>
      <c r="E1198">
        <v>100105.7171853857</v>
      </c>
      <c r="F1198">
        <v>0</v>
      </c>
      <c r="G1198">
        <v>11261.596689429851</v>
      </c>
      <c r="H1198">
        <v>11280.538988287921</v>
      </c>
      <c r="I1198">
        <v>35123.311901930123</v>
      </c>
      <c r="J1198">
        <v>23842.772913642191</v>
      </c>
    </row>
    <row r="1199" spans="1:10">
      <c r="A1199" s="1">
        <v>46181.606249999997</v>
      </c>
      <c r="B1199">
        <v>-66.351032466593011</v>
      </c>
      <c r="C1199">
        <v>175531.2661783259</v>
      </c>
      <c r="D1199">
        <v>75425.548992940254</v>
      </c>
      <c r="E1199">
        <v>100105.7171853857</v>
      </c>
      <c r="F1199">
        <v>0</v>
      </c>
      <c r="G1199">
        <v>11261.596689429851</v>
      </c>
      <c r="H1199">
        <v>11195.24565696326</v>
      </c>
      <c r="I1199">
        <v>35106.253235665186</v>
      </c>
      <c r="J1199">
        <v>23911.00757870192</v>
      </c>
    </row>
    <row r="1200" spans="1:10">
      <c r="A1200" s="1">
        <v>46181.606944444437</v>
      </c>
      <c r="B1200">
        <v>-176.27571068233371</v>
      </c>
      <c r="C1200">
        <v>175260.65137832399</v>
      </c>
      <c r="D1200">
        <v>75235.279253831424</v>
      </c>
      <c r="E1200">
        <v>100025.3721244926</v>
      </c>
      <c r="F1200">
        <v>-232.91981990803939</v>
      </c>
      <c r="G1200">
        <v>11028.676869521811</v>
      </c>
      <c r="H1200">
        <v>10852.401158839481</v>
      </c>
      <c r="I1200">
        <v>35052.130275664793</v>
      </c>
      <c r="J1200">
        <v>24199.72911682531</v>
      </c>
    </row>
    <row r="1201" spans="1:10">
      <c r="A1201" s="1">
        <v>46199.604166666657</v>
      </c>
      <c r="B1201">
        <v>0</v>
      </c>
      <c r="C1201">
        <v>172444.37946452509</v>
      </c>
      <c r="D1201">
        <v>72444.37946452506</v>
      </c>
      <c r="E1201">
        <v>100000</v>
      </c>
      <c r="F1201">
        <v>0</v>
      </c>
      <c r="G1201">
        <v>11028.676869521811</v>
      </c>
      <c r="H1201">
        <v>11028.676869521811</v>
      </c>
      <c r="I1201">
        <v>34488.875892905016</v>
      </c>
      <c r="J1201">
        <v>23460.1990233832</v>
      </c>
    </row>
    <row r="1202" spans="1:10">
      <c r="A1202" s="1">
        <v>46199.604861111111</v>
      </c>
      <c r="B1202">
        <v>-39.348448840216633</v>
      </c>
      <c r="C1202">
        <v>172341.03660065201</v>
      </c>
      <c r="D1202">
        <v>72373.033808168431</v>
      </c>
      <c r="E1202">
        <v>99968.002792483574</v>
      </c>
      <c r="F1202">
        <v>0</v>
      </c>
      <c r="G1202">
        <v>11028.676869521811</v>
      </c>
      <c r="H1202">
        <v>10989.328420681601</v>
      </c>
      <c r="I1202">
        <v>34468.207320130401</v>
      </c>
      <c r="J1202">
        <v>23478.87889944881</v>
      </c>
    </row>
    <row r="1203" spans="1:10">
      <c r="A1203" s="1">
        <v>46199.605555555558</v>
      </c>
      <c r="B1203">
        <v>-44.732771557903547</v>
      </c>
      <c r="C1203">
        <v>172603.26528625359</v>
      </c>
      <c r="D1203">
        <v>72501.455989610375</v>
      </c>
      <c r="E1203">
        <v>100101.8092966432</v>
      </c>
      <c r="F1203">
        <v>0</v>
      </c>
      <c r="G1203">
        <v>11028.676869521811</v>
      </c>
      <c r="H1203">
        <v>10983.944097963909</v>
      </c>
      <c r="I1203">
        <v>34520.653057250718</v>
      </c>
      <c r="J1203">
        <v>23536.708959286811</v>
      </c>
    </row>
    <row r="1204" spans="1:10">
      <c r="A1204" s="1">
        <v>46199.606249999997</v>
      </c>
      <c r="B1204">
        <v>19.53669743837029</v>
      </c>
      <c r="C1204">
        <v>172510.45755471461</v>
      </c>
      <c r="D1204">
        <v>72487.186858339031</v>
      </c>
      <c r="E1204">
        <v>100023.27069637561</v>
      </c>
      <c r="F1204">
        <v>0</v>
      </c>
      <c r="G1204">
        <v>11028.676869521811</v>
      </c>
      <c r="H1204">
        <v>11048.213566960179</v>
      </c>
      <c r="I1204">
        <v>34502.091510942933</v>
      </c>
      <c r="J1204">
        <v>23453.877943982741</v>
      </c>
    </row>
    <row r="1205" spans="1:10">
      <c r="A1205" s="1">
        <v>46199.606944444437</v>
      </c>
      <c r="B1205">
        <v>97.250135815736527</v>
      </c>
      <c r="C1205">
        <v>172518.35890396521</v>
      </c>
      <c r="D1205">
        <v>72529.994252153017</v>
      </c>
      <c r="E1205">
        <v>99988.364651812211</v>
      </c>
      <c r="F1205">
        <v>0</v>
      </c>
      <c r="G1205">
        <v>11028.676869521811</v>
      </c>
      <c r="H1205">
        <v>11125.927005337549</v>
      </c>
      <c r="I1205">
        <v>34503.671780793047</v>
      </c>
      <c r="J1205">
        <v>23377.7447754555</v>
      </c>
    </row>
    <row r="1206" spans="1:10">
      <c r="A1206" s="1">
        <v>46199.607638888891</v>
      </c>
      <c r="B1206">
        <v>83.964463847453118</v>
      </c>
      <c r="C1206">
        <v>172702.8741511894</v>
      </c>
      <c r="D1206">
        <v>72615.609039780975</v>
      </c>
      <c r="E1206">
        <v>100087.2651114085</v>
      </c>
      <c r="F1206">
        <v>0</v>
      </c>
      <c r="G1206">
        <v>11028.676869521811</v>
      </c>
      <c r="H1206">
        <v>11112.641333369271</v>
      </c>
      <c r="I1206">
        <v>34540.574830237892</v>
      </c>
      <c r="J1206">
        <v>23427.93349686862</v>
      </c>
    </row>
    <row r="1207" spans="1:10">
      <c r="A1207" s="1">
        <v>46199.60833333333</v>
      </c>
      <c r="B1207">
        <v>63.32755055539198</v>
      </c>
      <c r="C1207">
        <v>172752.04932702411</v>
      </c>
      <c r="D1207">
        <v>72629.878171052304</v>
      </c>
      <c r="E1207">
        <v>100122.1711559718</v>
      </c>
      <c r="F1207">
        <v>0</v>
      </c>
      <c r="G1207">
        <v>11028.676869521811</v>
      </c>
      <c r="H1207">
        <v>11092.00442007721</v>
      </c>
      <c r="I1207">
        <v>34550.409865404828</v>
      </c>
      <c r="J1207">
        <v>23458.405445327619</v>
      </c>
    </row>
    <row r="1208" spans="1:10">
      <c r="A1208" s="1">
        <v>46199.609027777777</v>
      </c>
      <c r="B1208">
        <v>154.935147103199</v>
      </c>
      <c r="C1208">
        <v>172360.7899737785</v>
      </c>
      <c r="D1208">
        <v>72480.052292703374</v>
      </c>
      <c r="E1208">
        <v>99880.737681075116</v>
      </c>
      <c r="F1208">
        <v>0</v>
      </c>
      <c r="G1208">
        <v>11028.676869521811</v>
      </c>
      <c r="H1208">
        <v>11183.612016625009</v>
      </c>
      <c r="I1208">
        <v>34472.157994755697</v>
      </c>
      <c r="J1208">
        <v>23288.545978130689</v>
      </c>
    </row>
    <row r="1209" spans="1:10">
      <c r="A1209" s="1">
        <v>46199.609722222223</v>
      </c>
      <c r="B1209">
        <v>191.5498937223953</v>
      </c>
      <c r="C1209">
        <v>171995.9852079188</v>
      </c>
      <c r="D1209">
        <v>72315.957283083117</v>
      </c>
      <c r="E1209">
        <v>99680.027924835653</v>
      </c>
      <c r="F1209">
        <v>0</v>
      </c>
      <c r="G1209">
        <v>11028.676869521811</v>
      </c>
      <c r="H1209">
        <v>11220.226763244211</v>
      </c>
      <c r="I1209">
        <v>34399.197041583757</v>
      </c>
      <c r="J1209">
        <v>23178.970278339551</v>
      </c>
    </row>
    <row r="1210" spans="1:10">
      <c r="A1210" s="1">
        <v>46199.61041666667</v>
      </c>
      <c r="B1210">
        <v>200.49308055134409</v>
      </c>
      <c r="C1210">
        <v>172115.46420253179</v>
      </c>
      <c r="D1210">
        <v>72380.168373804088</v>
      </c>
      <c r="E1210">
        <v>99735.295828727685</v>
      </c>
      <c r="F1210">
        <v>0</v>
      </c>
      <c r="G1210">
        <v>11028.676869521811</v>
      </c>
      <c r="H1210">
        <v>11229.169950073159</v>
      </c>
      <c r="I1210">
        <v>34423.092840506361</v>
      </c>
      <c r="J1210">
        <v>23193.922890433201</v>
      </c>
    </row>
    <row r="1211" spans="1:10">
      <c r="A1211" s="1">
        <v>46199.611111111109</v>
      </c>
      <c r="B1211">
        <v>192.98354181479411</v>
      </c>
      <c r="C1211">
        <v>171694.89980312859</v>
      </c>
      <c r="D1211">
        <v>72166.131404734202</v>
      </c>
      <c r="E1211">
        <v>99528.768398394343</v>
      </c>
      <c r="F1211">
        <v>0</v>
      </c>
      <c r="G1211">
        <v>11028.676869521811</v>
      </c>
      <c r="H1211">
        <v>11221.66041133661</v>
      </c>
      <c r="I1211">
        <v>34338.979960625707</v>
      </c>
      <c r="J1211">
        <v>23117.31954928911</v>
      </c>
    </row>
    <row r="1212" spans="1:10">
      <c r="A1212" s="1">
        <v>46199.611805555563</v>
      </c>
      <c r="B1212">
        <v>0</v>
      </c>
      <c r="C1212">
        <v>0</v>
      </c>
      <c r="D1212">
        <v>0</v>
      </c>
      <c r="E1212">
        <v>0</v>
      </c>
      <c r="F1212">
        <v>194.59004509043001</v>
      </c>
      <c r="G1212">
        <v>11223.266914612241</v>
      </c>
      <c r="H1212">
        <v>11223.266914612241</v>
      </c>
      <c r="I1212">
        <v>0</v>
      </c>
      <c r="J1212">
        <v>-11223.266914612241</v>
      </c>
    </row>
    <row r="1213" spans="1:10">
      <c r="A1213" s="1">
        <v>46202.718055555553</v>
      </c>
      <c r="B1213">
        <v>0</v>
      </c>
      <c r="C1213">
        <v>172444.37946452509</v>
      </c>
      <c r="D1213">
        <v>72444.37946452506</v>
      </c>
      <c r="E1213">
        <v>100000</v>
      </c>
      <c r="F1213">
        <v>0</v>
      </c>
      <c r="G1213">
        <v>11223.266914612241</v>
      </c>
      <c r="H1213">
        <v>11223.266914612241</v>
      </c>
      <c r="I1213">
        <v>34488.875892905016</v>
      </c>
      <c r="J1213">
        <v>23265.60897829277</v>
      </c>
    </row>
    <row r="1214" spans="1:10">
      <c r="A1214" s="1">
        <v>46202.71875</v>
      </c>
      <c r="B1214">
        <v>72.662366564213585</v>
      </c>
      <c r="C1214">
        <v>172517.0418310893</v>
      </c>
      <c r="D1214">
        <v>72517.041831089271</v>
      </c>
      <c r="E1214">
        <v>100000</v>
      </c>
      <c r="F1214">
        <v>0</v>
      </c>
      <c r="G1214">
        <v>11223.266914612241</v>
      </c>
      <c r="H1214">
        <v>11295.929281176461</v>
      </c>
      <c r="I1214">
        <v>34503.408366217853</v>
      </c>
      <c r="J1214">
        <v>23207.479085041399</v>
      </c>
    </row>
    <row r="1215" spans="1:10">
      <c r="A1215" s="1">
        <v>46202.719444444447</v>
      </c>
      <c r="B1215">
        <v>0</v>
      </c>
      <c r="C1215">
        <v>0</v>
      </c>
      <c r="D1215">
        <v>0</v>
      </c>
      <c r="E1215">
        <v>0</v>
      </c>
      <c r="F1215">
        <v>92.688993565029762</v>
      </c>
      <c r="G1215">
        <v>11315.95590817727</v>
      </c>
      <c r="H1215">
        <v>11315.95590817727</v>
      </c>
      <c r="I1215">
        <v>0</v>
      </c>
      <c r="J1215">
        <v>-11315.95590817727</v>
      </c>
    </row>
    <row r="1216" spans="1:10">
      <c r="A1216" s="1">
        <v>46202.868750000001</v>
      </c>
      <c r="B1216">
        <v>0</v>
      </c>
      <c r="C1216">
        <v>172444.379464525</v>
      </c>
      <c r="D1216">
        <v>72444.37946452506</v>
      </c>
      <c r="E1216">
        <v>99999.999999999985</v>
      </c>
      <c r="F1216">
        <v>0</v>
      </c>
      <c r="G1216">
        <v>11315.95590817727</v>
      </c>
      <c r="H1216">
        <v>11315.95590817727</v>
      </c>
      <c r="I1216">
        <v>34488.875892905009</v>
      </c>
      <c r="J1216">
        <v>23172.91998472773</v>
      </c>
    </row>
    <row r="1217" spans="1:10">
      <c r="A1217" s="1">
        <v>46202.869444444441</v>
      </c>
      <c r="B1217">
        <v>25.124830447537441</v>
      </c>
      <c r="C1217">
        <v>172433.97610927859</v>
      </c>
      <c r="D1217">
        <v>72451.740202125613</v>
      </c>
      <c r="E1217">
        <v>99982.235907152994</v>
      </c>
      <c r="F1217">
        <v>0</v>
      </c>
      <c r="G1217">
        <v>11315.95590817727</v>
      </c>
      <c r="H1217">
        <v>11341.080738624811</v>
      </c>
      <c r="I1217">
        <v>34486.795221855733</v>
      </c>
      <c r="J1217">
        <v>23145.71448323091</v>
      </c>
    </row>
    <row r="1218" spans="1:10">
      <c r="A1218" s="1">
        <v>46202.870138888888</v>
      </c>
      <c r="B1218">
        <v>74.426731052849391</v>
      </c>
      <c r="C1218">
        <v>172222.7379814614</v>
      </c>
      <c r="D1218">
        <v>72370.772088519647</v>
      </c>
      <c r="E1218">
        <v>99851.96589294172</v>
      </c>
      <c r="F1218">
        <v>0</v>
      </c>
      <c r="G1218">
        <v>11315.95590817727</v>
      </c>
      <c r="H1218">
        <v>11390.38263923012</v>
      </c>
      <c r="I1218">
        <v>34444.547596292272</v>
      </c>
      <c r="J1218">
        <v>23054.164957062148</v>
      </c>
    </row>
    <row r="1219" spans="1:10">
      <c r="A1219" s="1">
        <v>46202.870833333327</v>
      </c>
      <c r="B1219">
        <v>41.157273724526732</v>
      </c>
      <c r="C1219">
        <v>171976.2994099691</v>
      </c>
      <c r="D1219">
        <v>72230.918074109373</v>
      </c>
      <c r="E1219">
        <v>99745.381335859769</v>
      </c>
      <c r="F1219">
        <v>0</v>
      </c>
      <c r="G1219">
        <v>11315.95590817727</v>
      </c>
      <c r="H1219">
        <v>11357.113181901799</v>
      </c>
      <c r="I1219">
        <v>34395.259881993828</v>
      </c>
      <c r="J1219">
        <v>23038.146700092031</v>
      </c>
    </row>
    <row r="1220" spans="1:10">
      <c r="A1220" s="1">
        <v>46202.871527777781</v>
      </c>
      <c r="B1220">
        <v>130.84356274447461</v>
      </c>
      <c r="C1220">
        <v>172107.43524896551</v>
      </c>
      <c r="D1220">
        <v>72341.329138117493</v>
      </c>
      <c r="E1220">
        <v>99766.106110847948</v>
      </c>
      <c r="F1220">
        <v>0</v>
      </c>
      <c r="G1220">
        <v>11315.95590817727</v>
      </c>
      <c r="H1220">
        <v>11446.799470921749</v>
      </c>
      <c r="I1220">
        <v>34421.48704979309</v>
      </c>
      <c r="J1220">
        <v>22974.687578871341</v>
      </c>
    </row>
    <row r="1221" spans="1:10">
      <c r="A1221" s="1">
        <v>46202.87222222222</v>
      </c>
      <c r="B1221">
        <v>96.67281486395818</v>
      </c>
      <c r="C1221">
        <v>172185.77042244919</v>
      </c>
      <c r="D1221">
        <v>72363.411350919108</v>
      </c>
      <c r="E1221">
        <v>99822.359071530082</v>
      </c>
      <c r="F1221">
        <v>0</v>
      </c>
      <c r="G1221">
        <v>11315.95590817727</v>
      </c>
      <c r="H1221">
        <v>11412.628723041231</v>
      </c>
      <c r="I1221">
        <v>34437.154084489841</v>
      </c>
      <c r="J1221">
        <v>23024.52536144861</v>
      </c>
    </row>
    <row r="1222" spans="1:10">
      <c r="A1222" s="1">
        <v>46202.872916666667</v>
      </c>
      <c r="B1222">
        <v>114.10916569197489</v>
      </c>
      <c r="C1222">
        <v>172286.10587322991</v>
      </c>
      <c r="D1222">
        <v>72422.297251723445</v>
      </c>
      <c r="E1222">
        <v>99863.808621506396</v>
      </c>
      <c r="F1222">
        <v>0</v>
      </c>
      <c r="G1222">
        <v>11315.95590817727</v>
      </c>
      <c r="H1222">
        <v>11430.065073869249</v>
      </c>
      <c r="I1222">
        <v>34457.221174645972</v>
      </c>
      <c r="J1222">
        <v>23027.15610077672</v>
      </c>
    </row>
    <row r="1223" spans="1:10">
      <c r="A1223" s="1">
        <v>46202.873611111107</v>
      </c>
      <c r="B1223">
        <v>67.065993452315027</v>
      </c>
      <c r="C1223">
        <v>172215.3772438608</v>
      </c>
      <c r="D1223">
        <v>72363.411350919108</v>
      </c>
      <c r="E1223">
        <v>99851.96589294172</v>
      </c>
      <c r="F1223">
        <v>0</v>
      </c>
      <c r="G1223">
        <v>11315.95590817727</v>
      </c>
      <c r="H1223">
        <v>11383.021901629591</v>
      </c>
      <c r="I1223">
        <v>34443.075448772157</v>
      </c>
      <c r="J1223">
        <v>23060.053547142579</v>
      </c>
    </row>
    <row r="1224" spans="1:10">
      <c r="A1224" s="1">
        <v>46202.874305555553</v>
      </c>
      <c r="B1224">
        <v>75.000279586060913</v>
      </c>
      <c r="C1224">
        <v>172016.06378011301</v>
      </c>
      <c r="D1224">
        <v>72267.72176211208</v>
      </c>
      <c r="E1224">
        <v>99748.342018000942</v>
      </c>
      <c r="F1224">
        <v>0</v>
      </c>
      <c r="G1224">
        <v>11315.95590817727</v>
      </c>
      <c r="H1224">
        <v>11390.95618776334</v>
      </c>
      <c r="I1224">
        <v>34403.2127560226</v>
      </c>
      <c r="J1224">
        <v>23012.256568259261</v>
      </c>
    </row>
    <row r="1225" spans="1:10">
      <c r="A1225" s="1">
        <v>46203.604166666657</v>
      </c>
      <c r="B1225">
        <v>546.0874860206784</v>
      </c>
      <c r="C1225">
        <v>172487.15098654761</v>
      </c>
      <c r="D1225">
        <v>72738.808968546698</v>
      </c>
      <c r="E1225">
        <v>99748.342018000942</v>
      </c>
      <c r="F1225">
        <v>0</v>
      </c>
      <c r="G1225">
        <v>11315.95590817727</v>
      </c>
      <c r="H1225">
        <v>11862.04339419795</v>
      </c>
      <c r="I1225">
        <v>34497.430197309528</v>
      </c>
      <c r="J1225">
        <v>22635.386803111571</v>
      </c>
    </row>
    <row r="1226" spans="1:10">
      <c r="A1226" s="1">
        <v>46203.604861111111</v>
      </c>
      <c r="B1226">
        <v>-210.03355704290161</v>
      </c>
      <c r="C1226">
        <v>173655.47333524149</v>
      </c>
      <c r="D1226">
        <v>72944.909621361847</v>
      </c>
      <c r="E1226">
        <v>100710.5637138797</v>
      </c>
      <c r="F1226">
        <v>0</v>
      </c>
      <c r="G1226">
        <v>11315.95590817727</v>
      </c>
      <c r="H1226">
        <v>11105.92235113437</v>
      </c>
      <c r="I1226">
        <v>34731.094667048303</v>
      </c>
      <c r="J1226">
        <v>23625.172315913929</v>
      </c>
    </row>
    <row r="1227" spans="1:10">
      <c r="A1227" s="1">
        <v>46203.605555555558</v>
      </c>
      <c r="B1227">
        <v>-289.64423283538412</v>
      </c>
      <c r="C1227">
        <v>173617.31220942541</v>
      </c>
      <c r="D1227">
        <v>72886.023720557525</v>
      </c>
      <c r="E1227">
        <v>100731.28848886779</v>
      </c>
      <c r="F1227">
        <v>0</v>
      </c>
      <c r="G1227">
        <v>11315.95590817727</v>
      </c>
      <c r="H1227">
        <v>11026.311675341891</v>
      </c>
      <c r="I1227">
        <v>34723.46244188508</v>
      </c>
      <c r="J1227">
        <v>23697.150766543189</v>
      </c>
    </row>
    <row r="1228" spans="1:10">
      <c r="A1228" s="1">
        <v>46203.606249999997</v>
      </c>
      <c r="B1228">
        <v>-16.887264091634961</v>
      </c>
      <c r="C1228">
        <v>173742.03507111079</v>
      </c>
      <c r="D1228">
        <v>73084.763635772135</v>
      </c>
      <c r="E1228">
        <v>100657.2714353387</v>
      </c>
      <c r="F1228">
        <v>0</v>
      </c>
      <c r="G1228">
        <v>11315.95590817727</v>
      </c>
      <c r="H1228">
        <v>11299.068644085641</v>
      </c>
      <c r="I1228">
        <v>34748.407014222168</v>
      </c>
      <c r="J1228">
        <v>23449.338370136531</v>
      </c>
    </row>
    <row r="1229" spans="1:10">
      <c r="A1229" s="1">
        <v>46203.606944444437</v>
      </c>
      <c r="B1229">
        <v>286.21394560645598</v>
      </c>
      <c r="C1229">
        <v>173571.4271382225</v>
      </c>
      <c r="D1229">
        <v>73151.010274176995</v>
      </c>
      <c r="E1229">
        <v>100420.4168640455</v>
      </c>
      <c r="F1229">
        <v>0</v>
      </c>
      <c r="G1229">
        <v>11315.95590817727</v>
      </c>
      <c r="H1229">
        <v>11602.169853783729</v>
      </c>
      <c r="I1229">
        <v>34714.285427644492</v>
      </c>
      <c r="J1229">
        <v>23112.115573860759</v>
      </c>
    </row>
    <row r="1230" spans="1:10">
      <c r="A1230" s="1">
        <v>46203.607638888891</v>
      </c>
      <c r="B1230">
        <v>0</v>
      </c>
      <c r="C1230">
        <v>0</v>
      </c>
      <c r="D1230">
        <v>0</v>
      </c>
      <c r="E1230">
        <v>0</v>
      </c>
      <c r="F1230">
        <v>188.16772419545941</v>
      </c>
      <c r="G1230">
        <v>11504.123632372741</v>
      </c>
      <c r="H1230">
        <v>11504.123632372741</v>
      </c>
      <c r="I1230">
        <v>0</v>
      </c>
      <c r="J1230">
        <v>-11504.123632372741</v>
      </c>
    </row>
    <row r="1231" spans="1:10">
      <c r="A1231" s="1">
        <v>46204.604861111111</v>
      </c>
      <c r="B1231">
        <v>0</v>
      </c>
      <c r="C1231">
        <v>172444.37946452509</v>
      </c>
      <c r="D1231">
        <v>72444.37946452506</v>
      </c>
      <c r="E1231">
        <v>100000</v>
      </c>
      <c r="F1231">
        <v>0</v>
      </c>
      <c r="G1231">
        <v>11504.123632372741</v>
      </c>
      <c r="H1231">
        <v>11504.123632372741</v>
      </c>
      <c r="I1231">
        <v>34488.875892905016</v>
      </c>
      <c r="J1231">
        <v>22984.752260532281</v>
      </c>
    </row>
    <row r="1232" spans="1:10">
      <c r="A1232" s="1">
        <v>46204.605555555558</v>
      </c>
      <c r="B1232">
        <v>-87.614712465057949</v>
      </c>
      <c r="C1232">
        <v>172681.51818001279</v>
      </c>
      <c r="D1232">
        <v>72519.141466036424</v>
      </c>
      <c r="E1232">
        <v>100162.37671397639</v>
      </c>
      <c r="F1232">
        <v>0</v>
      </c>
      <c r="G1232">
        <v>11504.123632372741</v>
      </c>
      <c r="H1232">
        <v>11416.508919907679</v>
      </c>
      <c r="I1232">
        <v>34536.303636002573</v>
      </c>
      <c r="J1232">
        <v>23119.794716094901</v>
      </c>
    </row>
    <row r="1233" spans="1:10">
      <c r="A1233" s="1">
        <v>46204.606249999997</v>
      </c>
      <c r="B1233">
        <v>-276.49925115871667</v>
      </c>
      <c r="C1233">
        <v>173214.30792565891</v>
      </c>
      <c r="D1233">
        <v>72691.094069512605</v>
      </c>
      <c r="E1233">
        <v>100523.21385614621</v>
      </c>
      <c r="F1233">
        <v>0</v>
      </c>
      <c r="G1233">
        <v>11504.123632372741</v>
      </c>
      <c r="H1233">
        <v>11227.62438121402</v>
      </c>
      <c r="I1233">
        <v>34642.861585131774</v>
      </c>
      <c r="J1233">
        <v>23415.237203917761</v>
      </c>
    </row>
    <row r="1234" spans="1:10">
      <c r="A1234" s="1">
        <v>46204.606944444437</v>
      </c>
      <c r="B1234">
        <v>-343.78505251895922</v>
      </c>
      <c r="C1234">
        <v>173147.02212429859</v>
      </c>
      <c r="D1234">
        <v>72623.808268152367</v>
      </c>
      <c r="E1234">
        <v>100523.21385614621</v>
      </c>
      <c r="F1234">
        <v>0</v>
      </c>
      <c r="G1234">
        <v>11504.123632372741</v>
      </c>
      <c r="H1234">
        <v>11160.33857985378</v>
      </c>
      <c r="I1234">
        <v>34629.404424859727</v>
      </c>
      <c r="J1234">
        <v>23469.065845005949</v>
      </c>
    </row>
    <row r="1235" spans="1:10">
      <c r="A1235" s="1">
        <v>46204.607638888891</v>
      </c>
      <c r="B1235">
        <v>-179.78112951795779</v>
      </c>
      <c r="C1235">
        <v>172938.1610003908</v>
      </c>
      <c r="D1235">
        <v>72601.379667698944</v>
      </c>
      <c r="E1235">
        <v>100336.7813326918</v>
      </c>
      <c r="F1235">
        <v>0</v>
      </c>
      <c r="G1235">
        <v>11504.123632372741</v>
      </c>
      <c r="H1235">
        <v>11324.342502854781</v>
      </c>
      <c r="I1235">
        <v>34587.632200078158</v>
      </c>
      <c r="J1235">
        <v>23263.289697223379</v>
      </c>
    </row>
    <row r="1236" spans="1:10">
      <c r="A1236" s="1">
        <v>46204.60833333333</v>
      </c>
      <c r="B1236">
        <v>-194.0960882532643</v>
      </c>
      <c r="C1236">
        <v>173236.57156486929</v>
      </c>
      <c r="D1236">
        <v>72743.427470570561</v>
      </c>
      <c r="E1236">
        <v>100493.1440942988</v>
      </c>
      <c r="F1236">
        <v>0</v>
      </c>
      <c r="G1236">
        <v>11504.123632372741</v>
      </c>
      <c r="H1236">
        <v>11310.02754411947</v>
      </c>
      <c r="I1236">
        <v>34647.314312973867</v>
      </c>
      <c r="J1236">
        <v>23337.286768854399</v>
      </c>
    </row>
    <row r="1237" spans="1:10">
      <c r="A1237" s="1">
        <v>46204.609027777777</v>
      </c>
      <c r="B1237">
        <v>-176.5491148735772</v>
      </c>
      <c r="C1237">
        <v>173398.45339511699</v>
      </c>
      <c r="D1237">
        <v>72833.141872384222</v>
      </c>
      <c r="E1237">
        <v>100565.31152273271</v>
      </c>
      <c r="F1237">
        <v>0</v>
      </c>
      <c r="G1237">
        <v>11504.123632372741</v>
      </c>
      <c r="H1237">
        <v>11327.574517499161</v>
      </c>
      <c r="I1237">
        <v>34679.690679023392</v>
      </c>
      <c r="J1237">
        <v>23352.116161524231</v>
      </c>
    </row>
    <row r="1238" spans="1:10">
      <c r="A1238" s="1">
        <v>46204.609722222223</v>
      </c>
      <c r="B1238">
        <v>-284.38785441720017</v>
      </c>
      <c r="C1238">
        <v>173356.7681316378</v>
      </c>
      <c r="D1238">
        <v>72758.379870872828</v>
      </c>
      <c r="E1238">
        <v>100598.388260765</v>
      </c>
      <c r="F1238">
        <v>0</v>
      </c>
      <c r="G1238">
        <v>11504.123632372741</v>
      </c>
      <c r="H1238">
        <v>11219.73577795554</v>
      </c>
      <c r="I1238">
        <v>34671.35362632756</v>
      </c>
      <c r="J1238">
        <v>23451.617848372029</v>
      </c>
    </row>
    <row r="1239" spans="1:10">
      <c r="A1239" s="1">
        <v>46204.61041666667</v>
      </c>
      <c r="B1239">
        <v>-362.23931273479349</v>
      </c>
      <c r="C1239">
        <v>173315.00038753721</v>
      </c>
      <c r="D1239">
        <v>72698.570269663731</v>
      </c>
      <c r="E1239">
        <v>100616.4301178735</v>
      </c>
      <c r="F1239">
        <v>0</v>
      </c>
      <c r="G1239">
        <v>11504.123632372741</v>
      </c>
      <c r="H1239">
        <v>11141.88431963794</v>
      </c>
      <c r="I1239">
        <v>34663.000077507437</v>
      </c>
      <c r="J1239">
        <v>23521.115757869491</v>
      </c>
    </row>
    <row r="1240" spans="1:10">
      <c r="A1240" s="1">
        <v>46204.611111111109</v>
      </c>
      <c r="B1240">
        <v>-170.6777203422462</v>
      </c>
      <c r="C1240">
        <v>172899.1527906105</v>
      </c>
      <c r="D1240">
        <v>72586.427267396677</v>
      </c>
      <c r="E1240">
        <v>100312.7255232139</v>
      </c>
      <c r="F1240">
        <v>0</v>
      </c>
      <c r="G1240">
        <v>11504.123632372741</v>
      </c>
      <c r="H1240">
        <v>11333.445912030489</v>
      </c>
      <c r="I1240">
        <v>34579.830558122107</v>
      </c>
      <c r="J1240">
        <v>23246.384646091621</v>
      </c>
    </row>
    <row r="1241" spans="1:10">
      <c r="A1241" s="1">
        <v>46204.611805555563</v>
      </c>
      <c r="B1241">
        <v>-306.79405146582741</v>
      </c>
      <c r="C1241">
        <v>172781.07831659541</v>
      </c>
      <c r="D1241">
        <v>72459.331864827327</v>
      </c>
      <c r="E1241">
        <v>100321.74645176809</v>
      </c>
      <c r="F1241">
        <v>0</v>
      </c>
      <c r="G1241">
        <v>11504.123632372741</v>
      </c>
      <c r="H1241">
        <v>11197.32958090691</v>
      </c>
      <c r="I1241">
        <v>34556.215663319083</v>
      </c>
      <c r="J1241">
        <v>23358.886082412169</v>
      </c>
    </row>
    <row r="1242" spans="1:10">
      <c r="A1242" s="1">
        <v>46204.612500000003</v>
      </c>
      <c r="B1242">
        <v>-340.03575074099689</v>
      </c>
      <c r="C1242">
        <v>172874.12961707971</v>
      </c>
      <c r="D1242">
        <v>72489.236665431876</v>
      </c>
      <c r="E1242">
        <v>100384.89295164779</v>
      </c>
      <c r="F1242">
        <v>0</v>
      </c>
      <c r="G1242">
        <v>11504.123632372741</v>
      </c>
      <c r="H1242">
        <v>11164.08788163174</v>
      </c>
      <c r="I1242">
        <v>34574.825923415941</v>
      </c>
      <c r="J1242">
        <v>23410.7380417842</v>
      </c>
    </row>
    <row r="1243" spans="1:10">
      <c r="A1243" s="1">
        <v>46204.613194444442</v>
      </c>
      <c r="B1243">
        <v>-267.86832230704448</v>
      </c>
      <c r="C1243">
        <v>172801.9621886457</v>
      </c>
      <c r="D1243">
        <v>72489.236665431876</v>
      </c>
      <c r="E1243">
        <v>100312.7255232139</v>
      </c>
      <c r="F1243">
        <v>0</v>
      </c>
      <c r="G1243">
        <v>11504.123632372741</v>
      </c>
      <c r="H1243">
        <v>11236.25531006569</v>
      </c>
      <c r="I1243">
        <v>34560.392437729148</v>
      </c>
      <c r="J1243">
        <v>23324.13712766346</v>
      </c>
    </row>
    <row r="1244" spans="1:10">
      <c r="A1244" s="1">
        <v>46204.613888888889</v>
      </c>
      <c r="B1244">
        <v>-358.07760784948943</v>
      </c>
      <c r="C1244">
        <v>172892.17147418819</v>
      </c>
      <c r="D1244">
        <v>72489.236665431876</v>
      </c>
      <c r="E1244">
        <v>100402.9348087563</v>
      </c>
      <c r="F1244">
        <v>0</v>
      </c>
      <c r="G1244">
        <v>11504.123632372741</v>
      </c>
      <c r="H1244">
        <v>11146.04602452325</v>
      </c>
      <c r="I1244">
        <v>34578.434294837643</v>
      </c>
      <c r="J1244">
        <v>23432.38827031439</v>
      </c>
    </row>
    <row r="1245" spans="1:10">
      <c r="A1245" s="1">
        <v>46204.614583333343</v>
      </c>
      <c r="B1245">
        <v>-274.45963902681541</v>
      </c>
      <c r="C1245">
        <v>173017.88710959739</v>
      </c>
      <c r="D1245">
        <v>72593.903467547803</v>
      </c>
      <c r="E1245">
        <v>100423.9836420496</v>
      </c>
      <c r="F1245">
        <v>0</v>
      </c>
      <c r="G1245">
        <v>11504.123632372741</v>
      </c>
      <c r="H1245">
        <v>11229.663993345919</v>
      </c>
      <c r="I1245">
        <v>34603.577421919472</v>
      </c>
      <c r="J1245">
        <v>23373.913428573549</v>
      </c>
    </row>
    <row r="1246" spans="1:10">
      <c r="A1246" s="1">
        <v>46204.615277777782</v>
      </c>
      <c r="B1246">
        <v>-184.3328341058168</v>
      </c>
      <c r="C1246">
        <v>172957.6651052809</v>
      </c>
      <c r="D1246">
        <v>72608.855867850085</v>
      </c>
      <c r="E1246">
        <v>100348.8092374308</v>
      </c>
      <c r="F1246">
        <v>0</v>
      </c>
      <c r="G1246">
        <v>11504.123632372741</v>
      </c>
      <c r="H1246">
        <v>11319.79079826692</v>
      </c>
      <c r="I1246">
        <v>34591.533021056188</v>
      </c>
      <c r="J1246">
        <v>23271.742222789271</v>
      </c>
    </row>
    <row r="1247" spans="1:10">
      <c r="A1247" s="1">
        <v>46204.615972222222</v>
      </c>
      <c r="B1247">
        <v>-288.99963622174607</v>
      </c>
      <c r="C1247">
        <v>172852.99830316499</v>
      </c>
      <c r="D1247">
        <v>72504.189065734157</v>
      </c>
      <c r="E1247">
        <v>100348.8092374308</v>
      </c>
      <c r="F1247">
        <v>0</v>
      </c>
      <c r="G1247">
        <v>11504.123632372741</v>
      </c>
      <c r="H1247">
        <v>11215.123996150989</v>
      </c>
      <c r="I1247">
        <v>34570.599660633008</v>
      </c>
      <c r="J1247">
        <v>23355.475664482019</v>
      </c>
    </row>
    <row r="1248" spans="1:10">
      <c r="A1248" s="1">
        <v>46204.616666666669</v>
      </c>
      <c r="B1248">
        <v>-363.76163773313021</v>
      </c>
      <c r="C1248">
        <v>172778.23630165361</v>
      </c>
      <c r="D1248">
        <v>72429.427064222778</v>
      </c>
      <c r="E1248">
        <v>100348.8092374308</v>
      </c>
      <c r="F1248">
        <v>0</v>
      </c>
      <c r="G1248">
        <v>11504.123632372741</v>
      </c>
      <c r="H1248">
        <v>11140.361994639599</v>
      </c>
      <c r="I1248">
        <v>34555.647260330727</v>
      </c>
      <c r="J1248">
        <v>23415.28526569112</v>
      </c>
    </row>
    <row r="1249" spans="1:10">
      <c r="A1249" s="1">
        <v>46204.617361111108</v>
      </c>
      <c r="B1249">
        <v>-248.50677525506319</v>
      </c>
      <c r="C1249">
        <v>172304.12383192091</v>
      </c>
      <c r="D1249">
        <v>72249.998260595472</v>
      </c>
      <c r="E1249">
        <v>100054.12557132549</v>
      </c>
      <c r="F1249">
        <v>0</v>
      </c>
      <c r="G1249">
        <v>11504.123632372741</v>
      </c>
      <c r="H1249">
        <v>11255.616857117669</v>
      </c>
      <c r="I1249">
        <v>34460.82476638419</v>
      </c>
      <c r="J1249">
        <v>23205.207909266519</v>
      </c>
    </row>
    <row r="1250" spans="1:10">
      <c r="A1250" s="1">
        <v>46204.618055555547</v>
      </c>
      <c r="B1250">
        <v>-269.96801165564329</v>
      </c>
      <c r="C1250">
        <v>172475.10907134431</v>
      </c>
      <c r="D1250">
        <v>72324.760262106851</v>
      </c>
      <c r="E1250">
        <v>100150.3488092374</v>
      </c>
      <c r="F1250">
        <v>0</v>
      </c>
      <c r="G1250">
        <v>11504.123632372741</v>
      </c>
      <c r="H1250">
        <v>11234.155620717091</v>
      </c>
      <c r="I1250">
        <v>34495.021814268854</v>
      </c>
      <c r="J1250">
        <v>23260.866193551759</v>
      </c>
    </row>
    <row r="1251" spans="1:10">
      <c r="A1251" s="1">
        <v>46204.618750000001</v>
      </c>
      <c r="B1251">
        <v>0</v>
      </c>
      <c r="C1251">
        <v>0</v>
      </c>
      <c r="D1251">
        <v>0</v>
      </c>
      <c r="E1251">
        <v>0</v>
      </c>
      <c r="F1251">
        <v>-195.25086391994299</v>
      </c>
      <c r="G1251">
        <v>11308.872768452789</v>
      </c>
      <c r="H1251">
        <v>11308.872768452789</v>
      </c>
      <c r="I1251">
        <v>0</v>
      </c>
      <c r="J1251">
        <v>-11308.872768452789</v>
      </c>
    </row>
    <row r="1252" spans="1:10">
      <c r="A1252" s="1">
        <v>46205.604166666657</v>
      </c>
      <c r="B1252">
        <v>0</v>
      </c>
      <c r="C1252">
        <v>172444.37946452509</v>
      </c>
      <c r="D1252">
        <v>72444.37946452506</v>
      </c>
      <c r="E1252">
        <v>100000</v>
      </c>
      <c r="F1252">
        <v>0</v>
      </c>
      <c r="G1252">
        <v>11308.872768452789</v>
      </c>
      <c r="H1252">
        <v>11308.872768452789</v>
      </c>
      <c r="I1252">
        <v>34488.875892905016</v>
      </c>
      <c r="J1252">
        <v>23180.003124452229</v>
      </c>
    </row>
    <row r="1253" spans="1:10">
      <c r="A1253" s="1">
        <v>46205.604861111111</v>
      </c>
      <c r="B1253">
        <v>29.260747834179941</v>
      </c>
      <c r="C1253">
        <v>172235.61581485849</v>
      </c>
      <c r="D1253">
        <v>72354.628013608861</v>
      </c>
      <c r="E1253">
        <v>99880.987801249619</v>
      </c>
      <c r="F1253">
        <v>0</v>
      </c>
      <c r="G1253">
        <v>11308.872768452789</v>
      </c>
      <c r="H1253">
        <v>11338.133516286969</v>
      </c>
      <c r="I1253">
        <v>34447.123162971693</v>
      </c>
      <c r="J1253">
        <v>23108.98964668472</v>
      </c>
    </row>
    <row r="1254" spans="1:10">
      <c r="A1254" s="1">
        <v>46205.605555555558</v>
      </c>
      <c r="B1254">
        <v>42.310672033856697</v>
      </c>
      <c r="C1254">
        <v>172641.40599493441</v>
      </c>
      <c r="D1254">
        <v>72564.048065746654</v>
      </c>
      <c r="E1254">
        <v>100077.3579291877</v>
      </c>
      <c r="F1254">
        <v>0</v>
      </c>
      <c r="G1254">
        <v>11308.872768452789</v>
      </c>
      <c r="H1254">
        <v>11351.183440486649</v>
      </c>
      <c r="I1254">
        <v>34528.281198986879</v>
      </c>
      <c r="J1254">
        <v>23177.097758500229</v>
      </c>
    </row>
    <row r="1255" spans="1:10">
      <c r="A1255" s="1">
        <v>46205.606249999997</v>
      </c>
      <c r="B1255">
        <v>-88.550974512976865</v>
      </c>
      <c r="C1255">
        <v>172248.71751113681</v>
      </c>
      <c r="D1255">
        <v>72302.273000574423</v>
      </c>
      <c r="E1255">
        <v>99946.444510562331</v>
      </c>
      <c r="F1255">
        <v>0</v>
      </c>
      <c r="G1255">
        <v>11308.872768452789</v>
      </c>
      <c r="H1255">
        <v>11220.32179393982</v>
      </c>
      <c r="I1255">
        <v>34449.743502227349</v>
      </c>
      <c r="J1255">
        <v>23229.421708287529</v>
      </c>
    </row>
    <row r="1256" spans="1:10">
      <c r="A1256" s="1">
        <v>46205.606944444437</v>
      </c>
      <c r="B1256">
        <v>-67.149487569330176</v>
      </c>
      <c r="C1256">
        <v>172436.73607633091</v>
      </c>
      <c r="D1256">
        <v>72406.983026643313</v>
      </c>
      <c r="E1256">
        <v>100029.7530496876</v>
      </c>
      <c r="F1256">
        <v>0</v>
      </c>
      <c r="G1256">
        <v>11308.872768452789</v>
      </c>
      <c r="H1256">
        <v>11241.72328088346</v>
      </c>
      <c r="I1256">
        <v>34487.347215266178</v>
      </c>
      <c r="J1256">
        <v>23245.623934382711</v>
      </c>
    </row>
    <row r="1257" spans="1:10">
      <c r="A1257" s="1">
        <v>46205.607638888891</v>
      </c>
      <c r="B1257">
        <v>27.105945954458448</v>
      </c>
      <c r="C1257">
        <v>172536.94211979219</v>
      </c>
      <c r="D1257">
        <v>72504.213765135864</v>
      </c>
      <c r="E1257">
        <v>100032.7283546563</v>
      </c>
      <c r="F1257">
        <v>0</v>
      </c>
      <c r="G1257">
        <v>11308.872768452789</v>
      </c>
      <c r="H1257">
        <v>11335.978714407251</v>
      </c>
      <c r="I1257">
        <v>34507.388423958437</v>
      </c>
      <c r="J1257">
        <v>23171.40970955119</v>
      </c>
    </row>
    <row r="1258" spans="1:10">
      <c r="A1258" s="1">
        <v>46205.60833333333</v>
      </c>
      <c r="B1258">
        <v>149.01139936468331</v>
      </c>
      <c r="C1258">
        <v>172385.11951607661</v>
      </c>
      <c r="D1258">
        <v>72489.25518998316</v>
      </c>
      <c r="E1258">
        <v>99895.864326093419</v>
      </c>
      <c r="F1258">
        <v>0</v>
      </c>
      <c r="G1258">
        <v>11308.872768452789</v>
      </c>
      <c r="H1258">
        <v>11457.884167817479</v>
      </c>
      <c r="I1258">
        <v>34477.023903215319</v>
      </c>
      <c r="J1258">
        <v>23019.139735397839</v>
      </c>
    </row>
    <row r="1259" spans="1:10">
      <c r="A1259" s="1">
        <v>46205.609027777777</v>
      </c>
      <c r="B1259">
        <v>244.3032086738757</v>
      </c>
      <c r="C1259">
        <v>172319.7448570728</v>
      </c>
      <c r="D1259">
        <v>72504.213765135864</v>
      </c>
      <c r="E1259">
        <v>99815.531091936922</v>
      </c>
      <c r="F1259">
        <v>0</v>
      </c>
      <c r="G1259">
        <v>11308.872768452789</v>
      </c>
      <c r="H1259">
        <v>11553.17597712667</v>
      </c>
      <c r="I1259">
        <v>34463.948971414553</v>
      </c>
      <c r="J1259">
        <v>22910.77299428789</v>
      </c>
    </row>
    <row r="1260" spans="1:10">
      <c r="A1260" s="1">
        <v>46205.609722222223</v>
      </c>
      <c r="B1260">
        <v>143.79924220728071</v>
      </c>
      <c r="C1260">
        <v>172659.5860259826</v>
      </c>
      <c r="D1260">
        <v>72623.882366357459</v>
      </c>
      <c r="E1260">
        <v>100035.7036596251</v>
      </c>
      <c r="F1260">
        <v>0</v>
      </c>
      <c r="G1260">
        <v>11308.872768452789</v>
      </c>
      <c r="H1260">
        <v>11452.67201066007</v>
      </c>
      <c r="I1260">
        <v>34531.917205196507</v>
      </c>
      <c r="J1260">
        <v>23079.245194536441</v>
      </c>
    </row>
    <row r="1261" spans="1:10">
      <c r="A1261" s="1">
        <v>46205.61041666667</v>
      </c>
      <c r="B1261">
        <v>45.121876384819423</v>
      </c>
      <c r="C1261">
        <v>172578.76048997269</v>
      </c>
      <c r="D1261">
        <v>72534.130915441274</v>
      </c>
      <c r="E1261">
        <v>100044.6295745314</v>
      </c>
      <c r="F1261">
        <v>0</v>
      </c>
      <c r="G1261">
        <v>11308.872768452789</v>
      </c>
      <c r="H1261">
        <v>11353.99464483761</v>
      </c>
      <c r="I1261">
        <v>34515.752097994533</v>
      </c>
      <c r="J1261">
        <v>23161.757453156919</v>
      </c>
    </row>
    <row r="1262" spans="1:10">
      <c r="A1262" s="1">
        <v>46205.611111111109</v>
      </c>
      <c r="B1262">
        <v>316.69513163095797</v>
      </c>
      <c r="C1262">
        <v>172606.35873778051</v>
      </c>
      <c r="D1262">
        <v>72683.716666968263</v>
      </c>
      <c r="E1262">
        <v>99922.642070812246</v>
      </c>
      <c r="F1262">
        <v>0</v>
      </c>
      <c r="G1262">
        <v>11308.872768452789</v>
      </c>
      <c r="H1262">
        <v>11625.56790008375</v>
      </c>
      <c r="I1262">
        <v>34521.2717475561</v>
      </c>
      <c r="J1262">
        <v>22895.703847472349</v>
      </c>
    </row>
    <row r="1263" spans="1:10">
      <c r="A1263" s="1">
        <v>46205.611805555563</v>
      </c>
      <c r="B1263">
        <v>-40.341464620171223</v>
      </c>
      <c r="C1263">
        <v>172963.39533403161</v>
      </c>
      <c r="D1263">
        <v>72683.716666968263</v>
      </c>
      <c r="E1263">
        <v>100279.6786670634</v>
      </c>
      <c r="F1263">
        <v>0</v>
      </c>
      <c r="G1263">
        <v>11308.872768452789</v>
      </c>
      <c r="H1263">
        <v>11268.53130383262</v>
      </c>
      <c r="I1263">
        <v>34592.679066806333</v>
      </c>
      <c r="J1263">
        <v>23324.147762973709</v>
      </c>
    </row>
    <row r="1264" spans="1:10">
      <c r="A1264" s="1">
        <v>46205.612500000003</v>
      </c>
      <c r="B1264">
        <v>70.155070768436417</v>
      </c>
      <c r="C1264">
        <v>173002.48455016999</v>
      </c>
      <c r="D1264">
        <v>72758.509542731757</v>
      </c>
      <c r="E1264">
        <v>100243.9750074383</v>
      </c>
      <c r="F1264">
        <v>0</v>
      </c>
      <c r="G1264">
        <v>11308.872768452789</v>
      </c>
      <c r="H1264">
        <v>11379.027839221229</v>
      </c>
      <c r="I1264">
        <v>34600.496910034002</v>
      </c>
      <c r="J1264">
        <v>23221.469070812771</v>
      </c>
    </row>
    <row r="1265" spans="1:10">
      <c r="A1265" s="1">
        <v>46205.613194444442</v>
      </c>
      <c r="B1265">
        <v>-12.11709257141197</v>
      </c>
      <c r="C1265">
        <v>172920.21238683019</v>
      </c>
      <c r="D1265">
        <v>72676.237379391911</v>
      </c>
      <c r="E1265">
        <v>100243.9750074383</v>
      </c>
      <c r="F1265">
        <v>0</v>
      </c>
      <c r="G1265">
        <v>11308.872768452789</v>
      </c>
      <c r="H1265">
        <v>11296.755675881381</v>
      </c>
      <c r="I1265">
        <v>34584.042477366042</v>
      </c>
      <c r="J1265">
        <v>23287.286801484661</v>
      </c>
    </row>
    <row r="1266" spans="1:10">
      <c r="A1266" s="1">
        <v>46205.613888888889</v>
      </c>
      <c r="B1266">
        <v>17.09188318420377</v>
      </c>
      <c r="C1266">
        <v>173235.0506395867</v>
      </c>
      <c r="D1266">
        <v>72848.260993647971</v>
      </c>
      <c r="E1266">
        <v>100386.7896459387</v>
      </c>
      <c r="F1266">
        <v>0</v>
      </c>
      <c r="G1266">
        <v>11308.872768452789</v>
      </c>
      <c r="H1266">
        <v>11325.964651636999</v>
      </c>
      <c r="I1266">
        <v>34647.010127917332</v>
      </c>
      <c r="J1266">
        <v>23321.045476280331</v>
      </c>
    </row>
    <row r="1267" spans="1:10">
      <c r="A1267" s="1">
        <v>46205.614583333343</v>
      </c>
      <c r="B1267">
        <v>21.84201671849172</v>
      </c>
      <c r="C1267">
        <v>173335.01053212129</v>
      </c>
      <c r="D1267">
        <v>72900.616006682409</v>
      </c>
      <c r="E1267">
        <v>100434.3945254389</v>
      </c>
      <c r="F1267">
        <v>0</v>
      </c>
      <c r="G1267">
        <v>11308.872768452789</v>
      </c>
      <c r="H1267">
        <v>11330.714785171291</v>
      </c>
      <c r="I1267">
        <v>34667.002106424246</v>
      </c>
      <c r="J1267">
        <v>23336.28732125297</v>
      </c>
    </row>
    <row r="1268" spans="1:10">
      <c r="A1268" s="1">
        <v>46205.615277777782</v>
      </c>
      <c r="B1268">
        <v>162.83005457482031</v>
      </c>
      <c r="C1268">
        <v>173612.86259854049</v>
      </c>
      <c r="D1268">
        <v>73110.036058820202</v>
      </c>
      <c r="E1268">
        <v>100502.82653972031</v>
      </c>
      <c r="F1268">
        <v>0</v>
      </c>
      <c r="G1268">
        <v>11308.872768452789</v>
      </c>
      <c r="H1268">
        <v>11471.70282302761</v>
      </c>
      <c r="I1268">
        <v>34722.572519708097</v>
      </c>
      <c r="J1268">
        <v>23250.869696680489</v>
      </c>
    </row>
    <row r="1269" spans="1:10">
      <c r="A1269" s="1">
        <v>46205.615972222222</v>
      </c>
      <c r="B1269">
        <v>170.30934215117409</v>
      </c>
      <c r="C1269">
        <v>173620.34188611689</v>
      </c>
      <c r="D1269">
        <v>73117.515346396554</v>
      </c>
      <c r="E1269">
        <v>100502.82653972031</v>
      </c>
      <c r="F1269">
        <v>0</v>
      </c>
      <c r="G1269">
        <v>11308.872768452789</v>
      </c>
      <c r="H1269">
        <v>11479.18211060397</v>
      </c>
      <c r="I1269">
        <v>34724.068377223382</v>
      </c>
      <c r="J1269">
        <v>23244.886266619411</v>
      </c>
    </row>
    <row r="1270" spans="1:10">
      <c r="A1270" s="1">
        <v>46205.616666666669</v>
      </c>
      <c r="B1270">
        <v>-67.633005040659327</v>
      </c>
      <c r="C1270">
        <v>173888.2013836141</v>
      </c>
      <c r="D1270">
        <v>73132.473921549259</v>
      </c>
      <c r="E1270">
        <v>100755.7274620649</v>
      </c>
      <c r="F1270">
        <v>0</v>
      </c>
      <c r="G1270">
        <v>11308.872768452789</v>
      </c>
      <c r="H1270">
        <v>11241.23976341213</v>
      </c>
      <c r="I1270">
        <v>34777.640276722821</v>
      </c>
      <c r="J1270">
        <v>23536.400513310691</v>
      </c>
    </row>
    <row r="1271" spans="1:10">
      <c r="A1271" s="1">
        <v>46205.617361111108</v>
      </c>
      <c r="B1271">
        <v>-43.666464672795769</v>
      </c>
      <c r="C1271">
        <v>173924.06914385711</v>
      </c>
      <c r="D1271">
        <v>73162.391071854654</v>
      </c>
      <c r="E1271">
        <v>100761.6780720024</v>
      </c>
      <c r="F1271">
        <v>0</v>
      </c>
      <c r="G1271">
        <v>11308.872768452789</v>
      </c>
      <c r="H1271">
        <v>11265.20630378</v>
      </c>
      <c r="I1271">
        <v>34784.81382877141</v>
      </c>
      <c r="J1271">
        <v>23519.60752499141</v>
      </c>
    </row>
    <row r="1272" spans="1:10">
      <c r="A1272" s="1">
        <v>46205.618055555547</v>
      </c>
      <c r="B1272">
        <v>-20.028125540520019</v>
      </c>
      <c r="C1272">
        <v>173840.59650411399</v>
      </c>
      <c r="D1272">
        <v>73132.473921549259</v>
      </c>
      <c r="E1272">
        <v>100708.1225825647</v>
      </c>
      <c r="F1272">
        <v>0</v>
      </c>
      <c r="G1272">
        <v>11308.872768452789</v>
      </c>
      <c r="H1272">
        <v>11288.844642912271</v>
      </c>
      <c r="I1272">
        <v>34768.1193008228</v>
      </c>
      <c r="J1272">
        <v>23479.27465791053</v>
      </c>
    </row>
    <row r="1273" spans="1:10">
      <c r="A1273" s="1">
        <v>46205.618750000001</v>
      </c>
      <c r="B1273">
        <v>0</v>
      </c>
      <c r="C1273">
        <v>0</v>
      </c>
      <c r="D1273">
        <v>0</v>
      </c>
      <c r="E1273">
        <v>0</v>
      </c>
      <c r="F1273">
        <v>43.774558938271348</v>
      </c>
      <c r="G1273">
        <v>11352.647327391071</v>
      </c>
      <c r="H1273">
        <v>11352.647327391071</v>
      </c>
      <c r="I1273">
        <v>0</v>
      </c>
      <c r="J1273">
        <v>-11352.647327391071</v>
      </c>
    </row>
    <row r="1274" spans="1:10">
      <c r="A1274" s="1">
        <v>46205.799305555563</v>
      </c>
      <c r="B1274">
        <v>0</v>
      </c>
      <c r="C1274">
        <v>172444.379464525</v>
      </c>
      <c r="D1274">
        <v>99999.999999999985</v>
      </c>
      <c r="E1274">
        <v>72444.37946452506</v>
      </c>
      <c r="F1274">
        <v>0</v>
      </c>
      <c r="G1274">
        <v>11352.647327391071</v>
      </c>
      <c r="H1274">
        <v>11352.647327391071</v>
      </c>
      <c r="I1274">
        <v>34488.875892905009</v>
      </c>
      <c r="J1274">
        <v>23136.228565513939</v>
      </c>
    </row>
    <row r="1275" spans="1:10">
      <c r="A1275" s="1">
        <v>46205.8</v>
      </c>
      <c r="B1275">
        <v>27.108025447169549</v>
      </c>
      <c r="C1275">
        <v>172322.05601417911</v>
      </c>
      <c r="D1275">
        <v>99952.392287550581</v>
      </c>
      <c r="E1275">
        <v>72369.663726628482</v>
      </c>
      <c r="F1275">
        <v>0</v>
      </c>
      <c r="G1275">
        <v>11352.647327391071</v>
      </c>
      <c r="H1275">
        <v>11379.75535283823</v>
      </c>
      <c r="I1275">
        <v>34464.411202835807</v>
      </c>
      <c r="J1275">
        <v>23084.65584999758</v>
      </c>
    </row>
    <row r="1276" spans="1:10">
      <c r="A1276" s="1">
        <v>46205.800694444442</v>
      </c>
      <c r="B1276">
        <v>6.5737438867119025E-2</v>
      </c>
      <c r="C1276">
        <v>172414.55890680529</v>
      </c>
      <c r="D1276">
        <v>99985.122589859544</v>
      </c>
      <c r="E1276">
        <v>72429.43631694575</v>
      </c>
      <c r="F1276">
        <v>0</v>
      </c>
      <c r="G1276">
        <v>11352.647327391071</v>
      </c>
      <c r="H1276">
        <v>11352.71306482993</v>
      </c>
      <c r="I1276">
        <v>34482.911781361057</v>
      </c>
      <c r="J1276">
        <v>23130.198716531129</v>
      </c>
    </row>
    <row r="1277" spans="1:10">
      <c r="A1277" s="1">
        <v>46205.801388888889</v>
      </c>
      <c r="B1277">
        <v>52.169541649856839</v>
      </c>
      <c r="C1277">
        <v>172451.71956343699</v>
      </c>
      <c r="D1277">
        <v>100029.7548202809</v>
      </c>
      <c r="E1277">
        <v>72421.964743156088</v>
      </c>
      <c r="F1277">
        <v>0</v>
      </c>
      <c r="G1277">
        <v>11352.647327391071</v>
      </c>
      <c r="H1277">
        <v>11404.81686904092</v>
      </c>
      <c r="I1277">
        <v>34490.3439126874</v>
      </c>
      <c r="J1277">
        <v>23085.527043646482</v>
      </c>
    </row>
    <row r="1278" spans="1:10">
      <c r="A1278" s="1">
        <v>46205.802083333343</v>
      </c>
      <c r="B1278">
        <v>75.776185557959138</v>
      </c>
      <c r="C1278">
        <v>172564.98509282089</v>
      </c>
      <c r="D1278">
        <v>100098.1909069269</v>
      </c>
      <c r="E1278">
        <v>72466.794185894032</v>
      </c>
      <c r="F1278">
        <v>0</v>
      </c>
      <c r="G1278">
        <v>11352.647327391071</v>
      </c>
      <c r="H1278">
        <v>11428.423512949021</v>
      </c>
      <c r="I1278">
        <v>34512.997018564187</v>
      </c>
      <c r="J1278">
        <v>23084.573505615172</v>
      </c>
    </row>
    <row r="1279" spans="1:10">
      <c r="A1279" s="1">
        <v>46205.802777777782</v>
      </c>
      <c r="B1279">
        <v>56.205471339308033</v>
      </c>
      <c r="C1279">
        <v>172650.0164116575</v>
      </c>
      <c r="D1279">
        <v>100130.92120923589</v>
      </c>
      <c r="E1279">
        <v>72519.095202421639</v>
      </c>
      <c r="F1279">
        <v>0</v>
      </c>
      <c r="G1279">
        <v>11352.647327391071</v>
      </c>
      <c r="H1279">
        <v>11408.85279873037</v>
      </c>
      <c r="I1279">
        <v>34530.003282331512</v>
      </c>
      <c r="J1279">
        <v>23121.15048360113</v>
      </c>
    </row>
    <row r="1280" spans="1:10">
      <c r="A1280" s="1">
        <v>46205.803472222222</v>
      </c>
      <c r="B1280">
        <v>88.870036209419027</v>
      </c>
      <c r="C1280">
        <v>172712.5672716863</v>
      </c>
      <c r="D1280">
        <v>100178.5289216853</v>
      </c>
      <c r="E1280">
        <v>72534.038350000963</v>
      </c>
      <c r="F1280">
        <v>0</v>
      </c>
      <c r="G1280">
        <v>11352.647327391071</v>
      </c>
      <c r="H1280">
        <v>11441.51736360048</v>
      </c>
      <c r="I1280">
        <v>34542.513454337262</v>
      </c>
      <c r="J1280">
        <v>23100.996090736771</v>
      </c>
    </row>
    <row r="1281" spans="1:10">
      <c r="A1281" s="1">
        <v>46205.804166666669</v>
      </c>
      <c r="B1281">
        <v>72.537753774377308</v>
      </c>
      <c r="C1281">
        <v>172681.29184167189</v>
      </c>
      <c r="D1281">
        <v>100154.7250654606</v>
      </c>
      <c r="E1281">
        <v>72526.566776211301</v>
      </c>
      <c r="F1281">
        <v>0</v>
      </c>
      <c r="G1281">
        <v>11352.647327391071</v>
      </c>
      <c r="H1281">
        <v>11425.18508116544</v>
      </c>
      <c r="I1281">
        <v>34536.258368334376</v>
      </c>
      <c r="J1281">
        <v>23111.07328716894</v>
      </c>
    </row>
    <row r="1282" spans="1:10">
      <c r="A1282" s="1">
        <v>46205.804861111108</v>
      </c>
      <c r="B1282">
        <v>114.1945021676129</v>
      </c>
      <c r="C1282">
        <v>172722.94859006509</v>
      </c>
      <c r="D1282">
        <v>100196.3818138538</v>
      </c>
      <c r="E1282">
        <v>72526.566776211301</v>
      </c>
      <c r="F1282">
        <v>0</v>
      </c>
      <c r="G1282">
        <v>11352.647327391071</v>
      </c>
      <c r="H1282">
        <v>11466.84182955868</v>
      </c>
      <c r="I1282">
        <v>34544.589718013027</v>
      </c>
      <c r="J1282">
        <v>23077.74788845436</v>
      </c>
    </row>
    <row r="1283" spans="1:10">
      <c r="A1283" s="1">
        <v>46205.805555555547</v>
      </c>
      <c r="B1283">
        <v>109.6326729671697</v>
      </c>
      <c r="C1283">
        <v>172763.21620360261</v>
      </c>
      <c r="D1283">
        <v>100214.2347060224</v>
      </c>
      <c r="E1283">
        <v>72548.981497580273</v>
      </c>
      <c r="F1283">
        <v>0</v>
      </c>
      <c r="G1283">
        <v>11352.647327391071</v>
      </c>
      <c r="H1283">
        <v>11462.280000358231</v>
      </c>
      <c r="I1283">
        <v>34552.643240720528</v>
      </c>
      <c r="J1283">
        <v>23090.363240362291</v>
      </c>
    </row>
    <row r="1284" spans="1:10">
      <c r="A1284" s="1">
        <v>46205.806250000001</v>
      </c>
      <c r="B1284">
        <v>142.23150039838609</v>
      </c>
      <c r="C1284">
        <v>172855.58762135109</v>
      </c>
      <c r="D1284">
        <v>100276.7198286122</v>
      </c>
      <c r="E1284">
        <v>72578.867792738907</v>
      </c>
      <c r="F1284">
        <v>0</v>
      </c>
      <c r="G1284">
        <v>11352.647327391071</v>
      </c>
      <c r="H1284">
        <v>11494.878827789449</v>
      </c>
      <c r="I1284">
        <v>34571.117524270223</v>
      </c>
      <c r="J1284">
        <v>23076.23869648077</v>
      </c>
    </row>
    <row r="1285" spans="1:10">
      <c r="A1285" s="1">
        <v>46205.806944444441</v>
      </c>
      <c r="B1285">
        <v>118.29616929592061</v>
      </c>
      <c r="C1285">
        <v>172891.42488056599</v>
      </c>
      <c r="D1285">
        <v>100282.6707926684</v>
      </c>
      <c r="E1285">
        <v>72608.754087897541</v>
      </c>
      <c r="F1285">
        <v>0</v>
      </c>
      <c r="G1285">
        <v>11352.647327391071</v>
      </c>
      <c r="H1285">
        <v>11470.943496686979</v>
      </c>
      <c r="I1285">
        <v>34578.284976113187</v>
      </c>
      <c r="J1285">
        <v>23107.34147942621</v>
      </c>
    </row>
    <row r="1286" spans="1:10">
      <c r="A1286" s="1">
        <v>46205.807638888888</v>
      </c>
      <c r="B1286">
        <v>70.491244529895027</v>
      </c>
      <c r="C1286">
        <v>172933.27884127581</v>
      </c>
      <c r="D1286">
        <v>100279.69531064029</v>
      </c>
      <c r="E1286">
        <v>72653.583530635486</v>
      </c>
      <c r="F1286">
        <v>0</v>
      </c>
      <c r="G1286">
        <v>11352.647327391071</v>
      </c>
      <c r="H1286">
        <v>11423.138571920959</v>
      </c>
      <c r="I1286">
        <v>34586.655768255157</v>
      </c>
      <c r="J1286">
        <v>23163.5171963342</v>
      </c>
    </row>
    <row r="1287" spans="1:10">
      <c r="A1287" s="1">
        <v>46205.808333333327</v>
      </c>
      <c r="B1287">
        <v>70.622719407646201</v>
      </c>
      <c r="C1287">
        <v>172873.63772583631</v>
      </c>
      <c r="D1287">
        <v>100249.9404903594</v>
      </c>
      <c r="E1287">
        <v>72623.697235476866</v>
      </c>
      <c r="F1287">
        <v>0</v>
      </c>
      <c r="G1287">
        <v>11352.647327391071</v>
      </c>
      <c r="H1287">
        <v>11423.270046798711</v>
      </c>
      <c r="I1287">
        <v>34574.727545167261</v>
      </c>
      <c r="J1287">
        <v>23151.457498368549</v>
      </c>
    </row>
    <row r="1288" spans="1:10">
      <c r="A1288" s="1">
        <v>46205.809027777781</v>
      </c>
      <c r="B1288">
        <v>60.241401028776153</v>
      </c>
      <c r="C1288">
        <v>172848.31325987811</v>
      </c>
      <c r="D1288">
        <v>100232.0875981909</v>
      </c>
      <c r="E1288">
        <v>72616.225661687204</v>
      </c>
      <c r="F1288">
        <v>0</v>
      </c>
      <c r="G1288">
        <v>11352.647327391071</v>
      </c>
      <c r="H1288">
        <v>11412.888728419841</v>
      </c>
      <c r="I1288">
        <v>34569.662651975617</v>
      </c>
      <c r="J1288">
        <v>23156.773923555778</v>
      </c>
    </row>
    <row r="1289" spans="1:10">
      <c r="A1289" s="1">
        <v>46205.80972222222</v>
      </c>
      <c r="B1289">
        <v>0</v>
      </c>
      <c r="C1289">
        <v>0</v>
      </c>
      <c r="D1289">
        <v>0</v>
      </c>
      <c r="E1289">
        <v>0</v>
      </c>
      <c r="F1289">
        <v>60.030731735338478</v>
      </c>
      <c r="G1289">
        <v>11412.6780591264</v>
      </c>
      <c r="H1289">
        <v>11412.6780591264</v>
      </c>
      <c r="I1289">
        <v>0</v>
      </c>
      <c r="J1289">
        <v>-11412.6780591264</v>
      </c>
    </row>
    <row r="1290" spans="1:10">
      <c r="A1290" s="1">
        <v>46209.604166666657</v>
      </c>
      <c r="B1290">
        <v>0</v>
      </c>
      <c r="C1290">
        <v>172444.379464525</v>
      </c>
      <c r="D1290">
        <v>99999.999999999985</v>
      </c>
      <c r="E1290">
        <v>72444.37946452506</v>
      </c>
      <c r="F1290">
        <v>0</v>
      </c>
      <c r="G1290">
        <v>11412.6780591264</v>
      </c>
      <c r="H1290">
        <v>11412.6780591264</v>
      </c>
      <c r="I1290">
        <v>34488.875892905009</v>
      </c>
      <c r="J1290">
        <v>23076.197833778609</v>
      </c>
    </row>
    <row r="1291" spans="1:10">
      <c r="A1291" s="1">
        <v>46209.604861111111</v>
      </c>
      <c r="B1291">
        <v>192.80928099883161</v>
      </c>
      <c r="C1291">
        <v>172251.5701835262</v>
      </c>
      <c r="D1291">
        <v>99999.999999999985</v>
      </c>
      <c r="E1291">
        <v>72251.57018352623</v>
      </c>
      <c r="F1291">
        <v>0</v>
      </c>
      <c r="G1291">
        <v>11412.6780591264</v>
      </c>
      <c r="H1291">
        <v>11605.487340125241</v>
      </c>
      <c r="I1291">
        <v>34450.31403670524</v>
      </c>
      <c r="J1291">
        <v>22844.82669658001</v>
      </c>
    </row>
    <row r="1292" spans="1:10">
      <c r="A1292" s="1">
        <v>46209.605555555558</v>
      </c>
      <c r="B1292">
        <v>-134.81744487617939</v>
      </c>
      <c r="C1292">
        <v>172176.07867126499</v>
      </c>
      <c r="D1292">
        <v>99798.440880931899</v>
      </c>
      <c r="E1292">
        <v>72377.637790333145</v>
      </c>
      <c r="F1292">
        <v>0</v>
      </c>
      <c r="G1292">
        <v>11412.6780591264</v>
      </c>
      <c r="H1292">
        <v>11277.860614250219</v>
      </c>
      <c r="I1292">
        <v>34435.215734253012</v>
      </c>
      <c r="J1292">
        <v>23157.35512000279</v>
      </c>
    </row>
    <row r="1293" spans="1:10">
      <c r="A1293" s="1">
        <v>46209.606249999997</v>
      </c>
      <c r="B1293">
        <v>-266.7694222959887</v>
      </c>
      <c r="C1293">
        <v>172177.61004222909</v>
      </c>
      <c r="D1293">
        <v>99733.230577704002</v>
      </c>
      <c r="E1293">
        <v>72444.37946452506</v>
      </c>
      <c r="F1293">
        <v>0</v>
      </c>
      <c r="G1293">
        <v>11412.6780591264</v>
      </c>
      <c r="H1293">
        <v>11145.908636830411</v>
      </c>
      <c r="I1293">
        <v>34435.522008445812</v>
      </c>
      <c r="J1293">
        <v>23289.6133716154</v>
      </c>
    </row>
    <row r="1294" spans="1:10">
      <c r="A1294" s="1">
        <v>46209.606944444437</v>
      </c>
      <c r="B1294">
        <v>-173.30696710301379</v>
      </c>
      <c r="C1294">
        <v>172018.93728380819</v>
      </c>
      <c r="D1294">
        <v>99700.625426090046</v>
      </c>
      <c r="E1294">
        <v>72318.31185771813</v>
      </c>
      <c r="F1294">
        <v>0</v>
      </c>
      <c r="G1294">
        <v>11412.6780591264</v>
      </c>
      <c r="H1294">
        <v>11239.37109202339</v>
      </c>
      <c r="I1294">
        <v>34403.787456761638</v>
      </c>
      <c r="J1294">
        <v>23164.416364738248</v>
      </c>
    </row>
    <row r="1295" spans="1:10">
      <c r="A1295" s="1">
        <v>46209.607638888891</v>
      </c>
      <c r="B1295">
        <v>-247.4643828718041</v>
      </c>
      <c r="C1295">
        <v>172093.09469957699</v>
      </c>
      <c r="D1295">
        <v>99700.625426090046</v>
      </c>
      <c r="E1295">
        <v>72392.469273486917</v>
      </c>
      <c r="F1295">
        <v>0</v>
      </c>
      <c r="G1295">
        <v>11412.6780591264</v>
      </c>
      <c r="H1295">
        <v>11165.2136762546</v>
      </c>
      <c r="I1295">
        <v>34418.618939915403</v>
      </c>
      <c r="J1295">
        <v>23253.405263660799</v>
      </c>
    </row>
    <row r="1296" spans="1:10">
      <c r="A1296" s="1">
        <v>46209.60833333333</v>
      </c>
      <c r="B1296">
        <v>-425.44218071688181</v>
      </c>
      <c r="C1296">
        <v>172271.07249742211</v>
      </c>
      <c r="D1296">
        <v>99700.625426090046</v>
      </c>
      <c r="E1296">
        <v>72570.44707133199</v>
      </c>
      <c r="F1296">
        <v>0</v>
      </c>
      <c r="G1296">
        <v>11412.6780591264</v>
      </c>
      <c r="H1296">
        <v>10987.23587840952</v>
      </c>
      <c r="I1296">
        <v>34454.214499484413</v>
      </c>
      <c r="J1296">
        <v>23466.97862107489</v>
      </c>
    </row>
    <row r="1297" spans="1:10">
      <c r="A1297" s="1">
        <v>46209.609027777777</v>
      </c>
      <c r="B1297">
        <v>-452.17392141082729</v>
      </c>
      <c r="C1297">
        <v>172392.65558826571</v>
      </c>
      <c r="D1297">
        <v>99748.051101164878</v>
      </c>
      <c r="E1297">
        <v>72644.604487100776</v>
      </c>
      <c r="F1297">
        <v>0</v>
      </c>
      <c r="G1297">
        <v>11412.6780591264</v>
      </c>
      <c r="H1297">
        <v>10960.504137715579</v>
      </c>
      <c r="I1297">
        <v>34478.531117653132</v>
      </c>
      <c r="J1297">
        <v>23518.02697993756</v>
      </c>
    </row>
    <row r="1298" spans="1:10">
      <c r="A1298" s="1">
        <v>46209.609722222223</v>
      </c>
      <c r="B1298">
        <v>-428.54876141635339</v>
      </c>
      <c r="C1298">
        <v>172653.5844787203</v>
      </c>
      <c r="D1298">
        <v>99890.328126389417</v>
      </c>
      <c r="E1298">
        <v>72763.256352330834</v>
      </c>
      <c r="F1298">
        <v>0</v>
      </c>
      <c r="G1298">
        <v>11412.6780591264</v>
      </c>
      <c r="H1298">
        <v>10984.129297710049</v>
      </c>
      <c r="I1298">
        <v>34530.716895744052</v>
      </c>
      <c r="J1298">
        <v>23546.587598033999</v>
      </c>
    </row>
    <row r="1299" spans="1:10">
      <c r="A1299" s="1">
        <v>46209.61041666667</v>
      </c>
      <c r="B1299">
        <v>-259.49615672640311</v>
      </c>
      <c r="C1299">
        <v>172555.6703866426</v>
      </c>
      <c r="D1299">
        <v>99925.897382695548</v>
      </c>
      <c r="E1299">
        <v>72629.773003947019</v>
      </c>
      <c r="F1299">
        <v>0</v>
      </c>
      <c r="G1299">
        <v>11412.6780591264</v>
      </c>
      <c r="H1299">
        <v>11153.1819024</v>
      </c>
      <c r="I1299">
        <v>34511.134077328512</v>
      </c>
      <c r="J1299">
        <v>23357.952174928509</v>
      </c>
    </row>
    <row r="1300" spans="1:10">
      <c r="A1300" s="1">
        <v>46209.611111111109</v>
      </c>
      <c r="B1300">
        <v>-493.75906464427152</v>
      </c>
      <c r="C1300">
        <v>172588.3741754923</v>
      </c>
      <c r="D1300">
        <v>99825.11782316149</v>
      </c>
      <c r="E1300">
        <v>72763.256352330834</v>
      </c>
      <c r="F1300">
        <v>0</v>
      </c>
      <c r="G1300">
        <v>11412.6780591264</v>
      </c>
      <c r="H1300">
        <v>10918.91899448213</v>
      </c>
      <c r="I1300">
        <v>34517.674835098464</v>
      </c>
      <c r="J1300">
        <v>23598.75584061633</v>
      </c>
    </row>
    <row r="1301" spans="1:10">
      <c r="A1301" s="1">
        <v>46209.611805555563</v>
      </c>
      <c r="B1301">
        <v>-504.10603183470528</v>
      </c>
      <c r="C1301">
        <v>172503.86979253311</v>
      </c>
      <c r="D1301">
        <v>99777.692148086659</v>
      </c>
      <c r="E1301">
        <v>72726.177644446434</v>
      </c>
      <c r="F1301">
        <v>0</v>
      </c>
      <c r="G1301">
        <v>11412.6780591264</v>
      </c>
      <c r="H1301">
        <v>10908.572027291701</v>
      </c>
      <c r="I1301">
        <v>34500.773958506623</v>
      </c>
      <c r="J1301">
        <v>23592.20193121492</v>
      </c>
    </row>
    <row r="1302" spans="1:10">
      <c r="A1302" s="1">
        <v>46209.612500000003</v>
      </c>
      <c r="B1302">
        <v>-550.12089256710556</v>
      </c>
      <c r="C1302">
        <v>172650.6642127996</v>
      </c>
      <c r="D1302">
        <v>99828.081927853695</v>
      </c>
      <c r="E1302">
        <v>72822.582284945864</v>
      </c>
      <c r="F1302">
        <v>0</v>
      </c>
      <c r="G1302">
        <v>11412.6780591264</v>
      </c>
      <c r="H1302">
        <v>10862.5571665593</v>
      </c>
      <c r="I1302">
        <v>34530.132842559913</v>
      </c>
      <c r="J1302">
        <v>23667.575676000619</v>
      </c>
    </row>
    <row r="1303" spans="1:10">
      <c r="A1303" s="1">
        <v>46209.613194444442</v>
      </c>
      <c r="B1303">
        <v>-501.2844031498268</v>
      </c>
      <c r="C1303">
        <v>172892.30998321559</v>
      </c>
      <c r="D1303">
        <v>99973.32305777038</v>
      </c>
      <c r="E1303">
        <v>72918.986925445279</v>
      </c>
      <c r="F1303">
        <v>0</v>
      </c>
      <c r="G1303">
        <v>11412.6780591264</v>
      </c>
      <c r="H1303">
        <v>10911.393655976581</v>
      </c>
      <c r="I1303">
        <v>34578.461996643127</v>
      </c>
      <c r="J1303">
        <v>23667.068340666548</v>
      </c>
    </row>
    <row r="1304" spans="1:10">
      <c r="A1304" s="1">
        <v>46209.613888888889</v>
      </c>
      <c r="B1304">
        <v>-547.22254603212889</v>
      </c>
      <c r="C1304">
        <v>172831.54035717959</v>
      </c>
      <c r="D1304">
        <v>99919.969173311198</v>
      </c>
      <c r="E1304">
        <v>72911.571183868393</v>
      </c>
      <c r="F1304">
        <v>0</v>
      </c>
      <c r="G1304">
        <v>11412.6780591264</v>
      </c>
      <c r="H1304">
        <v>10865.45551309427</v>
      </c>
      <c r="I1304">
        <v>34566.308071435917</v>
      </c>
      <c r="J1304">
        <v>23700.852558341641</v>
      </c>
    </row>
    <row r="1305" spans="1:10">
      <c r="A1305" s="1">
        <v>46209.614583333343</v>
      </c>
      <c r="B1305">
        <v>-624.24542925728929</v>
      </c>
      <c r="C1305">
        <v>172635.86560872439</v>
      </c>
      <c r="D1305">
        <v>99783.620357471009</v>
      </c>
      <c r="E1305">
        <v>72852.245251253364</v>
      </c>
      <c r="F1305">
        <v>0</v>
      </c>
      <c r="G1305">
        <v>11412.6780591264</v>
      </c>
      <c r="H1305">
        <v>10788.43262986911</v>
      </c>
      <c r="I1305">
        <v>34527.173121744883</v>
      </c>
      <c r="J1305">
        <v>23738.74049187576</v>
      </c>
    </row>
    <row r="1306" spans="1:10">
      <c r="A1306" s="1">
        <v>46209.615277777782</v>
      </c>
      <c r="B1306">
        <v>-716.18747317914654</v>
      </c>
      <c r="C1306">
        <v>172692.23839634011</v>
      </c>
      <c r="D1306">
        <v>99765.835729317943</v>
      </c>
      <c r="E1306">
        <v>72926.402667022165</v>
      </c>
      <c r="F1306">
        <v>0</v>
      </c>
      <c r="G1306">
        <v>11412.6780591264</v>
      </c>
      <c r="H1306">
        <v>10696.49058594726</v>
      </c>
      <c r="I1306">
        <v>34538.447679268022</v>
      </c>
      <c r="J1306">
        <v>23841.957093320769</v>
      </c>
    </row>
    <row r="1307" spans="1:10">
      <c r="A1307" s="1">
        <v>46209.615972222222</v>
      </c>
      <c r="B1307">
        <v>-701.3559900253822</v>
      </c>
      <c r="C1307">
        <v>172677.40691318631</v>
      </c>
      <c r="D1307">
        <v>99765.835729317943</v>
      </c>
      <c r="E1307">
        <v>72911.571183868393</v>
      </c>
      <c r="F1307">
        <v>0</v>
      </c>
      <c r="G1307">
        <v>11412.6780591264</v>
      </c>
      <c r="H1307">
        <v>10711.322069101019</v>
      </c>
      <c r="I1307">
        <v>34535.48138263727</v>
      </c>
      <c r="J1307">
        <v>23824.159313536249</v>
      </c>
    </row>
    <row r="1308" spans="1:10">
      <c r="A1308" s="1">
        <v>46209.616666666669</v>
      </c>
      <c r="B1308">
        <v>-490.88263749502909</v>
      </c>
      <c r="C1308">
        <v>172828.5543331017</v>
      </c>
      <c r="D1308">
        <v>99946.646115540789</v>
      </c>
      <c r="E1308">
        <v>72881.908217560893</v>
      </c>
      <c r="F1308">
        <v>0</v>
      </c>
      <c r="G1308">
        <v>11412.6780591264</v>
      </c>
      <c r="H1308">
        <v>10921.79542163137</v>
      </c>
      <c r="I1308">
        <v>34565.710866620328</v>
      </c>
      <c r="J1308">
        <v>23643.915444988961</v>
      </c>
    </row>
    <row r="1309" spans="1:10">
      <c r="A1309" s="1">
        <v>46209.617361111108</v>
      </c>
      <c r="B1309">
        <v>-424.16288268885518</v>
      </c>
      <c r="C1309">
        <v>172821.11667213909</v>
      </c>
      <c r="D1309">
        <v>99976.28716246257</v>
      </c>
      <c r="E1309">
        <v>72844.829509676492</v>
      </c>
      <c r="F1309">
        <v>0</v>
      </c>
      <c r="G1309">
        <v>11412.6780591264</v>
      </c>
      <c r="H1309">
        <v>10988.51517643755</v>
      </c>
      <c r="I1309">
        <v>34564.223334427807</v>
      </c>
      <c r="J1309">
        <v>23575.70815799027</v>
      </c>
    </row>
    <row r="1310" spans="1:10">
      <c r="A1310" s="1">
        <v>46209.618055555547</v>
      </c>
      <c r="B1310">
        <v>-474.51978337726842</v>
      </c>
      <c r="C1310">
        <v>172681.77087252811</v>
      </c>
      <c r="D1310">
        <v>99881.435812312891</v>
      </c>
      <c r="E1310">
        <v>72800.33506021522</v>
      </c>
      <c r="F1310">
        <v>0</v>
      </c>
      <c r="G1310">
        <v>11412.6780591264</v>
      </c>
      <c r="H1310">
        <v>10938.158275749131</v>
      </c>
      <c r="I1310">
        <v>34536.354174505621</v>
      </c>
      <c r="J1310">
        <v>23598.19589875649</v>
      </c>
    </row>
    <row r="1311" spans="1:10">
      <c r="A1311" s="1">
        <v>46209.618750000001</v>
      </c>
      <c r="B1311">
        <v>-547.24446541787995</v>
      </c>
      <c r="C1311">
        <v>172890.84437040889</v>
      </c>
      <c r="D1311">
        <v>99949.610220232964</v>
      </c>
      <c r="E1311">
        <v>72941.234150175907</v>
      </c>
      <c r="F1311">
        <v>0</v>
      </c>
      <c r="G1311">
        <v>11412.6780591264</v>
      </c>
      <c r="H1311">
        <v>10865.43359370852</v>
      </c>
      <c r="I1311">
        <v>34578.16887408177</v>
      </c>
      <c r="J1311">
        <v>23712.73528037325</v>
      </c>
    </row>
    <row r="1312" spans="1:10">
      <c r="A1312" s="1">
        <v>46209.619444444441</v>
      </c>
      <c r="B1312">
        <v>-455.34626026750789</v>
      </c>
      <c r="C1312">
        <v>172953.07960925181</v>
      </c>
      <c r="D1312">
        <v>100026.67694222961</v>
      </c>
      <c r="E1312">
        <v>72926.402667022165</v>
      </c>
      <c r="F1312">
        <v>0</v>
      </c>
      <c r="G1312">
        <v>11412.6780591264</v>
      </c>
      <c r="H1312">
        <v>10957.331798858901</v>
      </c>
      <c r="I1312">
        <v>34590.615921850353</v>
      </c>
      <c r="J1312">
        <v>23633.284122991459</v>
      </c>
    </row>
    <row r="1313" spans="1:10">
      <c r="A1313" s="1">
        <v>46209.620138888888</v>
      </c>
      <c r="B1313">
        <v>-440.5805352709524</v>
      </c>
      <c r="C1313">
        <v>173116.1601657859</v>
      </c>
      <c r="D1313">
        <v>100115.6000829949</v>
      </c>
      <c r="E1313">
        <v>73000.560082790937</v>
      </c>
      <c r="F1313">
        <v>0</v>
      </c>
      <c r="G1313">
        <v>11412.6780591264</v>
      </c>
      <c r="H1313">
        <v>10972.097523855449</v>
      </c>
      <c r="I1313">
        <v>34623.232033157183</v>
      </c>
      <c r="J1313">
        <v>23651.134509301719</v>
      </c>
    </row>
    <row r="1314" spans="1:10">
      <c r="A1314" s="1">
        <v>46209.620833333327</v>
      </c>
      <c r="B1314">
        <v>0</v>
      </c>
      <c r="C1314">
        <v>0</v>
      </c>
      <c r="D1314">
        <v>0</v>
      </c>
      <c r="E1314">
        <v>0</v>
      </c>
      <c r="F1314">
        <v>-402.5572082385699</v>
      </c>
      <c r="G1314">
        <v>11010.12085088783</v>
      </c>
      <c r="H1314">
        <v>11010.12085088783</v>
      </c>
      <c r="I1314">
        <v>0</v>
      </c>
      <c r="J1314">
        <v>-11010.12085088783</v>
      </c>
    </row>
    <row r="1315" spans="1:10">
      <c r="A1315" s="1">
        <v>46209.840277777781</v>
      </c>
      <c r="B1315">
        <v>0</v>
      </c>
      <c r="C1315">
        <v>172444.37946452509</v>
      </c>
      <c r="D1315">
        <v>72444.37946452506</v>
      </c>
      <c r="E1315">
        <v>100000</v>
      </c>
      <c r="F1315">
        <v>0</v>
      </c>
      <c r="G1315">
        <v>11010.12085088783</v>
      </c>
      <c r="H1315">
        <v>11010.12085088783</v>
      </c>
      <c r="I1315">
        <v>34488.875892905016</v>
      </c>
      <c r="J1315">
        <v>23478.755042017179</v>
      </c>
    </row>
    <row r="1316" spans="1:10">
      <c r="A1316" s="1">
        <v>46209.84097222222</v>
      </c>
      <c r="B1316">
        <v>74.422732745410642</v>
      </c>
      <c r="C1316">
        <v>172459.16479269031</v>
      </c>
      <c r="D1316">
        <v>72488.983494980392</v>
      </c>
      <c r="E1316">
        <v>99970.181297709918</v>
      </c>
      <c r="F1316">
        <v>0</v>
      </c>
      <c r="G1316">
        <v>11010.12085088783</v>
      </c>
      <c r="H1316">
        <v>11084.54358363324</v>
      </c>
      <c r="I1316">
        <v>34491.832958538063</v>
      </c>
      <c r="J1316">
        <v>23407.28937490482</v>
      </c>
    </row>
    <row r="1317" spans="1:10">
      <c r="A1317" s="1">
        <v>46209.841666666667</v>
      </c>
      <c r="B1317">
        <v>0</v>
      </c>
      <c r="C1317">
        <v>0</v>
      </c>
      <c r="D1317">
        <v>0</v>
      </c>
      <c r="E1317">
        <v>0</v>
      </c>
      <c r="F1317">
        <v>53.417723858961047</v>
      </c>
      <c r="G1317">
        <v>11063.538574746801</v>
      </c>
      <c r="H1317">
        <v>11063.538574746801</v>
      </c>
      <c r="I1317">
        <v>0</v>
      </c>
      <c r="J1317">
        <v>-11063.538574746801</v>
      </c>
    </row>
    <row r="1318" spans="1:10">
      <c r="A1318" s="1">
        <v>46210.604166666657</v>
      </c>
      <c r="B1318">
        <v>0</v>
      </c>
      <c r="C1318">
        <v>172444.37946452509</v>
      </c>
      <c r="D1318">
        <v>72444.37946452506</v>
      </c>
      <c r="E1318">
        <v>100000</v>
      </c>
      <c r="F1318">
        <v>0</v>
      </c>
      <c r="G1318">
        <v>11063.538574746801</v>
      </c>
      <c r="H1318">
        <v>11063.538574746801</v>
      </c>
      <c r="I1318">
        <v>34488.875892905016</v>
      </c>
      <c r="J1318">
        <v>23425.337318158221</v>
      </c>
    </row>
    <row r="1319" spans="1:10">
      <c r="A1319" s="1">
        <v>46210.604861111111</v>
      </c>
      <c r="B1319">
        <v>154.89791610475319</v>
      </c>
      <c r="C1319">
        <v>172640.2310152649</v>
      </c>
      <c r="D1319">
        <v>72619.754197947346</v>
      </c>
      <c r="E1319">
        <v>100020.4768173175</v>
      </c>
      <c r="F1319">
        <v>0</v>
      </c>
      <c r="G1319">
        <v>11063.538574746801</v>
      </c>
      <c r="H1319">
        <v>11218.436490851551</v>
      </c>
      <c r="I1319">
        <v>34528.046203052967</v>
      </c>
      <c r="J1319">
        <v>23309.609712201429</v>
      </c>
    </row>
    <row r="1320" spans="1:10">
      <c r="A1320" s="1">
        <v>46210.605555555558</v>
      </c>
      <c r="B1320">
        <v>0</v>
      </c>
      <c r="C1320">
        <v>0</v>
      </c>
      <c r="D1320">
        <v>0</v>
      </c>
      <c r="E1320">
        <v>0</v>
      </c>
      <c r="F1320">
        <v>590.68408211959354</v>
      </c>
      <c r="G1320">
        <v>11654.22265686639</v>
      </c>
      <c r="H1320" s="8">
        <v>11654.22265686639</v>
      </c>
      <c r="I1320">
        <v>0</v>
      </c>
      <c r="J1320">
        <v>-11654.22265686639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C1E0-21DB-4EE4-8E7D-5D30777066A4}">
  <dimension ref="A1:M2167"/>
  <sheetViews>
    <sheetView workbookViewId="0">
      <selection activeCell="M5" sqref="M5"/>
    </sheetView>
  </sheetViews>
  <sheetFormatPr defaultRowHeight="14.4"/>
  <cols>
    <col min="1" max="1" width="18" bestFit="1" customWidth="1"/>
    <col min="2" max="2" width="15.88671875" customWidth="1"/>
    <col min="3" max="3" width="16.6640625" customWidth="1"/>
    <col min="4" max="4" width="15.6640625" customWidth="1"/>
    <col min="5" max="5" width="16.5546875" customWidth="1"/>
    <col min="6" max="6" width="13.6640625" customWidth="1"/>
    <col min="7" max="7" width="24.21875" customWidth="1"/>
    <col min="8" max="8" width="12.6640625" bestFit="1" customWidth="1"/>
    <col min="9" max="9" width="20.88671875" customWidth="1"/>
    <col min="10" max="10" width="17.109375" customWidth="1"/>
    <col min="12" max="12" width="10.44140625" bestFit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3">
      <c r="A2" s="1">
        <v>45960.5625</v>
      </c>
      <c r="B2">
        <v>0</v>
      </c>
      <c r="C2">
        <v>166743.01481149081</v>
      </c>
      <c r="D2">
        <v>66743.014811490779</v>
      </c>
      <c r="E2">
        <v>100000</v>
      </c>
      <c r="F2">
        <v>0</v>
      </c>
      <c r="G2">
        <v>0</v>
      </c>
      <c r="H2">
        <v>0</v>
      </c>
      <c r="I2">
        <v>33348.602962298159</v>
      </c>
      <c r="J2">
        <v>33348.602962298159</v>
      </c>
    </row>
    <row r="3" spans="1:13">
      <c r="A3" s="3">
        <v>45960.563194444447</v>
      </c>
      <c r="B3" s="4">
        <v>32.641869726305337</v>
      </c>
      <c r="C3" s="4">
        <v>166710.37294176451</v>
      </c>
      <c r="D3" s="4">
        <v>66743.014811490779</v>
      </c>
      <c r="E3" s="4">
        <v>99967.3581302737</v>
      </c>
      <c r="F3" s="4">
        <v>0</v>
      </c>
      <c r="G3" s="4">
        <v>0</v>
      </c>
      <c r="H3" s="4">
        <v>32.641869726305337</v>
      </c>
      <c r="I3" s="4">
        <v>33342.074588352887</v>
      </c>
      <c r="J3" s="4">
        <v>33309.432718626587</v>
      </c>
      <c r="L3" s="8">
        <f>MAX(Table2[capital_required])</f>
        <v>42520.268968414377</v>
      </c>
    </row>
    <row r="4" spans="1:13">
      <c r="A4" s="3">
        <v>45960.563888888893</v>
      </c>
      <c r="B4" s="4">
        <v>27.745589267365109</v>
      </c>
      <c r="C4" s="4">
        <v>166715.2692222234</v>
      </c>
      <c r="D4" s="4">
        <v>66743.014811490779</v>
      </c>
      <c r="E4" s="4">
        <v>99972.254410732639</v>
      </c>
      <c r="F4" s="4">
        <v>0</v>
      </c>
      <c r="G4" s="4">
        <v>0</v>
      </c>
      <c r="H4" s="4">
        <v>27.745589267365109</v>
      </c>
      <c r="I4" s="4">
        <v>33343.053844444687</v>
      </c>
      <c r="J4" s="4">
        <v>33315.308255177319</v>
      </c>
    </row>
    <row r="5" spans="1:13">
      <c r="A5" s="3">
        <v>45960.564583333333</v>
      </c>
      <c r="B5" s="4">
        <v>204.01168578936199</v>
      </c>
      <c r="C5" s="4">
        <v>166539.00312570139</v>
      </c>
      <c r="D5" s="4">
        <v>66743.014811490779</v>
      </c>
      <c r="E5" s="4">
        <v>99795.988314210641</v>
      </c>
      <c r="F5" s="4">
        <v>0</v>
      </c>
      <c r="G5" s="4">
        <v>0</v>
      </c>
      <c r="H5" s="4">
        <v>204.01168578936199</v>
      </c>
      <c r="I5" s="4">
        <v>33307.800625140277</v>
      </c>
      <c r="J5" s="4">
        <v>33103.788939350918</v>
      </c>
      <c r="L5" t="s">
        <v>18</v>
      </c>
      <c r="M5" s="9">
        <f>H2167/L3</f>
        <v>8.9248748167968017E-2</v>
      </c>
    </row>
    <row r="6" spans="1:13">
      <c r="A6" s="1">
        <v>45960.56527777778</v>
      </c>
      <c r="B6">
        <v>-29.377682753659961</v>
      </c>
      <c r="C6">
        <v>166772.39249424441</v>
      </c>
      <c r="D6">
        <v>66743.014811490779</v>
      </c>
      <c r="E6">
        <v>100029.37768275369</v>
      </c>
      <c r="F6">
        <v>0</v>
      </c>
      <c r="G6">
        <v>0</v>
      </c>
      <c r="H6">
        <v>-29.377682753659961</v>
      </c>
      <c r="I6">
        <v>33354.47849884889</v>
      </c>
      <c r="J6">
        <v>33383.856181602547</v>
      </c>
    </row>
    <row r="7" spans="1:13">
      <c r="A7" s="1">
        <v>45960.565972222219</v>
      </c>
      <c r="B7">
        <v>-60.387458993651897</v>
      </c>
      <c r="C7">
        <v>166803.4022704844</v>
      </c>
      <c r="D7">
        <v>66743.014811490779</v>
      </c>
      <c r="E7">
        <v>100060.3874589936</v>
      </c>
      <c r="F7">
        <v>0</v>
      </c>
      <c r="G7">
        <v>0</v>
      </c>
      <c r="H7">
        <v>-60.387458993651897</v>
      </c>
      <c r="I7">
        <v>33360.680454096888</v>
      </c>
      <c r="J7">
        <v>33421.067913090541</v>
      </c>
    </row>
    <row r="8" spans="1:13">
      <c r="A8" s="1">
        <v>45960.566666666673</v>
      </c>
      <c r="B8">
        <v>223.59680762514151</v>
      </c>
      <c r="C8">
        <v>166519.4180038656</v>
      </c>
      <c r="D8">
        <v>66743.014811490779</v>
      </c>
      <c r="E8">
        <v>99776.403192374855</v>
      </c>
      <c r="F8">
        <v>0</v>
      </c>
      <c r="G8">
        <v>0</v>
      </c>
      <c r="H8">
        <v>223.59680762514151</v>
      </c>
      <c r="I8">
        <v>33303.88360077313</v>
      </c>
      <c r="J8">
        <v>33080.286793147992</v>
      </c>
    </row>
    <row r="9" spans="1:13">
      <c r="A9" s="3">
        <v>45960.567361111112</v>
      </c>
      <c r="B9" s="4">
        <v>0</v>
      </c>
      <c r="C9" s="4">
        <v>0</v>
      </c>
      <c r="D9" s="4">
        <v>0</v>
      </c>
      <c r="E9" s="4">
        <v>0</v>
      </c>
      <c r="F9" s="4">
        <v>202.96120102328581</v>
      </c>
      <c r="G9" s="4">
        <v>202.96120102328581</v>
      </c>
      <c r="H9" s="4">
        <v>202.96120102328581</v>
      </c>
      <c r="I9" s="4">
        <v>0</v>
      </c>
      <c r="J9" s="4">
        <v>-202.96120102328581</v>
      </c>
    </row>
    <row r="10" spans="1:13">
      <c r="A10" s="3">
        <v>45961.56527777778</v>
      </c>
      <c r="B10" s="4">
        <v>0</v>
      </c>
      <c r="C10" s="4">
        <v>166743.01481149081</v>
      </c>
      <c r="D10" s="4">
        <v>66743.014811490779</v>
      </c>
      <c r="E10" s="4">
        <v>100000</v>
      </c>
      <c r="F10" s="4">
        <v>0</v>
      </c>
      <c r="G10" s="4">
        <v>202.96120102328581</v>
      </c>
      <c r="H10" s="4">
        <v>202.96120102328581</v>
      </c>
      <c r="I10" s="4">
        <v>33348.602962298159</v>
      </c>
      <c r="J10" s="4">
        <v>33145.64176127487</v>
      </c>
    </row>
    <row r="11" spans="1:13">
      <c r="A11" s="3">
        <v>45961.565972222219</v>
      </c>
      <c r="B11" s="4">
        <v>69.297835651311019</v>
      </c>
      <c r="C11" s="4">
        <v>166673.71697583949</v>
      </c>
      <c r="D11" s="4">
        <v>66743.014811490779</v>
      </c>
      <c r="E11" s="4">
        <v>99930.702164348681</v>
      </c>
      <c r="F11" s="4">
        <v>0</v>
      </c>
      <c r="G11" s="4">
        <v>202.96120102328581</v>
      </c>
      <c r="H11" s="4">
        <v>272.25903667459693</v>
      </c>
      <c r="I11" s="4">
        <v>33334.74339516789</v>
      </c>
      <c r="J11" s="4">
        <v>33062.484358493297</v>
      </c>
    </row>
    <row r="12" spans="1:13">
      <c r="A12" s="1">
        <v>45961.566666666673</v>
      </c>
      <c r="B12">
        <v>135.83352160544419</v>
      </c>
      <c r="C12">
        <v>166701.57480003469</v>
      </c>
      <c r="D12">
        <v>66790.211566565471</v>
      </c>
      <c r="E12">
        <v>99911.363233469252</v>
      </c>
      <c r="F12">
        <v>0</v>
      </c>
      <c r="G12">
        <v>202.96120102328581</v>
      </c>
      <c r="H12">
        <v>338.79472262873003</v>
      </c>
      <c r="I12">
        <v>33340.314960006937</v>
      </c>
      <c r="J12">
        <v>33001.520237378223</v>
      </c>
    </row>
    <row r="13" spans="1:13">
      <c r="A13" s="1">
        <v>45961.567361111112</v>
      </c>
      <c r="B13">
        <v>337.5900093967295</v>
      </c>
      <c r="C13">
        <v>166542.33791140979</v>
      </c>
      <c r="D13">
        <v>66811.47136614866</v>
      </c>
      <c r="E13">
        <v>99730.86654526116</v>
      </c>
      <c r="F13">
        <v>0</v>
      </c>
      <c r="G13">
        <v>202.96120102328581</v>
      </c>
      <c r="H13">
        <v>540.55121042001531</v>
      </c>
      <c r="I13">
        <v>33308.467582281963</v>
      </c>
      <c r="J13">
        <v>32767.916371861949</v>
      </c>
    </row>
    <row r="14" spans="1:13">
      <c r="A14" s="3">
        <v>45961.568055555559</v>
      </c>
      <c r="B14" s="4">
        <v>367.80562327269212</v>
      </c>
      <c r="C14" s="4">
        <v>166527.42935323381</v>
      </c>
      <c r="D14" s="4">
        <v>66819.124893998625</v>
      </c>
      <c r="E14" s="4">
        <v>99708.304459235151</v>
      </c>
      <c r="F14" s="4">
        <v>0</v>
      </c>
      <c r="G14" s="4">
        <v>202.96120102328581</v>
      </c>
      <c r="H14" s="4">
        <v>570.76682429597793</v>
      </c>
      <c r="I14" s="4">
        <v>33305.485870646757</v>
      </c>
      <c r="J14" s="4">
        <v>32734.71904635078</v>
      </c>
    </row>
    <row r="15" spans="1:13">
      <c r="A15" s="1">
        <v>45961.568749999999</v>
      </c>
      <c r="B15">
        <v>0</v>
      </c>
      <c r="C15">
        <v>0</v>
      </c>
      <c r="D15">
        <v>0</v>
      </c>
      <c r="E15">
        <v>0</v>
      </c>
      <c r="F15">
        <v>398.1230497713081</v>
      </c>
      <c r="G15">
        <v>601.08425079459391</v>
      </c>
      <c r="H15">
        <v>601.08425079459391</v>
      </c>
      <c r="I15">
        <v>0</v>
      </c>
      <c r="J15">
        <v>-601.08425079459391</v>
      </c>
    </row>
    <row r="16" spans="1:13">
      <c r="A16" s="1">
        <v>45961.725694444453</v>
      </c>
      <c r="B16">
        <v>0</v>
      </c>
      <c r="C16">
        <v>166743.01481149081</v>
      </c>
      <c r="D16">
        <v>66743.014811490779</v>
      </c>
      <c r="E16">
        <v>100000</v>
      </c>
      <c r="F16">
        <v>0</v>
      </c>
      <c r="G16">
        <v>601.08425079459391</v>
      </c>
      <c r="H16">
        <v>601.08425079459391</v>
      </c>
      <c r="I16">
        <v>33348.602962298159</v>
      </c>
      <c r="J16">
        <v>32747.51871150357</v>
      </c>
    </row>
    <row r="17" spans="1:10">
      <c r="A17" s="3">
        <v>45961.726388888892</v>
      </c>
      <c r="B17" s="4">
        <v>0</v>
      </c>
      <c r="C17" s="4">
        <v>166743.01481149081</v>
      </c>
      <c r="D17" s="4">
        <v>66743.014811490779</v>
      </c>
      <c r="E17" s="4">
        <v>100000</v>
      </c>
      <c r="F17" s="4">
        <v>0</v>
      </c>
      <c r="G17" s="4">
        <v>601.08425079459391</v>
      </c>
      <c r="H17" s="4">
        <v>601.08425079459391</v>
      </c>
      <c r="I17" s="4">
        <v>33348.602962298159</v>
      </c>
      <c r="J17" s="4">
        <v>32747.51871150357</v>
      </c>
    </row>
    <row r="18" spans="1:10">
      <c r="A18" s="1">
        <v>45961.727083333331</v>
      </c>
      <c r="B18">
        <v>65.938984612026047</v>
      </c>
      <c r="C18">
        <v>166808.95379610281</v>
      </c>
      <c r="D18">
        <v>66808.953796102811</v>
      </c>
      <c r="E18">
        <v>100000</v>
      </c>
      <c r="F18">
        <v>0</v>
      </c>
      <c r="G18">
        <v>601.08425079459391</v>
      </c>
      <c r="H18">
        <v>667.02323540661996</v>
      </c>
      <c r="I18">
        <v>33361.790759220567</v>
      </c>
      <c r="J18">
        <v>32694.767523813949</v>
      </c>
    </row>
    <row r="19" spans="1:10">
      <c r="A19" s="3">
        <v>45961.727777777778</v>
      </c>
      <c r="B19" s="4">
        <v>65.938984612026047</v>
      </c>
      <c r="C19" s="4">
        <v>166808.95379610281</v>
      </c>
      <c r="D19" s="4">
        <v>66808.953796102811</v>
      </c>
      <c r="E19" s="4">
        <v>100000</v>
      </c>
      <c r="F19" s="4">
        <v>0</v>
      </c>
      <c r="G19" s="4">
        <v>601.08425079459391</v>
      </c>
      <c r="H19" s="4">
        <v>667.02323540661996</v>
      </c>
      <c r="I19" s="4">
        <v>33361.790759220567</v>
      </c>
      <c r="J19" s="4">
        <v>32694.767523813949</v>
      </c>
    </row>
    <row r="20" spans="1:10">
      <c r="A20" s="1">
        <v>45961.728472222218</v>
      </c>
      <c r="B20">
        <v>27.188056204364809</v>
      </c>
      <c r="C20">
        <v>166847.70472451049</v>
      </c>
      <c r="D20">
        <v>66808.953796102811</v>
      </c>
      <c r="E20">
        <v>100038.7509284077</v>
      </c>
      <c r="F20">
        <v>0</v>
      </c>
      <c r="G20">
        <v>601.08425079459391</v>
      </c>
      <c r="H20">
        <v>628.2723069989587</v>
      </c>
      <c r="I20">
        <v>33369.540944902103</v>
      </c>
      <c r="J20">
        <v>32741.26863790314</v>
      </c>
    </row>
    <row r="21" spans="1:10">
      <c r="A21" s="1">
        <v>45961.729166666657</v>
      </c>
      <c r="B21">
        <v>-16.40673825424949</v>
      </c>
      <c r="C21">
        <v>166891.29951896911</v>
      </c>
      <c r="D21">
        <v>66808.953796102811</v>
      </c>
      <c r="E21">
        <v>100082.3457228663</v>
      </c>
      <c r="F21">
        <v>0</v>
      </c>
      <c r="G21">
        <v>601.08425079459391</v>
      </c>
      <c r="H21">
        <v>584.67751254034442</v>
      </c>
      <c r="I21">
        <v>33378.25990379382</v>
      </c>
      <c r="J21">
        <v>32793.582391253483</v>
      </c>
    </row>
    <row r="22" spans="1:10">
      <c r="A22" s="3">
        <v>45961.729861111111</v>
      </c>
      <c r="B22" s="4">
        <v>-14.79211623726513</v>
      </c>
      <c r="C22" s="4">
        <v>166889.68489695209</v>
      </c>
      <c r="D22" s="4">
        <v>66808.953796102811</v>
      </c>
      <c r="E22" s="4">
        <v>100080.7311008493</v>
      </c>
      <c r="F22" s="4">
        <v>0</v>
      </c>
      <c r="G22" s="4">
        <v>601.08425079459391</v>
      </c>
      <c r="H22" s="4">
        <v>586.29213455732884</v>
      </c>
      <c r="I22" s="4">
        <v>33377.936979390433</v>
      </c>
      <c r="J22" s="4">
        <v>32791.644844833099</v>
      </c>
    </row>
    <row r="23" spans="1:10">
      <c r="A23" s="1">
        <v>45961.730555555558</v>
      </c>
      <c r="B23">
        <v>-14.79211623726513</v>
      </c>
      <c r="C23">
        <v>166889.68489695209</v>
      </c>
      <c r="D23">
        <v>66808.953796102811</v>
      </c>
      <c r="E23">
        <v>100080.7311008493</v>
      </c>
      <c r="F23">
        <v>0</v>
      </c>
      <c r="G23">
        <v>601.08425079459391</v>
      </c>
      <c r="H23">
        <v>586.29213455732884</v>
      </c>
      <c r="I23">
        <v>33377.936979390433</v>
      </c>
      <c r="J23">
        <v>32791.644844833099</v>
      </c>
    </row>
    <row r="24" spans="1:10">
      <c r="A24" s="3">
        <v>45961.731249999997</v>
      </c>
      <c r="B24" s="4">
        <v>-56.907983828173712</v>
      </c>
      <c r="C24" s="4">
        <v>166847.56902936121</v>
      </c>
      <c r="D24" s="4">
        <v>66766.837928511901</v>
      </c>
      <c r="E24" s="4">
        <v>100080.7311008493</v>
      </c>
      <c r="F24" s="4">
        <v>0</v>
      </c>
      <c r="G24" s="4">
        <v>601.08425079459391</v>
      </c>
      <c r="H24" s="4">
        <v>544.17626696642014</v>
      </c>
      <c r="I24" s="4">
        <v>33369.513805872237</v>
      </c>
      <c r="J24" s="4">
        <v>32825.33753890582</v>
      </c>
    </row>
    <row r="25" spans="1:10">
      <c r="A25" s="1">
        <v>45961.731944444437</v>
      </c>
      <c r="B25">
        <v>-56.907983828173712</v>
      </c>
      <c r="C25">
        <v>166847.56902936121</v>
      </c>
      <c r="D25">
        <v>66766.837928511901</v>
      </c>
      <c r="E25">
        <v>100080.7311008493</v>
      </c>
      <c r="F25">
        <v>0</v>
      </c>
      <c r="G25">
        <v>601.08425079459391</v>
      </c>
      <c r="H25">
        <v>544.17626696642014</v>
      </c>
      <c r="I25">
        <v>33369.513805872237</v>
      </c>
      <c r="J25">
        <v>32825.33753890582</v>
      </c>
    </row>
    <row r="26" spans="1:10">
      <c r="A26" s="1">
        <v>45961.732638888891</v>
      </c>
      <c r="B26">
        <v>-43.44993563127953</v>
      </c>
      <c r="C26">
        <v>166744.77429233509</v>
      </c>
      <c r="D26">
        <v>66722.169584097297</v>
      </c>
      <c r="E26">
        <v>100022.60470823781</v>
      </c>
      <c r="F26">
        <v>0</v>
      </c>
      <c r="G26">
        <v>601.08425079459391</v>
      </c>
      <c r="H26">
        <v>557.63431516331434</v>
      </c>
      <c r="I26">
        <v>33348.954858467019</v>
      </c>
      <c r="J26">
        <v>32791.320543303707</v>
      </c>
    </row>
    <row r="27" spans="1:10">
      <c r="A27" s="3">
        <v>45961.73333333333</v>
      </c>
      <c r="B27" s="4">
        <v>-43.44993563127953</v>
      </c>
      <c r="C27" s="4">
        <v>166744.77429233509</v>
      </c>
      <c r="D27" s="4">
        <v>66722.169584097297</v>
      </c>
      <c r="E27" s="4">
        <v>100022.60470823781</v>
      </c>
      <c r="F27" s="4">
        <v>0</v>
      </c>
      <c r="G27" s="4">
        <v>601.08425079459391</v>
      </c>
      <c r="H27" s="4">
        <v>557.63431516331434</v>
      </c>
      <c r="I27" s="4">
        <v>33348.954858467019</v>
      </c>
      <c r="J27" s="4">
        <v>32791.320543303707</v>
      </c>
    </row>
    <row r="28" spans="1:10">
      <c r="A28" s="1">
        <v>45961.734027777777</v>
      </c>
      <c r="B28">
        <v>-94.924884909057766</v>
      </c>
      <c r="C28">
        <v>166693.2993430573</v>
      </c>
      <c r="D28">
        <v>66670.69463481952</v>
      </c>
      <c r="E28">
        <v>100022.60470823781</v>
      </c>
      <c r="F28">
        <v>0</v>
      </c>
      <c r="G28">
        <v>601.08425079459391</v>
      </c>
      <c r="H28">
        <v>506.15936588553609</v>
      </c>
      <c r="I28">
        <v>33338.659868611467</v>
      </c>
      <c r="J28">
        <v>32832.500502725932</v>
      </c>
    </row>
    <row r="29" spans="1:10">
      <c r="A29" s="1">
        <v>45961.734722222223</v>
      </c>
      <c r="B29">
        <v>-43.256980365503331</v>
      </c>
      <c r="C29">
        <v>166641.63143851381</v>
      </c>
      <c r="D29">
        <v>66670.69463481952</v>
      </c>
      <c r="E29">
        <v>99970.936803694247</v>
      </c>
      <c r="F29">
        <v>0</v>
      </c>
      <c r="G29">
        <v>601.08425079459391</v>
      </c>
      <c r="H29">
        <v>557.82727042909062</v>
      </c>
      <c r="I29">
        <v>33328.326287702752</v>
      </c>
      <c r="J29">
        <v>32770.499017273658</v>
      </c>
    </row>
    <row r="30" spans="1:10">
      <c r="A30" s="1">
        <v>45961.73541666667</v>
      </c>
      <c r="B30">
        <v>31.015632415832069</v>
      </c>
      <c r="C30">
        <v>166567.3588257324</v>
      </c>
      <c r="D30">
        <v>66670.69463481952</v>
      </c>
      <c r="E30">
        <v>99896.66419091291</v>
      </c>
      <c r="F30">
        <v>0</v>
      </c>
      <c r="G30">
        <v>601.08425079459391</v>
      </c>
      <c r="H30">
        <v>632.09988321042601</v>
      </c>
      <c r="I30">
        <v>33313.471765146489</v>
      </c>
      <c r="J30">
        <v>32681.371881936058</v>
      </c>
    </row>
    <row r="31" spans="1:10">
      <c r="A31" s="3">
        <v>45961.736111111109</v>
      </c>
      <c r="B31" s="4">
        <v>31.015632415832069</v>
      </c>
      <c r="C31" s="4">
        <v>166567.3588257324</v>
      </c>
      <c r="D31" s="4">
        <v>66670.69463481952</v>
      </c>
      <c r="E31" s="4">
        <v>99896.66419091291</v>
      </c>
      <c r="F31" s="4">
        <v>0</v>
      </c>
      <c r="G31" s="4">
        <v>601.08425079459391</v>
      </c>
      <c r="H31" s="4">
        <v>632.09988321042601</v>
      </c>
      <c r="I31" s="4">
        <v>33313.471765146489</v>
      </c>
      <c r="J31" s="4">
        <v>32681.371881936058</v>
      </c>
    </row>
    <row r="32" spans="1:10">
      <c r="A32" s="3">
        <v>45961.736805555563</v>
      </c>
      <c r="B32" s="4">
        <v>0</v>
      </c>
      <c r="C32" s="4">
        <v>0</v>
      </c>
      <c r="D32" s="4">
        <v>0</v>
      </c>
      <c r="E32" s="4">
        <v>0</v>
      </c>
      <c r="F32" s="4">
        <v>3.758835372467209</v>
      </c>
      <c r="G32" s="4">
        <v>604.84308616706107</v>
      </c>
      <c r="H32" s="4">
        <v>604.84308616706107</v>
      </c>
      <c r="I32" s="4">
        <v>0</v>
      </c>
      <c r="J32" s="4">
        <v>-604.84308616706107</v>
      </c>
    </row>
    <row r="33" spans="1:10">
      <c r="A33" s="1">
        <v>45964.604166666657</v>
      </c>
      <c r="B33">
        <v>0</v>
      </c>
      <c r="C33">
        <v>166743.01481149081</v>
      </c>
      <c r="D33">
        <v>100000</v>
      </c>
      <c r="E33">
        <v>66743.014811490779</v>
      </c>
      <c r="F33">
        <v>0</v>
      </c>
      <c r="G33">
        <v>604.84308616706107</v>
      </c>
      <c r="H33">
        <v>604.84308616706107</v>
      </c>
      <c r="I33">
        <v>33348.602962298159</v>
      </c>
      <c r="J33">
        <v>32743.759876131098</v>
      </c>
    </row>
    <row r="34" spans="1:10">
      <c r="A34" s="3">
        <v>45964.604861111111</v>
      </c>
      <c r="B34" s="4">
        <v>32.160028300832217</v>
      </c>
      <c r="C34" s="4">
        <v>166775.17483979161</v>
      </c>
      <c r="D34" s="4">
        <v>100032.1600283008</v>
      </c>
      <c r="E34" s="4">
        <v>66743.014811490779</v>
      </c>
      <c r="F34" s="4">
        <v>0</v>
      </c>
      <c r="G34" s="4">
        <v>604.84308616706107</v>
      </c>
      <c r="H34" s="4">
        <v>637.00311446789328</v>
      </c>
      <c r="I34" s="4">
        <v>33355.034967958323</v>
      </c>
      <c r="J34" s="4">
        <v>32718.031853490429</v>
      </c>
    </row>
    <row r="35" spans="1:10">
      <c r="A35" s="1">
        <v>45964.605555555558</v>
      </c>
      <c r="B35">
        <v>90.048079242319247</v>
      </c>
      <c r="C35">
        <v>166833.0628907331</v>
      </c>
      <c r="D35">
        <v>100090.0480792423</v>
      </c>
      <c r="E35">
        <v>66743.014811490779</v>
      </c>
      <c r="F35">
        <v>0</v>
      </c>
      <c r="G35">
        <v>604.84308616706107</v>
      </c>
      <c r="H35">
        <v>694.89116540938028</v>
      </c>
      <c r="I35">
        <v>33366.612578146618</v>
      </c>
      <c r="J35">
        <v>32671.721412737239</v>
      </c>
    </row>
    <row r="36" spans="1:10">
      <c r="A36" s="3">
        <v>45964.606249999997</v>
      </c>
      <c r="B36" s="4">
        <v>-226.72819952081039</v>
      </c>
      <c r="C36" s="4">
        <v>166516.28661196999</v>
      </c>
      <c r="D36" s="4">
        <v>99773.271800479182</v>
      </c>
      <c r="E36" s="4">
        <v>66743.014811490779</v>
      </c>
      <c r="F36" s="4">
        <v>0</v>
      </c>
      <c r="G36" s="4">
        <v>604.84308616706107</v>
      </c>
      <c r="H36" s="4">
        <v>378.11488664625062</v>
      </c>
      <c r="I36" s="4">
        <v>33303.257322393991</v>
      </c>
      <c r="J36" s="4">
        <v>32925.142435747737</v>
      </c>
    </row>
    <row r="37" spans="1:10">
      <c r="A37" s="3">
        <v>45964.606944444437</v>
      </c>
      <c r="B37" s="4">
        <v>-125.4801613098448</v>
      </c>
      <c r="C37" s="4">
        <v>166267.10244357519</v>
      </c>
      <c r="D37" s="4">
        <v>99699.303735387279</v>
      </c>
      <c r="E37" s="4">
        <v>66567.798708187911</v>
      </c>
      <c r="F37" s="4">
        <v>0</v>
      </c>
      <c r="G37" s="4">
        <v>604.84308616706107</v>
      </c>
      <c r="H37" s="4">
        <v>479.36292485721629</v>
      </c>
      <c r="I37" s="4">
        <v>33253.420488715041</v>
      </c>
      <c r="J37" s="4">
        <v>32774.057563857823</v>
      </c>
    </row>
    <row r="38" spans="1:10">
      <c r="A38" s="3">
        <v>45964.607638888891</v>
      </c>
      <c r="B38" s="4">
        <v>-5.1020744598615408</v>
      </c>
      <c r="C38" s="4">
        <v>166256.06845294801</v>
      </c>
      <c r="D38" s="4">
        <v>99753.975783498696</v>
      </c>
      <c r="E38" s="4">
        <v>66502.092669449339</v>
      </c>
      <c r="F38" s="4">
        <v>0</v>
      </c>
      <c r="G38" s="4">
        <v>604.84308616706107</v>
      </c>
      <c r="H38" s="4">
        <v>599.7410117071995</v>
      </c>
      <c r="I38" s="4">
        <v>33251.213690589611</v>
      </c>
      <c r="J38" s="4">
        <v>32651.472678882408</v>
      </c>
    </row>
    <row r="39" spans="1:10">
      <c r="A39" s="3">
        <v>45964.60833333333</v>
      </c>
      <c r="B39" s="4">
        <v>168.5620783645995</v>
      </c>
      <c r="C39" s="4">
        <v>166429.7326057725</v>
      </c>
      <c r="D39" s="4">
        <v>99927.639936323147</v>
      </c>
      <c r="E39" s="4">
        <v>66502.092669449339</v>
      </c>
      <c r="F39" s="4">
        <v>0</v>
      </c>
      <c r="G39" s="4">
        <v>604.84308616706107</v>
      </c>
      <c r="H39" s="4">
        <v>773.4051645316606</v>
      </c>
      <c r="I39" s="4">
        <v>33285.946521154503</v>
      </c>
      <c r="J39" s="4">
        <v>32512.541356622842</v>
      </c>
    </row>
    <row r="40" spans="1:10">
      <c r="A40" s="3">
        <v>45964.609027777777</v>
      </c>
      <c r="B40" s="4">
        <v>113.89003025319209</v>
      </c>
      <c r="C40" s="4">
        <v>166375.06055766111</v>
      </c>
      <c r="D40" s="4">
        <v>99872.967888211744</v>
      </c>
      <c r="E40" s="4">
        <v>66502.092669449339</v>
      </c>
      <c r="F40" s="4">
        <v>0</v>
      </c>
      <c r="G40" s="4">
        <v>604.84308616706107</v>
      </c>
      <c r="H40" s="4">
        <v>718.73311642025317</v>
      </c>
      <c r="I40" s="4">
        <v>33275.012111532218</v>
      </c>
      <c r="J40" s="4">
        <v>32556.27899511197</v>
      </c>
    </row>
    <row r="41" spans="1:10">
      <c r="A41" s="1">
        <v>45964.609722222223</v>
      </c>
      <c r="B41">
        <v>21.460046143879591</v>
      </c>
      <c r="C41">
        <v>166422.46650214921</v>
      </c>
      <c r="D41">
        <v>99850.455868401172</v>
      </c>
      <c r="E41">
        <v>66572.010633748068</v>
      </c>
      <c r="F41">
        <v>0</v>
      </c>
      <c r="G41">
        <v>604.84308616706107</v>
      </c>
      <c r="H41">
        <v>626.30313231094067</v>
      </c>
      <c r="I41">
        <v>33284.493300429851</v>
      </c>
      <c r="J41">
        <v>32658.190168118908</v>
      </c>
    </row>
    <row r="42" spans="1:10">
      <c r="A42" s="1">
        <v>45964.61041666667</v>
      </c>
      <c r="B42">
        <v>0</v>
      </c>
      <c r="C42">
        <v>0</v>
      </c>
      <c r="D42">
        <v>0</v>
      </c>
      <c r="E42">
        <v>0</v>
      </c>
      <c r="F42">
        <v>339.86811169016858</v>
      </c>
      <c r="G42">
        <v>944.71119785722965</v>
      </c>
      <c r="H42">
        <v>944.71119785722965</v>
      </c>
      <c r="I42">
        <v>0</v>
      </c>
      <c r="J42">
        <v>-944.71119785722965</v>
      </c>
    </row>
    <row r="43" spans="1:10">
      <c r="A43" s="3">
        <v>45965.606249999997</v>
      </c>
      <c r="B43" s="4">
        <v>0</v>
      </c>
      <c r="C43" s="4">
        <v>166743.01481149081</v>
      </c>
      <c r="D43" s="4">
        <v>99999.999999999985</v>
      </c>
      <c r="E43" s="4">
        <v>66743.014811490779</v>
      </c>
      <c r="F43" s="4">
        <v>0</v>
      </c>
      <c r="G43" s="4">
        <v>944.71119785722965</v>
      </c>
      <c r="H43" s="4">
        <v>944.71119785722965</v>
      </c>
      <c r="I43" s="4">
        <v>33348.602962298159</v>
      </c>
      <c r="J43" s="4">
        <v>32403.89176444093</v>
      </c>
    </row>
    <row r="44" spans="1:10">
      <c r="A44" s="1">
        <v>45965.606944444437</v>
      </c>
      <c r="B44">
        <v>72.031378466532914</v>
      </c>
      <c r="C44">
        <v>166713.51365401779</v>
      </c>
      <c r="D44">
        <v>100021.2651104968</v>
      </c>
      <c r="E44">
        <v>66692.248543521026</v>
      </c>
      <c r="F44">
        <v>0</v>
      </c>
      <c r="G44">
        <v>944.71119785722965</v>
      </c>
      <c r="H44">
        <v>1016.742576323763</v>
      </c>
      <c r="I44">
        <v>33342.702730803569</v>
      </c>
      <c r="J44">
        <v>32325.96015447981</v>
      </c>
    </row>
    <row r="45" spans="1:10">
      <c r="A45" s="3">
        <v>45965.607638888891</v>
      </c>
      <c r="B45" s="4">
        <v>197.71228933228431</v>
      </c>
      <c r="C45" s="4">
        <v>166784.1260708147</v>
      </c>
      <c r="D45" s="4">
        <v>100119.41177432809</v>
      </c>
      <c r="E45" s="4">
        <v>66664.714296486578</v>
      </c>
      <c r="F45" s="4">
        <v>0</v>
      </c>
      <c r="G45" s="4">
        <v>944.71119785722965</v>
      </c>
      <c r="H45" s="4">
        <v>1142.4234871895139</v>
      </c>
      <c r="I45" s="4">
        <v>33356.825214162927</v>
      </c>
      <c r="J45" s="4">
        <v>32214.401726973421</v>
      </c>
    </row>
    <row r="46" spans="1:10">
      <c r="A46" s="3">
        <v>45965.60833333333</v>
      </c>
      <c r="B46" s="4">
        <v>27.286977483097441</v>
      </c>
      <c r="C46" s="4">
        <v>167055.96960195631</v>
      </c>
      <c r="D46" s="4">
        <v>100170.1208839743</v>
      </c>
      <c r="E46" s="4">
        <v>66885.848717981964</v>
      </c>
      <c r="F46" s="4">
        <v>0</v>
      </c>
      <c r="G46" s="4">
        <v>944.71119785722965</v>
      </c>
      <c r="H46" s="4">
        <v>971.99817534032707</v>
      </c>
      <c r="I46" s="4">
        <v>33411.193920391263</v>
      </c>
      <c r="J46" s="4">
        <v>32439.195745050929</v>
      </c>
    </row>
    <row r="47" spans="1:10">
      <c r="A47" s="1">
        <v>45965.609027777777</v>
      </c>
      <c r="B47">
        <v>-95.863847430036628</v>
      </c>
      <c r="C47">
        <v>166802.89154884929</v>
      </c>
      <c r="D47">
        <v>99982.006444964252</v>
      </c>
      <c r="E47">
        <v>66820.88510388507</v>
      </c>
      <c r="F47">
        <v>0</v>
      </c>
      <c r="G47">
        <v>944.71119785722965</v>
      </c>
      <c r="H47">
        <v>848.84735042719308</v>
      </c>
      <c r="I47">
        <v>33360.578309769873</v>
      </c>
      <c r="J47">
        <v>32511.730959342669</v>
      </c>
    </row>
    <row r="48" spans="1:10">
      <c r="A48" s="3">
        <v>45965.609722222223</v>
      </c>
      <c r="B48" s="4">
        <v>-13.480421492488739</v>
      </c>
      <c r="C48" s="4">
        <v>167158.89655469169</v>
      </c>
      <c r="D48" s="4">
        <v>100201.2006608542</v>
      </c>
      <c r="E48" s="4">
        <v>66957.695893837459</v>
      </c>
      <c r="F48" s="4">
        <v>0</v>
      </c>
      <c r="G48" s="4">
        <v>944.71119785722965</v>
      </c>
      <c r="H48" s="4">
        <v>931.2307763647409</v>
      </c>
      <c r="I48" s="4">
        <v>33431.779310938327</v>
      </c>
      <c r="J48" s="4">
        <v>32500.548534573591</v>
      </c>
    </row>
    <row r="49" spans="1:10">
      <c r="A49" s="1">
        <v>45965.61041666667</v>
      </c>
      <c r="B49">
        <v>60.598321057450221</v>
      </c>
      <c r="C49">
        <v>167065.18847937541</v>
      </c>
      <c r="D49">
        <v>100191.3859944711</v>
      </c>
      <c r="E49">
        <v>66873.802484904387</v>
      </c>
      <c r="F49">
        <v>0</v>
      </c>
      <c r="G49">
        <v>944.71119785722965</v>
      </c>
      <c r="H49">
        <v>1005.30951891468</v>
      </c>
      <c r="I49">
        <v>33413.037695875093</v>
      </c>
      <c r="J49">
        <v>32407.728176960409</v>
      </c>
    </row>
    <row r="50" spans="1:10">
      <c r="A50" s="1">
        <v>45965.611111111109</v>
      </c>
      <c r="B50">
        <v>-21.965897979343509</v>
      </c>
      <c r="C50">
        <v>166980.903369899</v>
      </c>
      <c r="D50">
        <v>100107.9613302144</v>
      </c>
      <c r="E50">
        <v>66872.942039684567</v>
      </c>
      <c r="F50">
        <v>0</v>
      </c>
      <c r="G50">
        <v>944.71119785722965</v>
      </c>
      <c r="H50">
        <v>922.74529987788617</v>
      </c>
      <c r="I50">
        <v>33396.180673979798</v>
      </c>
      <c r="J50">
        <v>32473.435374101919</v>
      </c>
    </row>
    <row r="51" spans="1:10">
      <c r="A51" s="3">
        <v>45965.611805555563</v>
      </c>
      <c r="B51" s="4">
        <v>-34.22087854171221</v>
      </c>
      <c r="C51" s="4">
        <v>167166.55078989669</v>
      </c>
      <c r="D51" s="4">
        <v>100194.6575499321</v>
      </c>
      <c r="E51" s="4">
        <v>66971.8932399646</v>
      </c>
      <c r="F51" s="4">
        <v>0</v>
      </c>
      <c r="G51" s="4">
        <v>944.71119785722965</v>
      </c>
      <c r="H51" s="4">
        <v>910.49031931551747</v>
      </c>
      <c r="I51" s="4">
        <v>33433.310157979337</v>
      </c>
      <c r="J51" s="4">
        <v>32522.819838663821</v>
      </c>
    </row>
    <row r="52" spans="1:10">
      <c r="A52" s="3">
        <v>45965.612500000003</v>
      </c>
      <c r="B52" s="4">
        <v>-4.4982459436275244</v>
      </c>
      <c r="C52" s="4">
        <v>167267.69037574029</v>
      </c>
      <c r="D52" s="4">
        <v>100260.088659153</v>
      </c>
      <c r="E52" s="4">
        <v>67007.601716587393</v>
      </c>
      <c r="F52" s="4">
        <v>0</v>
      </c>
      <c r="G52" s="4">
        <v>944.71119785722965</v>
      </c>
      <c r="H52" s="4">
        <v>940.21295191360218</v>
      </c>
      <c r="I52" s="4">
        <v>33453.53807514807</v>
      </c>
      <c r="J52" s="4">
        <v>32513.32512323447</v>
      </c>
    </row>
    <row r="53" spans="1:10">
      <c r="A53" s="3">
        <v>45965.613194444442</v>
      </c>
      <c r="B53" s="4">
        <v>133.16708061187521</v>
      </c>
      <c r="C53" s="4">
        <v>167411.37881883461</v>
      </c>
      <c r="D53" s="4">
        <v>100400.7655439779</v>
      </c>
      <c r="E53" s="4">
        <v>67010.613274856776</v>
      </c>
      <c r="F53" s="4">
        <v>0</v>
      </c>
      <c r="G53" s="4">
        <v>944.71119785722965</v>
      </c>
      <c r="H53" s="4">
        <v>1077.878278469105</v>
      </c>
      <c r="I53" s="4">
        <v>33482.275763766927</v>
      </c>
      <c r="J53" s="4">
        <v>32404.397485297821</v>
      </c>
    </row>
    <row r="54" spans="1:10">
      <c r="A54" s="1">
        <v>45965.613888888889</v>
      </c>
      <c r="B54">
        <v>113.5377478456107</v>
      </c>
      <c r="C54">
        <v>167391.74948606841</v>
      </c>
      <c r="D54">
        <v>100381.1362112116</v>
      </c>
      <c r="E54">
        <v>67010.613274856776</v>
      </c>
      <c r="F54">
        <v>0</v>
      </c>
      <c r="G54">
        <v>944.71119785722965</v>
      </c>
      <c r="H54">
        <v>1058.248945702841</v>
      </c>
      <c r="I54">
        <v>33478.34989721368</v>
      </c>
      <c r="J54">
        <v>32420.100951510842</v>
      </c>
    </row>
    <row r="55" spans="1:10">
      <c r="A55" s="3">
        <v>45965.614583333343</v>
      </c>
      <c r="B55" s="4">
        <v>0</v>
      </c>
      <c r="C55" s="4">
        <v>0</v>
      </c>
      <c r="D55" s="4">
        <v>0</v>
      </c>
      <c r="E55" s="4">
        <v>0</v>
      </c>
      <c r="F55" s="4">
        <v>269.49080013194532</v>
      </c>
      <c r="G55" s="4">
        <v>1214.201997989175</v>
      </c>
      <c r="H55" s="4">
        <v>1214.201997989175</v>
      </c>
      <c r="I55" s="4">
        <v>0</v>
      </c>
      <c r="J55" s="4">
        <v>-1214.201997989175</v>
      </c>
    </row>
    <row r="56" spans="1:10">
      <c r="A56" s="1">
        <v>45965.824305555558</v>
      </c>
      <c r="B56">
        <v>0</v>
      </c>
      <c r="C56">
        <v>166743.01481149081</v>
      </c>
      <c r="D56">
        <v>66743.014811490779</v>
      </c>
      <c r="E56">
        <v>100000</v>
      </c>
      <c r="F56">
        <v>0</v>
      </c>
      <c r="G56">
        <v>1214.201997989175</v>
      </c>
      <c r="H56">
        <v>1214.201997989175</v>
      </c>
      <c r="I56">
        <v>33348.602962298159</v>
      </c>
      <c r="J56">
        <v>32134.400964308981</v>
      </c>
    </row>
    <row r="57" spans="1:10">
      <c r="A57" s="1">
        <v>45965.824999999997</v>
      </c>
      <c r="B57">
        <v>16.978429543450549</v>
      </c>
      <c r="C57">
        <v>166724.34897085061</v>
      </c>
      <c r="D57">
        <v>66742.171105942441</v>
      </c>
      <c r="E57">
        <v>99982.177864908212</v>
      </c>
      <c r="F57">
        <v>0</v>
      </c>
      <c r="G57">
        <v>1214.201997989175</v>
      </c>
      <c r="H57">
        <v>1231.180427532626</v>
      </c>
      <c r="I57">
        <v>33344.869794170132</v>
      </c>
      <c r="J57">
        <v>32113.689366637511</v>
      </c>
    </row>
    <row r="58" spans="1:10">
      <c r="A58" s="3">
        <v>45965.825694444437</v>
      </c>
      <c r="B58" s="4">
        <v>-8.9446760445937432</v>
      </c>
      <c r="C58" s="4">
        <v>166750.2720764387</v>
      </c>
      <c r="D58" s="4">
        <v>66742.171105942441</v>
      </c>
      <c r="E58" s="4">
        <v>100008.10097049631</v>
      </c>
      <c r="F58" s="4">
        <v>0</v>
      </c>
      <c r="G58" s="4">
        <v>1214.201997989175</v>
      </c>
      <c r="H58" s="4">
        <v>1205.257321944581</v>
      </c>
      <c r="I58" s="4">
        <v>33350.054415287741</v>
      </c>
      <c r="J58" s="4">
        <v>32144.797093343161</v>
      </c>
    </row>
    <row r="59" spans="1:10">
      <c r="A59" s="1">
        <v>45965.826388888891</v>
      </c>
      <c r="B59">
        <v>-12.18506424309698</v>
      </c>
      <c r="C59">
        <v>166753.5124646372</v>
      </c>
      <c r="D59">
        <v>66742.171105942441</v>
      </c>
      <c r="E59">
        <v>100011.3413586948</v>
      </c>
      <c r="F59">
        <v>0</v>
      </c>
      <c r="G59">
        <v>1214.201997989175</v>
      </c>
      <c r="H59">
        <v>1202.0169337460779</v>
      </c>
      <c r="I59">
        <v>33350.702492927448</v>
      </c>
      <c r="J59">
        <v>32148.685559181369</v>
      </c>
    </row>
    <row r="60" spans="1:10">
      <c r="A60" s="3">
        <v>45965.82708333333</v>
      </c>
      <c r="B60" s="4">
        <v>-3.3076051959133399</v>
      </c>
      <c r="C60" s="4">
        <v>166742.94759449339</v>
      </c>
      <c r="D60" s="4">
        <v>66741.327400394119</v>
      </c>
      <c r="E60" s="4">
        <v>100001.62019409931</v>
      </c>
      <c r="F60" s="4">
        <v>0</v>
      </c>
      <c r="G60" s="4">
        <v>1214.201997989175</v>
      </c>
      <c r="H60" s="4">
        <v>1210.8943927932621</v>
      </c>
      <c r="I60" s="4">
        <v>33348.589518898683</v>
      </c>
      <c r="J60" s="4">
        <v>32137.69512610542</v>
      </c>
    </row>
    <row r="61" spans="1:10">
      <c r="A61" s="3">
        <v>45965.827777777777</v>
      </c>
      <c r="B61" s="4">
        <v>-74.596145563039741</v>
      </c>
      <c r="C61" s="4">
        <v>166814.23613486049</v>
      </c>
      <c r="D61" s="4">
        <v>66741.327400394119</v>
      </c>
      <c r="E61" s="4">
        <v>100072.9087344664</v>
      </c>
      <c r="F61" s="4">
        <v>0</v>
      </c>
      <c r="G61" s="4">
        <v>1214.201997989175</v>
      </c>
      <c r="H61" s="4">
        <v>1139.605852426135</v>
      </c>
      <c r="I61" s="4">
        <v>33362.847226972102</v>
      </c>
      <c r="J61" s="4">
        <v>32223.241374545971</v>
      </c>
    </row>
    <row r="62" spans="1:10">
      <c r="A62" s="1">
        <v>45965.828472222223</v>
      </c>
      <c r="B62">
        <v>-55.153816372001927</v>
      </c>
      <c r="C62">
        <v>166794.7938056695</v>
      </c>
      <c r="D62">
        <v>66741.327400394119</v>
      </c>
      <c r="E62">
        <v>100053.46640527539</v>
      </c>
      <c r="F62">
        <v>0</v>
      </c>
      <c r="G62">
        <v>1214.201997989175</v>
      </c>
      <c r="H62">
        <v>1159.048181617173</v>
      </c>
      <c r="I62">
        <v>33358.958761133887</v>
      </c>
      <c r="J62">
        <v>32199.91057951672</v>
      </c>
    </row>
    <row r="63" spans="1:10">
      <c r="A63" s="1">
        <v>45965.82916666667</v>
      </c>
      <c r="B63">
        <v>-35.711487180964099</v>
      </c>
      <c r="C63">
        <v>166775.35147647839</v>
      </c>
      <c r="D63">
        <v>66741.327400394119</v>
      </c>
      <c r="E63">
        <v>100034.0240760843</v>
      </c>
      <c r="F63">
        <v>0</v>
      </c>
      <c r="G63">
        <v>1214.201997989175</v>
      </c>
      <c r="H63">
        <v>1178.490510808211</v>
      </c>
      <c r="I63">
        <v>33355.070295295693</v>
      </c>
      <c r="J63">
        <v>32176.57978448748</v>
      </c>
    </row>
    <row r="64" spans="1:10">
      <c r="A64" s="3">
        <v>45965.829861111109</v>
      </c>
      <c r="B64" s="4">
        <v>-89.177892456322709</v>
      </c>
      <c r="C64" s="4">
        <v>166828.81788175381</v>
      </c>
      <c r="D64" s="4">
        <v>66741.327400394119</v>
      </c>
      <c r="E64" s="4">
        <v>100087.49048135969</v>
      </c>
      <c r="F64" s="4">
        <v>0</v>
      </c>
      <c r="G64" s="4">
        <v>1214.201997989175</v>
      </c>
      <c r="H64" s="4">
        <v>1125.024105532852</v>
      </c>
      <c r="I64" s="4">
        <v>33365.763576350757</v>
      </c>
      <c r="J64" s="4">
        <v>32240.739470817909</v>
      </c>
    </row>
    <row r="65" spans="1:10">
      <c r="A65" s="3">
        <v>45965.830555555563</v>
      </c>
      <c r="B65" s="4">
        <v>-36.457860314008258</v>
      </c>
      <c r="C65" s="4">
        <v>166819.97053812441</v>
      </c>
      <c r="D65" s="4">
        <v>66763.263744650612</v>
      </c>
      <c r="E65" s="4">
        <v>100056.7067934738</v>
      </c>
      <c r="F65" s="4">
        <v>0</v>
      </c>
      <c r="G65" s="4">
        <v>1214.201997989175</v>
      </c>
      <c r="H65" s="4">
        <v>1177.7441376751669</v>
      </c>
      <c r="I65" s="4">
        <v>33363.994107624887</v>
      </c>
      <c r="J65" s="4">
        <v>32186.24996994972</v>
      </c>
    </row>
    <row r="66" spans="1:10">
      <c r="A66" s="3">
        <v>45965.831250000003</v>
      </c>
      <c r="B66" s="4">
        <v>-40.101550496914577</v>
      </c>
      <c r="C66" s="4">
        <v>166803.36529514749</v>
      </c>
      <c r="D66" s="4">
        <v>66753.139278070696</v>
      </c>
      <c r="E66" s="4">
        <v>100050.2260170768</v>
      </c>
      <c r="F66" s="4">
        <v>0</v>
      </c>
      <c r="G66" s="4">
        <v>1214.201997989175</v>
      </c>
      <c r="H66" s="4">
        <v>1174.1004474922599</v>
      </c>
      <c r="I66" s="4">
        <v>33360.673059029497</v>
      </c>
      <c r="J66" s="4">
        <v>32186.572611537249</v>
      </c>
    </row>
    <row r="67" spans="1:10">
      <c r="A67" s="3">
        <v>45965.831944444442</v>
      </c>
      <c r="B67" s="4">
        <v>-23.422104360947479</v>
      </c>
      <c r="C67" s="4">
        <v>166729.31387172529</v>
      </c>
      <c r="D67" s="4">
        <v>66724.453289427591</v>
      </c>
      <c r="E67" s="4">
        <v>100004.8605822978</v>
      </c>
      <c r="F67" s="4">
        <v>0</v>
      </c>
      <c r="G67" s="4">
        <v>1214.201997989175</v>
      </c>
      <c r="H67" s="4">
        <v>1190.779893628227</v>
      </c>
      <c r="I67" s="4">
        <v>33345.862774345071</v>
      </c>
      <c r="J67" s="4">
        <v>32155.08288071684</v>
      </c>
    </row>
    <row r="68" spans="1:10">
      <c r="A68" s="3">
        <v>45965.832638888889</v>
      </c>
      <c r="B68" s="4">
        <v>-83.167635041111012</v>
      </c>
      <c r="C68" s="4">
        <v>166799.18386898539</v>
      </c>
      <c r="D68" s="4">
        <v>66729.515522717542</v>
      </c>
      <c r="E68" s="4">
        <v>100069.66834626791</v>
      </c>
      <c r="F68" s="4">
        <v>0</v>
      </c>
      <c r="G68" s="4">
        <v>1214.201997989175</v>
      </c>
      <c r="H68" s="4">
        <v>1131.034362948064</v>
      </c>
      <c r="I68" s="4">
        <v>33359.836773797077</v>
      </c>
      <c r="J68" s="4">
        <v>32228.802410849021</v>
      </c>
    </row>
    <row r="69" spans="1:10">
      <c r="A69" s="3">
        <v>45965.833333333343</v>
      </c>
      <c r="B69" s="4">
        <v>-122.0522934231867</v>
      </c>
      <c r="C69" s="4">
        <v>166838.06852736749</v>
      </c>
      <c r="D69" s="4">
        <v>66729.515522717542</v>
      </c>
      <c r="E69" s="4">
        <v>100108.5530046499</v>
      </c>
      <c r="F69" s="4">
        <v>0</v>
      </c>
      <c r="G69" s="4">
        <v>1214.201997989175</v>
      </c>
      <c r="H69" s="4">
        <v>1092.149704565988</v>
      </c>
      <c r="I69" s="4">
        <v>33367.613705473501</v>
      </c>
      <c r="J69" s="4">
        <v>32275.464000907508</v>
      </c>
    </row>
    <row r="70" spans="1:10">
      <c r="A70" s="3">
        <v>45965.834027777782</v>
      </c>
      <c r="B70" s="4">
        <v>-72.102130497580674</v>
      </c>
      <c r="C70" s="4">
        <v>166855.61480830799</v>
      </c>
      <c r="D70" s="4">
        <v>66763.263744650612</v>
      </c>
      <c r="E70" s="4">
        <v>100092.35106365741</v>
      </c>
      <c r="F70" s="4">
        <v>0</v>
      </c>
      <c r="G70" s="4">
        <v>1214.201997989175</v>
      </c>
      <c r="H70" s="4">
        <v>1142.0998674915941</v>
      </c>
      <c r="I70" s="4">
        <v>33371.122961661596</v>
      </c>
      <c r="J70" s="4">
        <v>32229.02309417001</v>
      </c>
    </row>
    <row r="71" spans="1:10">
      <c r="A71" s="3">
        <v>45965.834722222222</v>
      </c>
      <c r="B71" s="4">
        <v>-110.9867888796563</v>
      </c>
      <c r="C71" s="4">
        <v>166894.49946669009</v>
      </c>
      <c r="D71" s="4">
        <v>66763.263744650612</v>
      </c>
      <c r="E71" s="4">
        <v>100131.23572203951</v>
      </c>
      <c r="F71" s="4">
        <v>0</v>
      </c>
      <c r="G71" s="4">
        <v>1214.201997989175</v>
      </c>
      <c r="H71" s="4">
        <v>1103.215209109519</v>
      </c>
      <c r="I71" s="4">
        <v>33378.899893338028</v>
      </c>
      <c r="J71" s="4">
        <v>32275.684684228509</v>
      </c>
    </row>
    <row r="72" spans="1:10">
      <c r="A72" s="3">
        <v>45965.835416666669</v>
      </c>
      <c r="B72" s="4">
        <v>-147.13169346290491</v>
      </c>
      <c r="C72" s="4">
        <v>166864.83533850391</v>
      </c>
      <c r="D72" s="4">
        <v>66730.359228265865</v>
      </c>
      <c r="E72" s="4">
        <v>100134.476110238</v>
      </c>
      <c r="F72" s="4">
        <v>0</v>
      </c>
      <c r="G72" s="4">
        <v>1214.201997989175</v>
      </c>
      <c r="H72" s="4">
        <v>1067.0703045262701</v>
      </c>
      <c r="I72" s="4">
        <v>33372.967067700767</v>
      </c>
      <c r="J72" s="4">
        <v>32305.8967631745</v>
      </c>
    </row>
    <row r="73" spans="1:10">
      <c r="A73" s="1">
        <v>45965.836111111108</v>
      </c>
      <c r="B73">
        <v>-179.50546003009271</v>
      </c>
      <c r="C73">
        <v>166939.3943824874</v>
      </c>
      <c r="D73">
        <v>66751.451866974036</v>
      </c>
      <c r="E73">
        <v>100187.94251551339</v>
      </c>
      <c r="F73">
        <v>0</v>
      </c>
      <c r="G73">
        <v>1214.201997989175</v>
      </c>
      <c r="H73">
        <v>1034.696537959082</v>
      </c>
      <c r="I73">
        <v>33387.878876497482</v>
      </c>
      <c r="J73">
        <v>32353.182338538401</v>
      </c>
    </row>
    <row r="74" spans="1:10">
      <c r="A74" s="1">
        <v>45965.836805555547</v>
      </c>
      <c r="B74">
        <v>-210.31926333377319</v>
      </c>
      <c r="C74">
        <v>166928.0229083747</v>
      </c>
      <c r="D74">
        <v>66730.359228265865</v>
      </c>
      <c r="E74">
        <v>100197.6636801089</v>
      </c>
      <c r="F74">
        <v>0</v>
      </c>
      <c r="G74">
        <v>1214.201997989175</v>
      </c>
      <c r="H74">
        <v>1003.882734655402</v>
      </c>
      <c r="I74">
        <v>33385.604581674947</v>
      </c>
      <c r="J74">
        <v>32381.72184701954</v>
      </c>
    </row>
    <row r="75" spans="1:10">
      <c r="A75" s="3">
        <v>45965.837500000001</v>
      </c>
      <c r="B75" s="4">
        <v>-194.11732234125711</v>
      </c>
      <c r="C75" s="4">
        <v>166911.8209673822</v>
      </c>
      <c r="D75" s="4">
        <v>66730.359228265865</v>
      </c>
      <c r="E75" s="4">
        <v>100181.4617391163</v>
      </c>
      <c r="F75" s="4">
        <v>0</v>
      </c>
      <c r="G75" s="4">
        <v>1214.201997989175</v>
      </c>
      <c r="H75" s="4">
        <v>1020.0846756479179</v>
      </c>
      <c r="I75" s="4">
        <v>33382.364193476453</v>
      </c>
      <c r="J75" s="4">
        <v>32362.279517828531</v>
      </c>
    </row>
    <row r="76" spans="1:10">
      <c r="A76" s="3">
        <v>45965.838194444441</v>
      </c>
      <c r="B76" s="4">
        <v>-167.18596179219469</v>
      </c>
      <c r="C76" s="4">
        <v>166935.51193973279</v>
      </c>
      <c r="D76" s="4">
        <v>66755.670394715678</v>
      </c>
      <c r="E76" s="4">
        <v>100179.8415450171</v>
      </c>
      <c r="F76" s="4">
        <v>0</v>
      </c>
      <c r="G76" s="4">
        <v>1214.201997989175</v>
      </c>
      <c r="H76" s="4">
        <v>1047.0160361969799</v>
      </c>
      <c r="I76" s="4">
        <v>33387.102387946557</v>
      </c>
      <c r="J76" s="4">
        <v>32340.086351749582</v>
      </c>
    </row>
    <row r="77" spans="1:10">
      <c r="A77" s="3">
        <v>45965.838888888888</v>
      </c>
      <c r="B77" s="4">
        <v>-164.69194672673561</v>
      </c>
      <c r="C77" s="4">
        <v>166976.89061318029</v>
      </c>
      <c r="D77" s="4">
        <v>66777.606738972172</v>
      </c>
      <c r="E77" s="4">
        <v>100199.28387420809</v>
      </c>
      <c r="F77" s="4">
        <v>0</v>
      </c>
      <c r="G77" s="4">
        <v>1214.201997989175</v>
      </c>
      <c r="H77" s="4">
        <v>1049.510051262439</v>
      </c>
      <c r="I77" s="4">
        <v>33395.378122636059</v>
      </c>
      <c r="J77" s="4">
        <v>32345.868071373621</v>
      </c>
    </row>
    <row r="78" spans="1:10">
      <c r="A78" s="3">
        <v>45965.839583333327</v>
      </c>
      <c r="B78" s="4">
        <v>-143.69664043382829</v>
      </c>
      <c r="C78" s="4">
        <v>166952.52048469411</v>
      </c>
      <c r="D78" s="4">
        <v>66775.919327875527</v>
      </c>
      <c r="E78" s="4">
        <v>100176.60115681859</v>
      </c>
      <c r="F78" s="4">
        <v>0</v>
      </c>
      <c r="G78" s="4">
        <v>1214.201997989175</v>
      </c>
      <c r="H78" s="4">
        <v>1070.505357555347</v>
      </c>
      <c r="I78" s="4">
        <v>33390.504096938821</v>
      </c>
      <c r="J78" s="4">
        <v>32319.998739383471</v>
      </c>
    </row>
    <row r="79" spans="1:10">
      <c r="A79" s="1">
        <v>45965.840277777781</v>
      </c>
      <c r="B79">
        <v>-153.6124698599298</v>
      </c>
      <c r="C79">
        <v>166871.3161149009</v>
      </c>
      <c r="D79">
        <v>66730.359228265865</v>
      </c>
      <c r="E79">
        <v>100140.956886635</v>
      </c>
      <c r="F79">
        <v>0</v>
      </c>
      <c r="G79">
        <v>1214.201997989175</v>
      </c>
      <c r="H79">
        <v>1060.5895281292451</v>
      </c>
      <c r="I79">
        <v>33374.263222980167</v>
      </c>
      <c r="J79">
        <v>32313.673694850931</v>
      </c>
    </row>
    <row r="80" spans="1:10">
      <c r="A80" s="1">
        <v>45965.84097222222</v>
      </c>
      <c r="B80">
        <v>-237.86256302108751</v>
      </c>
      <c r="C80">
        <v>166955.56620806211</v>
      </c>
      <c r="D80">
        <v>66730.359228265865</v>
      </c>
      <c r="E80">
        <v>100225.2069797962</v>
      </c>
      <c r="F80">
        <v>0</v>
      </c>
      <c r="G80">
        <v>1214.201997989175</v>
      </c>
      <c r="H80">
        <v>976.3394349680874</v>
      </c>
      <c r="I80">
        <v>33391.113241612409</v>
      </c>
      <c r="J80">
        <v>32414.77380664432</v>
      </c>
    </row>
    <row r="81" spans="1:10">
      <c r="A81" s="1">
        <v>45965.841666666667</v>
      </c>
      <c r="B81">
        <v>-157.3744509430224</v>
      </c>
      <c r="C81">
        <v>167052.2562611326</v>
      </c>
      <c r="D81">
        <v>66818.948310840191</v>
      </c>
      <c r="E81">
        <v>100233.30795029239</v>
      </c>
      <c r="F81">
        <v>0</v>
      </c>
      <c r="G81">
        <v>1214.201997989175</v>
      </c>
      <c r="H81">
        <v>1056.8275470461531</v>
      </c>
      <c r="I81">
        <v>33410.451252226529</v>
      </c>
      <c r="J81">
        <v>32353.62370518038</v>
      </c>
    </row>
    <row r="82" spans="1:10">
      <c r="A82" s="3">
        <v>45965.842361111107</v>
      </c>
      <c r="B82" s="4">
        <v>-146.91389937610629</v>
      </c>
      <c r="C82" s="4">
        <v>167078.91875369209</v>
      </c>
      <c r="D82" s="4">
        <v>66837.509832903379</v>
      </c>
      <c r="E82" s="4">
        <v>100241.4089207887</v>
      </c>
      <c r="F82" s="4">
        <v>0</v>
      </c>
      <c r="G82" s="4">
        <v>1214.201997989175</v>
      </c>
      <c r="H82" s="4">
        <v>1067.288098613069</v>
      </c>
      <c r="I82" s="4">
        <v>33415.783750738417</v>
      </c>
      <c r="J82" s="4">
        <v>32348.495652125352</v>
      </c>
    </row>
    <row r="83" spans="1:10">
      <c r="A83" s="1">
        <v>45965.843055555553</v>
      </c>
      <c r="B83">
        <v>-176.07739316265381</v>
      </c>
      <c r="C83">
        <v>167108.08224747871</v>
      </c>
      <c r="D83">
        <v>66837.509832903379</v>
      </c>
      <c r="E83">
        <v>100270.5724145753</v>
      </c>
      <c r="F83">
        <v>0</v>
      </c>
      <c r="G83">
        <v>1214.201997989175</v>
      </c>
      <c r="H83">
        <v>1038.1246048265209</v>
      </c>
      <c r="I83">
        <v>33421.616449495727</v>
      </c>
      <c r="J83">
        <v>32383.49184466921</v>
      </c>
    </row>
    <row r="84" spans="1:10">
      <c r="A84" s="3">
        <v>45965.84375</v>
      </c>
      <c r="B84" s="4">
        <v>-156.44039914105221</v>
      </c>
      <c r="C84" s="4">
        <v>167179.5654526763</v>
      </c>
      <c r="D84" s="4">
        <v>66883.069932513026</v>
      </c>
      <c r="E84" s="4">
        <v>100296.4955201633</v>
      </c>
      <c r="F84" s="4">
        <v>0</v>
      </c>
      <c r="G84" s="4">
        <v>1214.201997989175</v>
      </c>
      <c r="H84" s="4">
        <v>1057.761598848123</v>
      </c>
      <c r="I84" s="4">
        <v>33435.913090535258</v>
      </c>
      <c r="J84" s="4">
        <v>32378.151491687138</v>
      </c>
    </row>
    <row r="85" spans="1:10">
      <c r="A85" s="3">
        <v>45965.844444444447</v>
      </c>
      <c r="B85" s="4">
        <v>-165.31785818825421</v>
      </c>
      <c r="C85" s="4">
        <v>167190.13032282019</v>
      </c>
      <c r="D85" s="4">
        <v>66883.913638061364</v>
      </c>
      <c r="E85" s="4">
        <v>100306.21668475879</v>
      </c>
      <c r="F85" s="4">
        <v>0</v>
      </c>
      <c r="G85" s="4">
        <v>1214.201997989175</v>
      </c>
      <c r="H85" s="4">
        <v>1048.884139800921</v>
      </c>
      <c r="I85" s="4">
        <v>33438.026064564037</v>
      </c>
      <c r="J85" s="4">
        <v>32389.14192476312</v>
      </c>
    </row>
    <row r="86" spans="1:10">
      <c r="A86" s="1">
        <v>45965.845138888893</v>
      </c>
      <c r="B86">
        <v>-156.20164656934989</v>
      </c>
      <c r="C86">
        <v>167150.64071146151</v>
      </c>
      <c r="D86">
        <v>66868.726938191467</v>
      </c>
      <c r="E86">
        <v>100281.91377327</v>
      </c>
      <c r="F86">
        <v>0</v>
      </c>
      <c r="G86">
        <v>1214.201997989175</v>
      </c>
      <c r="H86">
        <v>1058.0003514198249</v>
      </c>
      <c r="I86">
        <v>33430.128142292313</v>
      </c>
      <c r="J86">
        <v>32372.127790872481</v>
      </c>
    </row>
    <row r="87" spans="1:10">
      <c r="A87" s="1">
        <v>45965.845833333333</v>
      </c>
      <c r="B87">
        <v>-175.84562675257089</v>
      </c>
      <c r="C87">
        <v>167160.16022506481</v>
      </c>
      <c r="D87">
        <v>66863.664704901516</v>
      </c>
      <c r="E87">
        <v>100296.4955201633</v>
      </c>
      <c r="F87">
        <v>0</v>
      </c>
      <c r="G87">
        <v>1214.201997989175</v>
      </c>
      <c r="H87">
        <v>1038.356371236604</v>
      </c>
      <c r="I87">
        <v>33432.032045012973</v>
      </c>
      <c r="J87">
        <v>32393.675673776372</v>
      </c>
    </row>
    <row r="88" spans="1:10">
      <c r="A88" s="1">
        <v>45965.84652777778</v>
      </c>
      <c r="B88">
        <v>-205.0091205391368</v>
      </c>
      <c r="C88">
        <v>167189.3237188514</v>
      </c>
      <c r="D88">
        <v>66863.664704901516</v>
      </c>
      <c r="E88">
        <v>100325.6590139499</v>
      </c>
      <c r="F88">
        <v>0</v>
      </c>
      <c r="G88">
        <v>1214.201997989175</v>
      </c>
      <c r="H88">
        <v>1009.1928774500381</v>
      </c>
      <c r="I88">
        <v>33437.864743770268</v>
      </c>
      <c r="J88">
        <v>32428.671866320241</v>
      </c>
    </row>
    <row r="89" spans="1:10">
      <c r="A89" s="3">
        <v>45965.847222222219</v>
      </c>
      <c r="B89" s="4">
        <v>-206.219026492338</v>
      </c>
      <c r="C89" s="4">
        <v>167129.78682532499</v>
      </c>
      <c r="D89" s="4">
        <v>66833.291305161751</v>
      </c>
      <c r="E89" s="4">
        <v>100296.4955201633</v>
      </c>
      <c r="F89" s="4">
        <v>0</v>
      </c>
      <c r="G89" s="4">
        <v>1214.201997989175</v>
      </c>
      <c r="H89" s="4">
        <v>1007.982971496837</v>
      </c>
      <c r="I89" s="4">
        <v>33425.957365065013</v>
      </c>
      <c r="J89" s="4">
        <v>32417.97439356818</v>
      </c>
    </row>
    <row r="90" spans="1:10">
      <c r="A90" s="3">
        <v>45965.847916666673</v>
      </c>
      <c r="B90" s="4">
        <v>-188.0051540442702</v>
      </c>
      <c r="C90" s="4">
        <v>167070.23138100901</v>
      </c>
      <c r="D90" s="4">
        <v>66812.620519227741</v>
      </c>
      <c r="E90" s="4">
        <v>100257.6108617812</v>
      </c>
      <c r="F90" s="4">
        <v>0</v>
      </c>
      <c r="G90" s="4">
        <v>1214.201997989175</v>
      </c>
      <c r="H90" s="4">
        <v>1026.1968439449049</v>
      </c>
      <c r="I90" s="4">
        <v>33414.0462762018</v>
      </c>
      <c r="J90" s="4">
        <v>32387.849432256891</v>
      </c>
    </row>
    <row r="91" spans="1:10">
      <c r="A91" s="3">
        <v>45965.848611111112</v>
      </c>
      <c r="B91" s="4">
        <v>-190.63360310453021</v>
      </c>
      <c r="C91" s="4">
        <v>167022.23749716961</v>
      </c>
      <c r="D91" s="4">
        <v>66787.309352777942</v>
      </c>
      <c r="E91" s="4">
        <v>100234.9281443917</v>
      </c>
      <c r="F91" s="4">
        <v>0</v>
      </c>
      <c r="G91" s="4">
        <v>1214.201997989175</v>
      </c>
      <c r="H91" s="4">
        <v>1023.568394884645</v>
      </c>
      <c r="I91" s="4">
        <v>33404.447499433933</v>
      </c>
      <c r="J91" s="4">
        <v>32380.879104549291</v>
      </c>
    </row>
    <row r="92" spans="1:10">
      <c r="A92" s="1">
        <v>45965.849305555559</v>
      </c>
      <c r="B92">
        <v>-111.44116476686359</v>
      </c>
      <c r="C92">
        <v>167075.50682991929</v>
      </c>
      <c r="D92">
        <v>66853.540238321584</v>
      </c>
      <c r="E92">
        <v>100221.96659159769</v>
      </c>
      <c r="F92">
        <v>0</v>
      </c>
      <c r="G92">
        <v>1214.201997989175</v>
      </c>
      <c r="H92">
        <v>1102.760833222311</v>
      </c>
      <c r="I92">
        <v>33415.101365983857</v>
      </c>
      <c r="J92">
        <v>32312.340532761551</v>
      </c>
    </row>
    <row r="93" spans="1:10">
      <c r="A93" s="1">
        <v>45965.85</v>
      </c>
      <c r="B93">
        <v>0</v>
      </c>
      <c r="C93">
        <v>0</v>
      </c>
      <c r="D93">
        <v>0</v>
      </c>
      <c r="E93">
        <v>0</v>
      </c>
      <c r="F93">
        <v>-195.79370753815681</v>
      </c>
      <c r="G93">
        <v>1018.408290451018</v>
      </c>
      <c r="H93">
        <v>1018.408290451018</v>
      </c>
      <c r="I93">
        <v>0</v>
      </c>
      <c r="J93">
        <v>-1018.408290451018</v>
      </c>
    </row>
    <row r="94" spans="1:10">
      <c r="A94" s="3">
        <v>45965.864583333343</v>
      </c>
      <c r="B94" s="4">
        <v>0</v>
      </c>
      <c r="C94" s="4">
        <v>166743.01481149081</v>
      </c>
      <c r="D94" s="4">
        <v>66743.014811490779</v>
      </c>
      <c r="E94" s="4">
        <v>100000</v>
      </c>
      <c r="F94" s="4">
        <v>0</v>
      </c>
      <c r="G94" s="4">
        <v>1018.408290451018</v>
      </c>
      <c r="H94" s="4">
        <v>1018.408290451018</v>
      </c>
      <c r="I94" s="4">
        <v>33348.602962298159</v>
      </c>
      <c r="J94" s="4">
        <v>32330.194671847141</v>
      </c>
    </row>
    <row r="95" spans="1:10">
      <c r="A95" s="3">
        <v>45965.865277777782</v>
      </c>
      <c r="B95" s="4">
        <v>-24.258655412525918</v>
      </c>
      <c r="C95" s="4">
        <v>166609.15651711231</v>
      </c>
      <c r="D95" s="4">
        <v>66663.956336595307</v>
      </c>
      <c r="E95" s="4">
        <v>99945.200180517044</v>
      </c>
      <c r="F95" s="4">
        <v>0</v>
      </c>
      <c r="G95" s="4">
        <v>1018.408290451018</v>
      </c>
      <c r="H95" s="4">
        <v>994.14963503849231</v>
      </c>
      <c r="I95" s="4">
        <v>33321.83130342247</v>
      </c>
      <c r="J95" s="4">
        <v>32327.681668383979</v>
      </c>
    </row>
    <row r="96" spans="1:10">
      <c r="A96" s="1">
        <v>45965.865972222222</v>
      </c>
      <c r="B96">
        <v>53.105795622226552</v>
      </c>
      <c r="C96">
        <v>166531.79206607761</v>
      </c>
      <c r="D96">
        <v>66663.956336595307</v>
      </c>
      <c r="E96">
        <v>99867.835729482293</v>
      </c>
      <c r="F96">
        <v>0</v>
      </c>
      <c r="G96">
        <v>1018.408290451018</v>
      </c>
      <c r="H96">
        <v>1071.5140860732449</v>
      </c>
      <c r="I96">
        <v>33306.358413215523</v>
      </c>
      <c r="J96">
        <v>32234.844327142269</v>
      </c>
    </row>
    <row r="97" spans="1:10">
      <c r="A97" s="1">
        <v>45965.866666666669</v>
      </c>
      <c r="B97">
        <v>58.149099091311093</v>
      </c>
      <c r="C97">
        <v>166498.15314402929</v>
      </c>
      <c r="D97">
        <v>66649.658527305699</v>
      </c>
      <c r="E97">
        <v>99848.494616723605</v>
      </c>
      <c r="F97">
        <v>0</v>
      </c>
      <c r="G97">
        <v>1018.408290451018</v>
      </c>
      <c r="H97">
        <v>1076.557389542329</v>
      </c>
      <c r="I97">
        <v>33299.630628805862</v>
      </c>
      <c r="J97">
        <v>32223.073239263529</v>
      </c>
    </row>
    <row r="98" spans="1:10">
      <c r="A98" s="1">
        <v>45965.867361111108</v>
      </c>
      <c r="B98">
        <v>22.810188857200391</v>
      </c>
      <c r="C98">
        <v>166269.40310620831</v>
      </c>
      <c r="D98">
        <v>66517.614053278143</v>
      </c>
      <c r="E98">
        <v>99751.789052930166</v>
      </c>
      <c r="F98">
        <v>0</v>
      </c>
      <c r="G98">
        <v>1018.408290451018</v>
      </c>
      <c r="H98">
        <v>1041.218479308219</v>
      </c>
      <c r="I98">
        <v>33253.88062124166</v>
      </c>
      <c r="J98">
        <v>32212.662141933441</v>
      </c>
    </row>
    <row r="99" spans="1:10">
      <c r="A99" s="1">
        <v>45965.868055555547</v>
      </c>
      <c r="B99">
        <v>-11.382473215330039</v>
      </c>
      <c r="C99">
        <v>166364.15119586041</v>
      </c>
      <c r="D99">
        <v>66547.891767067907</v>
      </c>
      <c r="E99">
        <v>99816.259428792444</v>
      </c>
      <c r="F99">
        <v>0</v>
      </c>
      <c r="G99">
        <v>1018.408290451018</v>
      </c>
      <c r="H99">
        <v>1007.025817235688</v>
      </c>
      <c r="I99">
        <v>33272.830239172072</v>
      </c>
      <c r="J99">
        <v>32265.80442193638</v>
      </c>
    </row>
    <row r="100" spans="1:10">
      <c r="A100" s="3">
        <v>45965.868750000001</v>
      </c>
      <c r="B100" s="4">
        <v>0</v>
      </c>
      <c r="C100" s="4">
        <v>0</v>
      </c>
      <c r="D100" s="4">
        <v>0</v>
      </c>
      <c r="E100" s="4">
        <v>0</v>
      </c>
      <c r="F100" s="4">
        <v>69.571001250042684</v>
      </c>
      <c r="G100" s="4">
        <v>1087.9792917010609</v>
      </c>
      <c r="H100" s="4">
        <v>1087.9792917010609</v>
      </c>
      <c r="I100" s="4">
        <v>0</v>
      </c>
      <c r="J100" s="4">
        <v>-1087.9792917010609</v>
      </c>
    </row>
    <row r="101" spans="1:10">
      <c r="A101" s="1">
        <v>45971.604166666657</v>
      </c>
      <c r="B101">
        <v>0</v>
      </c>
      <c r="C101">
        <v>166743.01481149081</v>
      </c>
      <c r="D101">
        <v>100000</v>
      </c>
      <c r="E101">
        <v>66743.014811490779</v>
      </c>
      <c r="F101">
        <v>0</v>
      </c>
      <c r="G101">
        <v>1087.9792917010609</v>
      </c>
      <c r="H101">
        <v>1087.9792917010609</v>
      </c>
      <c r="I101">
        <v>33348.602962298159</v>
      </c>
      <c r="J101">
        <v>32260.623670597099</v>
      </c>
    </row>
    <row r="102" spans="1:10">
      <c r="A102" s="1">
        <v>45971.604861111111</v>
      </c>
      <c r="B102">
        <v>-51.047132574948932</v>
      </c>
      <c r="C102">
        <v>166910.93972781021</v>
      </c>
      <c r="D102">
        <v>100058.4388918723</v>
      </c>
      <c r="E102">
        <v>66852.500835937986</v>
      </c>
      <c r="F102">
        <v>0</v>
      </c>
      <c r="G102">
        <v>1087.9792917010609</v>
      </c>
      <c r="H102">
        <v>1036.9321591261121</v>
      </c>
      <c r="I102">
        <v>33382.187945562051</v>
      </c>
      <c r="J102">
        <v>32345.255786435941</v>
      </c>
    </row>
    <row r="103" spans="1:10">
      <c r="A103" s="1">
        <v>45971.605555555558</v>
      </c>
      <c r="B103">
        <v>-3.0777924467376749</v>
      </c>
      <c r="C103">
        <v>167080.93166007049</v>
      </c>
      <c r="D103">
        <v>100167.4195280665</v>
      </c>
      <c r="E103">
        <v>66913.512132003991</v>
      </c>
      <c r="F103">
        <v>0</v>
      </c>
      <c r="G103">
        <v>1087.9792917010609</v>
      </c>
      <c r="H103">
        <v>1084.901499254323</v>
      </c>
      <c r="I103">
        <v>33416.186332014091</v>
      </c>
      <c r="J103">
        <v>32331.284832759771</v>
      </c>
    </row>
    <row r="104" spans="1:10">
      <c r="A104" s="1">
        <v>45971.606249999997</v>
      </c>
      <c r="B104">
        <v>230.67777504227021</v>
      </c>
      <c r="C104">
        <v>167314.68722755951</v>
      </c>
      <c r="D104">
        <v>100401.1750955555</v>
      </c>
      <c r="E104">
        <v>66913.512132003991</v>
      </c>
      <c r="F104">
        <v>0</v>
      </c>
      <c r="G104">
        <v>1087.9792917010609</v>
      </c>
      <c r="H104">
        <v>1318.6570667433309</v>
      </c>
      <c r="I104">
        <v>33462.937445511889</v>
      </c>
      <c r="J104">
        <v>32144.280378768559</v>
      </c>
    </row>
    <row r="105" spans="1:10">
      <c r="A105" s="1">
        <v>45971.606944444437</v>
      </c>
      <c r="B105">
        <v>198.36150242656041</v>
      </c>
      <c r="C105">
        <v>167738.7020186703</v>
      </c>
      <c r="D105">
        <v>100597.024354803</v>
      </c>
      <c r="E105">
        <v>67141.67766386726</v>
      </c>
      <c r="F105">
        <v>0</v>
      </c>
      <c r="G105">
        <v>1087.9792917010609</v>
      </c>
      <c r="H105">
        <v>1286.3407941276209</v>
      </c>
      <c r="I105">
        <v>33547.74040373406</v>
      </c>
      <c r="J105">
        <v>32261.39960960644</v>
      </c>
    </row>
    <row r="106" spans="1:10">
      <c r="A106" s="1">
        <v>45971.607638888891</v>
      </c>
      <c r="B106">
        <v>0</v>
      </c>
      <c r="C106">
        <v>0</v>
      </c>
      <c r="D106">
        <v>0</v>
      </c>
      <c r="E106">
        <v>0</v>
      </c>
      <c r="F106">
        <v>264.66085351991399</v>
      </c>
      <c r="G106">
        <v>1352.640145220975</v>
      </c>
      <c r="H106">
        <v>1352.640145220975</v>
      </c>
      <c r="I106">
        <v>0</v>
      </c>
      <c r="J106">
        <v>-1352.640145220975</v>
      </c>
    </row>
    <row r="107" spans="1:10">
      <c r="A107" s="3">
        <v>45972.604166666657</v>
      </c>
      <c r="B107" s="4">
        <v>0</v>
      </c>
      <c r="C107" s="4">
        <v>166743.01481149081</v>
      </c>
      <c r="D107" s="4">
        <v>66743.014811490779</v>
      </c>
      <c r="E107" s="4">
        <v>100000</v>
      </c>
      <c r="F107" s="4">
        <v>0</v>
      </c>
      <c r="G107" s="4">
        <v>1352.640145220975</v>
      </c>
      <c r="H107" s="4">
        <v>1352.640145220975</v>
      </c>
      <c r="I107" s="4">
        <v>33348.602962298159</v>
      </c>
      <c r="J107" s="4">
        <v>31995.962817077179</v>
      </c>
    </row>
    <row r="108" spans="1:10">
      <c r="A108" s="1">
        <v>45972.604861111111</v>
      </c>
      <c r="B108">
        <v>183.50926172813541</v>
      </c>
      <c r="C108">
        <v>166559.5055497626</v>
      </c>
      <c r="D108">
        <v>66743.014811490779</v>
      </c>
      <c r="E108">
        <v>99816.490738271867</v>
      </c>
      <c r="F108">
        <v>0</v>
      </c>
      <c r="G108">
        <v>1352.640145220975</v>
      </c>
      <c r="H108">
        <v>1536.14940694911</v>
      </c>
      <c r="I108">
        <v>33311.901109952531</v>
      </c>
      <c r="J108">
        <v>31775.751703003421</v>
      </c>
    </row>
    <row r="109" spans="1:10">
      <c r="A109" s="3">
        <v>45972.605555555558</v>
      </c>
      <c r="B109" s="4">
        <v>440.73591919319591</v>
      </c>
      <c r="C109" s="4">
        <v>166302.27889229759</v>
      </c>
      <c r="D109" s="4">
        <v>66743.014811490779</v>
      </c>
      <c r="E109" s="4">
        <v>99559.26408080681</v>
      </c>
      <c r="F109" s="4">
        <v>0</v>
      </c>
      <c r="G109" s="4">
        <v>1352.640145220975</v>
      </c>
      <c r="H109" s="4">
        <v>1793.376064414171</v>
      </c>
      <c r="I109" s="4">
        <v>33260.455778459524</v>
      </c>
      <c r="J109" s="4">
        <v>31467.079714045351</v>
      </c>
    </row>
    <row r="110" spans="1:10">
      <c r="A110" s="1">
        <v>45972.606249999997</v>
      </c>
      <c r="B110">
        <v>168.85050389933119</v>
      </c>
      <c r="C110">
        <v>166137.04843253799</v>
      </c>
      <c r="D110">
        <v>66524.456873964067</v>
      </c>
      <c r="E110">
        <v>99612.591558573957</v>
      </c>
      <c r="F110">
        <v>0</v>
      </c>
      <c r="G110">
        <v>1352.640145220975</v>
      </c>
      <c r="H110">
        <v>1521.490649120306</v>
      </c>
      <c r="I110">
        <v>33227.409686507614</v>
      </c>
      <c r="J110">
        <v>31705.919037387299</v>
      </c>
    </row>
    <row r="111" spans="1:10">
      <c r="A111" s="1">
        <v>45972.606944444437</v>
      </c>
      <c r="B111">
        <v>152.06957423094769</v>
      </c>
      <c r="C111">
        <v>166264.5653838866</v>
      </c>
      <c r="D111">
        <v>66579.824884804169</v>
      </c>
      <c r="E111">
        <v>99684.740499082443</v>
      </c>
      <c r="F111">
        <v>0</v>
      </c>
      <c r="G111">
        <v>1352.640145220975</v>
      </c>
      <c r="H111">
        <v>1504.7097194519231</v>
      </c>
      <c r="I111">
        <v>33252.913076777317</v>
      </c>
      <c r="J111">
        <v>31748.203357325401</v>
      </c>
    </row>
    <row r="112" spans="1:10">
      <c r="A112" s="3">
        <v>45972.607638888891</v>
      </c>
      <c r="B112" s="4">
        <v>0</v>
      </c>
      <c r="C112" s="4">
        <v>0</v>
      </c>
      <c r="D112" s="4">
        <v>0</v>
      </c>
      <c r="E112" s="4">
        <v>0</v>
      </c>
      <c r="F112" s="4">
        <v>201.62907937396969</v>
      </c>
      <c r="G112" s="4">
        <v>1554.2692245949449</v>
      </c>
      <c r="H112" s="4">
        <v>1554.2692245949449</v>
      </c>
      <c r="I112" s="4">
        <v>0</v>
      </c>
      <c r="J112" s="4">
        <v>-1554.2692245949449</v>
      </c>
    </row>
    <row r="113" spans="1:10">
      <c r="A113" s="1">
        <v>45973.604166666657</v>
      </c>
      <c r="B113">
        <v>0</v>
      </c>
      <c r="C113">
        <v>166743.01481149081</v>
      </c>
      <c r="D113">
        <v>100000</v>
      </c>
      <c r="E113">
        <v>66743.014811490779</v>
      </c>
      <c r="F113">
        <v>0</v>
      </c>
      <c r="G113">
        <v>1554.2692245949449</v>
      </c>
      <c r="H113">
        <v>1554.2692245949449</v>
      </c>
      <c r="I113">
        <v>33348.602962298159</v>
      </c>
      <c r="J113">
        <v>31794.333737703211</v>
      </c>
    </row>
    <row r="114" spans="1:10">
      <c r="A114" s="3">
        <v>45973.604861111111</v>
      </c>
      <c r="B114" s="4">
        <v>11.74657223743867</v>
      </c>
      <c r="C114" s="4">
        <v>167416.61075259699</v>
      </c>
      <c r="D114" s="4">
        <v>100342.67125667181</v>
      </c>
      <c r="E114" s="4">
        <v>67073.939495925166</v>
      </c>
      <c r="F114" s="4">
        <v>0</v>
      </c>
      <c r="G114" s="4">
        <v>1554.2692245949449</v>
      </c>
      <c r="H114" s="4">
        <v>1566.0157968323831</v>
      </c>
      <c r="I114" s="4">
        <v>33483.322150519401</v>
      </c>
      <c r="J114" s="4">
        <v>31917.306353687021</v>
      </c>
    </row>
    <row r="115" spans="1:10">
      <c r="A115" s="3">
        <v>45973.605555555558</v>
      </c>
      <c r="B115" s="4">
        <v>-217.0817293564113</v>
      </c>
      <c r="C115" s="4">
        <v>167718.07904408441</v>
      </c>
      <c r="D115" s="4">
        <v>100378.9912516186</v>
      </c>
      <c r="E115" s="4">
        <v>67339.087792465798</v>
      </c>
      <c r="F115" s="4">
        <v>0</v>
      </c>
      <c r="G115" s="4">
        <v>1554.2692245949449</v>
      </c>
      <c r="H115" s="4">
        <v>1337.1874952385331</v>
      </c>
      <c r="I115" s="4">
        <v>33543.615808816881</v>
      </c>
      <c r="J115" s="4">
        <v>32206.428313578352</v>
      </c>
    </row>
    <row r="116" spans="1:10">
      <c r="A116" s="1">
        <v>45973.606249999997</v>
      </c>
      <c r="B116">
        <v>-152.11712750847661</v>
      </c>
      <c r="C116">
        <v>167769.9700781522</v>
      </c>
      <c r="D116">
        <v>100437.4190695765</v>
      </c>
      <c r="E116">
        <v>67332.551008575727</v>
      </c>
      <c r="F116">
        <v>0</v>
      </c>
      <c r="G116">
        <v>1554.2692245949449</v>
      </c>
      <c r="H116">
        <v>1402.1520970864681</v>
      </c>
      <c r="I116">
        <v>33553.994015630436</v>
      </c>
      <c r="J116">
        <v>32151.841918543971</v>
      </c>
    </row>
    <row r="117" spans="1:10">
      <c r="A117" s="3">
        <v>45973.606944444437</v>
      </c>
      <c r="B117" s="4">
        <v>-5.3255480738881724</v>
      </c>
      <c r="C117" s="4">
        <v>168131.65842797261</v>
      </c>
      <c r="D117" s="4">
        <v>100691.659034204</v>
      </c>
      <c r="E117" s="4">
        <v>67439.999393768623</v>
      </c>
      <c r="F117" s="4">
        <v>0</v>
      </c>
      <c r="G117" s="4">
        <v>1554.2692245949449</v>
      </c>
      <c r="H117" s="4">
        <v>1548.9436765210569</v>
      </c>
      <c r="I117" s="4">
        <v>33626.331685594523</v>
      </c>
      <c r="J117" s="4">
        <v>32077.38800907346</v>
      </c>
    </row>
    <row r="118" spans="1:10">
      <c r="A118" s="3">
        <v>45973.607638888891</v>
      </c>
      <c r="B118" s="4">
        <v>-160.45341006709401</v>
      </c>
      <c r="C118" s="4">
        <v>168514.18104093699</v>
      </c>
      <c r="D118" s="4">
        <v>100805.3564096896</v>
      </c>
      <c r="E118" s="4">
        <v>67708.824631247422</v>
      </c>
      <c r="F118" s="4">
        <v>0</v>
      </c>
      <c r="G118" s="4">
        <v>1554.2692245949449</v>
      </c>
      <c r="H118" s="4">
        <v>1393.815814527851</v>
      </c>
      <c r="I118" s="4">
        <v>33702.836208187393</v>
      </c>
      <c r="J118" s="4">
        <v>32309.020393659539</v>
      </c>
    </row>
    <row r="119" spans="1:10">
      <c r="A119" s="1">
        <v>45973.60833333333</v>
      </c>
      <c r="B119">
        <v>-60.472614700277632</v>
      </c>
      <c r="C119">
        <v>168584.74630879849</v>
      </c>
      <c r="D119">
        <v>100890.6294413037</v>
      </c>
      <c r="E119">
        <v>67694.116867494784</v>
      </c>
      <c r="F119">
        <v>0</v>
      </c>
      <c r="G119">
        <v>1554.2692245949449</v>
      </c>
      <c r="H119">
        <v>1493.796609894667</v>
      </c>
      <c r="I119">
        <v>33716.949261759713</v>
      </c>
      <c r="J119">
        <v>32223.152651865039</v>
      </c>
    </row>
    <row r="120" spans="1:10">
      <c r="A120" s="3">
        <v>45973.609027777777</v>
      </c>
      <c r="B120" s="4">
        <v>-32.048270828871978</v>
      </c>
      <c r="C120" s="4">
        <v>168613.17065266991</v>
      </c>
      <c r="D120" s="4">
        <v>100919.0537851751</v>
      </c>
      <c r="E120" s="4">
        <v>67694.116867494784</v>
      </c>
      <c r="F120" s="4">
        <v>0</v>
      </c>
      <c r="G120" s="4">
        <v>1554.2692245949449</v>
      </c>
      <c r="H120" s="4">
        <v>1522.2209537660731</v>
      </c>
      <c r="I120" s="4">
        <v>33722.634130533981</v>
      </c>
      <c r="J120" s="4">
        <v>32200.41317676791</v>
      </c>
    </row>
    <row r="121" spans="1:10">
      <c r="A121" s="1">
        <v>45973.609722222223</v>
      </c>
      <c r="B121">
        <v>0</v>
      </c>
      <c r="C121">
        <v>0</v>
      </c>
      <c r="D121">
        <v>0</v>
      </c>
      <c r="E121">
        <v>0</v>
      </c>
      <c r="F121">
        <v>139.22028640363001</v>
      </c>
      <c r="G121">
        <v>1693.489510998575</v>
      </c>
      <c r="H121">
        <v>1693.489510998575</v>
      </c>
      <c r="I121">
        <v>0</v>
      </c>
      <c r="J121">
        <v>-1693.489510998575</v>
      </c>
    </row>
    <row r="122" spans="1:10">
      <c r="A122" s="1">
        <v>45974.604166666657</v>
      </c>
      <c r="B122">
        <v>0</v>
      </c>
      <c r="C122">
        <v>178585.23061905929</v>
      </c>
      <c r="D122">
        <v>100000</v>
      </c>
      <c r="E122">
        <v>78585.230619059294</v>
      </c>
      <c r="F122">
        <v>0</v>
      </c>
      <c r="G122">
        <v>1693.489510998575</v>
      </c>
      <c r="H122">
        <v>1693.489510998575</v>
      </c>
      <c r="I122">
        <v>35717.046123811859</v>
      </c>
      <c r="J122">
        <v>34023.556612813292</v>
      </c>
    </row>
    <row r="123" spans="1:10">
      <c r="A123" s="1">
        <v>45974.604861111111</v>
      </c>
      <c r="B123">
        <v>58.234590672338562</v>
      </c>
      <c r="C123">
        <v>178916.9319674827</v>
      </c>
      <c r="D123">
        <v>100194.9679695479</v>
      </c>
      <c r="E123">
        <v>78721.963997934829</v>
      </c>
      <c r="F123">
        <v>0</v>
      </c>
      <c r="G123">
        <v>1693.489510998575</v>
      </c>
      <c r="H123">
        <v>1751.7241016709129</v>
      </c>
      <c r="I123">
        <v>35783.386393496541</v>
      </c>
      <c r="J123">
        <v>34031.662291825633</v>
      </c>
    </row>
    <row r="124" spans="1:10">
      <c r="A124" s="1">
        <v>45974.605555555558</v>
      </c>
      <c r="B124">
        <v>343.68362439966842</v>
      </c>
      <c r="C124">
        <v>178947.14536064229</v>
      </c>
      <c r="D124">
        <v>100352.7991829914</v>
      </c>
      <c r="E124">
        <v>78594.346177650994</v>
      </c>
      <c r="F124">
        <v>0</v>
      </c>
      <c r="G124">
        <v>1693.489510998575</v>
      </c>
      <c r="H124">
        <v>2037.1731353982429</v>
      </c>
      <c r="I124">
        <v>35789.429072128471</v>
      </c>
      <c r="J124">
        <v>33752.255936730231</v>
      </c>
    </row>
    <row r="125" spans="1:10">
      <c r="A125" s="1">
        <v>45974.606249999997</v>
      </c>
      <c r="B125">
        <v>373.39112625619208</v>
      </c>
      <c r="C125">
        <v>179177.39515151631</v>
      </c>
      <c r="D125">
        <v>100482.77782935659</v>
      </c>
      <c r="E125">
        <v>78694.617322159713</v>
      </c>
      <c r="F125">
        <v>0</v>
      </c>
      <c r="G125">
        <v>1693.489510998575</v>
      </c>
      <c r="H125">
        <v>2066.880637254767</v>
      </c>
      <c r="I125">
        <v>35835.479030303257</v>
      </c>
      <c r="J125">
        <v>33768.598393048487</v>
      </c>
    </row>
    <row r="126" spans="1:10">
      <c r="A126" s="3">
        <v>45974.606944444437</v>
      </c>
      <c r="B126" s="4">
        <v>170.9939024605016</v>
      </c>
      <c r="C126" s="4">
        <v>179175.5402167381</v>
      </c>
      <c r="D126" s="4">
        <v>100380.65175006961</v>
      </c>
      <c r="E126" s="4">
        <v>78794.888466668432</v>
      </c>
      <c r="F126" s="4">
        <v>0</v>
      </c>
      <c r="G126" s="4">
        <v>1693.489510998575</v>
      </c>
      <c r="H126" s="4">
        <v>1864.483413459076</v>
      </c>
      <c r="I126" s="4">
        <v>35835.108043347624</v>
      </c>
      <c r="J126" s="4">
        <v>33970.624629888538</v>
      </c>
    </row>
    <row r="127" spans="1:10">
      <c r="A127" s="3">
        <v>45974.607638888891</v>
      </c>
      <c r="B127" s="4">
        <v>136.55523330633329</v>
      </c>
      <c r="C127" s="4">
        <v>179432.79942251841</v>
      </c>
      <c r="D127" s="4">
        <v>100492.0620183827</v>
      </c>
      <c r="E127" s="4">
        <v>78940.737404135652</v>
      </c>
      <c r="F127" s="4">
        <v>0</v>
      </c>
      <c r="G127" s="4">
        <v>1693.489510998575</v>
      </c>
      <c r="H127" s="4">
        <v>1830.0447443049079</v>
      </c>
      <c r="I127" s="4">
        <v>35886.559884503673</v>
      </c>
      <c r="J127" s="4">
        <v>34056.515140198768</v>
      </c>
    </row>
    <row r="128" spans="1:10">
      <c r="A128" s="1">
        <v>45974.60833333333</v>
      </c>
      <c r="B128">
        <v>28.686204115393249</v>
      </c>
      <c r="C128">
        <v>179707.78385417891</v>
      </c>
      <c r="D128">
        <v>100575.61971961751</v>
      </c>
      <c r="E128">
        <v>79132.164134561404</v>
      </c>
      <c r="F128">
        <v>0</v>
      </c>
      <c r="G128">
        <v>1693.489510998575</v>
      </c>
      <c r="H128">
        <v>1722.175715113968</v>
      </c>
      <c r="I128">
        <v>35941.556770835778</v>
      </c>
      <c r="J128">
        <v>34219.381055721817</v>
      </c>
    </row>
    <row r="129" spans="1:10">
      <c r="A129" s="3">
        <v>45974.609027777777</v>
      </c>
      <c r="B129" s="4">
        <v>48.945644078847579</v>
      </c>
      <c r="C129" s="4">
        <v>179408.99874343281</v>
      </c>
      <c r="D129" s="4">
        <v>100436.3568842262</v>
      </c>
      <c r="E129" s="4">
        <v>78972.641859206618</v>
      </c>
      <c r="F129" s="4">
        <v>0</v>
      </c>
      <c r="G129" s="4">
        <v>1693.489510998575</v>
      </c>
      <c r="H129" s="4">
        <v>1742.435155077422</v>
      </c>
      <c r="I129" s="4">
        <v>35881.799748686557</v>
      </c>
      <c r="J129" s="4">
        <v>34139.364593609142</v>
      </c>
    </row>
    <row r="130" spans="1:10">
      <c r="A130" s="1">
        <v>45974.609722222223</v>
      </c>
      <c r="B130">
        <v>34.091893150585577</v>
      </c>
      <c r="C130">
        <v>179293.8738479958</v>
      </c>
      <c r="D130">
        <v>100371.3675610435</v>
      </c>
      <c r="E130">
        <v>78922.506286952252</v>
      </c>
      <c r="F130">
        <v>0</v>
      </c>
      <c r="G130">
        <v>1693.489510998575</v>
      </c>
      <c r="H130">
        <v>1727.5814041491601</v>
      </c>
      <c r="I130">
        <v>35858.774769599157</v>
      </c>
      <c r="J130">
        <v>34131.193365450003</v>
      </c>
    </row>
    <row r="131" spans="1:10">
      <c r="A131" s="3">
        <v>45974.61041666667</v>
      </c>
      <c r="B131" s="4">
        <v>-41.3620320988434</v>
      </c>
      <c r="C131" s="4">
        <v>179090.80210246259</v>
      </c>
      <c r="D131" s="4">
        <v>100232.1047256522</v>
      </c>
      <c r="E131" s="4">
        <v>78858.697376810349</v>
      </c>
      <c r="F131" s="4">
        <v>0</v>
      </c>
      <c r="G131" s="4">
        <v>1693.489510998575</v>
      </c>
      <c r="H131" s="4">
        <v>1652.1274788997309</v>
      </c>
      <c r="I131" s="4">
        <v>35818.160420492517</v>
      </c>
      <c r="J131" s="4">
        <v>34166.032941592777</v>
      </c>
    </row>
    <row r="132" spans="1:10">
      <c r="A132" s="1">
        <v>45974.611111111109</v>
      </c>
      <c r="B132">
        <v>-168.13194264332029</v>
      </c>
      <c r="C132">
        <v>178809.06769585921</v>
      </c>
      <c r="D132">
        <v>100027.8525670783</v>
      </c>
      <c r="E132">
        <v>78781.215128780881</v>
      </c>
      <c r="F132">
        <v>0</v>
      </c>
      <c r="G132">
        <v>1693.489510998575</v>
      </c>
      <c r="H132">
        <v>1525.357568355254</v>
      </c>
      <c r="I132">
        <v>35761.813539171832</v>
      </c>
      <c r="J132">
        <v>34236.455970816583</v>
      </c>
    </row>
    <row r="133" spans="1:10">
      <c r="A133" s="3">
        <v>45974.611805555563</v>
      </c>
      <c r="B133" s="4">
        <v>59.082500411671347</v>
      </c>
      <c r="C133" s="4">
        <v>178507.57974059551</v>
      </c>
      <c r="D133" s="4">
        <v>99990.71581097391</v>
      </c>
      <c r="E133" s="4">
        <v>78516.863929621541</v>
      </c>
      <c r="F133" s="4">
        <v>0</v>
      </c>
      <c r="G133" s="4">
        <v>1693.489510998575</v>
      </c>
      <c r="H133" s="4">
        <v>1752.572011410246</v>
      </c>
      <c r="I133" s="4">
        <v>35701.515948119093</v>
      </c>
      <c r="J133" s="4">
        <v>33948.943936708849</v>
      </c>
    </row>
    <row r="134" spans="1:10">
      <c r="A134" s="3">
        <v>45974.612500000003</v>
      </c>
      <c r="B134" s="4">
        <v>-173.70150454548869</v>
      </c>
      <c r="C134" s="4">
        <v>178703.2269894483</v>
      </c>
      <c r="D134" s="4">
        <v>99972.147432921745</v>
      </c>
      <c r="E134" s="4">
        <v>78731.079556526529</v>
      </c>
      <c r="F134" s="4">
        <v>0</v>
      </c>
      <c r="G134" s="4">
        <v>1693.489510998575</v>
      </c>
      <c r="H134" s="4">
        <v>1519.7880064530859</v>
      </c>
      <c r="I134" s="4">
        <v>35740.645397889653</v>
      </c>
      <c r="J134" s="4">
        <v>34220.85739143657</v>
      </c>
    </row>
    <row r="135" spans="1:10">
      <c r="A135" s="3">
        <v>45974.613194444442</v>
      </c>
      <c r="B135" s="4">
        <v>-173.02698280794081</v>
      </c>
      <c r="C135" s="4">
        <v>178776.82597991941</v>
      </c>
      <c r="D135" s="4">
        <v>100009.2841890261</v>
      </c>
      <c r="E135" s="4">
        <v>78767.54179089333</v>
      </c>
      <c r="F135" s="4">
        <v>0</v>
      </c>
      <c r="G135" s="4">
        <v>1693.489510998575</v>
      </c>
      <c r="H135" s="4">
        <v>1520.462528190634</v>
      </c>
      <c r="I135" s="4">
        <v>35755.365195983883</v>
      </c>
      <c r="J135" s="4">
        <v>34234.902667793249</v>
      </c>
    </row>
    <row r="136" spans="1:10">
      <c r="A136" s="1">
        <v>45974.613888888889</v>
      </c>
      <c r="B136">
        <v>-48.275879908697149</v>
      </c>
      <c r="C136">
        <v>178336.41245013321</v>
      </c>
      <c r="D136">
        <v>99851.452975582579</v>
      </c>
      <c r="E136">
        <v>78484.959474550575</v>
      </c>
      <c r="F136">
        <v>0</v>
      </c>
      <c r="G136">
        <v>1693.489510998575</v>
      </c>
      <c r="H136">
        <v>1645.2136310898779</v>
      </c>
      <c r="I136">
        <v>35667.282490026642</v>
      </c>
      <c r="J136">
        <v>34022.068858936756</v>
      </c>
    </row>
    <row r="137" spans="1:10">
      <c r="A137" s="1">
        <v>45974.614583333343</v>
      </c>
      <c r="B137">
        <v>44.734640786570381</v>
      </c>
      <c r="C137">
        <v>178447.6540880118</v>
      </c>
      <c r="D137">
        <v>99953.579054869551</v>
      </c>
      <c r="E137">
        <v>78494.07503314229</v>
      </c>
      <c r="F137">
        <v>0</v>
      </c>
      <c r="G137">
        <v>1693.489510998575</v>
      </c>
      <c r="H137">
        <v>1738.2241517851451</v>
      </c>
      <c r="I137">
        <v>35689.530817602368</v>
      </c>
      <c r="J137">
        <v>33951.306665817217</v>
      </c>
    </row>
    <row r="138" spans="1:10">
      <c r="A138" s="3">
        <v>45974.615277777782</v>
      </c>
      <c r="B138" s="4">
        <v>0</v>
      </c>
      <c r="C138" s="4">
        <v>0</v>
      </c>
      <c r="D138" s="4">
        <v>0</v>
      </c>
      <c r="E138" s="4">
        <v>0</v>
      </c>
      <c r="F138" s="4">
        <v>17.813296262222</v>
      </c>
      <c r="G138" s="4">
        <v>1711.302807260797</v>
      </c>
      <c r="H138" s="4">
        <v>1711.302807260797</v>
      </c>
      <c r="I138" s="4">
        <v>0</v>
      </c>
      <c r="J138" s="4">
        <v>-1711.302807260797</v>
      </c>
    </row>
    <row r="139" spans="1:10">
      <c r="A139" s="3">
        <v>45975.841666666667</v>
      </c>
      <c r="B139" s="4">
        <v>0</v>
      </c>
      <c r="C139" s="4">
        <v>178585.23061905929</v>
      </c>
      <c r="D139" s="4">
        <v>100000</v>
      </c>
      <c r="E139" s="4">
        <v>78585.230619059294</v>
      </c>
      <c r="F139" s="4">
        <v>0</v>
      </c>
      <c r="G139" s="4">
        <v>1711.302807260797</v>
      </c>
      <c r="H139" s="4">
        <v>1711.302807260797</v>
      </c>
      <c r="I139" s="4">
        <v>35717.046123811859</v>
      </c>
      <c r="J139" s="4">
        <v>34005.743316551059</v>
      </c>
    </row>
    <row r="140" spans="1:10">
      <c r="A140" s="3">
        <v>45975.842361111107</v>
      </c>
      <c r="B140" s="4">
        <v>28.198079909296531</v>
      </c>
      <c r="C140" s="4">
        <v>178594.9652086616</v>
      </c>
      <c r="D140" s="4">
        <v>100018.96633475579</v>
      </c>
      <c r="E140" s="4">
        <v>78575.998873905803</v>
      </c>
      <c r="F140" s="4">
        <v>0</v>
      </c>
      <c r="G140" s="4">
        <v>1711.302807260797</v>
      </c>
      <c r="H140" s="4">
        <v>1739.5008871700929</v>
      </c>
      <c r="I140" s="4">
        <v>35718.993041732319</v>
      </c>
      <c r="J140" s="4">
        <v>33979.492154562227</v>
      </c>
    </row>
    <row r="141" spans="1:10">
      <c r="A141" s="3">
        <v>45975.843055555553</v>
      </c>
      <c r="B141" s="4">
        <v>56.144737594176213</v>
      </c>
      <c r="C141" s="4">
        <v>178585.9848857325</v>
      </c>
      <c r="D141" s="4">
        <v>100028.44950213371</v>
      </c>
      <c r="E141" s="4">
        <v>78557.535383598835</v>
      </c>
      <c r="F141" s="4">
        <v>0</v>
      </c>
      <c r="G141" s="4">
        <v>1711.302807260797</v>
      </c>
      <c r="H141" s="4">
        <v>1767.4475448549731</v>
      </c>
      <c r="I141" s="4">
        <v>35717.196977146508</v>
      </c>
      <c r="J141" s="4">
        <v>33949.749432291537</v>
      </c>
    </row>
    <row r="142" spans="1:10">
      <c r="A142" s="3">
        <v>45975.84375</v>
      </c>
      <c r="B142" s="4">
        <v>27.69523546046247</v>
      </c>
      <c r="C142" s="4">
        <v>178557.53538359879</v>
      </c>
      <c r="D142" s="4">
        <v>100000</v>
      </c>
      <c r="E142" s="4">
        <v>78557.535383598835</v>
      </c>
      <c r="F142" s="4">
        <v>0</v>
      </c>
      <c r="G142" s="4">
        <v>1711.302807260797</v>
      </c>
      <c r="H142" s="4">
        <v>1738.998042721259</v>
      </c>
      <c r="I142" s="4">
        <v>35711.507076719769</v>
      </c>
      <c r="J142" s="4">
        <v>33972.509033998511</v>
      </c>
    </row>
    <row r="143" spans="1:10">
      <c r="A143" s="3">
        <v>45975.844444444447</v>
      </c>
      <c r="B143" s="4">
        <v>42.548542088348697</v>
      </c>
      <c r="C143" s="4">
        <v>178618.5474159942</v>
      </c>
      <c r="D143" s="4">
        <v>100037.9326695116</v>
      </c>
      <c r="E143" s="4">
        <v>78580.614746482548</v>
      </c>
      <c r="F143" s="4">
        <v>0</v>
      </c>
      <c r="G143" s="4">
        <v>1711.302807260797</v>
      </c>
      <c r="H143" s="4">
        <v>1753.851349349145</v>
      </c>
      <c r="I143" s="4">
        <v>35723.709483198843</v>
      </c>
      <c r="J143" s="4">
        <v>33969.858133849688</v>
      </c>
    </row>
    <row r="144" spans="1:10">
      <c r="A144" s="3">
        <v>45975.845138888893</v>
      </c>
      <c r="B144" s="4">
        <v>17.960645858149679</v>
      </c>
      <c r="C144" s="4">
        <v>178529.33730368951</v>
      </c>
      <c r="D144" s="4">
        <v>99981.033665244191</v>
      </c>
      <c r="E144" s="4">
        <v>78548.303638445344</v>
      </c>
      <c r="F144" s="4">
        <v>0</v>
      </c>
      <c r="G144" s="4">
        <v>1711.302807260797</v>
      </c>
      <c r="H144" s="4">
        <v>1729.263453118946</v>
      </c>
      <c r="I144" s="4">
        <v>35705.867460737907</v>
      </c>
      <c r="J144" s="4">
        <v>33976.60400761896</v>
      </c>
    </row>
    <row r="145" spans="1:10">
      <c r="A145" s="3">
        <v>45975.845833333333</v>
      </c>
      <c r="B145" s="4">
        <v>16.20069028721683</v>
      </c>
      <c r="C145" s="4">
        <v>178398.3329159698</v>
      </c>
      <c r="D145" s="4">
        <v>99914.651493598853</v>
      </c>
      <c r="E145" s="4">
        <v>78483.681422370937</v>
      </c>
      <c r="F145" s="4">
        <v>0</v>
      </c>
      <c r="G145" s="4">
        <v>1711.302807260797</v>
      </c>
      <c r="H145" s="4">
        <v>1727.503497548013</v>
      </c>
      <c r="I145" s="4">
        <v>35679.666583193954</v>
      </c>
      <c r="J145" s="4">
        <v>33952.163085645938</v>
      </c>
    </row>
    <row r="146" spans="1:10">
      <c r="A146" s="1">
        <v>45975.84652777778</v>
      </c>
      <c r="B146">
        <v>-16.86468442323628</v>
      </c>
      <c r="C146">
        <v>178374.49928641281</v>
      </c>
      <c r="D146">
        <v>99886.201991465146</v>
      </c>
      <c r="E146">
        <v>78488.297294947683</v>
      </c>
      <c r="F146">
        <v>0</v>
      </c>
      <c r="G146">
        <v>1711.302807260797</v>
      </c>
      <c r="H146">
        <v>1694.438122837561</v>
      </c>
      <c r="I146">
        <v>35674.899857282573</v>
      </c>
      <c r="J146">
        <v>33980.461734445009</v>
      </c>
    </row>
    <row r="147" spans="1:10">
      <c r="A147" s="3">
        <v>45975.847222222219</v>
      </c>
      <c r="B147" s="4">
        <v>26.43812433837715</v>
      </c>
      <c r="C147" s="4">
        <v>178463.96082094189</v>
      </c>
      <c r="D147" s="4">
        <v>99952.584163110485</v>
      </c>
      <c r="E147" s="4">
        <v>78511.376657831395</v>
      </c>
      <c r="F147" s="4">
        <v>0</v>
      </c>
      <c r="G147" s="4">
        <v>1711.302807260797</v>
      </c>
      <c r="H147" s="4">
        <v>1737.740931599174</v>
      </c>
      <c r="I147" s="4">
        <v>35692.79216418838</v>
      </c>
      <c r="J147" s="4">
        <v>33955.051232589212</v>
      </c>
    </row>
    <row r="148" spans="1:10">
      <c r="A148" s="3">
        <v>45975.847916666673</v>
      </c>
      <c r="B148" s="4">
        <v>60.599460483743663</v>
      </c>
      <c r="C148" s="4">
        <v>178221.16980248259</v>
      </c>
      <c r="D148" s="4">
        <v>99848.269321953529</v>
      </c>
      <c r="E148" s="4">
        <v>78372.90048052909</v>
      </c>
      <c r="F148" s="4">
        <v>0</v>
      </c>
      <c r="G148" s="4">
        <v>1711.302807260797</v>
      </c>
      <c r="H148" s="4">
        <v>1771.90226774454</v>
      </c>
      <c r="I148" s="4">
        <v>35644.233960496516</v>
      </c>
      <c r="J148" s="4">
        <v>33872.331692751977</v>
      </c>
    </row>
    <row r="149" spans="1:10">
      <c r="A149" s="1">
        <v>45975.848611111112</v>
      </c>
      <c r="B149">
        <v>49.859181983749288</v>
      </c>
      <c r="C149">
        <v>178118.11207244781</v>
      </c>
      <c r="D149">
        <v>99791.370317686102</v>
      </c>
      <c r="E149">
        <v>78326.74175476165</v>
      </c>
      <c r="F149">
        <v>0</v>
      </c>
      <c r="G149">
        <v>1711.302807260797</v>
      </c>
      <c r="H149">
        <v>1761.161989244546</v>
      </c>
      <c r="I149">
        <v>35623.622414489553</v>
      </c>
      <c r="J149">
        <v>33862.460425245008</v>
      </c>
    </row>
    <row r="150" spans="1:10">
      <c r="A150" s="1">
        <v>45975.849305555559</v>
      </c>
      <c r="B150">
        <v>4.4547228895674493</v>
      </c>
      <c r="C150">
        <v>178220.41553580941</v>
      </c>
      <c r="D150">
        <v>99819.819819819822</v>
      </c>
      <c r="E150">
        <v>78400.595715989548</v>
      </c>
      <c r="F150">
        <v>0</v>
      </c>
      <c r="G150">
        <v>1711.302807260797</v>
      </c>
      <c r="H150">
        <v>1715.7575301503639</v>
      </c>
      <c r="I150">
        <v>35644.083107161867</v>
      </c>
      <c r="J150">
        <v>33928.325577011507</v>
      </c>
    </row>
    <row r="151" spans="1:10">
      <c r="A151" s="3">
        <v>45975.85</v>
      </c>
      <c r="B151" s="4">
        <v>9.5734399151408809</v>
      </c>
      <c r="C151" s="4">
        <v>178253.22948829539</v>
      </c>
      <c r="D151" s="4">
        <v>99838.786154575617</v>
      </c>
      <c r="E151" s="4">
        <v>78414.443333719784</v>
      </c>
      <c r="F151" s="4">
        <v>0</v>
      </c>
      <c r="G151" s="4">
        <v>1711.302807260797</v>
      </c>
      <c r="H151" s="4">
        <v>1720.876247175938</v>
      </c>
      <c r="I151" s="4">
        <v>35650.64589765908</v>
      </c>
      <c r="J151" s="4">
        <v>33929.76965048314</v>
      </c>
    </row>
    <row r="152" spans="1:10">
      <c r="A152" s="1">
        <v>45975.850694444453</v>
      </c>
      <c r="B152">
        <v>23.92390209420617</v>
      </c>
      <c r="C152">
        <v>178276.8116956279</v>
      </c>
      <c r="D152">
        <v>99857.752489331426</v>
      </c>
      <c r="E152">
        <v>78419.059206296515</v>
      </c>
      <c r="F152">
        <v>0</v>
      </c>
      <c r="G152">
        <v>1711.302807260797</v>
      </c>
      <c r="H152">
        <v>1735.2267093550031</v>
      </c>
      <c r="I152">
        <v>35655.36233912559</v>
      </c>
      <c r="J152">
        <v>33920.135629770593</v>
      </c>
    </row>
    <row r="153" spans="1:10">
      <c r="A153" s="3">
        <v>45975.851388888892</v>
      </c>
      <c r="B153" s="4">
        <v>38.274364273258357</v>
      </c>
      <c r="C153" s="4">
        <v>178300.3939029605</v>
      </c>
      <c r="D153" s="4">
        <v>99876.718824087235</v>
      </c>
      <c r="E153" s="4">
        <v>78423.675078873275</v>
      </c>
      <c r="F153" s="4">
        <v>0</v>
      </c>
      <c r="G153" s="4">
        <v>1711.302807260797</v>
      </c>
      <c r="H153" s="4">
        <v>1749.577171534055</v>
      </c>
      <c r="I153" s="4">
        <v>35660.078780592114</v>
      </c>
      <c r="J153" s="4">
        <v>33910.501609058047</v>
      </c>
    </row>
    <row r="154" spans="1:10">
      <c r="A154" s="3">
        <v>45975.852083333331</v>
      </c>
      <c r="B154" s="4">
        <v>32.401380574433659</v>
      </c>
      <c r="C154" s="4">
        <v>178211.43521288029</v>
      </c>
      <c r="D154" s="4">
        <v>99829.30298719772</v>
      </c>
      <c r="E154" s="4">
        <v>78382.132225682581</v>
      </c>
      <c r="F154" s="4">
        <v>0</v>
      </c>
      <c r="G154" s="4">
        <v>1711.302807260797</v>
      </c>
      <c r="H154" s="4">
        <v>1743.70418783523</v>
      </c>
      <c r="I154" s="4">
        <v>35642.287042576063</v>
      </c>
      <c r="J154" s="4">
        <v>33898.582854740831</v>
      </c>
    </row>
    <row r="155" spans="1:10">
      <c r="A155" s="3">
        <v>45975.852777777778</v>
      </c>
      <c r="B155" s="4">
        <v>37.520097600020563</v>
      </c>
      <c r="C155" s="4">
        <v>178244.24916536629</v>
      </c>
      <c r="D155" s="4">
        <v>99848.269321953529</v>
      </c>
      <c r="E155" s="4">
        <v>78395.979843412817</v>
      </c>
      <c r="F155" s="4">
        <v>0</v>
      </c>
      <c r="G155" s="4">
        <v>1711.302807260797</v>
      </c>
      <c r="H155" s="4">
        <v>1748.8229048608171</v>
      </c>
      <c r="I155" s="4">
        <v>35648.849833073269</v>
      </c>
      <c r="J155" s="4">
        <v>33900.02692821245</v>
      </c>
    </row>
    <row r="156" spans="1:10">
      <c r="A156" s="1">
        <v>45975.853472222218</v>
      </c>
      <c r="B156">
        <v>18.553762844202421</v>
      </c>
      <c r="C156">
        <v>178225.28283061049</v>
      </c>
      <c r="D156">
        <v>99829.30298719772</v>
      </c>
      <c r="E156">
        <v>78395.979843412817</v>
      </c>
      <c r="F156">
        <v>0</v>
      </c>
      <c r="G156">
        <v>1711.302807260797</v>
      </c>
      <c r="H156">
        <v>1729.856570104999</v>
      </c>
      <c r="I156">
        <v>35645.056566122097</v>
      </c>
      <c r="J156">
        <v>33915.199996017109</v>
      </c>
    </row>
    <row r="157" spans="1:10">
      <c r="A157" s="3">
        <v>45975.854166666657</v>
      </c>
      <c r="B157" s="4">
        <v>-1.6696830336875621</v>
      </c>
      <c r="C157" s="4">
        <v>178112.7419331978</v>
      </c>
      <c r="D157" s="4">
        <v>99762.920815552396</v>
      </c>
      <c r="E157" s="4">
        <v>78349.821117645377</v>
      </c>
      <c r="F157" s="4">
        <v>0</v>
      </c>
      <c r="G157" s="4">
        <v>1711.302807260797</v>
      </c>
      <c r="H157" s="4">
        <v>1709.633124227109</v>
      </c>
      <c r="I157" s="4">
        <v>35622.548386639559</v>
      </c>
      <c r="J157" s="4">
        <v>33912.915262412447</v>
      </c>
    </row>
    <row r="158" spans="1:10">
      <c r="A158" s="1">
        <v>45975.854861111111</v>
      </c>
      <c r="B158">
        <v>0</v>
      </c>
      <c r="C158">
        <v>0</v>
      </c>
      <c r="D158">
        <v>0</v>
      </c>
      <c r="E158">
        <v>0</v>
      </c>
      <c r="F158">
        <v>-23.241900522691271</v>
      </c>
      <c r="G158">
        <v>1688.0609067381049</v>
      </c>
      <c r="H158">
        <v>1688.0609067381049</v>
      </c>
      <c r="I158">
        <v>0</v>
      </c>
      <c r="J158">
        <v>-1688.0609067381049</v>
      </c>
    </row>
    <row r="159" spans="1:10">
      <c r="A159" s="1">
        <v>45978.755555555559</v>
      </c>
      <c r="B159">
        <v>0</v>
      </c>
      <c r="C159">
        <v>178585.23061905929</v>
      </c>
      <c r="D159">
        <v>100000</v>
      </c>
      <c r="E159">
        <v>78585.230619059294</v>
      </c>
      <c r="F159">
        <v>0</v>
      </c>
      <c r="G159">
        <v>1688.0609067381049</v>
      </c>
      <c r="H159">
        <v>1688.0609067381049</v>
      </c>
      <c r="I159">
        <v>35717.046123811859</v>
      </c>
      <c r="J159">
        <v>34028.98521707375</v>
      </c>
    </row>
    <row r="160" spans="1:10">
      <c r="A160" s="1">
        <v>45978.756249999999</v>
      </c>
      <c r="B160">
        <v>92.932071580654068</v>
      </c>
      <c r="C160">
        <v>178473.10100476409</v>
      </c>
      <c r="D160">
        <v>99990.401228642717</v>
      </c>
      <c r="E160">
        <v>78482.699776121372</v>
      </c>
      <c r="F160">
        <v>0</v>
      </c>
      <c r="G160">
        <v>1688.0609067381049</v>
      </c>
      <c r="H160">
        <v>1780.992978318759</v>
      </c>
      <c r="I160">
        <v>35694.620200952821</v>
      </c>
      <c r="J160">
        <v>33913.627222634059</v>
      </c>
    </row>
    <row r="161" spans="1:10">
      <c r="A161" s="3">
        <v>45978.756944444453</v>
      </c>
      <c r="B161" s="4">
        <v>106.1420562012016</v>
      </c>
      <c r="C161" s="4">
        <v>178728.65661814701</v>
      </c>
      <c r="D161" s="4">
        <v>100124.7840276444</v>
      </c>
      <c r="E161" s="4">
        <v>78603.872590502549</v>
      </c>
      <c r="F161" s="4">
        <v>0</v>
      </c>
      <c r="G161" s="4">
        <v>1688.0609067381049</v>
      </c>
      <c r="H161" s="4">
        <v>1794.2029629393071</v>
      </c>
      <c r="I161" s="4">
        <v>35745.731323629399</v>
      </c>
      <c r="J161" s="4">
        <v>33951.528360690092</v>
      </c>
    </row>
    <row r="162" spans="1:10">
      <c r="A162" s="3">
        <v>45978.757638888892</v>
      </c>
      <c r="B162" s="4">
        <v>57.037056872312959</v>
      </c>
      <c r="C162" s="4">
        <v>178604.98373304511</v>
      </c>
      <c r="D162" s="4">
        <v>100038.395085429</v>
      </c>
      <c r="E162" s="4">
        <v>78566.588647616038</v>
      </c>
      <c r="F162" s="4">
        <v>0</v>
      </c>
      <c r="G162" s="4">
        <v>1688.0609067381049</v>
      </c>
      <c r="H162" s="4">
        <v>1745.097963610418</v>
      </c>
      <c r="I162" s="4">
        <v>35720.996746609017</v>
      </c>
      <c r="J162" s="4">
        <v>33975.8987829986</v>
      </c>
    </row>
    <row r="163" spans="1:10">
      <c r="A163" s="3">
        <v>45978.758333333331</v>
      </c>
      <c r="B163" s="4">
        <v>0</v>
      </c>
      <c r="C163" s="4">
        <v>178585.23061905929</v>
      </c>
      <c r="D163" s="4">
        <v>100000</v>
      </c>
      <c r="E163" s="4">
        <v>78585.230619059294</v>
      </c>
      <c r="F163" s="4">
        <v>0</v>
      </c>
      <c r="G163" s="4">
        <v>1688.0609067381049</v>
      </c>
      <c r="H163" s="4">
        <v>1688.0609067381049</v>
      </c>
      <c r="I163" s="4">
        <v>35717.046123811859</v>
      </c>
      <c r="J163" s="4">
        <v>34028.98521707375</v>
      </c>
    </row>
    <row r="164" spans="1:10">
      <c r="A164" s="1">
        <v>45978.759027777778</v>
      </c>
      <c r="B164">
        <v>47.716071150691818</v>
      </c>
      <c r="C164">
        <v>178614.30471876671</v>
      </c>
      <c r="D164">
        <v>100038.395085429</v>
      </c>
      <c r="E164">
        <v>78575.909633337651</v>
      </c>
      <c r="F164">
        <v>0</v>
      </c>
      <c r="G164">
        <v>1688.0609067381049</v>
      </c>
      <c r="H164">
        <v>1735.7769778887971</v>
      </c>
      <c r="I164">
        <v>35722.860943753352</v>
      </c>
      <c r="J164">
        <v>33987.083965864549</v>
      </c>
    </row>
    <row r="165" spans="1:10">
      <c r="A165" s="1">
        <v>45978.759722222218</v>
      </c>
      <c r="B165">
        <v>66.91361386522054</v>
      </c>
      <c r="C165">
        <v>178633.50226148119</v>
      </c>
      <c r="D165">
        <v>100057.5926281436</v>
      </c>
      <c r="E165">
        <v>78575.909633337651</v>
      </c>
      <c r="F165">
        <v>0</v>
      </c>
      <c r="G165">
        <v>1688.0609067381049</v>
      </c>
      <c r="H165">
        <v>1754.974520603326</v>
      </c>
      <c r="I165">
        <v>35726.700452296252</v>
      </c>
      <c r="J165">
        <v>33971.725931692927</v>
      </c>
    </row>
    <row r="166" spans="1:10">
      <c r="A166" s="3">
        <v>45978.760416666657</v>
      </c>
      <c r="B166" s="4">
        <v>17.530828900708741</v>
      </c>
      <c r="C166" s="4">
        <v>178490.90961930051</v>
      </c>
      <c r="D166" s="4">
        <v>99961.604914570926</v>
      </c>
      <c r="E166" s="4">
        <v>78529.304704729511</v>
      </c>
      <c r="F166" s="4">
        <v>0</v>
      </c>
      <c r="G166" s="4">
        <v>1688.0609067381049</v>
      </c>
      <c r="H166" s="4">
        <v>1705.591735638814</v>
      </c>
      <c r="I166" s="4">
        <v>35698.181923860087</v>
      </c>
      <c r="J166" s="4">
        <v>33992.590188221278</v>
      </c>
    </row>
    <row r="167" spans="1:10">
      <c r="A167" s="1">
        <v>45978.761111111111</v>
      </c>
      <c r="B167">
        <v>-28.5185284361635</v>
      </c>
      <c r="C167">
        <v>178575.35406206641</v>
      </c>
      <c r="D167">
        <v>99980.802457285448</v>
      </c>
      <c r="E167">
        <v>78594.551604780907</v>
      </c>
      <c r="F167">
        <v>0</v>
      </c>
      <c r="G167">
        <v>1688.0609067381049</v>
      </c>
      <c r="H167">
        <v>1659.5423783019421</v>
      </c>
      <c r="I167">
        <v>35715.070812413273</v>
      </c>
      <c r="J167">
        <v>34055.528434111329</v>
      </c>
    </row>
    <row r="168" spans="1:10">
      <c r="A168" s="1">
        <v>45978.761805555558</v>
      </c>
      <c r="B168">
        <v>-37.283942886511042</v>
      </c>
      <c r="C168">
        <v>178622.51456194581</v>
      </c>
      <c r="D168">
        <v>100000</v>
      </c>
      <c r="E168">
        <v>78622.514561945805</v>
      </c>
      <c r="F168">
        <v>0</v>
      </c>
      <c r="G168">
        <v>1688.0609067381049</v>
      </c>
      <c r="H168">
        <v>1650.776963851594</v>
      </c>
      <c r="I168">
        <v>35724.502912389173</v>
      </c>
      <c r="J168">
        <v>34073.725948537569</v>
      </c>
    </row>
    <row r="169" spans="1:10">
      <c r="A169" s="1">
        <v>45978.762499999997</v>
      </c>
      <c r="B169">
        <v>-29.629670978709889</v>
      </c>
      <c r="C169">
        <v>178499.6750337508</v>
      </c>
      <c r="D169">
        <v>99942.407371856389</v>
      </c>
      <c r="E169">
        <v>78557.267661894395</v>
      </c>
      <c r="F169">
        <v>0</v>
      </c>
      <c r="G169">
        <v>1688.0609067381049</v>
      </c>
      <c r="H169">
        <v>1658.431235759396</v>
      </c>
      <c r="I169">
        <v>35699.935006750158</v>
      </c>
      <c r="J169">
        <v>34041.503770990763</v>
      </c>
    </row>
    <row r="170" spans="1:10">
      <c r="A170" s="3">
        <v>45978.763194444437</v>
      </c>
      <c r="B170" s="4">
        <v>-48.27164242196541</v>
      </c>
      <c r="C170" s="4">
        <v>178518.317005194</v>
      </c>
      <c r="D170" s="4">
        <v>99942.407371856389</v>
      </c>
      <c r="E170" s="4">
        <v>78575.909633337651</v>
      </c>
      <c r="F170" s="4">
        <v>0</v>
      </c>
      <c r="G170" s="4">
        <v>1688.0609067381049</v>
      </c>
      <c r="H170" s="4">
        <v>1639.7892643161399</v>
      </c>
      <c r="I170" s="4">
        <v>35703.663401038808</v>
      </c>
      <c r="J170" s="4">
        <v>34063.874136722668</v>
      </c>
    </row>
    <row r="171" spans="1:10">
      <c r="A171" s="1">
        <v>45978.763888888891</v>
      </c>
      <c r="B171">
        <v>8.7654144503475493</v>
      </c>
      <c r="C171">
        <v>178538.07011917981</v>
      </c>
      <c r="D171">
        <v>99980.802457285448</v>
      </c>
      <c r="E171">
        <v>78557.267661894395</v>
      </c>
      <c r="F171">
        <v>0</v>
      </c>
      <c r="G171">
        <v>1688.0609067381049</v>
      </c>
      <c r="H171">
        <v>1696.826321188453</v>
      </c>
      <c r="I171">
        <v>35707.614023835973</v>
      </c>
      <c r="J171">
        <v>34010.787702647518</v>
      </c>
    </row>
    <row r="172" spans="1:10">
      <c r="A172" s="3">
        <v>45978.76458333333</v>
      </c>
      <c r="B172" s="4">
        <v>18.641971443255521</v>
      </c>
      <c r="C172" s="4">
        <v>178566.58864761601</v>
      </c>
      <c r="D172" s="4">
        <v>100000</v>
      </c>
      <c r="E172" s="4">
        <v>78566.588647616038</v>
      </c>
      <c r="F172" s="4">
        <v>0</v>
      </c>
      <c r="G172" s="4">
        <v>1688.0609067381049</v>
      </c>
      <c r="H172" s="4">
        <v>1706.702878181361</v>
      </c>
      <c r="I172" s="4">
        <v>35713.317729523209</v>
      </c>
      <c r="J172" s="4">
        <v>34006.614851341837</v>
      </c>
    </row>
    <row r="173" spans="1:10">
      <c r="A173" s="3">
        <v>45978.765277777777</v>
      </c>
      <c r="B173" s="4">
        <v>37.283942886524287</v>
      </c>
      <c r="C173" s="4">
        <v>178547.94667617281</v>
      </c>
      <c r="D173" s="4">
        <v>100000</v>
      </c>
      <c r="E173" s="4">
        <v>78547.946676172767</v>
      </c>
      <c r="F173" s="4">
        <v>0</v>
      </c>
      <c r="G173" s="4">
        <v>1688.0609067381049</v>
      </c>
      <c r="H173" s="4">
        <v>1725.3448496246299</v>
      </c>
      <c r="I173" s="4">
        <v>35709.589335234559</v>
      </c>
      <c r="J173" s="4">
        <v>33984.244485609932</v>
      </c>
    </row>
    <row r="174" spans="1:10">
      <c r="A174" s="3">
        <v>45978.765972222223</v>
      </c>
      <c r="B174" s="4">
        <v>35.617229072704298</v>
      </c>
      <c r="C174" s="4">
        <v>178434.4281336994</v>
      </c>
      <c r="D174" s="4">
        <v>99942.407371856389</v>
      </c>
      <c r="E174" s="4">
        <v>78492.020761842985</v>
      </c>
      <c r="F174" s="4">
        <v>0</v>
      </c>
      <c r="G174" s="4">
        <v>1688.0609067381049</v>
      </c>
      <c r="H174" s="4">
        <v>1723.6781358108101</v>
      </c>
      <c r="I174" s="4">
        <v>35686.885626739873</v>
      </c>
      <c r="J174" s="4">
        <v>33963.20749092906</v>
      </c>
    </row>
    <row r="175" spans="1:10">
      <c r="A175" s="1">
        <v>45978.76666666667</v>
      </c>
      <c r="B175">
        <v>35.339443437054271</v>
      </c>
      <c r="C175">
        <v>178415.50837662051</v>
      </c>
      <c r="D175">
        <v>99932.80860049912</v>
      </c>
      <c r="E175">
        <v>78482.699776121372</v>
      </c>
      <c r="F175">
        <v>0</v>
      </c>
      <c r="G175">
        <v>1688.0609067381049</v>
      </c>
      <c r="H175">
        <v>1723.4003501751599</v>
      </c>
      <c r="I175">
        <v>35683.101675324098</v>
      </c>
      <c r="J175">
        <v>33959.701325148941</v>
      </c>
    </row>
    <row r="176" spans="1:10">
      <c r="A176" s="3">
        <v>45978.767361111109</v>
      </c>
      <c r="B176" s="4">
        <v>0</v>
      </c>
      <c r="C176" s="4">
        <v>0</v>
      </c>
      <c r="D176" s="4">
        <v>0</v>
      </c>
      <c r="E176" s="4">
        <v>0</v>
      </c>
      <c r="F176" s="4">
        <v>-11.33889789799656</v>
      </c>
      <c r="G176" s="4">
        <v>1676.7220088401091</v>
      </c>
      <c r="H176" s="4">
        <v>1676.7220088401091</v>
      </c>
      <c r="I176" s="4">
        <v>0</v>
      </c>
      <c r="J176" s="4">
        <v>-1676.7220088401091</v>
      </c>
    </row>
    <row r="177" spans="1:10">
      <c r="A177" s="1">
        <v>45980.604861111111</v>
      </c>
      <c r="B177">
        <v>0</v>
      </c>
      <c r="C177">
        <v>178585.23061905929</v>
      </c>
      <c r="D177">
        <v>78585.230619059294</v>
      </c>
      <c r="E177">
        <v>100000</v>
      </c>
      <c r="F177">
        <v>0</v>
      </c>
      <c r="G177">
        <v>1676.7220088401091</v>
      </c>
      <c r="H177">
        <v>1676.7220088401091</v>
      </c>
      <c r="I177">
        <v>35717.046123811859</v>
      </c>
      <c r="J177">
        <v>34040.324114971751</v>
      </c>
    </row>
    <row r="178" spans="1:10">
      <c r="A178" s="3">
        <v>45980.605555555558</v>
      </c>
      <c r="B178" s="4">
        <v>74.57273300301425</v>
      </c>
      <c r="C178" s="4">
        <v>178351.8149016292</v>
      </c>
      <c r="D178" s="4">
        <v>78505.809126845736</v>
      </c>
      <c r="E178" s="4">
        <v>99846.005774783436</v>
      </c>
      <c r="F178" s="4">
        <v>0</v>
      </c>
      <c r="G178" s="4">
        <v>1676.7220088401091</v>
      </c>
      <c r="H178" s="4">
        <v>1751.2947418431229</v>
      </c>
      <c r="I178" s="4">
        <v>35670.362980325837</v>
      </c>
      <c r="J178" s="4">
        <v>33919.068238482723</v>
      </c>
    </row>
    <row r="179" spans="1:10">
      <c r="A179" s="1">
        <v>45980.606249999997</v>
      </c>
      <c r="B179">
        <v>-260.88496410952939</v>
      </c>
      <c r="C179">
        <v>178593.83554907871</v>
      </c>
      <c r="D179">
        <v>78459.090602014243</v>
      </c>
      <c r="E179">
        <v>100134.74494706449</v>
      </c>
      <c r="F179">
        <v>0</v>
      </c>
      <c r="G179">
        <v>1676.7220088401091</v>
      </c>
      <c r="H179">
        <v>1415.837044730579</v>
      </c>
      <c r="I179">
        <v>35718.767109815737</v>
      </c>
      <c r="J179">
        <v>34302.930065085173</v>
      </c>
    </row>
    <row r="180" spans="1:10">
      <c r="A180" s="3">
        <v>45980.606944444437</v>
      </c>
      <c r="B180" s="4">
        <v>-33.087928874136757</v>
      </c>
      <c r="C180" s="4">
        <v>178898.62969692241</v>
      </c>
      <c r="D180" s="4">
        <v>78725.386193553772</v>
      </c>
      <c r="E180" s="4">
        <v>100173.24350336861</v>
      </c>
      <c r="F180" s="4">
        <v>0</v>
      </c>
      <c r="G180" s="4">
        <v>1676.7220088401091</v>
      </c>
      <c r="H180" s="4">
        <v>1643.634079965972</v>
      </c>
      <c r="I180" s="4">
        <v>35779.72593938448</v>
      </c>
      <c r="J180" s="4">
        <v>34136.091859418513</v>
      </c>
    </row>
    <row r="181" spans="1:10">
      <c r="A181" s="1">
        <v>45980.607638888891</v>
      </c>
      <c r="B181">
        <v>96.423297487732711</v>
      </c>
      <c r="C181">
        <v>178797.14958545941</v>
      </c>
      <c r="D181">
        <v>78739.401751003228</v>
      </c>
      <c r="E181">
        <v>100057.7478344562</v>
      </c>
      <c r="F181">
        <v>0</v>
      </c>
      <c r="G181">
        <v>1676.7220088401091</v>
      </c>
      <c r="H181">
        <v>1773.145306327842</v>
      </c>
      <c r="I181">
        <v>35759.429917091889</v>
      </c>
      <c r="J181">
        <v>33986.284610764051</v>
      </c>
    </row>
    <row r="182" spans="1:10">
      <c r="A182" s="1">
        <v>45980.60833333333</v>
      </c>
      <c r="B182">
        <v>0.17690672737802521</v>
      </c>
      <c r="C182">
        <v>178893.39597621979</v>
      </c>
      <c r="D182">
        <v>78739.401751003228</v>
      </c>
      <c r="E182">
        <v>100153.99422521651</v>
      </c>
      <c r="F182">
        <v>0</v>
      </c>
      <c r="G182">
        <v>1676.7220088401091</v>
      </c>
      <c r="H182">
        <v>1676.8989155674869</v>
      </c>
      <c r="I182">
        <v>35778.67919524396</v>
      </c>
      <c r="J182">
        <v>34101.780279676474</v>
      </c>
    </row>
    <row r="183" spans="1:10">
      <c r="A183" s="3">
        <v>45980.609027777777</v>
      </c>
      <c r="B183" s="4">
        <v>136.78436517766781</v>
      </c>
      <c r="C183" s="4">
        <v>178953.00632206179</v>
      </c>
      <c r="D183" s="4">
        <v>78837.510653149366</v>
      </c>
      <c r="E183" s="4">
        <v>100115.49566891239</v>
      </c>
      <c r="F183" s="4">
        <v>0</v>
      </c>
      <c r="G183" s="4">
        <v>1676.7220088401091</v>
      </c>
      <c r="H183" s="4">
        <v>1813.506374017777</v>
      </c>
      <c r="I183" s="4">
        <v>35790.601264412348</v>
      </c>
      <c r="J183" s="4">
        <v>33977.094890394583</v>
      </c>
    </row>
    <row r="184" spans="1:10">
      <c r="A184" s="3">
        <v>45980.609722222223</v>
      </c>
      <c r="B184" s="4">
        <v>5.9724956494786738</v>
      </c>
      <c r="C184" s="4">
        <v>178822.19445253359</v>
      </c>
      <c r="D184" s="4">
        <v>78706.698783621177</v>
      </c>
      <c r="E184" s="4">
        <v>100115.49566891239</v>
      </c>
      <c r="F184" s="4">
        <v>0</v>
      </c>
      <c r="G184" s="4">
        <v>1676.7220088401091</v>
      </c>
      <c r="H184" s="4">
        <v>1682.694504489587</v>
      </c>
      <c r="I184" s="4">
        <v>35764.438890506717</v>
      </c>
      <c r="J184" s="4">
        <v>34081.744386017133</v>
      </c>
    </row>
    <row r="185" spans="1:10">
      <c r="A185" s="1">
        <v>45980.61041666667</v>
      </c>
      <c r="B185">
        <v>16.89777789183788</v>
      </c>
      <c r="C185">
        <v>179044.86179444869</v>
      </c>
      <c r="D185">
        <v>78823.495095699924</v>
      </c>
      <c r="E185">
        <v>100221.3666987488</v>
      </c>
      <c r="F185">
        <v>0</v>
      </c>
      <c r="G185">
        <v>1676.7220088401091</v>
      </c>
      <c r="H185">
        <v>1693.619786731947</v>
      </c>
      <c r="I185">
        <v>35808.97235888974</v>
      </c>
      <c r="J185">
        <v>34115.35257215779</v>
      </c>
    </row>
    <row r="186" spans="1:10">
      <c r="A186" s="1">
        <v>45980.611111111109</v>
      </c>
      <c r="B186">
        <v>99.024583820372015</v>
      </c>
      <c r="C186">
        <v>179261.73354744169</v>
      </c>
      <c r="D186">
        <v>78972.994375160706</v>
      </c>
      <c r="E186">
        <v>100288.739172281</v>
      </c>
      <c r="F186">
        <v>0</v>
      </c>
      <c r="G186">
        <v>1676.7220088401091</v>
      </c>
      <c r="H186">
        <v>1775.7465926604809</v>
      </c>
      <c r="I186">
        <v>35852.346709488353</v>
      </c>
      <c r="J186">
        <v>34076.600116827867</v>
      </c>
    </row>
    <row r="187" spans="1:10">
      <c r="A187" s="1">
        <v>45980.611805555563</v>
      </c>
      <c r="B187">
        <v>11.560029806864121</v>
      </c>
      <c r="C187">
        <v>179405.26033125311</v>
      </c>
      <c r="D187">
        <v>79001.025490059605</v>
      </c>
      <c r="E187">
        <v>100404.23484119341</v>
      </c>
      <c r="F187">
        <v>0</v>
      </c>
      <c r="G187">
        <v>1676.7220088401091</v>
      </c>
      <c r="H187">
        <v>1688.282038646973</v>
      </c>
      <c r="I187">
        <v>35881.05206625061</v>
      </c>
      <c r="J187">
        <v>34192.770027603627</v>
      </c>
    </row>
    <row r="188" spans="1:10">
      <c r="A188" s="3">
        <v>45980.612500000003</v>
      </c>
      <c r="B188" s="4">
        <v>87.433405976197662</v>
      </c>
      <c r="C188" s="4">
        <v>179404.1365948141</v>
      </c>
      <c r="D188" s="4">
        <v>79038.400309924808</v>
      </c>
      <c r="E188" s="4">
        <v>100365.7362848893</v>
      </c>
      <c r="F188" s="4">
        <v>0</v>
      </c>
      <c r="G188" s="4">
        <v>1676.7220088401091</v>
      </c>
      <c r="H188" s="4">
        <v>1764.155414816307</v>
      </c>
      <c r="I188" s="4">
        <v>35880.827318962831</v>
      </c>
      <c r="J188" s="4">
        <v>34116.671904146533</v>
      </c>
    </row>
    <row r="189" spans="1:10">
      <c r="A189" s="1">
        <v>45980.613194444442</v>
      </c>
      <c r="B189">
        <v>-63.470544033263309</v>
      </c>
      <c r="C189">
        <v>179349.47903556499</v>
      </c>
      <c r="D189">
        <v>78935.619555295518</v>
      </c>
      <c r="E189">
        <v>100413.8594802695</v>
      </c>
      <c r="F189">
        <v>0</v>
      </c>
      <c r="G189">
        <v>1676.7220088401091</v>
      </c>
      <c r="H189">
        <v>1613.251464806845</v>
      </c>
      <c r="I189">
        <v>35869.895807112996</v>
      </c>
      <c r="J189">
        <v>34256.64434230615</v>
      </c>
    </row>
    <row r="190" spans="1:10">
      <c r="A190" s="1">
        <v>45980.613888888889</v>
      </c>
      <c r="B190">
        <v>-79.348612868516796</v>
      </c>
      <c r="C190">
        <v>179141.10818520901</v>
      </c>
      <c r="D190">
        <v>78823.495095699924</v>
      </c>
      <c r="E190">
        <v>100317.6130895091</v>
      </c>
      <c r="F190">
        <v>0</v>
      </c>
      <c r="G190">
        <v>1676.7220088401091</v>
      </c>
      <c r="H190">
        <v>1597.3733959715919</v>
      </c>
      <c r="I190">
        <v>35828.22163704181</v>
      </c>
      <c r="J190">
        <v>34230.84824107022</v>
      </c>
    </row>
    <row r="191" spans="1:10">
      <c r="A191" s="3">
        <v>45980.614583333343</v>
      </c>
      <c r="B191" s="4">
        <v>-23.567317180441481</v>
      </c>
      <c r="C191" s="4">
        <v>179216.13875904921</v>
      </c>
      <c r="D191" s="4">
        <v>78888.901030464025</v>
      </c>
      <c r="E191" s="4">
        <v>100327.2377285852</v>
      </c>
      <c r="F191" s="4">
        <v>0</v>
      </c>
      <c r="G191" s="4">
        <v>1676.7220088401091</v>
      </c>
      <c r="H191" s="4">
        <v>1653.1546916596669</v>
      </c>
      <c r="I191" s="4">
        <v>35843.227751809827</v>
      </c>
      <c r="J191" s="4">
        <v>34190.073060150156</v>
      </c>
    </row>
    <row r="192" spans="1:10">
      <c r="A192" s="3">
        <v>45980.615277777782</v>
      </c>
      <c r="B192" s="4">
        <v>-214.09355993300241</v>
      </c>
      <c r="C192" s="4">
        <v>179275.85313227351</v>
      </c>
      <c r="D192" s="4">
        <v>78823.495095699924</v>
      </c>
      <c r="E192" s="4">
        <v>100452.3580365736</v>
      </c>
      <c r="F192" s="4">
        <v>0</v>
      </c>
      <c r="G192" s="4">
        <v>1676.7220088401091</v>
      </c>
      <c r="H192" s="4">
        <v>1462.6284489071061</v>
      </c>
      <c r="I192" s="4">
        <v>35855.17062645471</v>
      </c>
      <c r="J192" s="4">
        <v>34392.542177547613</v>
      </c>
    </row>
    <row r="193" spans="1:10">
      <c r="A193" s="3">
        <v>45980.615972222222</v>
      </c>
      <c r="B193" s="4">
        <v>-91.782593041910843</v>
      </c>
      <c r="C193" s="4">
        <v>179340.41626470839</v>
      </c>
      <c r="D193" s="4">
        <v>78916.932145362909</v>
      </c>
      <c r="E193" s="4">
        <v>100423.48411934551</v>
      </c>
      <c r="F193" s="4">
        <v>0</v>
      </c>
      <c r="G193" s="4">
        <v>1676.7220088401091</v>
      </c>
      <c r="H193" s="4">
        <v>1584.9394157981981</v>
      </c>
      <c r="I193" s="4">
        <v>35868.083252941688</v>
      </c>
      <c r="J193" s="4">
        <v>34283.143837143492</v>
      </c>
    </row>
    <row r="194" spans="1:10">
      <c r="A194" s="3">
        <v>45980.616666666669</v>
      </c>
      <c r="B194" s="4">
        <v>-140.74859075128779</v>
      </c>
      <c r="C194" s="4">
        <v>179445.44449221561</v>
      </c>
      <c r="D194" s="4">
        <v>78944.963260261808</v>
      </c>
      <c r="E194" s="4">
        <v>100500.4812319538</v>
      </c>
      <c r="F194" s="4">
        <v>0</v>
      </c>
      <c r="G194" s="4">
        <v>1676.7220088401091</v>
      </c>
      <c r="H194" s="4">
        <v>1535.9734180888211</v>
      </c>
      <c r="I194" s="4">
        <v>35889.088898443122</v>
      </c>
      <c r="J194" s="4">
        <v>34353.115480354303</v>
      </c>
    </row>
    <row r="195" spans="1:10">
      <c r="A195" s="1">
        <v>45980.617361111108</v>
      </c>
      <c r="B195">
        <v>-122.6230490381507</v>
      </c>
      <c r="C195">
        <v>179502.0685902329</v>
      </c>
      <c r="D195">
        <v>78982.33808012701</v>
      </c>
      <c r="E195">
        <v>100519.7305101059</v>
      </c>
      <c r="F195">
        <v>0</v>
      </c>
      <c r="G195">
        <v>1676.7220088401091</v>
      </c>
      <c r="H195">
        <v>1554.098959801958</v>
      </c>
      <c r="I195">
        <v>35900.413718046577</v>
      </c>
      <c r="J195">
        <v>34346.314758244618</v>
      </c>
    </row>
    <row r="196" spans="1:10">
      <c r="A196" s="3">
        <v>45980.618055555547</v>
      </c>
      <c r="B196" s="4">
        <v>-128.59554468761559</v>
      </c>
      <c r="C196" s="4">
        <v>179265.10475675849</v>
      </c>
      <c r="D196" s="4">
        <v>78860.869915565127</v>
      </c>
      <c r="E196" s="4">
        <v>100404.23484119341</v>
      </c>
      <c r="F196" s="4">
        <v>0</v>
      </c>
      <c r="G196" s="4">
        <v>1676.7220088401091</v>
      </c>
      <c r="H196" s="4">
        <v>1548.1264641524931</v>
      </c>
      <c r="I196" s="4">
        <v>35853.020951351711</v>
      </c>
      <c r="J196" s="4">
        <v>34304.894487199221</v>
      </c>
    </row>
    <row r="197" spans="1:10">
      <c r="A197" s="1">
        <v>45980.618750000001</v>
      </c>
      <c r="B197">
        <v>-256.70210050082119</v>
      </c>
      <c r="C197">
        <v>179271.7431480099</v>
      </c>
      <c r="D197">
        <v>78800.135833284163</v>
      </c>
      <c r="E197">
        <v>100471.6073147257</v>
      </c>
      <c r="F197">
        <v>0</v>
      </c>
      <c r="G197">
        <v>1676.7220088401091</v>
      </c>
      <c r="H197">
        <v>1420.0199083392879</v>
      </c>
      <c r="I197">
        <v>35854.348629601976</v>
      </c>
      <c r="J197">
        <v>34434.328721262689</v>
      </c>
    </row>
    <row r="198" spans="1:10">
      <c r="A198" s="1">
        <v>45980.619444444441</v>
      </c>
      <c r="B198">
        <v>-230.35659026033539</v>
      </c>
      <c r="C198">
        <v>179413.5843271628</v>
      </c>
      <c r="D198">
        <v>78884.229177980858</v>
      </c>
      <c r="E198">
        <v>100529.35514918189</v>
      </c>
      <c r="F198">
        <v>0</v>
      </c>
      <c r="G198">
        <v>1676.7220088401091</v>
      </c>
      <c r="H198">
        <v>1446.3654185797729</v>
      </c>
      <c r="I198">
        <v>35882.716865432558</v>
      </c>
      <c r="J198">
        <v>34436.351446852786</v>
      </c>
    </row>
    <row r="199" spans="1:10">
      <c r="A199" s="1">
        <v>45980.620138888888</v>
      </c>
      <c r="B199">
        <v>-235.87124507268709</v>
      </c>
      <c r="C199">
        <v>179465.8175068066</v>
      </c>
      <c r="D199">
        <v>78907.588440396619</v>
      </c>
      <c r="E199">
        <v>100558.22906641</v>
      </c>
      <c r="F199">
        <v>0</v>
      </c>
      <c r="G199">
        <v>1676.7220088401091</v>
      </c>
      <c r="H199">
        <v>1440.850763767422</v>
      </c>
      <c r="I199">
        <v>35893.163501361327</v>
      </c>
      <c r="J199">
        <v>34452.312737593908</v>
      </c>
    </row>
    <row r="200" spans="1:10">
      <c r="A200" s="1">
        <v>45980.620833333327</v>
      </c>
      <c r="B200">
        <v>-173.6284648607097</v>
      </c>
      <c r="C200">
        <v>179104.57616767299</v>
      </c>
      <c r="D200">
        <v>78758.089160935822</v>
      </c>
      <c r="E200">
        <v>100346.4870067372</v>
      </c>
      <c r="F200">
        <v>0</v>
      </c>
      <c r="G200">
        <v>1676.7220088401091</v>
      </c>
      <c r="H200">
        <v>1503.0935439793991</v>
      </c>
      <c r="I200">
        <v>35820.915233534608</v>
      </c>
      <c r="J200">
        <v>34317.82168955521</v>
      </c>
    </row>
    <row r="201" spans="1:10">
      <c r="A201" s="1">
        <v>45980.621527777781</v>
      </c>
      <c r="B201">
        <v>-305.00220260836971</v>
      </c>
      <c r="C201">
        <v>179011.70098622949</v>
      </c>
      <c r="D201">
        <v>78645.964701340228</v>
      </c>
      <c r="E201">
        <v>100365.7362848893</v>
      </c>
      <c r="F201">
        <v>0</v>
      </c>
      <c r="G201">
        <v>1676.7220088401091</v>
      </c>
      <c r="H201">
        <v>1371.7198062317391</v>
      </c>
      <c r="I201">
        <v>35802.340197245903</v>
      </c>
      <c r="J201">
        <v>34430.620391014163</v>
      </c>
    </row>
    <row r="202" spans="1:10">
      <c r="A202" s="1">
        <v>45980.62222222222</v>
      </c>
      <c r="B202">
        <v>-222.03259435061551</v>
      </c>
      <c r="C202">
        <v>179171.66770709559</v>
      </c>
      <c r="D202">
        <v>78767.432865902127</v>
      </c>
      <c r="E202">
        <v>100404.23484119341</v>
      </c>
      <c r="F202">
        <v>0</v>
      </c>
      <c r="G202">
        <v>1676.7220088401091</v>
      </c>
      <c r="H202">
        <v>1454.6894144894929</v>
      </c>
      <c r="I202">
        <v>35834.333541419117</v>
      </c>
      <c r="J202">
        <v>34379.644126929627</v>
      </c>
    </row>
    <row r="203" spans="1:10">
      <c r="A203" s="1">
        <v>45980.622916666667</v>
      </c>
      <c r="B203">
        <v>0</v>
      </c>
      <c r="C203">
        <v>0</v>
      </c>
      <c r="D203">
        <v>0</v>
      </c>
      <c r="E203">
        <v>0</v>
      </c>
      <c r="F203">
        <v>-174.57085109609409</v>
      </c>
      <c r="G203">
        <v>1502.1511577440151</v>
      </c>
      <c r="H203">
        <v>1502.1511577440151</v>
      </c>
      <c r="I203">
        <v>0</v>
      </c>
      <c r="J203">
        <v>-1502.1511577440151</v>
      </c>
    </row>
    <row r="204" spans="1:10">
      <c r="A204" s="3">
        <v>45985.868055555547</v>
      </c>
      <c r="B204" s="4">
        <v>0</v>
      </c>
      <c r="C204" s="4">
        <v>178585.23061905929</v>
      </c>
      <c r="D204" s="4">
        <v>100000</v>
      </c>
      <c r="E204" s="4">
        <v>78585.230619059294</v>
      </c>
      <c r="F204" s="4">
        <v>0</v>
      </c>
      <c r="G204" s="4">
        <v>1502.1511577440151</v>
      </c>
      <c r="H204" s="4">
        <v>1502.1511577440151</v>
      </c>
      <c r="I204" s="4">
        <v>35717.046123811859</v>
      </c>
      <c r="J204" s="4">
        <v>34214.894966067841</v>
      </c>
    </row>
    <row r="205" spans="1:10">
      <c r="A205" s="1">
        <v>45985.868750000001</v>
      </c>
      <c r="B205">
        <v>-120.3874614715691</v>
      </c>
      <c r="C205">
        <v>178705.6180805309</v>
      </c>
      <c r="D205">
        <v>100000</v>
      </c>
      <c r="E205">
        <v>78705.618080530869</v>
      </c>
      <c r="F205">
        <v>0</v>
      </c>
      <c r="G205">
        <v>1502.1511577440151</v>
      </c>
      <c r="H205">
        <v>1381.763696272445</v>
      </c>
      <c r="I205">
        <v>35741.123616106182</v>
      </c>
      <c r="J205">
        <v>34359.359919833732</v>
      </c>
    </row>
    <row r="206" spans="1:10">
      <c r="A206" s="3">
        <v>45985.869444444441</v>
      </c>
      <c r="B206" s="4">
        <v>-126.82881244970881</v>
      </c>
      <c r="C206" s="4">
        <v>178615.83156391859</v>
      </c>
      <c r="D206" s="4">
        <v>99951.886066204781</v>
      </c>
      <c r="E206" s="4">
        <v>78663.945497713779</v>
      </c>
      <c r="F206" s="4">
        <v>0</v>
      </c>
      <c r="G206" s="4">
        <v>1502.1511577440151</v>
      </c>
      <c r="H206" s="4">
        <v>1375.3223452943059</v>
      </c>
      <c r="I206" s="4">
        <v>35723.166312783716</v>
      </c>
      <c r="J206" s="4">
        <v>34347.843967489411</v>
      </c>
    </row>
    <row r="207" spans="1:10">
      <c r="A207" s="1">
        <v>45985.870138888888</v>
      </c>
      <c r="B207">
        <v>-81.612581052033391</v>
      </c>
      <c r="C207">
        <v>178512.87861196659</v>
      </c>
      <c r="D207">
        <v>99923.017705927647</v>
      </c>
      <c r="E207">
        <v>78589.860906038972</v>
      </c>
      <c r="F207">
        <v>0</v>
      </c>
      <c r="G207">
        <v>1502.1511577440151</v>
      </c>
      <c r="H207">
        <v>1420.538576691981</v>
      </c>
      <c r="I207">
        <v>35702.575722393332</v>
      </c>
      <c r="J207">
        <v>34282.037145701353</v>
      </c>
    </row>
    <row r="208" spans="1:10">
      <c r="A208" s="3">
        <v>45985.870833333327</v>
      </c>
      <c r="B208" s="4">
        <v>-3.5436485805907592</v>
      </c>
      <c r="C208" s="4">
        <v>178646.51098819409</v>
      </c>
      <c r="D208" s="4">
        <v>100028.86836027711</v>
      </c>
      <c r="E208" s="4">
        <v>78617.642627917026</v>
      </c>
      <c r="F208" s="4">
        <v>0</v>
      </c>
      <c r="G208" s="4">
        <v>1502.1511577440151</v>
      </c>
      <c r="H208" s="4">
        <v>1498.6075091634241</v>
      </c>
      <c r="I208" s="4">
        <v>35729.302197638834</v>
      </c>
      <c r="J208" s="4">
        <v>34230.694688475407</v>
      </c>
    </row>
    <row r="209" spans="1:10">
      <c r="A209" s="1">
        <v>45985.871527777781</v>
      </c>
      <c r="B209">
        <v>0.36221279969381293</v>
      </c>
      <c r="C209">
        <v>178604.1139797777</v>
      </c>
      <c r="D209">
        <v>100009.62278675901</v>
      </c>
      <c r="E209">
        <v>78594.49119301865</v>
      </c>
      <c r="F209">
        <v>0</v>
      </c>
      <c r="G209">
        <v>1502.1511577440151</v>
      </c>
      <c r="H209">
        <v>1502.513370543709</v>
      </c>
      <c r="I209">
        <v>35720.822795955537</v>
      </c>
      <c r="J209">
        <v>34218.309425411833</v>
      </c>
    </row>
    <row r="210" spans="1:10">
      <c r="A210" s="1">
        <v>45985.87222222222</v>
      </c>
      <c r="B210">
        <v>-128.63987644819051</v>
      </c>
      <c r="C210">
        <v>178521.41476032659</v>
      </c>
      <c r="D210">
        <v>99903.772132409533</v>
      </c>
      <c r="E210">
        <v>78617.642627917026</v>
      </c>
      <c r="F210">
        <v>0</v>
      </c>
      <c r="G210">
        <v>1502.1511577440151</v>
      </c>
      <c r="H210">
        <v>1373.5112812958239</v>
      </c>
      <c r="I210">
        <v>35704.28295206531</v>
      </c>
      <c r="J210">
        <v>34330.771670769493</v>
      </c>
    </row>
    <row r="211" spans="1:10">
      <c r="A211" s="3">
        <v>45985.872916666667</v>
      </c>
      <c r="B211" s="4">
        <v>-74.965976106890992</v>
      </c>
      <c r="C211" s="4">
        <v>178121.32053665959</v>
      </c>
      <c r="D211" s="4">
        <v>99730.561970746727</v>
      </c>
      <c r="E211" s="4">
        <v>78390.758565912911</v>
      </c>
      <c r="F211" s="4">
        <v>0</v>
      </c>
      <c r="G211" s="4">
        <v>1502.1511577440151</v>
      </c>
      <c r="H211" s="4">
        <v>1427.1851816371241</v>
      </c>
      <c r="I211" s="4">
        <v>35624.264107331917</v>
      </c>
      <c r="J211" s="4">
        <v>34197.078925694797</v>
      </c>
    </row>
    <row r="212" spans="1:10">
      <c r="A212" s="1">
        <v>45985.873611111107</v>
      </c>
      <c r="B212">
        <v>90.353983379018615</v>
      </c>
      <c r="C212">
        <v>178129.21073883661</v>
      </c>
      <c r="D212">
        <v>99817.167051578144</v>
      </c>
      <c r="E212">
        <v>78312.043687258425</v>
      </c>
      <c r="F212">
        <v>0</v>
      </c>
      <c r="G212">
        <v>1502.1511577440151</v>
      </c>
      <c r="H212">
        <v>1592.5051411230329</v>
      </c>
      <c r="I212">
        <v>35625.842147767311</v>
      </c>
      <c r="J212">
        <v>34033.33700664428</v>
      </c>
    </row>
    <row r="213" spans="1:10">
      <c r="A213" s="1">
        <v>45985.874305555553</v>
      </c>
      <c r="B213">
        <v>144.54705535268889</v>
      </c>
      <c r="C213">
        <v>178248.22782852571</v>
      </c>
      <c r="D213">
        <v>99903.772132409533</v>
      </c>
      <c r="E213">
        <v>78344.455696116143</v>
      </c>
      <c r="F213">
        <v>0</v>
      </c>
      <c r="G213">
        <v>1502.1511577440151</v>
      </c>
      <c r="H213">
        <v>1646.698213096704</v>
      </c>
      <c r="I213">
        <v>35649.645565705127</v>
      </c>
      <c r="J213">
        <v>34002.947352608433</v>
      </c>
    </row>
    <row r="214" spans="1:10">
      <c r="A214" s="3">
        <v>45986.604166666657</v>
      </c>
      <c r="B214" s="4">
        <v>1002.061715306813</v>
      </c>
      <c r="C214" s="4">
        <v>179161.3059322359</v>
      </c>
      <c r="D214" s="4">
        <v>100789.06851424171</v>
      </c>
      <c r="E214" s="4">
        <v>78372.237417994198</v>
      </c>
      <c r="F214" s="4">
        <v>0</v>
      </c>
      <c r="G214" s="4">
        <v>1502.1511577440151</v>
      </c>
      <c r="H214" s="4">
        <v>2504.212873050828</v>
      </c>
      <c r="I214" s="4">
        <v>35832.261186447176</v>
      </c>
      <c r="J214" s="4">
        <v>33328.048313396357</v>
      </c>
    </row>
    <row r="215" spans="1:10">
      <c r="A215" s="3">
        <v>45986.604861111111</v>
      </c>
      <c r="B215" s="4">
        <v>1319.9758911550041</v>
      </c>
      <c r="C215" s="4">
        <v>179497.7412560028</v>
      </c>
      <c r="D215" s="4">
        <v>101116.24326404931</v>
      </c>
      <c r="E215" s="4">
        <v>78381.497991953554</v>
      </c>
      <c r="F215" s="4">
        <v>0</v>
      </c>
      <c r="G215" s="4">
        <v>1502.1511577440151</v>
      </c>
      <c r="H215" s="4">
        <v>2822.127048899019</v>
      </c>
      <c r="I215" s="4">
        <v>35899.548251200562</v>
      </c>
      <c r="J215" s="4">
        <v>33077.421202301543</v>
      </c>
    </row>
    <row r="216" spans="1:10">
      <c r="A216" s="1">
        <v>45986.605555555558</v>
      </c>
      <c r="B216">
        <v>1027.7003446687149</v>
      </c>
      <c r="C216">
        <v>180251.9105669233</v>
      </c>
      <c r="D216">
        <v>101347.1901462664</v>
      </c>
      <c r="E216">
        <v>78904.720420656929</v>
      </c>
      <c r="F216">
        <v>0</v>
      </c>
      <c r="G216">
        <v>1502.1511577440151</v>
      </c>
      <c r="H216">
        <v>2529.8515024127291</v>
      </c>
      <c r="I216">
        <v>36050.382113384658</v>
      </c>
      <c r="J216">
        <v>33520.530610971931</v>
      </c>
    </row>
    <row r="217" spans="1:10">
      <c r="A217" s="1">
        <v>45986.606249999997</v>
      </c>
      <c r="B217">
        <v>1180.940507214051</v>
      </c>
      <c r="C217">
        <v>180368.10843363119</v>
      </c>
      <c r="D217">
        <v>101481.909160893</v>
      </c>
      <c r="E217">
        <v>78886.199272738231</v>
      </c>
      <c r="F217">
        <v>0</v>
      </c>
      <c r="G217">
        <v>1502.1511577440151</v>
      </c>
      <c r="H217">
        <v>2683.0916649580658</v>
      </c>
      <c r="I217">
        <v>36073.621686726248</v>
      </c>
      <c r="J217">
        <v>33390.53002176818</v>
      </c>
    </row>
    <row r="218" spans="1:10">
      <c r="A218" s="1">
        <v>45986.606944444437</v>
      </c>
      <c r="B218">
        <v>1173.4125178368299</v>
      </c>
      <c r="C218">
        <v>180221.67183486369</v>
      </c>
      <c r="D218">
        <v>101404.92686682061</v>
      </c>
      <c r="E218">
        <v>78816.744968043087</v>
      </c>
      <c r="F218">
        <v>0</v>
      </c>
      <c r="G218">
        <v>1502.1511577440151</v>
      </c>
      <c r="H218">
        <v>2675.563675580845</v>
      </c>
      <c r="I218">
        <v>36044.334366972747</v>
      </c>
      <c r="J218">
        <v>33368.770691391903</v>
      </c>
    </row>
    <row r="219" spans="1:10">
      <c r="A219" s="1">
        <v>45986.607638888891</v>
      </c>
      <c r="B219">
        <v>1201.1942397148871</v>
      </c>
      <c r="C219">
        <v>180193.89011298571</v>
      </c>
      <c r="D219">
        <v>101404.92686682061</v>
      </c>
      <c r="E219">
        <v>78788.963246165033</v>
      </c>
      <c r="F219">
        <v>0</v>
      </c>
      <c r="G219">
        <v>1502.1511577440151</v>
      </c>
      <c r="H219">
        <v>2703.345397458902</v>
      </c>
      <c r="I219">
        <v>36038.778022597129</v>
      </c>
      <c r="J219">
        <v>33335.43262513823</v>
      </c>
    </row>
    <row r="220" spans="1:10">
      <c r="A220" s="3">
        <v>45986.60833333333</v>
      </c>
      <c r="B220" s="4">
        <v>1308.415265846829</v>
      </c>
      <c r="C220" s="4">
        <v>180125.16023388991</v>
      </c>
      <c r="D220" s="4">
        <v>101424.17244033871</v>
      </c>
      <c r="E220" s="4">
        <v>78700.98779355119</v>
      </c>
      <c r="F220" s="4">
        <v>0</v>
      </c>
      <c r="G220" s="4">
        <v>1502.1511577440151</v>
      </c>
      <c r="H220" s="4">
        <v>2810.566423590843</v>
      </c>
      <c r="I220" s="4">
        <v>36025.032046777989</v>
      </c>
      <c r="J220" s="4">
        <v>33214.465623187149</v>
      </c>
    </row>
    <row r="221" spans="1:10">
      <c r="A221" s="3">
        <v>45986.609027777777</v>
      </c>
      <c r="B221" s="4">
        <v>1238.9609611516869</v>
      </c>
      <c r="C221" s="4">
        <v>180194.6145385851</v>
      </c>
      <c r="D221" s="4">
        <v>101424.17244033871</v>
      </c>
      <c r="E221" s="4">
        <v>78770.442098246334</v>
      </c>
      <c r="F221" s="4">
        <v>0</v>
      </c>
      <c r="G221" s="4">
        <v>1502.1511577440151</v>
      </c>
      <c r="H221" s="4">
        <v>2741.1121188957022</v>
      </c>
      <c r="I221" s="4">
        <v>36038.922907717017</v>
      </c>
      <c r="J221" s="4">
        <v>33297.810788821313</v>
      </c>
    </row>
    <row r="222" spans="1:10">
      <c r="A222" s="1">
        <v>45986.609722222223</v>
      </c>
      <c r="B222">
        <v>1122.763094443751</v>
      </c>
      <c r="C222">
        <v>180041.37437603969</v>
      </c>
      <c r="D222">
        <v>101289.4534257121</v>
      </c>
      <c r="E222">
        <v>78751.920950327636</v>
      </c>
      <c r="F222">
        <v>0</v>
      </c>
      <c r="G222">
        <v>1502.1511577440151</v>
      </c>
      <c r="H222">
        <v>2624.9142521877661</v>
      </c>
      <c r="I222">
        <v>36008.274875207942</v>
      </c>
      <c r="J222">
        <v>33383.360623020177</v>
      </c>
    </row>
    <row r="223" spans="1:10">
      <c r="A223" s="3">
        <v>45986.61041666667</v>
      </c>
      <c r="B223" s="4">
        <v>989.13071821620861</v>
      </c>
      <c r="C223" s="4">
        <v>179963.3054435683</v>
      </c>
      <c r="D223" s="4">
        <v>101183.6027713626</v>
      </c>
      <c r="E223" s="4">
        <v>78779.702672205676</v>
      </c>
      <c r="F223" s="4">
        <v>0</v>
      </c>
      <c r="G223" s="4">
        <v>1502.1511577440151</v>
      </c>
      <c r="H223" s="4">
        <v>2491.2818759602228</v>
      </c>
      <c r="I223" s="4">
        <v>35992.661088713663</v>
      </c>
      <c r="J223" s="4">
        <v>33501.379212753433</v>
      </c>
    </row>
    <row r="224" spans="1:10">
      <c r="A224" s="3">
        <v>45986.611111111109</v>
      </c>
      <c r="B224" s="4">
        <v>0</v>
      </c>
      <c r="C224" s="4">
        <v>0</v>
      </c>
      <c r="D224" s="4">
        <v>0</v>
      </c>
      <c r="E224" s="4">
        <v>0</v>
      </c>
      <c r="F224" s="4">
        <v>734.8554987704415</v>
      </c>
      <c r="G224" s="4">
        <v>2237.0066565144562</v>
      </c>
      <c r="H224" s="4">
        <v>2237.0066565144562</v>
      </c>
      <c r="I224" s="4">
        <v>0</v>
      </c>
      <c r="J224" s="4">
        <v>-2237.0066565144562</v>
      </c>
    </row>
    <row r="225" spans="1:10">
      <c r="A225" s="1">
        <v>45986.754861111112</v>
      </c>
      <c r="B225">
        <v>0</v>
      </c>
      <c r="C225">
        <v>178585.23061905929</v>
      </c>
      <c r="D225">
        <v>100000</v>
      </c>
      <c r="E225">
        <v>78585.230619059294</v>
      </c>
      <c r="F225">
        <v>0</v>
      </c>
      <c r="G225">
        <v>2237.0066565144562</v>
      </c>
      <c r="H225">
        <v>2237.0066565144562</v>
      </c>
      <c r="I225">
        <v>35717.046123811859</v>
      </c>
      <c r="J225">
        <v>33480.0394672974</v>
      </c>
    </row>
    <row r="226" spans="1:10">
      <c r="A226" s="1">
        <v>45986.755555555559</v>
      </c>
      <c r="B226">
        <v>29.178678223315409</v>
      </c>
      <c r="C226">
        <v>178670.0120547961</v>
      </c>
      <c r="D226">
        <v>100056.9800569801</v>
      </c>
      <c r="E226">
        <v>78613.031997816041</v>
      </c>
      <c r="F226">
        <v>0</v>
      </c>
      <c r="G226">
        <v>2237.0066565144562</v>
      </c>
      <c r="H226">
        <v>2266.185334737771</v>
      </c>
      <c r="I226">
        <v>35734.00241095922</v>
      </c>
      <c r="J226">
        <v>33467.81707622145</v>
      </c>
    </row>
    <row r="227" spans="1:10">
      <c r="A227" s="3">
        <v>45986.756249999999</v>
      </c>
      <c r="B227" s="4">
        <v>6.2404125037998099</v>
      </c>
      <c r="C227" s="4">
        <v>178711.94367284229</v>
      </c>
      <c r="D227" s="4">
        <v>100066.4767331434</v>
      </c>
      <c r="E227" s="4">
        <v>78645.46693969889</v>
      </c>
      <c r="F227" s="4">
        <v>0</v>
      </c>
      <c r="G227" s="4">
        <v>2237.0066565144562</v>
      </c>
      <c r="H227" s="4">
        <v>2243.2470690182558</v>
      </c>
      <c r="I227" s="4">
        <v>35742.388734568463</v>
      </c>
      <c r="J227" s="4">
        <v>33499.141665550203</v>
      </c>
    </row>
    <row r="228" spans="1:10">
      <c r="A228" s="1">
        <v>45986.756944444453</v>
      </c>
      <c r="B228">
        <v>43.768017334973123</v>
      </c>
      <c r="C228">
        <v>178712.4027726645</v>
      </c>
      <c r="D228">
        <v>100085.47008547009</v>
      </c>
      <c r="E228">
        <v>78626.932687194407</v>
      </c>
      <c r="F228">
        <v>0</v>
      </c>
      <c r="G228">
        <v>2237.0066565144562</v>
      </c>
      <c r="H228">
        <v>2280.7746738494288</v>
      </c>
      <c r="I228">
        <v>35742.4805545329</v>
      </c>
      <c r="J228">
        <v>33461.705880683468</v>
      </c>
    </row>
    <row r="229" spans="1:10">
      <c r="A229" s="3">
        <v>45986.757638888892</v>
      </c>
      <c r="B229" s="4">
        <v>43.538467423877727</v>
      </c>
      <c r="C229" s="4">
        <v>178693.6389702489</v>
      </c>
      <c r="D229" s="4">
        <v>100075.97340930669</v>
      </c>
      <c r="E229" s="4">
        <v>78617.665560942158</v>
      </c>
      <c r="F229" s="4">
        <v>0</v>
      </c>
      <c r="G229" s="4">
        <v>2237.0066565144562</v>
      </c>
      <c r="H229" s="4">
        <v>2280.5451239383342</v>
      </c>
      <c r="I229" s="4">
        <v>35738.727794049781</v>
      </c>
      <c r="J229" s="4">
        <v>33458.182670111448</v>
      </c>
    </row>
    <row r="230" spans="1:10">
      <c r="A230" s="3">
        <v>45986.758333333331</v>
      </c>
      <c r="B230" s="4">
        <v>-8.1193766967760013</v>
      </c>
      <c r="C230" s="4">
        <v>178688.31675738949</v>
      </c>
      <c r="D230" s="4">
        <v>100047.4833808167</v>
      </c>
      <c r="E230" s="4">
        <v>78640.833376572773</v>
      </c>
      <c r="F230" s="4">
        <v>0</v>
      </c>
      <c r="G230" s="4">
        <v>2237.0066565144562</v>
      </c>
      <c r="H230" s="4">
        <v>2228.8872798176799</v>
      </c>
      <c r="I230" s="4">
        <v>35737.663351477902</v>
      </c>
      <c r="J230" s="4">
        <v>33508.776071660221</v>
      </c>
    </row>
    <row r="231" spans="1:10">
      <c r="A231" s="3">
        <v>45986.759027777778</v>
      </c>
      <c r="B231" s="4">
        <v>-40.324768668543904</v>
      </c>
      <c r="C231" s="4">
        <v>178739.51550168791</v>
      </c>
      <c r="D231" s="4">
        <v>100056.9800569801</v>
      </c>
      <c r="E231" s="4">
        <v>78682.535444707886</v>
      </c>
      <c r="F231" s="4">
        <v>0</v>
      </c>
      <c r="G231" s="4">
        <v>2237.0066565144562</v>
      </c>
      <c r="H231" s="4">
        <v>2196.6818878459121</v>
      </c>
      <c r="I231" s="4">
        <v>35747.903100337593</v>
      </c>
      <c r="J231" s="4">
        <v>33551.221212491677</v>
      </c>
    </row>
    <row r="232" spans="1:10">
      <c r="A232" s="3">
        <v>45986.759722222218</v>
      </c>
      <c r="B232" s="4">
        <v>-8.3489266078578979</v>
      </c>
      <c r="C232" s="4">
        <v>178669.55295497389</v>
      </c>
      <c r="D232" s="4">
        <v>100037.98670465341</v>
      </c>
      <c r="E232" s="4">
        <v>78631.566250320524</v>
      </c>
      <c r="F232" s="4">
        <v>0</v>
      </c>
      <c r="G232" s="4">
        <v>2237.0066565144562</v>
      </c>
      <c r="H232" s="4">
        <v>2228.657729906598</v>
      </c>
      <c r="I232" s="4">
        <v>35733.910590994783</v>
      </c>
      <c r="J232" s="4">
        <v>33505.252861088178</v>
      </c>
    </row>
    <row r="233" spans="1:10">
      <c r="A233" s="1">
        <v>45986.760416666657</v>
      </c>
      <c r="B233">
        <v>-12.75293982289557</v>
      </c>
      <c r="C233">
        <v>178692.95032051561</v>
      </c>
      <c r="D233">
        <v>100047.4833808167</v>
      </c>
      <c r="E233">
        <v>78645.46693969889</v>
      </c>
      <c r="F233">
        <v>0</v>
      </c>
      <c r="G233">
        <v>2237.0066565144562</v>
      </c>
      <c r="H233">
        <v>2224.2537166915599</v>
      </c>
      <c r="I233">
        <v>35738.590064103133</v>
      </c>
      <c r="J233">
        <v>33514.336347411569</v>
      </c>
    </row>
    <row r="234" spans="1:10">
      <c r="A234" s="1">
        <v>45986.761111111111</v>
      </c>
      <c r="B234">
        <v>-36.379855275710177</v>
      </c>
      <c r="C234">
        <v>178678.5905313151</v>
      </c>
      <c r="D234">
        <v>100028.49002849001</v>
      </c>
      <c r="E234">
        <v>78650.100502825037</v>
      </c>
      <c r="F234">
        <v>0</v>
      </c>
      <c r="G234">
        <v>2237.0066565144562</v>
      </c>
      <c r="H234">
        <v>2200.6268012387459</v>
      </c>
      <c r="I234">
        <v>35735.718106263019</v>
      </c>
      <c r="J234">
        <v>33535.091305024267</v>
      </c>
    </row>
    <row r="235" spans="1:10">
      <c r="A235" s="3">
        <v>45986.761805555558</v>
      </c>
      <c r="B235" s="4">
        <v>-55.602757513487447</v>
      </c>
      <c r="C235" s="4">
        <v>178640.83337657279</v>
      </c>
      <c r="D235" s="4">
        <v>100000</v>
      </c>
      <c r="E235" s="4">
        <v>78640.833376572773</v>
      </c>
      <c r="F235" s="4">
        <v>0</v>
      </c>
      <c r="G235" s="4">
        <v>2237.0066565144562</v>
      </c>
      <c r="H235" s="4">
        <v>2181.403899000969</v>
      </c>
      <c r="I235" s="4">
        <v>35728.166675314547</v>
      </c>
      <c r="J235" s="4">
        <v>33546.762776313582</v>
      </c>
    </row>
    <row r="236" spans="1:10">
      <c r="A236" s="1">
        <v>45986.762499999997</v>
      </c>
      <c r="B236">
        <v>-51.198744298449782</v>
      </c>
      <c r="C236">
        <v>178617.4360110311</v>
      </c>
      <c r="D236">
        <v>99990.50332383666</v>
      </c>
      <c r="E236">
        <v>78626.932687194407</v>
      </c>
      <c r="F236">
        <v>0</v>
      </c>
      <c r="G236">
        <v>2237.0066565144562</v>
      </c>
      <c r="H236">
        <v>2185.807912216007</v>
      </c>
      <c r="I236">
        <v>35723.487202206212</v>
      </c>
      <c r="J236">
        <v>33537.679289990207</v>
      </c>
    </row>
    <row r="237" spans="1:10">
      <c r="A237" s="1">
        <v>45986.763194444437</v>
      </c>
      <c r="B237">
        <v>-18.07515268231414</v>
      </c>
      <c r="C237">
        <v>178641.292476395</v>
      </c>
      <c r="D237">
        <v>100018.9933523267</v>
      </c>
      <c r="E237">
        <v>78622.29912406829</v>
      </c>
      <c r="F237">
        <v>0</v>
      </c>
      <c r="G237">
        <v>2237.0066565144562</v>
      </c>
      <c r="H237">
        <v>2218.931503832142</v>
      </c>
      <c r="I237">
        <v>35728.258495278998</v>
      </c>
      <c r="J237">
        <v>33509.326991446847</v>
      </c>
    </row>
    <row r="238" spans="1:10">
      <c r="A238" s="3">
        <v>45986.763888888891</v>
      </c>
      <c r="B238" s="4">
        <v>-8.8080264300618438</v>
      </c>
      <c r="C238" s="4">
        <v>178632.02535014271</v>
      </c>
      <c r="D238" s="4">
        <v>100018.9933523267</v>
      </c>
      <c r="E238" s="4">
        <v>78613.031997816041</v>
      </c>
      <c r="F238" s="4">
        <v>0</v>
      </c>
      <c r="G238" s="4">
        <v>2237.0066565144562</v>
      </c>
      <c r="H238" s="4">
        <v>2228.1986300843942</v>
      </c>
      <c r="I238" s="4">
        <v>35726.405070028552</v>
      </c>
      <c r="J238" s="4">
        <v>33498.206439944159</v>
      </c>
    </row>
    <row r="239" spans="1:10">
      <c r="A239" s="1">
        <v>45986.76458333333</v>
      </c>
      <c r="B239">
        <v>-73.677910195801601</v>
      </c>
      <c r="C239">
        <v>178696.89523390841</v>
      </c>
      <c r="D239">
        <v>100018.9933523267</v>
      </c>
      <c r="E239">
        <v>78677.901881581769</v>
      </c>
      <c r="F239">
        <v>0</v>
      </c>
      <c r="G239">
        <v>2237.0066565144562</v>
      </c>
      <c r="H239">
        <v>2163.3287463186539</v>
      </c>
      <c r="I239">
        <v>35739.379046781687</v>
      </c>
      <c r="J239">
        <v>33576.05030046303</v>
      </c>
    </row>
    <row r="240" spans="1:10">
      <c r="A240" s="1">
        <v>45986.765277777777</v>
      </c>
      <c r="B240">
        <v>-35.691205542424349</v>
      </c>
      <c r="C240">
        <v>178734.8819385618</v>
      </c>
      <c r="D240">
        <v>100056.9800569801</v>
      </c>
      <c r="E240">
        <v>78677.901881581769</v>
      </c>
      <c r="F240">
        <v>0</v>
      </c>
      <c r="G240">
        <v>2237.0066565144562</v>
      </c>
      <c r="H240">
        <v>2201.3154509720321</v>
      </c>
      <c r="I240">
        <v>35746.97638771237</v>
      </c>
      <c r="J240">
        <v>33545.660936740343</v>
      </c>
    </row>
    <row r="241" spans="1:10">
      <c r="A241" s="3">
        <v>45986.765972222223</v>
      </c>
      <c r="B241" s="4">
        <v>-35.461655631315779</v>
      </c>
      <c r="C241" s="4">
        <v>178753.6457409774</v>
      </c>
      <c r="D241" s="4">
        <v>100066.4767331434</v>
      </c>
      <c r="E241" s="4">
        <v>78687.169007834018</v>
      </c>
      <c r="F241" s="4">
        <v>0</v>
      </c>
      <c r="G241" s="4">
        <v>2237.0066565144562</v>
      </c>
      <c r="H241" s="4">
        <v>2201.5450008831399</v>
      </c>
      <c r="I241" s="4">
        <v>35750.729148195489</v>
      </c>
      <c r="J241" s="4">
        <v>33549.18414731235</v>
      </c>
    </row>
    <row r="242" spans="1:10">
      <c r="A242" s="1">
        <v>45986.76666666667</v>
      </c>
      <c r="B242">
        <v>-54.225458046915769</v>
      </c>
      <c r="C242">
        <v>178753.4161910663</v>
      </c>
      <c r="D242">
        <v>100056.9800569801</v>
      </c>
      <c r="E242">
        <v>78696.436134086267</v>
      </c>
      <c r="F242">
        <v>0</v>
      </c>
      <c r="G242">
        <v>2237.0066565144562</v>
      </c>
      <c r="H242">
        <v>2182.78119846754</v>
      </c>
      <c r="I242">
        <v>35750.683238213263</v>
      </c>
      <c r="J242">
        <v>33567.902039745721</v>
      </c>
    </row>
    <row r="243" spans="1:10">
      <c r="A243" s="1">
        <v>45986.767361111109</v>
      </c>
      <c r="B243">
        <v>-90.834863233721336</v>
      </c>
      <c r="C243">
        <v>178828.0123009065</v>
      </c>
      <c r="D243">
        <v>100075.97340930669</v>
      </c>
      <c r="E243">
        <v>78752.038891599746</v>
      </c>
      <c r="F243">
        <v>0</v>
      </c>
      <c r="G243">
        <v>2237.0066565144562</v>
      </c>
      <c r="H243">
        <v>2146.1717932807351</v>
      </c>
      <c r="I243">
        <v>35765.602460181297</v>
      </c>
      <c r="J243">
        <v>33619.43066690056</v>
      </c>
    </row>
    <row r="244" spans="1:10">
      <c r="A244" s="3">
        <v>45986.768055555563</v>
      </c>
      <c r="B244" s="4">
        <v>-76.704623944240936</v>
      </c>
      <c r="C244" s="4">
        <v>178832.87541394369</v>
      </c>
      <c r="D244" s="4">
        <v>100085.47008547009</v>
      </c>
      <c r="E244" s="4">
        <v>78747.405328473615</v>
      </c>
      <c r="F244" s="4">
        <v>0</v>
      </c>
      <c r="G244" s="4">
        <v>2237.0066565144562</v>
      </c>
      <c r="H244" s="4">
        <v>2160.302032570215</v>
      </c>
      <c r="I244" s="4">
        <v>35766.575082788753</v>
      </c>
      <c r="J244" s="4">
        <v>33606.27305021853</v>
      </c>
    </row>
    <row r="245" spans="1:10">
      <c r="A245" s="1">
        <v>45986.768750000003</v>
      </c>
      <c r="B245">
        <v>-110.2873153825805</v>
      </c>
      <c r="C245">
        <v>178771.49134374861</v>
      </c>
      <c r="D245">
        <v>100037.98670465341</v>
      </c>
      <c r="E245">
        <v>78733.504639095248</v>
      </c>
      <c r="F245">
        <v>0</v>
      </c>
      <c r="G245">
        <v>2237.0066565144562</v>
      </c>
      <c r="H245">
        <v>2126.7193411318758</v>
      </c>
      <c r="I245">
        <v>35754.298268749728</v>
      </c>
      <c r="J245">
        <v>33627.578927617848</v>
      </c>
    </row>
    <row r="246" spans="1:10">
      <c r="A246" s="1">
        <v>45986.769444444442</v>
      </c>
      <c r="B246">
        <v>-99.642889663769679</v>
      </c>
      <c r="C246">
        <v>178874.80703198991</v>
      </c>
      <c r="D246">
        <v>100094.9667616334</v>
      </c>
      <c r="E246">
        <v>78779.840270356493</v>
      </c>
      <c r="F246">
        <v>0</v>
      </c>
      <c r="G246">
        <v>2237.0066565144562</v>
      </c>
      <c r="H246">
        <v>2137.3637668506858</v>
      </c>
      <c r="I246">
        <v>35774.961406397983</v>
      </c>
      <c r="J246">
        <v>33637.597639547297</v>
      </c>
    </row>
    <row r="247" spans="1:10">
      <c r="A247" s="3">
        <v>45986.770138888889</v>
      </c>
      <c r="B247" s="4">
        <v>-104.2764527898893</v>
      </c>
      <c r="C247" s="4">
        <v>178879.44059511609</v>
      </c>
      <c r="D247" s="4">
        <v>100094.9667616334</v>
      </c>
      <c r="E247" s="4">
        <v>78784.473833482611</v>
      </c>
      <c r="F247" s="4">
        <v>0</v>
      </c>
      <c r="G247" s="4">
        <v>2237.0066565144562</v>
      </c>
      <c r="H247" s="4">
        <v>2132.7302037245672</v>
      </c>
      <c r="I247" s="4">
        <v>35775.888119023213</v>
      </c>
      <c r="J247" s="4">
        <v>33643.157915298652</v>
      </c>
    </row>
    <row r="248" spans="1:10">
      <c r="A248" s="1">
        <v>45986.770833333343</v>
      </c>
      <c r="B248">
        <v>-132.53693136883689</v>
      </c>
      <c r="C248">
        <v>178869.71436904161</v>
      </c>
      <c r="D248">
        <v>100075.97340930669</v>
      </c>
      <c r="E248">
        <v>78793.740959734874</v>
      </c>
      <c r="F248">
        <v>0</v>
      </c>
      <c r="G248">
        <v>2237.0066565144562</v>
      </c>
      <c r="H248">
        <v>2104.4697251456191</v>
      </c>
      <c r="I248">
        <v>35773.942873808322</v>
      </c>
      <c r="J248">
        <v>33669.473148662713</v>
      </c>
    </row>
    <row r="249" spans="1:10">
      <c r="A249" s="3">
        <v>45986.771527777782</v>
      </c>
      <c r="B249" s="4">
        <v>-99.183789841579241</v>
      </c>
      <c r="C249" s="4">
        <v>178912.33463682109</v>
      </c>
      <c r="D249" s="4">
        <v>100113.9601139601</v>
      </c>
      <c r="E249" s="4">
        <v>78798.374522860991</v>
      </c>
      <c r="F249" s="4">
        <v>0</v>
      </c>
      <c r="G249" s="4">
        <v>2237.0066565144562</v>
      </c>
      <c r="H249" s="4">
        <v>2137.8228666728769</v>
      </c>
      <c r="I249" s="4">
        <v>35782.466927364228</v>
      </c>
      <c r="J249" s="4">
        <v>33644.644060691353</v>
      </c>
    </row>
    <row r="250" spans="1:10">
      <c r="A250" s="3">
        <v>45986.772222222222</v>
      </c>
      <c r="B250" s="4">
        <v>-135.79319502838479</v>
      </c>
      <c r="C250" s="4">
        <v>178986.9307466613</v>
      </c>
      <c r="D250" s="4">
        <v>100132.9534662868</v>
      </c>
      <c r="E250" s="4">
        <v>78853.977280374471</v>
      </c>
      <c r="F250" s="4">
        <v>0</v>
      </c>
      <c r="G250" s="4">
        <v>2237.0066565144562</v>
      </c>
      <c r="H250" s="4">
        <v>2101.213461486072</v>
      </c>
      <c r="I250" s="4">
        <v>35797.386149332247</v>
      </c>
      <c r="J250" s="4">
        <v>33696.172687846178</v>
      </c>
    </row>
    <row r="251" spans="1:10">
      <c r="A251" s="3">
        <v>45986.772916666669</v>
      </c>
      <c r="B251" s="4">
        <v>-135.33409520619441</v>
      </c>
      <c r="C251" s="4">
        <v>179024.45835149239</v>
      </c>
      <c r="D251" s="4">
        <v>100151.94681861351</v>
      </c>
      <c r="E251" s="4">
        <v>78872.511532878969</v>
      </c>
      <c r="F251" s="4">
        <v>0</v>
      </c>
      <c r="G251" s="4">
        <v>2237.0066565144562</v>
      </c>
      <c r="H251" s="4">
        <v>2101.6725613082622</v>
      </c>
      <c r="I251" s="4">
        <v>35804.891670298493</v>
      </c>
      <c r="J251" s="4">
        <v>33703.219108990234</v>
      </c>
    </row>
    <row r="252" spans="1:10">
      <c r="A252" s="1">
        <v>45986.773611111108</v>
      </c>
      <c r="B252">
        <v>-97.806490375007542</v>
      </c>
      <c r="C252">
        <v>179024.9174513146</v>
      </c>
      <c r="D252">
        <v>100170.9401709402</v>
      </c>
      <c r="E252">
        <v>78853.977280374471</v>
      </c>
      <c r="F252">
        <v>0</v>
      </c>
      <c r="G252">
        <v>2237.0066565144562</v>
      </c>
      <c r="H252">
        <v>2139.2001661394488</v>
      </c>
      <c r="I252">
        <v>35804.98349026293</v>
      </c>
      <c r="J252">
        <v>33665.783324123477</v>
      </c>
    </row>
    <row r="253" spans="1:10">
      <c r="A253" s="3">
        <v>45986.774305555547</v>
      </c>
      <c r="B253" s="4">
        <v>-111.70717975337941</v>
      </c>
      <c r="C253" s="4">
        <v>179038.81814069301</v>
      </c>
      <c r="D253" s="4">
        <v>100170.9401709402</v>
      </c>
      <c r="E253" s="4">
        <v>78867.877969752852</v>
      </c>
      <c r="F253" s="4">
        <v>0</v>
      </c>
      <c r="G253" s="4">
        <v>2237.0066565144562</v>
      </c>
      <c r="H253" s="4">
        <v>2125.2994767610771</v>
      </c>
      <c r="I253" s="4">
        <v>35807.7636281386</v>
      </c>
      <c r="J253" s="4">
        <v>33682.46415137752</v>
      </c>
    </row>
    <row r="254" spans="1:10">
      <c r="A254" s="1">
        <v>45986.775000000001</v>
      </c>
      <c r="B254">
        <v>-145.51942110281439</v>
      </c>
      <c r="C254">
        <v>178958.67026808241</v>
      </c>
      <c r="D254">
        <v>100113.9601139601</v>
      </c>
      <c r="E254">
        <v>78844.710154122222</v>
      </c>
      <c r="F254">
        <v>0</v>
      </c>
      <c r="G254">
        <v>2237.0066565144562</v>
      </c>
      <c r="H254">
        <v>2091.4872354116419</v>
      </c>
      <c r="I254">
        <v>35791.73405361647</v>
      </c>
      <c r="J254">
        <v>33700.246818204832</v>
      </c>
    </row>
    <row r="255" spans="1:10">
      <c r="A255" s="3">
        <v>45986.775694444441</v>
      </c>
      <c r="B255" s="4">
        <v>-113.77312895323701</v>
      </c>
      <c r="C255" s="4">
        <v>178869.94391895269</v>
      </c>
      <c r="D255" s="4">
        <v>100085.47008547009</v>
      </c>
      <c r="E255" s="4">
        <v>78784.473833482611</v>
      </c>
      <c r="F255" s="4">
        <v>0</v>
      </c>
      <c r="G255" s="4">
        <v>2237.0066565144562</v>
      </c>
      <c r="H255" s="4">
        <v>2123.233527561219</v>
      </c>
      <c r="I255" s="4">
        <v>35773.988783790548</v>
      </c>
      <c r="J255" s="4">
        <v>33650.755256229328</v>
      </c>
    </row>
    <row r="256" spans="1:10">
      <c r="A256" s="3">
        <v>45986.776388888888</v>
      </c>
      <c r="B256" s="4">
        <v>-147.35582039157649</v>
      </c>
      <c r="C256" s="4">
        <v>178808.55984875761</v>
      </c>
      <c r="D256" s="4">
        <v>100037.98670465341</v>
      </c>
      <c r="E256" s="4">
        <v>78770.573144104244</v>
      </c>
      <c r="F256" s="4">
        <v>0</v>
      </c>
      <c r="G256" s="4">
        <v>2237.0066565144562</v>
      </c>
      <c r="H256" s="4">
        <v>2089.6508361228798</v>
      </c>
      <c r="I256" s="4">
        <v>35761.71196975153</v>
      </c>
      <c r="J256" s="4">
        <v>33672.061133628653</v>
      </c>
    </row>
    <row r="257" spans="1:10">
      <c r="A257" s="1">
        <v>45986.777083333327</v>
      </c>
      <c r="B257">
        <v>0</v>
      </c>
      <c r="C257">
        <v>0</v>
      </c>
      <c r="D257">
        <v>0</v>
      </c>
      <c r="E257">
        <v>0</v>
      </c>
      <c r="F257">
        <v>-158.55999846368269</v>
      </c>
      <c r="G257">
        <v>2078.4466580507728</v>
      </c>
      <c r="H257">
        <v>2078.4466580507728</v>
      </c>
      <c r="I257">
        <v>0</v>
      </c>
      <c r="J257">
        <v>-2078.4466580507728</v>
      </c>
    </row>
    <row r="258" spans="1:10">
      <c r="A258" s="3">
        <v>45986.871527777781</v>
      </c>
      <c r="B258" s="4">
        <v>0</v>
      </c>
      <c r="C258" s="4">
        <v>178585.23061905929</v>
      </c>
      <c r="D258" s="4">
        <v>100000</v>
      </c>
      <c r="E258" s="4">
        <v>78585.230619059294</v>
      </c>
      <c r="F258" s="4">
        <v>0</v>
      </c>
      <c r="G258" s="4">
        <v>2078.4466580507728</v>
      </c>
      <c r="H258" s="4">
        <v>2078.4466580507728</v>
      </c>
      <c r="I258" s="4">
        <v>35717.046123811859</v>
      </c>
      <c r="J258" s="4">
        <v>33638.599465761094</v>
      </c>
    </row>
    <row r="259" spans="1:10">
      <c r="A259" s="3">
        <v>45986.87222222222</v>
      </c>
      <c r="B259" s="4">
        <v>-50.249266220973198</v>
      </c>
      <c r="C259" s="4">
        <v>178673.5714956031</v>
      </c>
      <c r="D259" s="4">
        <v>100019.0458051614</v>
      </c>
      <c r="E259" s="4">
        <v>78654.525690441675</v>
      </c>
      <c r="F259" s="4">
        <v>0</v>
      </c>
      <c r="G259" s="4">
        <v>2078.4466580507728</v>
      </c>
      <c r="H259" s="4">
        <v>2028.1973918297999</v>
      </c>
      <c r="I259" s="4">
        <v>35734.714299120613</v>
      </c>
      <c r="J259" s="4">
        <v>33706.51690729081</v>
      </c>
    </row>
    <row r="260" spans="1:10">
      <c r="A260" s="1">
        <v>45986.872916666667</v>
      </c>
      <c r="B260">
        <v>-101.9163310905637</v>
      </c>
      <c r="C260">
        <v>178668.10114498841</v>
      </c>
      <c r="D260">
        <v>99990.477097419294</v>
      </c>
      <c r="E260">
        <v>78677.624047569145</v>
      </c>
      <c r="F260">
        <v>0</v>
      </c>
      <c r="G260">
        <v>2078.4466580507728</v>
      </c>
      <c r="H260">
        <v>1976.53032696021</v>
      </c>
      <c r="I260">
        <v>35733.620228997694</v>
      </c>
      <c r="J260">
        <v>33757.089902037478</v>
      </c>
    </row>
    <row r="261" spans="1:10">
      <c r="A261" s="1">
        <v>45986.873611111107</v>
      </c>
      <c r="B261">
        <v>-126.999606326066</v>
      </c>
      <c r="C261">
        <v>178559.86378409411</v>
      </c>
      <c r="D261">
        <v>99923.816779354354</v>
      </c>
      <c r="E261">
        <v>78636.04700473971</v>
      </c>
      <c r="F261">
        <v>0</v>
      </c>
      <c r="G261">
        <v>2078.4466580507728</v>
      </c>
      <c r="H261">
        <v>1951.4470517247071</v>
      </c>
      <c r="I261">
        <v>35711.97275681881</v>
      </c>
      <c r="J261">
        <v>33760.5257050941</v>
      </c>
    </row>
    <row r="262" spans="1:10">
      <c r="A262" s="1">
        <v>45986.874305555553</v>
      </c>
      <c r="B262">
        <v>-98.998018043400208</v>
      </c>
      <c r="C262">
        <v>178550.90800097279</v>
      </c>
      <c r="D262">
        <v>99933.339681935046</v>
      </c>
      <c r="E262">
        <v>78617.568319037731</v>
      </c>
      <c r="F262">
        <v>0</v>
      </c>
      <c r="G262">
        <v>2078.4466580507728</v>
      </c>
      <c r="H262">
        <v>1979.4486400073729</v>
      </c>
      <c r="I262">
        <v>35710.181600194563</v>
      </c>
      <c r="J262">
        <v>33730.732960187182</v>
      </c>
    </row>
    <row r="263" spans="1:10">
      <c r="A263" s="1">
        <v>45987.604166666657</v>
      </c>
      <c r="B263">
        <v>-28.084304032634439</v>
      </c>
      <c r="C263">
        <v>178899.00200051311</v>
      </c>
      <c r="D263">
        <v>100142.8435387106</v>
      </c>
      <c r="E263">
        <v>78756.158461802508</v>
      </c>
      <c r="F263">
        <v>0</v>
      </c>
      <c r="G263">
        <v>2078.4466580507728</v>
      </c>
      <c r="H263">
        <v>2050.3623540181388</v>
      </c>
      <c r="I263">
        <v>35779.80040010262</v>
      </c>
      <c r="J263">
        <v>33729.438046084477</v>
      </c>
    </row>
    <row r="264" spans="1:10">
      <c r="A264" s="3">
        <v>45987.604861111111</v>
      </c>
      <c r="B264" s="4">
        <v>24.149880296384509</v>
      </c>
      <c r="C264" s="4">
        <v>178941.99684199109</v>
      </c>
      <c r="D264" s="4">
        <v>100190.4580516141</v>
      </c>
      <c r="E264" s="4">
        <v>78751.538790377032</v>
      </c>
      <c r="F264" s="4">
        <v>0</v>
      </c>
      <c r="G264" s="4">
        <v>2078.4466580507728</v>
      </c>
      <c r="H264" s="4">
        <v>2102.596538347158</v>
      </c>
      <c r="I264" s="4">
        <v>35788.399368398233</v>
      </c>
      <c r="J264" s="4">
        <v>33685.802830051078</v>
      </c>
    </row>
    <row r="265" spans="1:10">
      <c r="A265" s="3">
        <v>45987.605555555558</v>
      </c>
      <c r="B265" s="4">
        <v>31.32158928937406</v>
      </c>
      <c r="C265" s="4">
        <v>179106.2373794509</v>
      </c>
      <c r="D265" s="4">
        <v>100276.16417484049</v>
      </c>
      <c r="E265" s="4">
        <v>78830.073204610395</v>
      </c>
      <c r="F265" s="4">
        <v>0</v>
      </c>
      <c r="G265" s="4">
        <v>2078.4466580507728</v>
      </c>
      <c r="H265" s="4">
        <v>2109.7682473401469</v>
      </c>
      <c r="I265" s="4">
        <v>35821.247475890174</v>
      </c>
      <c r="J265" s="4">
        <v>33711.47922855003</v>
      </c>
    </row>
    <row r="266" spans="1:10">
      <c r="A266" s="1">
        <v>45987.606249999997</v>
      </c>
      <c r="B266">
        <v>26.902761843638071</v>
      </c>
      <c r="C266">
        <v>179434.43489464061</v>
      </c>
      <c r="D266">
        <v>100438.05351871251</v>
      </c>
      <c r="E266">
        <v>78996.381375928147</v>
      </c>
      <c r="F266">
        <v>0</v>
      </c>
      <c r="G266">
        <v>2078.4466580507728</v>
      </c>
      <c r="H266">
        <v>2105.3494198944109</v>
      </c>
      <c r="I266">
        <v>35886.886978928131</v>
      </c>
      <c r="J266">
        <v>33781.537559033721</v>
      </c>
    </row>
    <row r="267" spans="1:10">
      <c r="A267" s="3">
        <v>45987.606944444437</v>
      </c>
      <c r="B267" s="4">
        <v>4.6550839053310824</v>
      </c>
      <c r="C267" s="4">
        <v>179513.81998806319</v>
      </c>
      <c r="D267" s="4">
        <v>100466.62222645459</v>
      </c>
      <c r="E267" s="4">
        <v>79047.197761608579</v>
      </c>
      <c r="F267" s="4">
        <v>0</v>
      </c>
      <c r="G267" s="4">
        <v>2078.4466580507728</v>
      </c>
      <c r="H267" s="4">
        <v>2083.101741956104</v>
      </c>
      <c r="I267" s="4">
        <v>35902.763997612637</v>
      </c>
      <c r="J267" s="4">
        <v>33819.662255656527</v>
      </c>
    </row>
    <row r="268" spans="1:10">
      <c r="A268" s="3">
        <v>45987.607638888891</v>
      </c>
      <c r="B268" s="4">
        <v>0</v>
      </c>
      <c r="C268" s="4">
        <v>0</v>
      </c>
      <c r="D268" s="4">
        <v>0</v>
      </c>
      <c r="E268" s="4">
        <v>0</v>
      </c>
      <c r="F268" s="4">
        <v>57.753466679185252</v>
      </c>
      <c r="G268" s="4">
        <v>2136.200124729959</v>
      </c>
      <c r="H268" s="4">
        <v>2136.200124729959</v>
      </c>
      <c r="I268" s="4">
        <v>0</v>
      </c>
      <c r="J268" s="4">
        <v>-2136.200124729959</v>
      </c>
    </row>
    <row r="269" spans="1:10">
      <c r="A269" s="3">
        <v>45989.604166666657</v>
      </c>
      <c r="B269" s="4">
        <v>0</v>
      </c>
      <c r="C269" s="4">
        <v>173858.20722520779</v>
      </c>
      <c r="D269" s="4">
        <v>73858.207225207792</v>
      </c>
      <c r="E269" s="4">
        <v>100000</v>
      </c>
      <c r="F269" s="4">
        <v>0</v>
      </c>
      <c r="G269" s="4">
        <v>2136.200124729959</v>
      </c>
      <c r="H269" s="4">
        <v>2136.200124729959</v>
      </c>
      <c r="I269" s="4">
        <v>34771.641445041561</v>
      </c>
      <c r="J269" s="4">
        <v>32635.441320311598</v>
      </c>
    </row>
    <row r="270" spans="1:10">
      <c r="A270" s="1">
        <v>45989.604861111111</v>
      </c>
      <c r="B270">
        <v>-107.59909121836429</v>
      </c>
      <c r="C270">
        <v>174052.21039600641</v>
      </c>
      <c r="D270">
        <v>73901.409264997928</v>
      </c>
      <c r="E270">
        <v>100150.8011310085</v>
      </c>
      <c r="F270">
        <v>0</v>
      </c>
      <c r="G270">
        <v>2136.200124729959</v>
      </c>
      <c r="H270">
        <v>2028.6010335115941</v>
      </c>
      <c r="I270">
        <v>34810.442079201282</v>
      </c>
      <c r="J270">
        <v>32781.841045689689</v>
      </c>
    </row>
    <row r="271" spans="1:10">
      <c r="A271" s="3">
        <v>45989.605555555558</v>
      </c>
      <c r="B271" s="4">
        <v>-193.20939014063001</v>
      </c>
      <c r="C271" s="4">
        <v>174155.10151084469</v>
      </c>
      <c r="D271" s="4">
        <v>73910.049672955953</v>
      </c>
      <c r="E271" s="4">
        <v>100245.05183788879</v>
      </c>
      <c r="F271" s="4">
        <v>0</v>
      </c>
      <c r="G271" s="4">
        <v>2136.200124729959</v>
      </c>
      <c r="H271" s="4">
        <v>1942.9907345893289</v>
      </c>
      <c r="I271" s="4">
        <v>34831.020302168952</v>
      </c>
      <c r="J271" s="4">
        <v>32888.029567579622</v>
      </c>
    </row>
    <row r="272" spans="1:10">
      <c r="A272" s="1">
        <v>45989.606249999997</v>
      </c>
      <c r="B272">
        <v>-237.98075539076609</v>
      </c>
      <c r="C272">
        <v>174148.03042834671</v>
      </c>
      <c r="D272">
        <v>73884.12844908188</v>
      </c>
      <c r="E272">
        <v>100263.9019792648</v>
      </c>
      <c r="F272">
        <v>0</v>
      </c>
      <c r="G272">
        <v>2136.200124729959</v>
      </c>
      <c r="H272">
        <v>1898.219369339193</v>
      </c>
      <c r="I272">
        <v>34829.606085669337</v>
      </c>
      <c r="J272">
        <v>32931.386716330147</v>
      </c>
    </row>
    <row r="273" spans="1:10">
      <c r="A273" s="1">
        <v>45989.606944444437</v>
      </c>
      <c r="B273">
        <v>-276.07792847189432</v>
      </c>
      <c r="C273">
        <v>174091.08311388959</v>
      </c>
      <c r="D273">
        <v>73836.606205312724</v>
      </c>
      <c r="E273">
        <v>100254.47690857681</v>
      </c>
      <c r="F273">
        <v>0</v>
      </c>
      <c r="G273">
        <v>2136.200124729959</v>
      </c>
      <c r="H273">
        <v>1860.1221962580639</v>
      </c>
      <c r="I273">
        <v>34818.216622777923</v>
      </c>
      <c r="J273">
        <v>32958.094426519849</v>
      </c>
    </row>
    <row r="274" spans="1:10">
      <c r="A274" s="1">
        <v>45989.607638888891</v>
      </c>
      <c r="B274">
        <v>-232.488116280751</v>
      </c>
      <c r="C274">
        <v>174021.5720778243</v>
      </c>
      <c r="D274">
        <v>73823.645593375681</v>
      </c>
      <c r="E274">
        <v>100197.9264844486</v>
      </c>
      <c r="F274">
        <v>0</v>
      </c>
      <c r="G274">
        <v>2136.200124729959</v>
      </c>
      <c r="H274">
        <v>1903.712008449208</v>
      </c>
      <c r="I274">
        <v>34804.31441556487</v>
      </c>
      <c r="J274">
        <v>32900.602407115657</v>
      </c>
    </row>
    <row r="275" spans="1:10">
      <c r="A275" s="1">
        <v>45989.60833333333</v>
      </c>
      <c r="B275">
        <v>-295.31584224896591</v>
      </c>
      <c r="C275">
        <v>174222.64633112101</v>
      </c>
      <c r="D275">
        <v>73892.76885703989</v>
      </c>
      <c r="E275">
        <v>100329.87747408111</v>
      </c>
      <c r="F275">
        <v>0</v>
      </c>
      <c r="G275">
        <v>2136.200124729959</v>
      </c>
      <c r="H275">
        <v>1840.8842824809931</v>
      </c>
      <c r="I275">
        <v>34844.529266224192</v>
      </c>
      <c r="J275">
        <v>33003.644983743201</v>
      </c>
    </row>
    <row r="276" spans="1:10">
      <c r="A276" s="3">
        <v>45989.609027777777</v>
      </c>
      <c r="B276" s="4">
        <v>-398.99161981729708</v>
      </c>
      <c r="C276" s="4">
        <v>174326.32210868929</v>
      </c>
      <c r="D276" s="4">
        <v>73892.76885703989</v>
      </c>
      <c r="E276" s="4">
        <v>100433.5532516494</v>
      </c>
      <c r="F276" s="4">
        <v>0</v>
      </c>
      <c r="G276" s="4">
        <v>2136.200124729959</v>
      </c>
      <c r="H276" s="4">
        <v>1737.208504912662</v>
      </c>
      <c r="I276" s="4">
        <v>34865.264421737862</v>
      </c>
      <c r="J276" s="4">
        <v>33128.0559168252</v>
      </c>
    </row>
    <row r="277" spans="1:10">
      <c r="A277" s="1">
        <v>45989.609722222223</v>
      </c>
      <c r="B277">
        <v>-327.51436796307712</v>
      </c>
      <c r="C277">
        <v>174341.2489364153</v>
      </c>
      <c r="D277">
        <v>73935.970896830026</v>
      </c>
      <c r="E277">
        <v>100405.2780395853</v>
      </c>
      <c r="F277">
        <v>0</v>
      </c>
      <c r="G277">
        <v>2136.200124729959</v>
      </c>
      <c r="H277">
        <v>1808.685756766881</v>
      </c>
      <c r="I277">
        <v>34868.249787283057</v>
      </c>
      <c r="J277">
        <v>33059.56403051618</v>
      </c>
    </row>
    <row r="278" spans="1:10">
      <c r="A278" s="3">
        <v>45989.61041666667</v>
      </c>
      <c r="B278" s="4">
        <v>-318.08929727504199</v>
      </c>
      <c r="C278" s="4">
        <v>174331.82386572729</v>
      </c>
      <c r="D278" s="4">
        <v>73935.970896830026</v>
      </c>
      <c r="E278" s="4">
        <v>100395.85296889731</v>
      </c>
      <c r="F278" s="4">
        <v>0</v>
      </c>
      <c r="G278" s="4">
        <v>2136.200124729959</v>
      </c>
      <c r="H278" s="4">
        <v>1818.110827454916</v>
      </c>
      <c r="I278" s="4">
        <v>34866.364773145462</v>
      </c>
      <c r="J278" s="4">
        <v>33048.253945690543</v>
      </c>
    </row>
    <row r="279" spans="1:10">
      <c r="A279" s="1">
        <v>45989.611111111109</v>
      </c>
      <c r="B279">
        <v>-420.98041211337011</v>
      </c>
      <c r="C279">
        <v>174417.4341646496</v>
      </c>
      <c r="D279">
        <v>73927.330488872001</v>
      </c>
      <c r="E279">
        <v>100490.1036757776</v>
      </c>
      <c r="F279">
        <v>0</v>
      </c>
      <c r="G279">
        <v>2136.200124729959</v>
      </c>
      <c r="H279">
        <v>1715.219712616589</v>
      </c>
      <c r="I279">
        <v>34883.486832929913</v>
      </c>
      <c r="J279">
        <v>33168.267120313321</v>
      </c>
    </row>
    <row r="280" spans="1:10">
      <c r="A280" s="1">
        <v>45989.611805555563</v>
      </c>
      <c r="B280">
        <v>-444.53852986945071</v>
      </c>
      <c r="C280">
        <v>174544.67717790199</v>
      </c>
      <c r="D280">
        <v>73979.172936620162</v>
      </c>
      <c r="E280">
        <v>100565.5042412818</v>
      </c>
      <c r="F280">
        <v>0</v>
      </c>
      <c r="G280">
        <v>2136.200124729959</v>
      </c>
      <c r="H280">
        <v>1691.6615948605081</v>
      </c>
      <c r="I280">
        <v>34908.935435580403</v>
      </c>
      <c r="J280">
        <v>33217.273840719878</v>
      </c>
    </row>
    <row r="281" spans="1:10">
      <c r="A281" s="1">
        <v>45989.612500000003</v>
      </c>
      <c r="B281">
        <v>-428.82703941340941</v>
      </c>
      <c r="C281">
        <v>174598.08895111011</v>
      </c>
      <c r="D281">
        <v>74013.734568452259</v>
      </c>
      <c r="E281">
        <v>100584.3543826579</v>
      </c>
      <c r="F281">
        <v>0</v>
      </c>
      <c r="G281">
        <v>2136.200124729959</v>
      </c>
      <c r="H281">
        <v>1707.3730853165489</v>
      </c>
      <c r="I281">
        <v>34919.61779022203</v>
      </c>
      <c r="J281">
        <v>33212.244704905483</v>
      </c>
    </row>
    <row r="282" spans="1:10">
      <c r="A282" s="3">
        <v>45989.613194444442</v>
      </c>
      <c r="B282" s="4">
        <v>-414.29710201636198</v>
      </c>
      <c r="C282" s="4">
        <v>174574.91860575511</v>
      </c>
      <c r="D282" s="4">
        <v>74009.414364473254</v>
      </c>
      <c r="E282" s="4">
        <v>100565.5042412818</v>
      </c>
      <c r="F282" s="4">
        <v>0</v>
      </c>
      <c r="G282" s="4">
        <v>2136.200124729959</v>
      </c>
      <c r="H282" s="4">
        <v>1721.903022713597</v>
      </c>
      <c r="I282" s="4">
        <v>34914.983721151017</v>
      </c>
      <c r="J282" s="4">
        <v>33193.080698437421</v>
      </c>
    </row>
    <row r="283" spans="1:10">
      <c r="A283" s="1">
        <v>45989.613888888889</v>
      </c>
      <c r="B283">
        <v>-391.51452906229781</v>
      </c>
      <c r="C283">
        <v>174673.1017442134</v>
      </c>
      <c r="D283">
        <v>74069.897220179424</v>
      </c>
      <c r="E283">
        <v>100603.20452403391</v>
      </c>
      <c r="F283">
        <v>0</v>
      </c>
      <c r="G283">
        <v>2136.200124729959</v>
      </c>
      <c r="H283">
        <v>1744.6855956676609</v>
      </c>
      <c r="I283">
        <v>34934.620348842684</v>
      </c>
      <c r="J283">
        <v>33189.934753175017</v>
      </c>
    </row>
    <row r="284" spans="1:10">
      <c r="A284" s="1">
        <v>45989.614583333343</v>
      </c>
      <c r="B284">
        <v>-535.65058582974393</v>
      </c>
      <c r="C284">
        <v>174566.66597019811</v>
      </c>
      <c r="D284">
        <v>73944.61130478805</v>
      </c>
      <c r="E284">
        <v>100622.05466541</v>
      </c>
      <c r="F284">
        <v>0</v>
      </c>
      <c r="G284">
        <v>2136.200124729959</v>
      </c>
      <c r="H284">
        <v>1600.5495389002151</v>
      </c>
      <c r="I284">
        <v>34913.333194039609</v>
      </c>
      <c r="J284">
        <v>33312.783655139392</v>
      </c>
    </row>
    <row r="285" spans="1:10">
      <c r="A285" s="3">
        <v>45989.615277777782</v>
      </c>
      <c r="B285" s="4">
        <v>-669.17090092217438</v>
      </c>
      <c r="C285" s="4">
        <v>174734.74791712259</v>
      </c>
      <c r="D285" s="4">
        <v>73961.892120704098</v>
      </c>
      <c r="E285" s="4">
        <v>100772.8557964185</v>
      </c>
      <c r="F285" s="4">
        <v>0</v>
      </c>
      <c r="G285" s="4">
        <v>2136.200124729959</v>
      </c>
      <c r="H285" s="4">
        <v>1467.0292238077841</v>
      </c>
      <c r="I285" s="4">
        <v>34946.94958342451</v>
      </c>
      <c r="J285" s="4">
        <v>33479.920359616728</v>
      </c>
    </row>
    <row r="286" spans="1:10">
      <c r="A286" s="1">
        <v>45989.615972222222</v>
      </c>
      <c r="B286">
        <v>-695.87678752625823</v>
      </c>
      <c r="C286">
        <v>174726.89217189449</v>
      </c>
      <c r="D286">
        <v>73944.61130478805</v>
      </c>
      <c r="E286">
        <v>100782.2808671065</v>
      </c>
      <c r="F286">
        <v>0</v>
      </c>
      <c r="G286">
        <v>2136.200124729959</v>
      </c>
      <c r="H286">
        <v>1440.3233372037</v>
      </c>
      <c r="I286">
        <v>34945.378434378908</v>
      </c>
      <c r="J286">
        <v>33505.055097175209</v>
      </c>
    </row>
    <row r="287" spans="1:10">
      <c r="A287" s="3">
        <v>45989.616666666669</v>
      </c>
      <c r="B287" s="4">
        <v>-633.03994363005654</v>
      </c>
      <c r="C287" s="4">
        <v>174733.17859166261</v>
      </c>
      <c r="D287" s="4">
        <v>73979.172936620162</v>
      </c>
      <c r="E287" s="4">
        <v>100754.00565504241</v>
      </c>
      <c r="F287" s="4">
        <v>0</v>
      </c>
      <c r="G287" s="4">
        <v>2136.200124729959</v>
      </c>
      <c r="H287" s="4">
        <v>1503.160181099902</v>
      </c>
      <c r="I287" s="4">
        <v>34946.635718332524</v>
      </c>
      <c r="J287" s="4">
        <v>33443.475537232611</v>
      </c>
    </row>
    <row r="288" spans="1:10">
      <c r="A288" s="1">
        <v>45989.617361111108</v>
      </c>
      <c r="B288">
        <v>-656.99495171513888</v>
      </c>
      <c r="C288">
        <v>174765.77400770571</v>
      </c>
      <c r="D288">
        <v>73983.493140599167</v>
      </c>
      <c r="E288">
        <v>100782.2808671065</v>
      </c>
      <c r="F288">
        <v>0</v>
      </c>
      <c r="G288">
        <v>2136.200124729959</v>
      </c>
      <c r="H288">
        <v>1479.20517301482</v>
      </c>
      <c r="I288">
        <v>34953.154801541139</v>
      </c>
      <c r="J288">
        <v>33473.949628526323</v>
      </c>
    </row>
    <row r="289" spans="1:10">
      <c r="A289" s="3">
        <v>45989.618055555547</v>
      </c>
      <c r="B289" s="4">
        <v>-623.61487294202163</v>
      </c>
      <c r="C289" s="4">
        <v>174723.75352097451</v>
      </c>
      <c r="D289" s="4">
        <v>73979.172936620162</v>
      </c>
      <c r="E289" s="4">
        <v>100744.58058435439</v>
      </c>
      <c r="F289" s="4">
        <v>0</v>
      </c>
      <c r="G289" s="4">
        <v>2136.200124729959</v>
      </c>
      <c r="H289" s="4">
        <v>1512.5852517879371</v>
      </c>
      <c r="I289" s="4">
        <v>34944.750704194907</v>
      </c>
      <c r="J289" s="4">
        <v>33432.165452406967</v>
      </c>
    </row>
    <row r="290" spans="1:10">
      <c r="A290" s="1">
        <v>45989.618750000001</v>
      </c>
      <c r="B290">
        <v>-651.1054222761087</v>
      </c>
      <c r="C290">
        <v>174733.96325439261</v>
      </c>
      <c r="D290">
        <v>73970.532528662137</v>
      </c>
      <c r="E290">
        <v>100763.4307257304</v>
      </c>
      <c r="F290">
        <v>0</v>
      </c>
      <c r="G290">
        <v>2136.200124729959</v>
      </c>
      <c r="H290">
        <v>1485.09470245385</v>
      </c>
      <c r="I290">
        <v>34946.792650878517</v>
      </c>
      <c r="J290">
        <v>33461.697948424669</v>
      </c>
    </row>
    <row r="291" spans="1:10">
      <c r="A291" s="3">
        <v>45989.619444444441</v>
      </c>
      <c r="B291" s="4">
        <v>-642.86190464707988</v>
      </c>
      <c r="C291" s="4">
        <v>174647.9560651413</v>
      </c>
      <c r="D291" s="4">
        <v>73931.650692851006</v>
      </c>
      <c r="E291" s="4">
        <v>100716.3053722903</v>
      </c>
      <c r="F291" s="4">
        <v>0</v>
      </c>
      <c r="G291" s="4">
        <v>2136.200124729959</v>
      </c>
      <c r="H291" s="4">
        <v>1493.3382200828789</v>
      </c>
      <c r="I291" s="4">
        <v>34929.59121302826</v>
      </c>
      <c r="J291" s="4">
        <v>33436.252992945381</v>
      </c>
    </row>
    <row r="292" spans="1:10">
      <c r="A292" s="1">
        <v>45989.620138888888</v>
      </c>
      <c r="B292">
        <v>-648.75143408609676</v>
      </c>
      <c r="C292">
        <v>174679.7668184544</v>
      </c>
      <c r="D292">
        <v>73944.61130478805</v>
      </c>
      <c r="E292">
        <v>100735.1555136664</v>
      </c>
      <c r="F292">
        <v>0</v>
      </c>
      <c r="G292">
        <v>2136.200124729959</v>
      </c>
      <c r="H292">
        <v>1487.4486906438619</v>
      </c>
      <c r="I292">
        <v>34935.953363690882</v>
      </c>
      <c r="J292">
        <v>33448.50467304702</v>
      </c>
    </row>
    <row r="293" spans="1:10">
      <c r="A293" s="3">
        <v>45989.620833333327</v>
      </c>
      <c r="B293" s="4">
        <v>-669.96468158015227</v>
      </c>
      <c r="C293" s="4">
        <v>174545.45272270401</v>
      </c>
      <c r="D293" s="4">
        <v>73866.847633165817</v>
      </c>
      <c r="E293" s="4">
        <v>100678.60508953821</v>
      </c>
      <c r="F293" s="4">
        <v>0</v>
      </c>
      <c r="G293" s="4">
        <v>2136.200124729959</v>
      </c>
      <c r="H293" s="4">
        <v>1466.2354431498061</v>
      </c>
      <c r="I293" s="4">
        <v>34909.090544540799</v>
      </c>
      <c r="J293" s="4">
        <v>33442.855101390989</v>
      </c>
    </row>
    <row r="294" spans="1:10">
      <c r="A294" s="1">
        <v>45989.621527777781</v>
      </c>
      <c r="B294">
        <v>-658.18562270211862</v>
      </c>
      <c r="C294">
        <v>174481.83121607779</v>
      </c>
      <c r="D294">
        <v>73840.926409291729</v>
      </c>
      <c r="E294">
        <v>100640.9048067861</v>
      </c>
      <c r="F294">
        <v>0</v>
      </c>
      <c r="G294">
        <v>2136.200124729959</v>
      </c>
      <c r="H294">
        <v>1478.0145020278401</v>
      </c>
      <c r="I294">
        <v>34896.366243215562</v>
      </c>
      <c r="J294">
        <v>33418.351741187718</v>
      </c>
    </row>
    <row r="295" spans="1:10">
      <c r="A295" s="1">
        <v>45989.62222222222</v>
      </c>
      <c r="B295">
        <v>-770.51092615645507</v>
      </c>
      <c r="C295">
        <v>174369.50591262351</v>
      </c>
      <c r="D295">
        <v>73728.601105837399</v>
      </c>
      <c r="E295">
        <v>100640.9048067861</v>
      </c>
      <c r="F295">
        <v>0</v>
      </c>
      <c r="G295">
        <v>2136.200124729959</v>
      </c>
      <c r="H295">
        <v>1365.689198573504</v>
      </c>
      <c r="I295">
        <v>34873.901182524693</v>
      </c>
      <c r="J295">
        <v>33508.211983951187</v>
      </c>
    </row>
    <row r="296" spans="1:10">
      <c r="A296" s="1">
        <v>45989.622916666667</v>
      </c>
      <c r="B296">
        <v>-750.0823413923905</v>
      </c>
      <c r="C296">
        <v>174521.8854870199</v>
      </c>
      <c r="D296">
        <v>73815.005185417671</v>
      </c>
      <c r="E296">
        <v>100706.8803016023</v>
      </c>
      <c r="F296">
        <v>0</v>
      </c>
      <c r="G296">
        <v>2136.200124729959</v>
      </c>
      <c r="H296">
        <v>1386.117783337568</v>
      </c>
      <c r="I296">
        <v>34904.377097403987</v>
      </c>
      <c r="J296">
        <v>33518.259314066418</v>
      </c>
    </row>
    <row r="297" spans="1:10">
      <c r="A297" s="3">
        <v>45989.623611111107</v>
      </c>
      <c r="B297" s="4">
        <v>-748.51301593239509</v>
      </c>
      <c r="C297" s="4">
        <v>174485.7545297278</v>
      </c>
      <c r="D297" s="4">
        <v>73797.724369501608</v>
      </c>
      <c r="E297" s="4">
        <v>100688.0301602262</v>
      </c>
      <c r="F297" s="4">
        <v>0</v>
      </c>
      <c r="G297" s="4">
        <v>2136.200124729959</v>
      </c>
      <c r="H297" s="4">
        <v>1387.687108797563</v>
      </c>
      <c r="I297" s="4">
        <v>34897.150905945557</v>
      </c>
      <c r="J297" s="4">
        <v>33509.463797147997</v>
      </c>
    </row>
    <row r="298" spans="1:10">
      <c r="A298" s="1">
        <v>45989.624305555553</v>
      </c>
      <c r="B298">
        <v>-773.6404591484968</v>
      </c>
      <c r="C298">
        <v>174649.12850027229</v>
      </c>
      <c r="D298">
        <v>73866.847633165817</v>
      </c>
      <c r="E298">
        <v>100782.2808671065</v>
      </c>
      <c r="F298">
        <v>0</v>
      </c>
      <c r="G298">
        <v>2136.200124729959</v>
      </c>
      <c r="H298">
        <v>1362.559665581462</v>
      </c>
      <c r="I298">
        <v>34929.825700054469</v>
      </c>
      <c r="J298">
        <v>33567.26603447301</v>
      </c>
    </row>
    <row r="299" spans="1:10">
      <c r="A299" s="3">
        <v>45989.625</v>
      </c>
      <c r="B299" s="4">
        <v>-765.78471392045719</v>
      </c>
      <c r="C299" s="4">
        <v>174675.83438687641</v>
      </c>
      <c r="D299" s="4">
        <v>73884.12844908188</v>
      </c>
      <c r="E299" s="4">
        <v>100791.7059377945</v>
      </c>
      <c r="F299" s="4">
        <v>0</v>
      </c>
      <c r="G299" s="4">
        <v>2136.200124729959</v>
      </c>
      <c r="H299" s="4">
        <v>1370.4154108095011</v>
      </c>
      <c r="I299" s="4">
        <v>34935.16687737529</v>
      </c>
      <c r="J299" s="4">
        <v>33564.751466565787</v>
      </c>
    </row>
    <row r="300" spans="1:10">
      <c r="A300" s="3">
        <v>45989.625694444447</v>
      </c>
      <c r="B300" s="4">
        <v>-688.80570502823525</v>
      </c>
      <c r="C300" s="4">
        <v>174771.66353714469</v>
      </c>
      <c r="D300" s="4">
        <v>73970.532528662137</v>
      </c>
      <c r="E300" s="4">
        <v>100801.1310084826</v>
      </c>
      <c r="F300" s="4">
        <v>0</v>
      </c>
      <c r="G300" s="4">
        <v>2136.200124729959</v>
      </c>
      <c r="H300" s="4">
        <v>1447.3944197017231</v>
      </c>
      <c r="I300" s="4">
        <v>34954.332707428948</v>
      </c>
      <c r="J300" s="4">
        <v>33506.938287727222</v>
      </c>
    </row>
    <row r="301" spans="1:10">
      <c r="A301" s="3">
        <v>45989.626388888893</v>
      </c>
      <c r="B301" s="4">
        <v>-701.36942663627337</v>
      </c>
      <c r="C301" s="4">
        <v>174853.35052241691</v>
      </c>
      <c r="D301" s="4">
        <v>74005.094160494235</v>
      </c>
      <c r="E301" s="4">
        <v>100848.2563619227</v>
      </c>
      <c r="F301" s="4">
        <v>0</v>
      </c>
      <c r="G301" s="4">
        <v>2136.200124729959</v>
      </c>
      <c r="H301" s="4">
        <v>1434.830698093685</v>
      </c>
      <c r="I301" s="4">
        <v>34970.67010448339</v>
      </c>
      <c r="J301" s="4">
        <v>33535.839406389707</v>
      </c>
    </row>
    <row r="302" spans="1:10">
      <c r="A302" s="3">
        <v>45989.627083333333</v>
      </c>
      <c r="B302" s="4">
        <v>-731.61085448937433</v>
      </c>
      <c r="C302" s="4">
        <v>174823.1090945639</v>
      </c>
      <c r="D302" s="4">
        <v>73974.852732641142</v>
      </c>
      <c r="E302" s="4">
        <v>100848.2563619227</v>
      </c>
      <c r="F302" s="4">
        <v>0</v>
      </c>
      <c r="G302" s="4">
        <v>2136.200124729959</v>
      </c>
      <c r="H302" s="4">
        <v>1404.589270240584</v>
      </c>
      <c r="I302" s="4">
        <v>34964.621818912783</v>
      </c>
      <c r="J302" s="4">
        <v>33560.032548672192</v>
      </c>
    </row>
    <row r="303" spans="1:10">
      <c r="A303" s="1">
        <v>45989.62777777778</v>
      </c>
      <c r="B303">
        <v>-735.53416813938156</v>
      </c>
      <c r="C303">
        <v>174913.43648779421</v>
      </c>
      <c r="D303">
        <v>74018.054772431278</v>
      </c>
      <c r="E303">
        <v>100895.38171536291</v>
      </c>
      <c r="F303">
        <v>0</v>
      </c>
      <c r="G303">
        <v>2136.200124729959</v>
      </c>
      <c r="H303">
        <v>1400.665956590577</v>
      </c>
      <c r="I303">
        <v>34982.687297558827</v>
      </c>
      <c r="J303">
        <v>33582.021340968247</v>
      </c>
    </row>
    <row r="304" spans="1:10">
      <c r="A304" s="3">
        <v>45989.628472222219</v>
      </c>
      <c r="B304" s="4">
        <v>-713.53625791532181</v>
      </c>
      <c r="C304" s="4">
        <v>175029.6851048985</v>
      </c>
      <c r="D304" s="4">
        <v>74087.178036095487</v>
      </c>
      <c r="E304" s="4">
        <v>100942.507068803</v>
      </c>
      <c r="F304" s="4">
        <v>0</v>
      </c>
      <c r="G304" s="4">
        <v>2136.200124729959</v>
      </c>
      <c r="H304" s="4">
        <v>1422.663866814637</v>
      </c>
      <c r="I304" s="4">
        <v>35005.937020979698</v>
      </c>
      <c r="J304" s="4">
        <v>33583.273154165057</v>
      </c>
    </row>
    <row r="305" spans="1:10">
      <c r="A305" s="1">
        <v>45989.629166666673</v>
      </c>
      <c r="B305">
        <v>-702.14497143830306</v>
      </c>
      <c r="C305">
        <v>175078.7766741277</v>
      </c>
      <c r="D305">
        <v>74117.41946394858</v>
      </c>
      <c r="E305">
        <v>100961.35721017911</v>
      </c>
      <c r="F305">
        <v>0</v>
      </c>
      <c r="G305">
        <v>2136.200124729959</v>
      </c>
      <c r="H305">
        <v>1434.0551532916561</v>
      </c>
      <c r="I305">
        <v>35015.755334825539</v>
      </c>
      <c r="J305">
        <v>33581.700181533881</v>
      </c>
    </row>
    <row r="306" spans="1:10">
      <c r="A306" s="3">
        <v>45989.629861111112</v>
      </c>
      <c r="B306" s="4">
        <v>-704.10206929932565</v>
      </c>
      <c r="C306" s="4">
        <v>175227.62070727511</v>
      </c>
      <c r="D306" s="4">
        <v>74190.862931591793</v>
      </c>
      <c r="E306" s="4">
        <v>101036.75777568331</v>
      </c>
      <c r="F306" s="4">
        <v>0</v>
      </c>
      <c r="G306" s="4">
        <v>2136.200124729959</v>
      </c>
      <c r="H306" s="4">
        <v>1432.0980554306329</v>
      </c>
      <c r="I306" s="4">
        <v>35045.524141455033</v>
      </c>
      <c r="J306" s="4">
        <v>33613.426086024403</v>
      </c>
    </row>
    <row r="307" spans="1:10">
      <c r="A307" s="3">
        <v>45989.630555555559</v>
      </c>
      <c r="B307" s="4">
        <v>-801.10365469862336</v>
      </c>
      <c r="C307" s="4">
        <v>175281.4202528843</v>
      </c>
      <c r="D307" s="4">
        <v>74169.26191169674</v>
      </c>
      <c r="E307" s="4">
        <v>101112.15834118761</v>
      </c>
      <c r="F307" s="4">
        <v>0</v>
      </c>
      <c r="G307" s="4">
        <v>2136.200124729959</v>
      </c>
      <c r="H307" s="4">
        <v>1335.096470031335</v>
      </c>
      <c r="I307" s="4">
        <v>35056.284050576862</v>
      </c>
      <c r="J307" s="4">
        <v>33721.187580545527</v>
      </c>
    </row>
    <row r="308" spans="1:10">
      <c r="A308" s="1">
        <v>45989.631249999999</v>
      </c>
      <c r="B308">
        <v>-737.86992047343233</v>
      </c>
      <c r="C308">
        <v>175382.35426986159</v>
      </c>
      <c r="D308">
        <v>74251.345787297978</v>
      </c>
      <c r="E308">
        <v>101131.0084825636</v>
      </c>
      <c r="F308">
        <v>0</v>
      </c>
      <c r="G308">
        <v>2136.200124729959</v>
      </c>
      <c r="H308">
        <v>1398.330204256526</v>
      </c>
      <c r="I308">
        <v>35076.470853972321</v>
      </c>
      <c r="J308">
        <v>33678.140649715802</v>
      </c>
    </row>
    <row r="309" spans="1:10">
      <c r="A309" s="3">
        <v>45989.631944444453</v>
      </c>
      <c r="B309" s="4">
        <v>-803.45764288863552</v>
      </c>
      <c r="C309" s="4">
        <v>175335.61668882251</v>
      </c>
      <c r="D309" s="4">
        <v>74195.183135570813</v>
      </c>
      <c r="E309" s="4">
        <v>101140.4335532517</v>
      </c>
      <c r="F309" s="4">
        <v>0</v>
      </c>
      <c r="G309" s="4">
        <v>2136.200124729959</v>
      </c>
      <c r="H309" s="4">
        <v>1332.7424818413231</v>
      </c>
      <c r="I309" s="4">
        <v>35067.123337764489</v>
      </c>
      <c r="J309" s="4">
        <v>33734.380855923169</v>
      </c>
    </row>
    <row r="310" spans="1:10">
      <c r="A310" s="3">
        <v>45989.632638888892</v>
      </c>
      <c r="B310" s="4">
        <v>-779.8995251325548</v>
      </c>
      <c r="C310" s="4">
        <v>175208.3736755701</v>
      </c>
      <c r="D310" s="4">
        <v>74143.340687822652</v>
      </c>
      <c r="E310" s="4">
        <v>101065.0329877474</v>
      </c>
      <c r="F310" s="4">
        <v>0</v>
      </c>
      <c r="G310" s="4">
        <v>2136.200124729959</v>
      </c>
      <c r="H310" s="4">
        <v>1356.300599597404</v>
      </c>
      <c r="I310" s="4">
        <v>35041.674735114007</v>
      </c>
      <c r="J310" s="4">
        <v>33685.374135516613</v>
      </c>
    </row>
    <row r="311" spans="1:10">
      <c r="A311" s="1">
        <v>45989.633333333331</v>
      </c>
      <c r="B311">
        <v>-810.92561571564681</v>
      </c>
      <c r="C311">
        <v>175196.197726363</v>
      </c>
      <c r="D311">
        <v>74121.739667927584</v>
      </c>
      <c r="E311">
        <v>101074.4580584354</v>
      </c>
      <c r="F311">
        <v>0</v>
      </c>
      <c r="G311">
        <v>2136.200124729959</v>
      </c>
      <c r="H311">
        <v>1325.2745090143119</v>
      </c>
      <c r="I311">
        <v>35039.239545272612</v>
      </c>
      <c r="J311">
        <v>33713.965036258291</v>
      </c>
    </row>
    <row r="312" spans="1:10">
      <c r="A312" s="1">
        <v>45989.634027777778</v>
      </c>
      <c r="B312">
        <v>-789.32459582057641</v>
      </c>
      <c r="C312">
        <v>175217.79874625811</v>
      </c>
      <c r="D312">
        <v>74143.340687822652</v>
      </c>
      <c r="E312">
        <v>101074.4580584354</v>
      </c>
      <c r="F312">
        <v>0</v>
      </c>
      <c r="G312">
        <v>2136.200124729959</v>
      </c>
      <c r="H312">
        <v>1346.875528909382</v>
      </c>
      <c r="I312">
        <v>35043.559749251617</v>
      </c>
      <c r="J312">
        <v>33696.684220342227</v>
      </c>
    </row>
    <row r="313" spans="1:10">
      <c r="A313" s="1">
        <v>45989.634722222218</v>
      </c>
      <c r="B313">
        <v>-790.8939212805974</v>
      </c>
      <c r="C313">
        <v>175253.92970355021</v>
      </c>
      <c r="D313">
        <v>74160.621503738701</v>
      </c>
      <c r="E313">
        <v>101093.30819981149</v>
      </c>
      <c r="F313">
        <v>0</v>
      </c>
      <c r="G313">
        <v>2136.200124729959</v>
      </c>
      <c r="H313">
        <v>1345.306203449361</v>
      </c>
      <c r="I313">
        <v>35050.78594071004</v>
      </c>
      <c r="J313">
        <v>33705.479737260677</v>
      </c>
    </row>
    <row r="314" spans="1:10">
      <c r="A314" s="1">
        <v>45989.635416666657</v>
      </c>
      <c r="B314">
        <v>-783.82283878257454</v>
      </c>
      <c r="C314">
        <v>175298.70106880041</v>
      </c>
      <c r="D314">
        <v>74186.542727612788</v>
      </c>
      <c r="E314">
        <v>101112.15834118761</v>
      </c>
      <c r="F314">
        <v>0</v>
      </c>
      <c r="G314">
        <v>2136.200124729959</v>
      </c>
      <c r="H314">
        <v>1352.3772859473841</v>
      </c>
      <c r="I314">
        <v>35059.740213760073</v>
      </c>
      <c r="J314">
        <v>33707.36292781269</v>
      </c>
    </row>
    <row r="315" spans="1:10">
      <c r="A315" s="1">
        <v>45989.636111111111</v>
      </c>
      <c r="B315">
        <v>-785.39216424258211</v>
      </c>
      <c r="C315">
        <v>175334.83202609251</v>
      </c>
      <c r="D315">
        <v>74203.823543528837</v>
      </c>
      <c r="E315">
        <v>101131.0084825636</v>
      </c>
      <c r="F315">
        <v>0</v>
      </c>
      <c r="G315">
        <v>2136.200124729959</v>
      </c>
      <c r="H315">
        <v>1350.807960487376</v>
      </c>
      <c r="I315">
        <v>35066.966405218489</v>
      </c>
      <c r="J315">
        <v>33716.158444731111</v>
      </c>
    </row>
    <row r="316" spans="1:10">
      <c r="A316" s="3">
        <v>45989.636805555558</v>
      </c>
      <c r="B316" s="4">
        <v>-766.54202286652549</v>
      </c>
      <c r="C316" s="4">
        <v>175315.9818847164</v>
      </c>
      <c r="D316" s="4">
        <v>74203.823543528837</v>
      </c>
      <c r="E316" s="4">
        <v>101112.15834118761</v>
      </c>
      <c r="F316" s="4">
        <v>0</v>
      </c>
      <c r="G316" s="4">
        <v>2136.200124729959</v>
      </c>
      <c r="H316" s="4">
        <v>1369.6581018634331</v>
      </c>
      <c r="I316" s="4">
        <v>35063.196376943277</v>
      </c>
      <c r="J316" s="4">
        <v>33693.538275079853</v>
      </c>
    </row>
    <row r="317" spans="1:10">
      <c r="A317" s="1">
        <v>45989.637499999997</v>
      </c>
      <c r="B317">
        <v>0</v>
      </c>
      <c r="C317">
        <v>0</v>
      </c>
      <c r="D317">
        <v>0</v>
      </c>
      <c r="E317">
        <v>0</v>
      </c>
      <c r="F317">
        <v>-820.31044719437432</v>
      </c>
      <c r="G317">
        <v>1315.889677535584</v>
      </c>
      <c r="H317">
        <v>1315.889677535584</v>
      </c>
      <c r="I317">
        <v>0</v>
      </c>
      <c r="J317">
        <v>-1315.889677535584</v>
      </c>
    </row>
    <row r="318" spans="1:10">
      <c r="A318" s="1">
        <v>45992.604166666657</v>
      </c>
      <c r="B318">
        <v>0</v>
      </c>
      <c r="C318">
        <v>173858.20722520779</v>
      </c>
      <c r="D318">
        <v>100000</v>
      </c>
      <c r="E318">
        <v>73858.207225207792</v>
      </c>
      <c r="F318">
        <v>0</v>
      </c>
      <c r="G318">
        <v>1315.889677535584</v>
      </c>
      <c r="H318">
        <v>1315.889677535584</v>
      </c>
      <c r="I318">
        <v>34771.641445041561</v>
      </c>
      <c r="J318">
        <v>33455.751767505979</v>
      </c>
    </row>
    <row r="319" spans="1:10">
      <c r="A319" s="3">
        <v>45992.604861111111</v>
      </c>
      <c r="B319" s="4">
        <v>0</v>
      </c>
      <c r="C319" s="4">
        <v>0</v>
      </c>
      <c r="D319" s="4">
        <v>0</v>
      </c>
      <c r="E319" s="4">
        <v>0</v>
      </c>
      <c r="F319" s="4">
        <v>159.4790929864829</v>
      </c>
      <c r="G319" s="4">
        <v>1475.3687705220671</v>
      </c>
      <c r="H319" s="4">
        <v>1475.3687705220671</v>
      </c>
      <c r="I319" s="4">
        <v>0</v>
      </c>
      <c r="J319" s="4">
        <v>-1475.3687705220671</v>
      </c>
    </row>
    <row r="320" spans="1:10">
      <c r="A320" s="3">
        <v>45993.609027777777</v>
      </c>
      <c r="B320" s="4">
        <v>0</v>
      </c>
      <c r="C320" s="4">
        <v>173858.20722520779</v>
      </c>
      <c r="D320" s="4">
        <v>100000</v>
      </c>
      <c r="E320" s="4">
        <v>73858.207225207792</v>
      </c>
      <c r="F320" s="4">
        <v>0</v>
      </c>
      <c r="G320" s="4">
        <v>1475.3687705220671</v>
      </c>
      <c r="H320" s="4">
        <v>1475.3687705220671</v>
      </c>
      <c r="I320" s="4">
        <v>34771.641445041561</v>
      </c>
      <c r="J320" s="4">
        <v>33296.272674519503</v>
      </c>
    </row>
    <row r="321" spans="1:10">
      <c r="A321" s="1">
        <v>45993.609722222223</v>
      </c>
      <c r="B321">
        <v>-4.3055967835694613</v>
      </c>
      <c r="C321">
        <v>173862.51282199129</v>
      </c>
      <c r="D321">
        <v>100000</v>
      </c>
      <c r="E321">
        <v>73862.51282199136</v>
      </c>
      <c r="F321">
        <v>0</v>
      </c>
      <c r="G321">
        <v>1475.3687705220671</v>
      </c>
      <c r="H321">
        <v>1471.0631737384981</v>
      </c>
      <c r="I321">
        <v>34772.502564398274</v>
      </c>
      <c r="J321">
        <v>33301.439390659783</v>
      </c>
    </row>
    <row r="322" spans="1:10">
      <c r="A322" s="3">
        <v>45993.61041666667</v>
      </c>
      <c r="B322" s="4">
        <v>27.39053629011541</v>
      </c>
      <c r="C322" s="4">
        <v>173868.37537436371</v>
      </c>
      <c r="D322" s="4">
        <v>100018.77934272301</v>
      </c>
      <c r="E322" s="4">
        <v>73849.596031640671</v>
      </c>
      <c r="F322" s="4">
        <v>0</v>
      </c>
      <c r="G322" s="4">
        <v>1475.3687705220671</v>
      </c>
      <c r="H322" s="4">
        <v>1502.759306812183</v>
      </c>
      <c r="I322" s="4">
        <v>34773.675074872743</v>
      </c>
      <c r="J322" s="4">
        <v>33270.915768060549</v>
      </c>
    </row>
    <row r="323" spans="1:10">
      <c r="A323" s="1">
        <v>45993.611111111109</v>
      </c>
      <c r="B323">
        <v>60.278354969850078</v>
      </c>
      <c r="C323">
        <v>173797.92887023801</v>
      </c>
      <c r="D323">
        <v>100000</v>
      </c>
      <c r="E323">
        <v>73797.928870237942</v>
      </c>
      <c r="F323">
        <v>0</v>
      </c>
      <c r="G323">
        <v>1475.3687705220671</v>
      </c>
      <c r="H323">
        <v>1535.647125491917</v>
      </c>
      <c r="I323">
        <v>34759.585774047591</v>
      </c>
      <c r="J323">
        <v>33223.938648555682</v>
      </c>
    </row>
    <row r="324" spans="1:10">
      <c r="A324" s="1">
        <v>45993.611805555563</v>
      </c>
      <c r="B324">
        <v>66.188845171113115</v>
      </c>
      <c r="C324">
        <v>173623.00429552959</v>
      </c>
      <c r="D324">
        <v>99915.492957746479</v>
      </c>
      <c r="E324">
        <v>73707.511337783144</v>
      </c>
      <c r="F324">
        <v>0</v>
      </c>
      <c r="G324">
        <v>1475.3687705220671</v>
      </c>
      <c r="H324">
        <v>1541.55761569318</v>
      </c>
      <c r="I324">
        <v>34724.600859105929</v>
      </c>
      <c r="J324">
        <v>33183.043243412751</v>
      </c>
    </row>
    <row r="325" spans="1:10">
      <c r="A325" s="3">
        <v>45993.612500000003</v>
      </c>
      <c r="B325" s="4">
        <v>70.907649766339688</v>
      </c>
      <c r="C325" s="4">
        <v>173524.3887773194</v>
      </c>
      <c r="D325" s="4">
        <v>99868.544600938971</v>
      </c>
      <c r="E325" s="4">
        <v>73655.844176380415</v>
      </c>
      <c r="F325" s="4">
        <v>0</v>
      </c>
      <c r="G325" s="4">
        <v>1475.3687705220671</v>
      </c>
      <c r="H325" s="4">
        <v>1546.2764202884071</v>
      </c>
      <c r="I325" s="4">
        <v>34704.87775546388</v>
      </c>
      <c r="J325" s="4">
        <v>33158.601335175466</v>
      </c>
    </row>
    <row r="326" spans="1:10">
      <c r="A326" s="3">
        <v>45993.613194444442</v>
      </c>
      <c r="B326" s="4">
        <v>-56.24215251113651</v>
      </c>
      <c r="C326" s="4">
        <v>173388.62778147479</v>
      </c>
      <c r="D326" s="4">
        <v>99737.089201877941</v>
      </c>
      <c r="E326" s="4">
        <v>73651.538579596861</v>
      </c>
      <c r="F326" s="4">
        <v>0</v>
      </c>
      <c r="G326" s="4">
        <v>1475.3687705220671</v>
      </c>
      <c r="H326" s="4">
        <v>1419.126618010931</v>
      </c>
      <c r="I326" s="4">
        <v>34677.725556294958</v>
      </c>
      <c r="J326" s="4">
        <v>33258.598938284027</v>
      </c>
    </row>
    <row r="327" spans="1:10">
      <c r="A327" s="3">
        <v>45993.613888888889</v>
      </c>
      <c r="B327" s="4">
        <v>51.715099231669399</v>
      </c>
      <c r="C327" s="4">
        <v>173599.91935602311</v>
      </c>
      <c r="D327" s="4">
        <v>99896.713615023473</v>
      </c>
      <c r="E327" s="4">
        <v>73703.20574099959</v>
      </c>
      <c r="F327" s="4">
        <v>0</v>
      </c>
      <c r="G327" s="4">
        <v>1475.3687705220671</v>
      </c>
      <c r="H327" s="4">
        <v>1527.083869753737</v>
      </c>
      <c r="I327" s="4">
        <v>34719.983871204618</v>
      </c>
      <c r="J327" s="4">
        <v>33192.900001450878</v>
      </c>
    </row>
    <row r="328" spans="1:10">
      <c r="A328" s="3">
        <v>45993.614583333343</v>
      </c>
      <c r="B328" s="4">
        <v>-50.84074577940919</v>
      </c>
      <c r="C328" s="4">
        <v>173721.25454375721</v>
      </c>
      <c r="D328" s="4">
        <v>99906.103286384983</v>
      </c>
      <c r="E328" s="4">
        <v>73815.151257372185</v>
      </c>
      <c r="F328" s="4">
        <v>0</v>
      </c>
      <c r="G328" s="4">
        <v>1475.3687705220671</v>
      </c>
      <c r="H328" s="4">
        <v>1424.5280247426581</v>
      </c>
      <c r="I328" s="4">
        <v>34744.250908751441</v>
      </c>
      <c r="J328" s="4">
        <v>33319.722884008777</v>
      </c>
    </row>
    <row r="329" spans="1:10">
      <c r="A329" s="3">
        <v>45993.615277777782</v>
      </c>
      <c r="B329" s="4">
        <v>48.553250225202653</v>
      </c>
      <c r="C329" s="4">
        <v>173734.53660409059</v>
      </c>
      <c r="D329" s="4">
        <v>99962.441314553987</v>
      </c>
      <c r="E329" s="4">
        <v>73772.095289536577</v>
      </c>
      <c r="F329" s="4">
        <v>0</v>
      </c>
      <c r="G329" s="4">
        <v>1475.3687705220671</v>
      </c>
      <c r="H329" s="4">
        <v>1523.9220207472699</v>
      </c>
      <c r="I329" s="4">
        <v>34746.907320818107</v>
      </c>
      <c r="J329" s="4">
        <v>33222.985300070854</v>
      </c>
    </row>
    <row r="330" spans="1:10">
      <c r="A330" s="3">
        <v>45993.615972222222</v>
      </c>
      <c r="B330" s="4">
        <v>32.887818679734679</v>
      </c>
      <c r="C330" s="4">
        <v>173787.76072108201</v>
      </c>
      <c r="D330" s="4">
        <v>99981.220657276994</v>
      </c>
      <c r="E330" s="4">
        <v>73806.540063805049</v>
      </c>
      <c r="F330" s="4">
        <v>0</v>
      </c>
      <c r="G330" s="4">
        <v>1475.3687705220671</v>
      </c>
      <c r="H330" s="4">
        <v>1508.2565892018019</v>
      </c>
      <c r="I330" s="4">
        <v>34757.55214421641</v>
      </c>
      <c r="J330" s="4">
        <v>33249.295555014607</v>
      </c>
    </row>
    <row r="331" spans="1:10">
      <c r="A331" s="3">
        <v>45993.616666666669</v>
      </c>
      <c r="B331" s="4">
        <v>28.216951913441861</v>
      </c>
      <c r="C331" s="4">
        <v>173679.75553151031</v>
      </c>
      <c r="D331" s="4">
        <v>99924.882629107989</v>
      </c>
      <c r="E331" s="4">
        <v>73754.872902402334</v>
      </c>
      <c r="F331" s="4">
        <v>0</v>
      </c>
      <c r="G331" s="4">
        <v>1475.3687705220671</v>
      </c>
      <c r="H331" s="4">
        <v>1503.5857224355091</v>
      </c>
      <c r="I331" s="4">
        <v>34735.951106302069</v>
      </c>
      <c r="J331" s="4">
        <v>33232.365383866563</v>
      </c>
    </row>
    <row r="332" spans="1:10">
      <c r="A332" s="1">
        <v>45993.617361111108</v>
      </c>
      <c r="B332">
        <v>-31.234987433095139</v>
      </c>
      <c r="C332">
        <v>173551.41404362681</v>
      </c>
      <c r="D332">
        <v>99830.985915492958</v>
      </c>
      <c r="E332">
        <v>73720.428128133834</v>
      </c>
      <c r="F332">
        <v>0</v>
      </c>
      <c r="G332">
        <v>1475.3687705220671</v>
      </c>
      <c r="H332">
        <v>1444.133783088972</v>
      </c>
      <c r="I332">
        <v>34710.282808725373</v>
      </c>
      <c r="J332">
        <v>33266.14902563639</v>
      </c>
    </row>
    <row r="333" spans="1:10">
      <c r="A333" s="1">
        <v>45993.618055555547</v>
      </c>
      <c r="B333">
        <v>-123.57474545935339</v>
      </c>
      <c r="C333">
        <v>173493.519059869</v>
      </c>
      <c r="D333">
        <v>99755.868544600933</v>
      </c>
      <c r="E333">
        <v>73737.650515268077</v>
      </c>
      <c r="F333">
        <v>0</v>
      </c>
      <c r="G333">
        <v>1475.3687705220671</v>
      </c>
      <c r="H333">
        <v>1351.7940250627139</v>
      </c>
      <c r="I333">
        <v>34698.703811973799</v>
      </c>
      <c r="J333">
        <v>33346.909786911077</v>
      </c>
    </row>
    <row r="334" spans="1:10">
      <c r="A334" s="1">
        <v>45993.618750000001</v>
      </c>
      <c r="B334">
        <v>-56.24215251113651</v>
      </c>
      <c r="C334">
        <v>173388.62778147479</v>
      </c>
      <c r="D334">
        <v>99737.089201877941</v>
      </c>
      <c r="E334">
        <v>73651.538579596861</v>
      </c>
      <c r="F334">
        <v>0</v>
      </c>
      <c r="G334">
        <v>1475.3687705220671</v>
      </c>
      <c r="H334">
        <v>1419.126618010931</v>
      </c>
      <c r="I334">
        <v>34677.725556294958</v>
      </c>
      <c r="J334">
        <v>33258.598938284027</v>
      </c>
    </row>
    <row r="335" spans="1:10">
      <c r="A335" s="3">
        <v>45993.619444444441</v>
      </c>
      <c r="B335" s="4">
        <v>11.50364824874981</v>
      </c>
      <c r="C335" s="4">
        <v>173189.42658165391</v>
      </c>
      <c r="D335" s="4">
        <v>99671.361502347427</v>
      </c>
      <c r="E335" s="4">
        <v>73518.065079306456</v>
      </c>
      <c r="F335" s="4">
        <v>0</v>
      </c>
      <c r="G335" s="4">
        <v>1475.3687705220671</v>
      </c>
      <c r="H335" s="4">
        <v>1486.8724187708169</v>
      </c>
      <c r="I335" s="4">
        <v>34637.885316330779</v>
      </c>
      <c r="J335" s="4">
        <v>33151.012897559973</v>
      </c>
    </row>
    <row r="336" spans="1:10">
      <c r="A336" s="1">
        <v>45993.620138888888</v>
      </c>
      <c r="B336">
        <v>-24.084873796848569</v>
      </c>
      <c r="C336">
        <v>173093.55970463841</v>
      </c>
      <c r="D336">
        <v>99605.633802816898</v>
      </c>
      <c r="E336">
        <v>73487.925901821538</v>
      </c>
      <c r="F336">
        <v>0</v>
      </c>
      <c r="G336">
        <v>1475.3687705220671</v>
      </c>
      <c r="H336">
        <v>1451.283896725218</v>
      </c>
      <c r="I336">
        <v>34618.711940927693</v>
      </c>
      <c r="J336">
        <v>33167.428044202468</v>
      </c>
    </row>
    <row r="337" spans="1:10">
      <c r="A337" s="1">
        <v>45993.620833333327</v>
      </c>
      <c r="B337">
        <v>0</v>
      </c>
      <c r="C337">
        <v>0</v>
      </c>
      <c r="D337">
        <v>0</v>
      </c>
      <c r="E337">
        <v>0</v>
      </c>
      <c r="F337">
        <v>49.155055280603797</v>
      </c>
      <c r="G337">
        <v>1524.5238258026709</v>
      </c>
      <c r="H337">
        <v>1524.5238258026709</v>
      </c>
      <c r="I337">
        <v>0</v>
      </c>
      <c r="J337">
        <v>-1524.5238258026709</v>
      </c>
    </row>
    <row r="338" spans="1:10">
      <c r="A338" s="1">
        <v>45994.604166666657</v>
      </c>
      <c r="B338">
        <v>0</v>
      </c>
      <c r="C338">
        <v>173858.20722520779</v>
      </c>
      <c r="D338">
        <v>73858.207225207792</v>
      </c>
      <c r="E338">
        <v>100000</v>
      </c>
      <c r="F338">
        <v>0</v>
      </c>
      <c r="G338">
        <v>1524.5238258026709</v>
      </c>
      <c r="H338">
        <v>1524.5238258026709</v>
      </c>
      <c r="I338">
        <v>34771.641445041561</v>
      </c>
      <c r="J338">
        <v>33247.117619238888</v>
      </c>
    </row>
    <row r="339" spans="1:10">
      <c r="A339" s="3">
        <v>45994.604861111111</v>
      </c>
      <c r="B339" s="4">
        <v>-151.41903777985979</v>
      </c>
      <c r="C339" s="4">
        <v>174232.11651763431</v>
      </c>
      <c r="D339" s="4">
        <v>73969.452352531123</v>
      </c>
      <c r="E339" s="4">
        <v>100262.6641651032</v>
      </c>
      <c r="F339" s="4">
        <v>0</v>
      </c>
      <c r="G339" s="4">
        <v>1524.5238258026709</v>
      </c>
      <c r="H339" s="4">
        <v>1373.1047880228109</v>
      </c>
      <c r="I339" s="4">
        <v>34846.423303526863</v>
      </c>
      <c r="J339" s="4">
        <v>33473.318515504048</v>
      </c>
    </row>
    <row r="340" spans="1:10">
      <c r="A340" s="3">
        <v>45994.605555555558</v>
      </c>
      <c r="B340" s="4">
        <v>-34.910775182071923</v>
      </c>
      <c r="C340" s="4">
        <v>174423.6716845473</v>
      </c>
      <c r="D340" s="4">
        <v>74123.48406728651</v>
      </c>
      <c r="E340" s="4">
        <v>100300.1876172608</v>
      </c>
      <c r="F340" s="4">
        <v>0</v>
      </c>
      <c r="G340" s="4">
        <v>1524.5238258026709</v>
      </c>
      <c r="H340" s="4">
        <v>1489.6130506205991</v>
      </c>
      <c r="I340" s="4">
        <v>34884.73433690946</v>
      </c>
      <c r="J340" s="4">
        <v>33395.121286288857</v>
      </c>
    </row>
    <row r="341" spans="1:10">
      <c r="A341" s="1">
        <v>45994.606249999997</v>
      </c>
      <c r="B341">
        <v>66.470696167077875</v>
      </c>
      <c r="C341">
        <v>174262.38899079329</v>
      </c>
      <c r="D341">
        <v>74093.533456084071</v>
      </c>
      <c r="E341">
        <v>100168.8555347092</v>
      </c>
      <c r="F341">
        <v>0</v>
      </c>
      <c r="G341">
        <v>1524.5238258026709</v>
      </c>
      <c r="H341">
        <v>1590.994521969749</v>
      </c>
      <c r="I341">
        <v>34852.477798158652</v>
      </c>
      <c r="J341">
        <v>33261.483276188897</v>
      </c>
    </row>
    <row r="342" spans="1:10">
      <c r="A342" s="1">
        <v>45994.606944444437</v>
      </c>
      <c r="B342">
        <v>33.547764709209453</v>
      </c>
      <c r="C342">
        <v>174492.13022443859</v>
      </c>
      <c r="D342">
        <v>74191.9426071778</v>
      </c>
      <c r="E342">
        <v>100300.1876172608</v>
      </c>
      <c r="F342">
        <v>0</v>
      </c>
      <c r="G342">
        <v>1524.5238258026709</v>
      </c>
      <c r="H342">
        <v>1558.07159051188</v>
      </c>
      <c r="I342">
        <v>34898.426044887718</v>
      </c>
      <c r="J342">
        <v>33340.35445437584</v>
      </c>
    </row>
    <row r="343" spans="1:10">
      <c r="A343" s="3">
        <v>45994.607638888891</v>
      </c>
      <c r="B343" s="4">
        <v>-86.595432718747986</v>
      </c>
      <c r="C343" s="4">
        <v>174672.17464427141</v>
      </c>
      <c r="D343" s="4">
        <v>74221.893218380224</v>
      </c>
      <c r="E343" s="4">
        <v>100450.2814258912</v>
      </c>
      <c r="F343" s="4">
        <v>0</v>
      </c>
      <c r="G343" s="4">
        <v>1524.5238258026709</v>
      </c>
      <c r="H343" s="4">
        <v>1437.9283930839231</v>
      </c>
      <c r="I343" s="4">
        <v>34934.43492885428</v>
      </c>
      <c r="J343" s="4">
        <v>33496.506535770357</v>
      </c>
    </row>
    <row r="344" spans="1:10">
      <c r="A344" s="1">
        <v>45994.60833333333</v>
      </c>
      <c r="B344">
        <v>-33.121643759527963</v>
      </c>
      <c r="C344">
        <v>174969.550872255</v>
      </c>
      <c r="D344">
        <v>74397.318226851639</v>
      </c>
      <c r="E344">
        <v>100572.2326454034</v>
      </c>
      <c r="F344">
        <v>0</v>
      </c>
      <c r="G344">
        <v>1524.5238258026709</v>
      </c>
      <c r="H344">
        <v>1491.4021820431431</v>
      </c>
      <c r="I344">
        <v>34993.910174450997</v>
      </c>
      <c r="J344">
        <v>33502.50799240786</v>
      </c>
    </row>
    <row r="345" spans="1:10">
      <c r="A345" s="1">
        <v>45994.609027777777</v>
      </c>
      <c r="B345">
        <v>-143.54322552988239</v>
      </c>
      <c r="C345">
        <v>174840.3675644059</v>
      </c>
      <c r="D345">
        <v>74277.515782041897</v>
      </c>
      <c r="E345">
        <v>100562.851782364</v>
      </c>
      <c r="F345">
        <v>0</v>
      </c>
      <c r="G345">
        <v>1524.5238258026709</v>
      </c>
      <c r="H345">
        <v>1380.980600272788</v>
      </c>
      <c r="I345">
        <v>34968.073512881179</v>
      </c>
      <c r="J345">
        <v>33587.092912608387</v>
      </c>
    </row>
    <row r="346" spans="1:10">
      <c r="A346" s="3">
        <v>45994.609722222223</v>
      </c>
      <c r="B346" s="4">
        <v>-199.82840376628221</v>
      </c>
      <c r="C346" s="4">
        <v>174896.6527426423</v>
      </c>
      <c r="D346" s="4">
        <v>74277.515782041897</v>
      </c>
      <c r="E346" s="4">
        <v>100619.1369606004</v>
      </c>
      <c r="F346" s="4">
        <v>0</v>
      </c>
      <c r="G346" s="4">
        <v>1524.5238258026709</v>
      </c>
      <c r="H346" s="4">
        <v>1324.6954220363889</v>
      </c>
      <c r="I346" s="4">
        <v>34979.330548528458</v>
      </c>
      <c r="J346" s="4">
        <v>33654.635126492067</v>
      </c>
    </row>
    <row r="347" spans="1:10">
      <c r="A347" s="1">
        <v>45994.61041666667</v>
      </c>
      <c r="B347">
        <v>-128.07568166303119</v>
      </c>
      <c r="C347">
        <v>174893.35856043029</v>
      </c>
      <c r="D347">
        <v>74311.745051987542</v>
      </c>
      <c r="E347">
        <v>100581.6135084428</v>
      </c>
      <c r="F347">
        <v>0</v>
      </c>
      <c r="G347">
        <v>1524.5238258026709</v>
      </c>
      <c r="H347">
        <v>1396.4481441396399</v>
      </c>
      <c r="I347">
        <v>34978.671712086063</v>
      </c>
      <c r="J347">
        <v>33582.223567946421</v>
      </c>
    </row>
    <row r="348" spans="1:10">
      <c r="A348" s="3">
        <v>45994.611111111109</v>
      </c>
      <c r="B348" s="4">
        <v>-126.9302741535323</v>
      </c>
      <c r="C348" s="4">
        <v>175063.35950264899</v>
      </c>
      <c r="D348" s="4">
        <v>74397.318226851639</v>
      </c>
      <c r="E348" s="4">
        <v>100666.0412757974</v>
      </c>
      <c r="F348" s="4">
        <v>0</v>
      </c>
      <c r="G348" s="4">
        <v>1524.5238258026709</v>
      </c>
      <c r="H348" s="4">
        <v>1397.593551649139</v>
      </c>
      <c r="I348" s="4">
        <v>35012.671900529807</v>
      </c>
      <c r="J348" s="4">
        <v>33615.07834888067</v>
      </c>
    </row>
    <row r="349" spans="1:10">
      <c r="A349" s="1">
        <v>45994.611805555563</v>
      </c>
      <c r="B349">
        <v>27.603124198327119</v>
      </c>
      <c r="C349">
        <v>175011.51391413409</v>
      </c>
      <c r="D349">
        <v>74448.662131770106</v>
      </c>
      <c r="E349">
        <v>100562.851782364</v>
      </c>
      <c r="F349">
        <v>0</v>
      </c>
      <c r="G349">
        <v>1524.5238258026709</v>
      </c>
      <c r="H349">
        <v>1552.126950000998</v>
      </c>
      <c r="I349">
        <v>35002.302782826817</v>
      </c>
      <c r="J349">
        <v>33450.175832825822</v>
      </c>
    </row>
    <row r="350" spans="1:10">
      <c r="A350" s="1">
        <v>45994.612500000003</v>
      </c>
      <c r="B350">
        <v>-37.23937152448741</v>
      </c>
      <c r="C350">
        <v>175059.24177488411</v>
      </c>
      <c r="D350">
        <v>74440.104814283695</v>
      </c>
      <c r="E350">
        <v>100619.1369606004</v>
      </c>
      <c r="F350">
        <v>0</v>
      </c>
      <c r="G350">
        <v>1524.5238258026709</v>
      </c>
      <c r="H350">
        <v>1487.2844542781841</v>
      </c>
      <c r="I350">
        <v>35011.848354976821</v>
      </c>
      <c r="J350">
        <v>33524.563900698638</v>
      </c>
    </row>
    <row r="351" spans="1:10">
      <c r="A351" s="3">
        <v>45994.613194444442</v>
      </c>
      <c r="B351" s="4">
        <v>28.74853170782615</v>
      </c>
      <c r="C351" s="4">
        <v>175181.51485635279</v>
      </c>
      <c r="D351" s="4">
        <v>74534.235306634204</v>
      </c>
      <c r="E351" s="4">
        <v>100647.2795497186</v>
      </c>
      <c r="F351" s="4">
        <v>0</v>
      </c>
      <c r="G351" s="4">
        <v>1524.5238258026709</v>
      </c>
      <c r="H351" s="4">
        <v>1553.2723575104969</v>
      </c>
      <c r="I351" s="4">
        <v>35036.302971270561</v>
      </c>
      <c r="J351" s="4">
        <v>33483.030613760056</v>
      </c>
    </row>
    <row r="352" spans="1:10">
      <c r="A352" s="3">
        <v>45994.613888888889</v>
      </c>
      <c r="B352" s="4">
        <v>-78.378867850545248</v>
      </c>
      <c r="C352" s="4">
        <v>174980.57882640039</v>
      </c>
      <c r="D352" s="4">
        <v>74380.203591878817</v>
      </c>
      <c r="E352" s="4">
        <v>100600.37523452161</v>
      </c>
      <c r="F352" s="4">
        <v>0</v>
      </c>
      <c r="G352" s="4">
        <v>1524.5238258026709</v>
      </c>
      <c r="H352" s="4">
        <v>1446.1449579521261</v>
      </c>
      <c r="I352" s="4">
        <v>34996.115765280083</v>
      </c>
      <c r="J352" s="4">
        <v>33549.970807327947</v>
      </c>
    </row>
    <row r="353" spans="1:10">
      <c r="A353" s="3">
        <v>45994.614583333343</v>
      </c>
      <c r="B353" s="4">
        <v>-50.236278732345227</v>
      </c>
      <c r="C353" s="4">
        <v>174952.43623728221</v>
      </c>
      <c r="D353" s="4">
        <v>74380.203591878817</v>
      </c>
      <c r="E353" s="4">
        <v>100572.2326454034</v>
      </c>
      <c r="F353" s="4">
        <v>0</v>
      </c>
      <c r="G353" s="4">
        <v>1524.5238258026709</v>
      </c>
      <c r="H353" s="4">
        <v>1474.2875470703259</v>
      </c>
      <c r="I353" s="4">
        <v>34990.48724745644</v>
      </c>
      <c r="J353" s="4">
        <v>33516.199700386118</v>
      </c>
    </row>
    <row r="354" spans="1:10">
      <c r="A354" s="1">
        <v>45994.615277777782</v>
      </c>
      <c r="B354">
        <v>10.990172821977071</v>
      </c>
      <c r="C354">
        <v>174788.521975891</v>
      </c>
      <c r="D354">
        <v>74328.859686960364</v>
      </c>
      <c r="E354">
        <v>100459.6622889306</v>
      </c>
      <c r="F354">
        <v>0</v>
      </c>
      <c r="G354">
        <v>1524.5238258026709</v>
      </c>
      <c r="H354">
        <v>1535.5139986246479</v>
      </c>
      <c r="I354">
        <v>34957.704395178203</v>
      </c>
      <c r="J354">
        <v>33422.190396553553</v>
      </c>
    </row>
    <row r="355" spans="1:10">
      <c r="A355" s="3">
        <v>45994.615972222222</v>
      </c>
      <c r="B355" s="4">
        <v>0</v>
      </c>
      <c r="C355" s="4">
        <v>0</v>
      </c>
      <c r="D355" s="4">
        <v>0</v>
      </c>
      <c r="E355" s="4">
        <v>0</v>
      </c>
      <c r="F355" s="4">
        <v>-39.335724424510317</v>
      </c>
      <c r="G355" s="4">
        <v>1485.188101378161</v>
      </c>
      <c r="H355" s="4">
        <v>1485.188101378161</v>
      </c>
      <c r="I355" s="4">
        <v>0</v>
      </c>
      <c r="J355" s="4">
        <v>-1485.188101378161</v>
      </c>
    </row>
    <row r="356" spans="1:10">
      <c r="A356" s="3">
        <v>46000.604861111111</v>
      </c>
      <c r="B356" s="4">
        <v>0</v>
      </c>
      <c r="C356" s="4">
        <v>173858.20722520779</v>
      </c>
      <c r="D356" s="4">
        <v>73858.207225207792</v>
      </c>
      <c r="E356" s="4">
        <v>100000</v>
      </c>
      <c r="F356" s="4">
        <v>0</v>
      </c>
      <c r="G356" s="4">
        <v>1485.188101378161</v>
      </c>
      <c r="H356" s="4">
        <v>1485.188101378161</v>
      </c>
      <c r="I356" s="4">
        <v>34771.641445041561</v>
      </c>
      <c r="J356" s="4">
        <v>33286.453343663401</v>
      </c>
    </row>
    <row r="357" spans="1:10">
      <c r="A357" s="3">
        <v>46000.605555555558</v>
      </c>
      <c r="B357" s="4">
        <v>3.0899763118751662</v>
      </c>
      <c r="C357" s="4">
        <v>173805.74678952081</v>
      </c>
      <c r="D357" s="4">
        <v>73833.521995520219</v>
      </c>
      <c r="E357" s="4">
        <v>99972.224794000547</v>
      </c>
      <c r="F357" s="4">
        <v>0</v>
      </c>
      <c r="G357" s="4">
        <v>1485.188101378161</v>
      </c>
      <c r="H357" s="4">
        <v>1488.2780776900361</v>
      </c>
      <c r="I357" s="4">
        <v>34761.149357904163</v>
      </c>
      <c r="J357" s="4">
        <v>33272.871280214124</v>
      </c>
    </row>
    <row r="358" spans="1:10">
      <c r="A358" s="1">
        <v>46000.606249999997</v>
      </c>
      <c r="B358">
        <v>108.0223746217129</v>
      </c>
      <c r="C358">
        <v>173651.44393183579</v>
      </c>
      <c r="D358">
        <v>73808.836765832646</v>
      </c>
      <c r="E358">
        <v>99842.607166003145</v>
      </c>
      <c r="F358">
        <v>0</v>
      </c>
      <c r="G358">
        <v>1485.188101378161</v>
      </c>
      <c r="H358">
        <v>1593.210475999874</v>
      </c>
      <c r="I358">
        <v>34730.288786367157</v>
      </c>
      <c r="J358">
        <v>33137.07831036728</v>
      </c>
    </row>
    <row r="359" spans="1:10">
      <c r="A359" s="1">
        <v>46000.606944444437</v>
      </c>
      <c r="B359">
        <v>243.79113790333841</v>
      </c>
      <c r="C359">
        <v>173787.2126951174</v>
      </c>
      <c r="D359">
        <v>73944.605529114269</v>
      </c>
      <c r="E359">
        <v>99842.607166003145</v>
      </c>
      <c r="F359">
        <v>0</v>
      </c>
      <c r="G359">
        <v>1485.188101378161</v>
      </c>
      <c r="H359">
        <v>1728.9792392814991</v>
      </c>
      <c r="I359">
        <v>34757.442539023483</v>
      </c>
      <c r="J359">
        <v>33028.463299741983</v>
      </c>
    </row>
    <row r="360" spans="1:10">
      <c r="A360" s="1">
        <v>46000.607638888891</v>
      </c>
      <c r="B360">
        <v>50.423505350711487</v>
      </c>
      <c r="C360">
        <v>173593.8450625648</v>
      </c>
      <c r="D360">
        <v>73751.237896561652</v>
      </c>
      <c r="E360">
        <v>99842.607166003145</v>
      </c>
      <c r="F360">
        <v>0</v>
      </c>
      <c r="G360">
        <v>1485.188101378161</v>
      </c>
      <c r="H360">
        <v>1535.6116067288719</v>
      </c>
      <c r="I360">
        <v>34718.769012512959</v>
      </c>
      <c r="J360">
        <v>33183.157405784077</v>
      </c>
    </row>
    <row r="361" spans="1:10">
      <c r="A361" s="1">
        <v>46000.60833333333</v>
      </c>
      <c r="B361">
        <v>0</v>
      </c>
      <c r="C361">
        <v>0</v>
      </c>
      <c r="D361">
        <v>0</v>
      </c>
      <c r="E361">
        <v>0</v>
      </c>
      <c r="F361">
        <v>258.44582553254531</v>
      </c>
      <c r="G361">
        <v>1743.6339269107059</v>
      </c>
      <c r="H361">
        <v>1743.6339269107059</v>
      </c>
      <c r="I361">
        <v>0</v>
      </c>
      <c r="J361">
        <v>-1743.6339269107059</v>
      </c>
    </row>
    <row r="362" spans="1:10">
      <c r="A362" s="1">
        <v>46001.851388888892</v>
      </c>
      <c r="B362">
        <v>0</v>
      </c>
      <c r="C362">
        <v>173858.20722520779</v>
      </c>
      <c r="D362">
        <v>100000</v>
      </c>
      <c r="E362">
        <v>73858.207225207792</v>
      </c>
      <c r="F362">
        <v>0</v>
      </c>
      <c r="G362">
        <v>1743.6339269107059</v>
      </c>
      <c r="H362">
        <v>1743.6339269107059</v>
      </c>
      <c r="I362">
        <v>34771.641445041561</v>
      </c>
      <c r="J362">
        <v>33028.007518130857</v>
      </c>
    </row>
    <row r="363" spans="1:10">
      <c r="A363" s="1">
        <v>46001.852083333331</v>
      </c>
      <c r="B363">
        <v>368.2592110894916</v>
      </c>
      <c r="C363">
        <v>174324.59514385959</v>
      </c>
      <c r="D363">
        <v>100417.3235648706</v>
      </c>
      <c r="E363">
        <v>73907.271578988933</v>
      </c>
      <c r="F363">
        <v>0</v>
      </c>
      <c r="G363">
        <v>1743.6339269107059</v>
      </c>
      <c r="H363">
        <v>2111.8931380001982</v>
      </c>
      <c r="I363">
        <v>34864.919028771918</v>
      </c>
      <c r="J363">
        <v>32753.025890771722</v>
      </c>
    </row>
    <row r="364" spans="1:10">
      <c r="A364" s="1">
        <v>46001.852777777778</v>
      </c>
      <c r="B364">
        <v>361.97758554053019</v>
      </c>
      <c r="C364">
        <v>174293.78134141999</v>
      </c>
      <c r="D364">
        <v>100398.77585087639</v>
      </c>
      <c r="E364">
        <v>73895.005490543641</v>
      </c>
      <c r="F364">
        <v>0</v>
      </c>
      <c r="G364">
        <v>1743.6339269107059</v>
      </c>
      <c r="H364">
        <v>2105.6115124512362</v>
      </c>
      <c r="I364">
        <v>34858.756268284007</v>
      </c>
      <c r="J364">
        <v>32753.144755832771</v>
      </c>
    </row>
    <row r="365" spans="1:10">
      <c r="A365" s="3">
        <v>46001.853472222218</v>
      </c>
      <c r="B365" s="4">
        <v>202.92838923648361</v>
      </c>
      <c r="C365" s="4">
        <v>174044.78082985061</v>
      </c>
      <c r="D365" s="4">
        <v>100194.75099693961</v>
      </c>
      <c r="E365" s="4">
        <v>73850.029832910936</v>
      </c>
      <c r="F365" s="4">
        <v>0</v>
      </c>
      <c r="G365" s="4">
        <v>1743.6339269107059</v>
      </c>
      <c r="H365" s="4">
        <v>1946.562316147189</v>
      </c>
      <c r="I365" s="4">
        <v>34808.956165970121</v>
      </c>
      <c r="J365" s="4">
        <v>32862.393849822933</v>
      </c>
    </row>
    <row r="366" spans="1:10">
      <c r="A366" s="3">
        <v>46001.854166666657</v>
      </c>
      <c r="B366" s="4">
        <v>366.0662816889548</v>
      </c>
      <c r="C366" s="4">
        <v>174289.6926452716</v>
      </c>
      <c r="D366" s="4">
        <v>100398.77585087639</v>
      </c>
      <c r="E366" s="4">
        <v>73890.91679439522</v>
      </c>
      <c r="F366" s="4">
        <v>0</v>
      </c>
      <c r="G366" s="4">
        <v>1743.6339269107059</v>
      </c>
      <c r="H366" s="4">
        <v>2109.700208599661</v>
      </c>
      <c r="I366" s="4">
        <v>34857.938529054321</v>
      </c>
      <c r="J366" s="4">
        <v>32748.23832045466</v>
      </c>
    </row>
    <row r="367" spans="1:10">
      <c r="A367" s="3">
        <v>46001.854861111111</v>
      </c>
      <c r="B367" s="4">
        <v>415.72496077538358</v>
      </c>
      <c r="C367" s="4">
        <v>174388.41567813919</v>
      </c>
      <c r="D367" s="4">
        <v>100472.9667068534</v>
      </c>
      <c r="E367" s="4">
        <v>73915.44897128579</v>
      </c>
      <c r="F367" s="4">
        <v>0</v>
      </c>
      <c r="G367" s="4">
        <v>1743.6339269107059</v>
      </c>
      <c r="H367" s="4">
        <v>2159.358887686089</v>
      </c>
      <c r="I367" s="4">
        <v>34877.683135627842</v>
      </c>
      <c r="J367" s="4">
        <v>32718.324247941749</v>
      </c>
    </row>
    <row r="368" spans="1:10">
      <c r="A368" s="3">
        <v>46001.855555555558</v>
      </c>
      <c r="B368" s="4">
        <v>0</v>
      </c>
      <c r="C368" s="4">
        <v>0</v>
      </c>
      <c r="D368" s="4">
        <v>0</v>
      </c>
      <c r="E368" s="4">
        <v>0</v>
      </c>
      <c r="F368" s="4">
        <v>543.72288944048762</v>
      </c>
      <c r="G368" s="4">
        <v>2287.3568163511941</v>
      </c>
      <c r="H368" s="4">
        <v>2287.3568163511941</v>
      </c>
      <c r="I368" s="4">
        <v>0</v>
      </c>
      <c r="J368" s="4">
        <v>-2287.3568163511941</v>
      </c>
    </row>
    <row r="369" spans="1:10">
      <c r="A369" s="3">
        <v>46002.82708333333</v>
      </c>
      <c r="B369" s="4">
        <v>0</v>
      </c>
      <c r="C369" s="4">
        <v>173858.20722520779</v>
      </c>
      <c r="D369" s="4">
        <v>73858.207225207792</v>
      </c>
      <c r="E369" s="4">
        <v>100000</v>
      </c>
      <c r="F369" s="4">
        <v>0</v>
      </c>
      <c r="G369" s="4">
        <v>2287.3568163511941</v>
      </c>
      <c r="H369" s="4">
        <v>2287.3568163511941</v>
      </c>
      <c r="I369" s="4">
        <v>34771.641445041561</v>
      </c>
      <c r="J369" s="4">
        <v>32484.28462869037</v>
      </c>
    </row>
    <row r="370" spans="1:10">
      <c r="A370" s="3">
        <v>46002.827777777777</v>
      </c>
      <c r="B370" s="4">
        <v>43.404610502864948</v>
      </c>
      <c r="C370" s="4">
        <v>173846.55080974021</v>
      </c>
      <c r="D370" s="4">
        <v>73874.081322725426</v>
      </c>
      <c r="E370" s="4">
        <v>99972.46948701478</v>
      </c>
      <c r="F370" s="4">
        <v>0</v>
      </c>
      <c r="G370" s="4">
        <v>2287.3568163511941</v>
      </c>
      <c r="H370" s="4">
        <v>2330.7614268540592</v>
      </c>
      <c r="I370" s="4">
        <v>34769.310161948037</v>
      </c>
      <c r="J370" s="4">
        <v>32438.54873509398</v>
      </c>
    </row>
    <row r="371" spans="1:10">
      <c r="A371" s="3">
        <v>46002.828472222223</v>
      </c>
      <c r="B371" s="4">
        <v>68.95386102354945</v>
      </c>
      <c r="C371" s="4">
        <v>173963.86843687831</v>
      </c>
      <c r="D371" s="4">
        <v>73945.514761554819</v>
      </c>
      <c r="E371" s="4">
        <v>100018.35367532349</v>
      </c>
      <c r="F371" s="4">
        <v>0</v>
      </c>
      <c r="G371" s="4">
        <v>2287.3568163511941</v>
      </c>
      <c r="H371" s="4">
        <v>2356.3106773747431</v>
      </c>
      <c r="I371" s="4">
        <v>34792.773687375673</v>
      </c>
      <c r="J371" s="4">
        <v>32436.46301000092</v>
      </c>
    </row>
    <row r="372" spans="1:10">
      <c r="A372" s="3">
        <v>46002.82916666667</v>
      </c>
      <c r="B372" s="4">
        <v>71.682596500034776</v>
      </c>
      <c r="C372" s="4">
        <v>173984.95084767829</v>
      </c>
      <c r="D372" s="4">
        <v>73957.420334693044</v>
      </c>
      <c r="E372" s="4">
        <v>100027.53051298521</v>
      </c>
      <c r="F372" s="4">
        <v>0</v>
      </c>
      <c r="G372" s="4">
        <v>2287.3568163511941</v>
      </c>
      <c r="H372" s="4">
        <v>2359.039412851228</v>
      </c>
      <c r="I372" s="4">
        <v>34796.99016953566</v>
      </c>
      <c r="J372" s="4">
        <v>32437.95075668443</v>
      </c>
    </row>
    <row r="373" spans="1:10">
      <c r="A373" s="1">
        <v>46002.829861111109</v>
      </c>
      <c r="B373">
        <v>78.629014026570999</v>
      </c>
      <c r="C373">
        <v>174065.31196649879</v>
      </c>
      <c r="D373">
        <v>74001.074102866565</v>
      </c>
      <c r="E373">
        <v>100064.2378636322</v>
      </c>
      <c r="F373">
        <v>0</v>
      </c>
      <c r="G373">
        <v>2287.3568163511941</v>
      </c>
      <c r="H373">
        <v>2365.9858303777651</v>
      </c>
      <c r="I373">
        <v>34813.062393299762</v>
      </c>
      <c r="J373">
        <v>32447.07656292199</v>
      </c>
    </row>
    <row r="374" spans="1:10">
      <c r="A374" s="3">
        <v>46002.830555555563</v>
      </c>
      <c r="B374" s="4">
        <v>62.754916508932382</v>
      </c>
      <c r="C374" s="4">
        <v>174049.4378689811</v>
      </c>
      <c r="D374" s="4">
        <v>73985.200005348917</v>
      </c>
      <c r="E374" s="4">
        <v>100064.2378636322</v>
      </c>
      <c r="F374" s="4">
        <v>0</v>
      </c>
      <c r="G374" s="4">
        <v>2287.3568163511941</v>
      </c>
      <c r="H374" s="4">
        <v>2350.1117328601258</v>
      </c>
      <c r="I374" s="4">
        <v>34809.887573796223</v>
      </c>
      <c r="J374" s="4">
        <v>32459.775840936101</v>
      </c>
    </row>
    <row r="375" spans="1:10">
      <c r="A375" s="3">
        <v>46002.831250000003</v>
      </c>
      <c r="B375" s="4">
        <v>69.701334035481651</v>
      </c>
      <c r="C375" s="4">
        <v>174129.79898780159</v>
      </c>
      <c r="D375" s="4">
        <v>74028.853773522424</v>
      </c>
      <c r="E375" s="4">
        <v>100100.9452142792</v>
      </c>
      <c r="F375" s="4">
        <v>0</v>
      </c>
      <c r="G375" s="4">
        <v>2287.3568163511941</v>
      </c>
      <c r="H375" s="4">
        <v>2357.0581503866752</v>
      </c>
      <c r="I375" s="4">
        <v>34825.959797560317</v>
      </c>
      <c r="J375" s="4">
        <v>32468.90164717364</v>
      </c>
    </row>
    <row r="376" spans="1:10">
      <c r="A376" s="3">
        <v>46002.831944444442</v>
      </c>
      <c r="B376" s="4">
        <v>82.846696076646225</v>
      </c>
      <c r="C376" s="4">
        <v>174124.59067451919</v>
      </c>
      <c r="D376" s="4">
        <v>74032.822297901846</v>
      </c>
      <c r="E376" s="4">
        <v>100091.7683766174</v>
      </c>
      <c r="F376" s="4">
        <v>0</v>
      </c>
      <c r="G376" s="4">
        <v>2287.3568163511941</v>
      </c>
      <c r="H376" s="4">
        <v>2370.20351242784</v>
      </c>
      <c r="I376" s="4">
        <v>34824.918134903848</v>
      </c>
      <c r="J376" s="4">
        <v>32454.714622476011</v>
      </c>
    </row>
    <row r="377" spans="1:10">
      <c r="A377" s="3">
        <v>46002.832638888889</v>
      </c>
      <c r="B377" s="4">
        <v>42.170821050255313</v>
      </c>
      <c r="C377" s="4">
        <v>174157.32950078679</v>
      </c>
      <c r="D377" s="4">
        <v>74028.853773522424</v>
      </c>
      <c r="E377" s="4">
        <v>100128.47572726441</v>
      </c>
      <c r="F377" s="4">
        <v>0</v>
      </c>
      <c r="G377" s="4">
        <v>2287.3568163511941</v>
      </c>
      <c r="H377" s="4">
        <v>2329.5276374014488</v>
      </c>
      <c r="I377" s="4">
        <v>34831.465900157367</v>
      </c>
      <c r="J377" s="4">
        <v>32501.938262755921</v>
      </c>
    </row>
    <row r="378" spans="1:10">
      <c r="A378" s="3">
        <v>46002.833333333343</v>
      </c>
      <c r="B378" s="4">
        <v>72.92838485326638</v>
      </c>
      <c r="C378" s="4">
        <v>174261.50176588379</v>
      </c>
      <c r="D378" s="4">
        <v>74096.318687972409</v>
      </c>
      <c r="E378" s="4">
        <v>100165.1830779114</v>
      </c>
      <c r="F378" s="4">
        <v>0</v>
      </c>
      <c r="G378" s="4">
        <v>2287.3568163511941</v>
      </c>
      <c r="H378" s="4">
        <v>2360.28520120446</v>
      </c>
      <c r="I378" s="4">
        <v>34852.300353176754</v>
      </c>
      <c r="J378" s="4">
        <v>32492.015151972289</v>
      </c>
    </row>
    <row r="379" spans="1:10">
      <c r="A379" s="1">
        <v>46002.834027777782</v>
      </c>
      <c r="B379">
        <v>102.19700208271369</v>
      </c>
      <c r="C379">
        <v>174327.4777337602</v>
      </c>
      <c r="D379">
        <v>74143.940980525338</v>
      </c>
      <c r="E379">
        <v>100183.5367532348</v>
      </c>
      <c r="F379">
        <v>0</v>
      </c>
      <c r="G379">
        <v>2287.3568163511941</v>
      </c>
      <c r="H379">
        <v>2389.553818433908</v>
      </c>
      <c r="I379">
        <v>34865.495546752041</v>
      </c>
      <c r="J379">
        <v>32475.941728318128</v>
      </c>
    </row>
    <row r="380" spans="1:10">
      <c r="A380" s="3">
        <v>46002.834722222222</v>
      </c>
      <c r="B380" s="4">
        <v>38.451454341492557</v>
      </c>
      <c r="C380" s="4">
        <v>174208.67116004851</v>
      </c>
      <c r="D380" s="4">
        <v>74052.664919798888</v>
      </c>
      <c r="E380" s="4">
        <v>100156.0062402496</v>
      </c>
      <c r="F380" s="4">
        <v>0</v>
      </c>
      <c r="G380" s="4">
        <v>2287.3568163511941</v>
      </c>
      <c r="H380" s="4">
        <v>2325.8082706926862</v>
      </c>
      <c r="I380" s="4">
        <v>34841.734232009701</v>
      </c>
      <c r="J380" s="4">
        <v>32515.925961317011</v>
      </c>
    </row>
    <row r="381" spans="1:10">
      <c r="A381" s="1">
        <v>46002.835416666669</v>
      </c>
      <c r="B381">
        <v>36.962507767926979</v>
      </c>
      <c r="C381">
        <v>174170.47486282801</v>
      </c>
      <c r="D381">
        <v>74032.822297901846</v>
      </c>
      <c r="E381">
        <v>100137.6525649261</v>
      </c>
      <c r="F381">
        <v>0</v>
      </c>
      <c r="G381">
        <v>2287.3568163511941</v>
      </c>
      <c r="H381">
        <v>2324.3193241191211</v>
      </c>
      <c r="I381">
        <v>34834.094972565603</v>
      </c>
      <c r="J381">
        <v>32509.77564844647</v>
      </c>
    </row>
    <row r="382" spans="1:10">
      <c r="A382" s="1">
        <v>46002.836111111108</v>
      </c>
      <c r="B382">
        <v>31.754194485600379</v>
      </c>
      <c r="C382">
        <v>174183.62022486911</v>
      </c>
      <c r="D382">
        <v>74036.790822281255</v>
      </c>
      <c r="E382">
        <v>100146.8294025879</v>
      </c>
      <c r="F382">
        <v>0</v>
      </c>
      <c r="G382">
        <v>2287.3568163511941</v>
      </c>
      <c r="H382">
        <v>2319.1110108367939</v>
      </c>
      <c r="I382">
        <v>34836.724044973816</v>
      </c>
      <c r="J382">
        <v>32517.61303413703</v>
      </c>
    </row>
    <row r="383" spans="1:10">
      <c r="A383" s="3">
        <v>46002.836805555547</v>
      </c>
      <c r="B383" s="4">
        <v>59.03554980018265</v>
      </c>
      <c r="C383" s="4">
        <v>174100.7795282428</v>
      </c>
      <c r="D383" s="4">
        <v>74009.011151625382</v>
      </c>
      <c r="E383" s="4">
        <v>100091.7683766174</v>
      </c>
      <c r="F383" s="4">
        <v>0</v>
      </c>
      <c r="G383" s="4">
        <v>2287.3568163511941</v>
      </c>
      <c r="H383" s="4">
        <v>2346.3923661513759</v>
      </c>
      <c r="I383" s="4">
        <v>34820.155905648557</v>
      </c>
      <c r="J383" s="4">
        <v>32473.763539497191</v>
      </c>
    </row>
    <row r="384" spans="1:10">
      <c r="A384" s="3">
        <v>46002.837500000001</v>
      </c>
      <c r="B384" s="4">
        <v>44.401241185452513</v>
      </c>
      <c r="C384" s="4">
        <v>174067.79154430461</v>
      </c>
      <c r="D384" s="4">
        <v>73985.200005348917</v>
      </c>
      <c r="E384" s="4">
        <v>100082.5915389557</v>
      </c>
      <c r="F384" s="4">
        <v>0</v>
      </c>
      <c r="G384" s="4">
        <v>2287.3568163511941</v>
      </c>
      <c r="H384" s="4">
        <v>2331.758057536646</v>
      </c>
      <c r="I384" s="4">
        <v>34813.55830886092</v>
      </c>
      <c r="J384" s="4">
        <v>32481.800251324279</v>
      </c>
    </row>
    <row r="385" spans="1:10">
      <c r="A385" s="3">
        <v>46002.838194444441</v>
      </c>
      <c r="B385" s="4">
        <v>-21.325569020310439</v>
      </c>
      <c r="C385" s="4">
        <v>174093.83311071631</v>
      </c>
      <c r="D385" s="4">
        <v>73965.357383451861</v>
      </c>
      <c r="E385" s="4">
        <v>100128.47572726441</v>
      </c>
      <c r="F385" s="4">
        <v>0</v>
      </c>
      <c r="G385" s="4">
        <v>2287.3568163511941</v>
      </c>
      <c r="H385" s="4">
        <v>2266.0312473308832</v>
      </c>
      <c r="I385" s="4">
        <v>34818.766622143252</v>
      </c>
      <c r="J385" s="4">
        <v>32552.735374812371</v>
      </c>
    </row>
    <row r="386" spans="1:10">
      <c r="A386" s="3">
        <v>46002.838888888888</v>
      </c>
      <c r="B386" s="4">
        <v>-37.199666537949057</v>
      </c>
      <c r="C386" s="4">
        <v>174077.95901319859</v>
      </c>
      <c r="D386" s="4">
        <v>73949.483285934228</v>
      </c>
      <c r="E386" s="4">
        <v>100128.47572726441</v>
      </c>
      <c r="F386" s="4">
        <v>0</v>
      </c>
      <c r="G386" s="4">
        <v>2287.3568163511941</v>
      </c>
      <c r="H386" s="4">
        <v>2250.1571498132439</v>
      </c>
      <c r="I386" s="4">
        <v>34815.591802639727</v>
      </c>
      <c r="J386" s="4">
        <v>32565.43465282648</v>
      </c>
    </row>
    <row r="387" spans="1:10">
      <c r="A387" s="1">
        <v>46002.839583333327</v>
      </c>
      <c r="B387">
        <v>7.6938905384927523</v>
      </c>
      <c r="C387">
        <v>174104.49889495151</v>
      </c>
      <c r="D387">
        <v>73985.200005348917</v>
      </c>
      <c r="E387">
        <v>100119.29888960261</v>
      </c>
      <c r="F387">
        <v>0</v>
      </c>
      <c r="G387">
        <v>2287.3568163511941</v>
      </c>
      <c r="H387">
        <v>2295.0507068896859</v>
      </c>
      <c r="I387">
        <v>34820.899778990308</v>
      </c>
      <c r="J387">
        <v>32525.84907210062</v>
      </c>
    </row>
    <row r="388" spans="1:10">
      <c r="A388" s="3">
        <v>46002.840277777781</v>
      </c>
      <c r="B388" s="4">
        <v>-12.39788902920805</v>
      </c>
      <c r="C388" s="4">
        <v>174029.34608941339</v>
      </c>
      <c r="D388" s="4">
        <v>73937.577712795988</v>
      </c>
      <c r="E388" s="4">
        <v>100091.7683766174</v>
      </c>
      <c r="F388" s="4">
        <v>0</v>
      </c>
      <c r="G388" s="4">
        <v>2287.3568163511941</v>
      </c>
      <c r="H388" s="4">
        <v>2274.9589273219849</v>
      </c>
      <c r="I388" s="4">
        <v>34805.869217882682</v>
      </c>
      <c r="J388" s="4">
        <v>32530.9102905607</v>
      </c>
    </row>
    <row r="389" spans="1:10">
      <c r="A389" s="3">
        <v>46002.84097222222</v>
      </c>
      <c r="B389" s="4">
        <v>-7.1895757468814736</v>
      </c>
      <c r="C389" s="4">
        <v>174016.20072737231</v>
      </c>
      <c r="D389" s="4">
        <v>73933.60918841658</v>
      </c>
      <c r="E389" s="4">
        <v>100082.5915389557</v>
      </c>
      <c r="F389" s="4">
        <v>0</v>
      </c>
      <c r="G389" s="4">
        <v>2287.3568163511941</v>
      </c>
      <c r="H389" s="4">
        <v>2280.1672406043122</v>
      </c>
      <c r="I389" s="4">
        <v>34803.240145474447</v>
      </c>
      <c r="J389" s="4">
        <v>32523.07290487014</v>
      </c>
    </row>
    <row r="390" spans="1:10">
      <c r="A390" s="3">
        <v>46002.841666666667</v>
      </c>
      <c r="B390" s="4">
        <v>3.2270508177734598</v>
      </c>
      <c r="C390" s="4">
        <v>173989.91000328999</v>
      </c>
      <c r="D390" s="4">
        <v>73925.672139657763</v>
      </c>
      <c r="E390" s="4">
        <v>100064.2378636322</v>
      </c>
      <c r="F390" s="4">
        <v>0</v>
      </c>
      <c r="G390" s="4">
        <v>2287.3568163511941</v>
      </c>
      <c r="H390" s="4">
        <v>2290.5838671689671</v>
      </c>
      <c r="I390" s="4">
        <v>34797.98200065799</v>
      </c>
      <c r="J390" s="4">
        <v>32507.39813348902</v>
      </c>
    </row>
    <row r="391" spans="1:10">
      <c r="A391" s="1">
        <v>46002.842361111107</v>
      </c>
      <c r="B391">
        <v>29.766932570735388</v>
      </c>
      <c r="C391">
        <v>174034.80356036639</v>
      </c>
      <c r="D391">
        <v>73961.388859072453</v>
      </c>
      <c r="E391">
        <v>100073.41470129391</v>
      </c>
      <c r="F391">
        <v>0</v>
      </c>
      <c r="G391">
        <v>2287.3568163511941</v>
      </c>
      <c r="H391">
        <v>2317.1237489219288</v>
      </c>
      <c r="I391">
        <v>34806.960712073284</v>
      </c>
      <c r="J391">
        <v>32489.836963151349</v>
      </c>
    </row>
    <row r="392" spans="1:10">
      <c r="A392" s="3">
        <v>46002.843055555553</v>
      </c>
      <c r="B392" s="4">
        <v>-35.959877635027553</v>
      </c>
      <c r="C392" s="4">
        <v>174060.845126778</v>
      </c>
      <c r="D392" s="4">
        <v>73941.546237175397</v>
      </c>
      <c r="E392" s="4">
        <v>100119.29888960261</v>
      </c>
      <c r="F392" s="4">
        <v>0</v>
      </c>
      <c r="G392" s="4">
        <v>2287.3568163511941</v>
      </c>
      <c r="H392" s="4">
        <v>2251.396938716166</v>
      </c>
      <c r="I392" s="4">
        <v>34812.169025355608</v>
      </c>
      <c r="J392" s="4">
        <v>32560.772086639441</v>
      </c>
    </row>
    <row r="393" spans="1:10">
      <c r="A393" s="1">
        <v>46002.84375</v>
      </c>
      <c r="B393">
        <v>-23.805146826151699</v>
      </c>
      <c r="C393">
        <v>174128.06088355739</v>
      </c>
      <c r="D393">
        <v>73981.231480969509</v>
      </c>
      <c r="E393">
        <v>100146.8294025879</v>
      </c>
      <c r="F393">
        <v>0</v>
      </c>
      <c r="G393">
        <v>2287.3568163511941</v>
      </c>
      <c r="H393">
        <v>2263.5516695250421</v>
      </c>
      <c r="I393">
        <v>34825.612176711467</v>
      </c>
      <c r="J393">
        <v>32562.06050718643</v>
      </c>
    </row>
    <row r="394" spans="1:10">
      <c r="A394" s="1">
        <v>46002.844444444447</v>
      </c>
      <c r="B394">
        <v>-31.243880243677239</v>
      </c>
      <c r="C394">
        <v>174230.74420208079</v>
      </c>
      <c r="D394">
        <v>74028.853773522424</v>
      </c>
      <c r="E394">
        <v>100201.8904285583</v>
      </c>
      <c r="F394">
        <v>0</v>
      </c>
      <c r="G394">
        <v>2287.3568163511941</v>
      </c>
      <c r="H394">
        <v>2256.1129361075159</v>
      </c>
      <c r="I394">
        <v>34846.148840416157</v>
      </c>
      <c r="J394">
        <v>32590.035904308639</v>
      </c>
    </row>
    <row r="395" spans="1:10">
      <c r="A395" s="3">
        <v>46002.845138888893</v>
      </c>
      <c r="B395" s="4">
        <v>-8.9216805407792492</v>
      </c>
      <c r="C395" s="4">
        <v>174216.35905113671</v>
      </c>
      <c r="D395" s="4">
        <v>74032.822297901846</v>
      </c>
      <c r="E395" s="4">
        <v>100183.5367532348</v>
      </c>
      <c r="F395" s="4">
        <v>0</v>
      </c>
      <c r="G395" s="4">
        <v>2287.3568163511941</v>
      </c>
      <c r="H395" s="4">
        <v>2278.435135810415</v>
      </c>
      <c r="I395" s="4">
        <v>34843.271810227343</v>
      </c>
      <c r="J395" s="4">
        <v>32564.836674416929</v>
      </c>
    </row>
    <row r="396" spans="1:10">
      <c r="A396" s="1">
        <v>46002.845833333333</v>
      </c>
      <c r="B396">
        <v>-41.909664478989271</v>
      </c>
      <c r="C396">
        <v>174201.724742522</v>
      </c>
      <c r="D396">
        <v>74009.011151625382</v>
      </c>
      <c r="E396">
        <v>100192.7135908966</v>
      </c>
      <c r="F396">
        <v>0</v>
      </c>
      <c r="G396">
        <v>2287.3568163511941</v>
      </c>
      <c r="H396">
        <v>2245.4471518722039</v>
      </c>
      <c r="I396">
        <v>34840.344948504397</v>
      </c>
      <c r="J396">
        <v>32594.897796632191</v>
      </c>
    </row>
    <row r="397" spans="1:10">
      <c r="A397" s="3">
        <v>46002.84652777778</v>
      </c>
      <c r="B397" s="4">
        <v>-28.764302437835969</v>
      </c>
      <c r="C397" s="4">
        <v>174196.51642923971</v>
      </c>
      <c r="D397" s="4">
        <v>74012.97967600479</v>
      </c>
      <c r="E397" s="4">
        <v>100183.5367532348</v>
      </c>
      <c r="F397" s="4">
        <v>0</v>
      </c>
      <c r="G397" s="4">
        <v>2287.3568163511941</v>
      </c>
      <c r="H397" s="4">
        <v>2258.5925139133578</v>
      </c>
      <c r="I397" s="4">
        <v>34839.303285847927</v>
      </c>
      <c r="J397" s="4">
        <v>32580.71077193458</v>
      </c>
    </row>
    <row r="398" spans="1:10">
      <c r="A398" s="1">
        <v>46002.847222222219</v>
      </c>
      <c r="B398">
        <v>-65.471653084795719</v>
      </c>
      <c r="C398">
        <v>174233.22377988661</v>
      </c>
      <c r="D398">
        <v>74012.97967600479</v>
      </c>
      <c r="E398">
        <v>100220.24410388181</v>
      </c>
      <c r="F398">
        <v>0</v>
      </c>
      <c r="G398">
        <v>2287.3568163511941</v>
      </c>
      <c r="H398">
        <v>2221.8851632663982</v>
      </c>
      <c r="I398">
        <v>34846.644755977322</v>
      </c>
      <c r="J398">
        <v>32624.759592710929</v>
      </c>
    </row>
    <row r="399" spans="1:10">
      <c r="A399" s="1">
        <v>46002.847916666673</v>
      </c>
      <c r="B399">
        <v>-89.282799361259293</v>
      </c>
      <c r="C399">
        <v>174209.4126336101</v>
      </c>
      <c r="D399">
        <v>73989.168529728326</v>
      </c>
      <c r="E399">
        <v>100220.24410388181</v>
      </c>
      <c r="F399">
        <v>0</v>
      </c>
      <c r="G399">
        <v>2287.3568163511941</v>
      </c>
      <c r="H399">
        <v>2198.074016989935</v>
      </c>
      <c r="I399">
        <v>34841.882526722031</v>
      </c>
      <c r="J399">
        <v>32643.808509732091</v>
      </c>
    </row>
    <row r="400" spans="1:10">
      <c r="A400" s="3">
        <v>46002.848611111112</v>
      </c>
      <c r="B400" s="4">
        <v>-69.689335134870944</v>
      </c>
      <c r="C400" s="4">
        <v>174173.9450718661</v>
      </c>
      <c r="D400" s="4">
        <v>73981.231480969509</v>
      </c>
      <c r="E400" s="4">
        <v>100192.7135908966</v>
      </c>
      <c r="F400" s="4">
        <v>0</v>
      </c>
      <c r="G400" s="4">
        <v>2287.3568163511941</v>
      </c>
      <c r="H400" s="4">
        <v>2217.6674812163228</v>
      </c>
      <c r="I400" s="4">
        <v>34834.789014373222</v>
      </c>
      <c r="J400" s="4">
        <v>32617.1215331569</v>
      </c>
    </row>
    <row r="401" spans="1:10">
      <c r="A401" s="1">
        <v>46002.849305555559</v>
      </c>
      <c r="B401">
        <v>-51.335659811378022</v>
      </c>
      <c r="C401">
        <v>174155.59139654259</v>
      </c>
      <c r="D401">
        <v>73981.231480969509</v>
      </c>
      <c r="E401">
        <v>100174.35991557311</v>
      </c>
      <c r="F401">
        <v>0</v>
      </c>
      <c r="G401">
        <v>2287.3568163511941</v>
      </c>
      <c r="H401">
        <v>2236.0211565398158</v>
      </c>
      <c r="I401">
        <v>34831.118279308517</v>
      </c>
      <c r="J401">
        <v>32595.097122768711</v>
      </c>
    </row>
    <row r="402" spans="1:10">
      <c r="A402" s="3">
        <v>46002.85</v>
      </c>
      <c r="B402" s="4">
        <v>-57.783761996639157</v>
      </c>
      <c r="C402" s="4">
        <v>174185.85064500431</v>
      </c>
      <c r="D402" s="4">
        <v>73993.137054107734</v>
      </c>
      <c r="E402" s="4">
        <v>100192.7135908966</v>
      </c>
      <c r="F402" s="4">
        <v>0</v>
      </c>
      <c r="G402" s="4">
        <v>2287.3568163511941</v>
      </c>
      <c r="H402" s="4">
        <v>2229.5730543545551</v>
      </c>
      <c r="I402" s="4">
        <v>34837.170129000857</v>
      </c>
      <c r="J402" s="4">
        <v>32607.59707464631</v>
      </c>
    </row>
    <row r="403" spans="1:10">
      <c r="A403" s="1">
        <v>46002.850694444453</v>
      </c>
      <c r="B403">
        <v>-101.43753017014819</v>
      </c>
      <c r="C403">
        <v>174142.1968768308</v>
      </c>
      <c r="D403">
        <v>73949.483285934228</v>
      </c>
      <c r="E403">
        <v>100192.7135908966</v>
      </c>
      <c r="F403">
        <v>0</v>
      </c>
      <c r="G403">
        <v>2287.3568163511941</v>
      </c>
      <c r="H403">
        <v>2185.9192861810461</v>
      </c>
      <c r="I403">
        <v>34828.439375366157</v>
      </c>
      <c r="J403">
        <v>32642.52008918512</v>
      </c>
    </row>
    <row r="404" spans="1:10">
      <c r="A404" s="3">
        <v>46002.851388888892</v>
      </c>
      <c r="B404" s="4">
        <v>-105.40605454955499</v>
      </c>
      <c r="C404" s="4">
        <v>174138.22835245141</v>
      </c>
      <c r="D404" s="4">
        <v>73945.514761554819</v>
      </c>
      <c r="E404" s="4">
        <v>100192.7135908966</v>
      </c>
      <c r="F404" s="4">
        <v>0</v>
      </c>
      <c r="G404" s="4">
        <v>2287.3568163511941</v>
      </c>
      <c r="H404" s="4">
        <v>2181.9507618016391</v>
      </c>
      <c r="I404" s="4">
        <v>34827.645670490281</v>
      </c>
      <c r="J404" s="4">
        <v>32645.694908688642</v>
      </c>
    </row>
    <row r="405" spans="1:10">
      <c r="A405" s="3">
        <v>46002.852083333331</v>
      </c>
      <c r="B405" s="4">
        <v>-93.500481411323236</v>
      </c>
      <c r="C405" s="4">
        <v>174150.13392558959</v>
      </c>
      <c r="D405" s="4">
        <v>73957.420334693044</v>
      </c>
      <c r="E405" s="4">
        <v>100192.7135908966</v>
      </c>
      <c r="F405" s="4">
        <v>0</v>
      </c>
      <c r="G405" s="4">
        <v>2287.3568163511941</v>
      </c>
      <c r="H405" s="4">
        <v>2193.856334939871</v>
      </c>
      <c r="I405" s="4">
        <v>34830.026785117923</v>
      </c>
      <c r="J405" s="4">
        <v>32636.170450178051</v>
      </c>
    </row>
    <row r="406" spans="1:10">
      <c r="A406" s="3">
        <v>46002.852777777778</v>
      </c>
      <c r="B406" s="4">
        <v>-123.7597298730349</v>
      </c>
      <c r="C406" s="4">
        <v>174156.58202777489</v>
      </c>
      <c r="D406" s="4">
        <v>73945.514761554819</v>
      </c>
      <c r="E406" s="4">
        <v>100211.0672662201</v>
      </c>
      <c r="F406" s="4">
        <v>0</v>
      </c>
      <c r="G406" s="4">
        <v>2287.3568163511941</v>
      </c>
      <c r="H406" s="4">
        <v>2163.5970864781589</v>
      </c>
      <c r="I406" s="4">
        <v>34831.316405554979</v>
      </c>
      <c r="J406" s="4">
        <v>32667.719319076819</v>
      </c>
    </row>
    <row r="407" spans="1:10">
      <c r="A407" s="1">
        <v>46002.853472222218</v>
      </c>
      <c r="B407">
        <v>-161.95602709357149</v>
      </c>
      <c r="C407">
        <v>174155.09308120131</v>
      </c>
      <c r="D407">
        <v>73925.672139657763</v>
      </c>
      <c r="E407">
        <v>100229.4209415435</v>
      </c>
      <c r="F407">
        <v>0</v>
      </c>
      <c r="G407">
        <v>2287.3568163511941</v>
      </c>
      <c r="H407">
        <v>2125.4007892576219</v>
      </c>
      <c r="I407">
        <v>34831.018616240261</v>
      </c>
      <c r="J407">
        <v>32705.617826982641</v>
      </c>
    </row>
    <row r="408" spans="1:10">
      <c r="A408" s="3">
        <v>46002.854166666657</v>
      </c>
      <c r="B408" s="4">
        <v>-124.7503611053106</v>
      </c>
      <c r="C408" s="4">
        <v>174229.00609783651</v>
      </c>
      <c r="D408" s="4">
        <v>73981.231480969509</v>
      </c>
      <c r="E408" s="4">
        <v>100247.774616867</v>
      </c>
      <c r="F408" s="4">
        <v>0</v>
      </c>
      <c r="G408" s="4">
        <v>2287.3568163511941</v>
      </c>
      <c r="H408" s="4">
        <v>2162.6064552458829</v>
      </c>
      <c r="I408" s="4">
        <v>34845.801219567307</v>
      </c>
      <c r="J408" s="4">
        <v>32683.194764321419</v>
      </c>
    </row>
    <row r="409" spans="1:10">
      <c r="A409" s="3">
        <v>46002.854861111111</v>
      </c>
      <c r="B409" s="4">
        <v>-95.481743875876361</v>
      </c>
      <c r="C409" s="4">
        <v>174294.98206571289</v>
      </c>
      <c r="D409" s="4">
        <v>74028.853773522424</v>
      </c>
      <c r="E409" s="4">
        <v>100266.12829219049</v>
      </c>
      <c r="F409" s="4">
        <v>0</v>
      </c>
      <c r="G409" s="4">
        <v>2287.3568163511941</v>
      </c>
      <c r="H409" s="4">
        <v>2191.8750724753172</v>
      </c>
      <c r="I409" s="4">
        <v>34858.996413142588</v>
      </c>
      <c r="J409" s="4">
        <v>32667.121340667269</v>
      </c>
    </row>
    <row r="410" spans="1:10">
      <c r="A410" s="1">
        <v>46002.855555555558</v>
      </c>
      <c r="B410">
        <v>-98.210479352361688</v>
      </c>
      <c r="C410">
        <v>174273.899654913</v>
      </c>
      <c r="D410">
        <v>74016.948200384199</v>
      </c>
      <c r="E410">
        <v>100256.9514545288</v>
      </c>
      <c r="F410">
        <v>0</v>
      </c>
      <c r="G410">
        <v>2287.3568163511941</v>
      </c>
      <c r="H410">
        <v>2189.1463369988319</v>
      </c>
      <c r="I410">
        <v>34854.779930982593</v>
      </c>
      <c r="J410">
        <v>32665.633593983759</v>
      </c>
    </row>
    <row r="411" spans="1:10">
      <c r="A411" s="3">
        <v>46002.856249999997</v>
      </c>
      <c r="B411" s="4">
        <v>-111.35584139351501</v>
      </c>
      <c r="C411" s="4">
        <v>174279.10796819531</v>
      </c>
      <c r="D411" s="4">
        <v>74012.97967600479</v>
      </c>
      <c r="E411" s="4">
        <v>100266.12829219049</v>
      </c>
      <c r="F411" s="4">
        <v>0</v>
      </c>
      <c r="G411" s="4">
        <v>2287.3568163511941</v>
      </c>
      <c r="H411" s="4">
        <v>2176.0009749576789</v>
      </c>
      <c r="I411" s="4">
        <v>34855.821593639062</v>
      </c>
      <c r="J411" s="4">
        <v>32679.82061868138</v>
      </c>
    </row>
    <row r="412" spans="1:10">
      <c r="A412" s="3">
        <v>46002.856944444437</v>
      </c>
      <c r="B412" s="4">
        <v>-106.1475281111754</v>
      </c>
      <c r="C412" s="4">
        <v>174265.96260615409</v>
      </c>
      <c r="D412" s="4">
        <v>74009.011151625382</v>
      </c>
      <c r="E412" s="4">
        <v>100256.9514545288</v>
      </c>
      <c r="F412" s="4">
        <v>0</v>
      </c>
      <c r="G412" s="4">
        <v>2287.3568163511941</v>
      </c>
      <c r="H412" s="4">
        <v>2181.2092882400179</v>
      </c>
      <c r="I412" s="4">
        <v>34853.192521230827</v>
      </c>
      <c r="J412" s="4">
        <v>32671.98323299082</v>
      </c>
    </row>
    <row r="413" spans="1:10">
      <c r="A413" s="1">
        <v>46002.857638888891</v>
      </c>
      <c r="B413">
        <v>-130.207832058283</v>
      </c>
      <c r="C413">
        <v>174186.84127623661</v>
      </c>
      <c r="D413">
        <v>73957.420334693044</v>
      </c>
      <c r="E413">
        <v>100229.4209415435</v>
      </c>
      <c r="F413">
        <v>0</v>
      </c>
      <c r="G413">
        <v>2287.3568163511941</v>
      </c>
      <c r="H413">
        <v>2157.14898429291</v>
      </c>
      <c r="I413">
        <v>34837.368255247318</v>
      </c>
      <c r="J413">
        <v>32680.219270954411</v>
      </c>
    </row>
    <row r="414" spans="1:10">
      <c r="A414" s="1">
        <v>46002.85833333333</v>
      </c>
      <c r="B414">
        <v>-166.17370914363369</v>
      </c>
      <c r="C414">
        <v>174095.81437318079</v>
      </c>
      <c r="D414">
        <v>73893.923944622467</v>
      </c>
      <c r="E414">
        <v>100201.8904285583</v>
      </c>
      <c r="F414">
        <v>0</v>
      </c>
      <c r="G414">
        <v>2287.3568163511941</v>
      </c>
      <c r="H414">
        <v>2121.1831072075602</v>
      </c>
      <c r="I414">
        <v>34819.16287463616</v>
      </c>
      <c r="J414">
        <v>32697.979767428598</v>
      </c>
    </row>
    <row r="415" spans="1:10">
      <c r="A415" s="1">
        <v>46002.859027777777</v>
      </c>
      <c r="B415">
        <v>-193.95337979950409</v>
      </c>
      <c r="C415">
        <v>174068.03470252501</v>
      </c>
      <c r="D415">
        <v>73866.144273966609</v>
      </c>
      <c r="E415">
        <v>100201.8904285583</v>
      </c>
      <c r="F415">
        <v>0</v>
      </c>
      <c r="G415">
        <v>2287.3568163511941</v>
      </c>
      <c r="H415">
        <v>2093.40343655169</v>
      </c>
      <c r="I415">
        <v>34813.606940504993</v>
      </c>
      <c r="J415">
        <v>32720.2035039533</v>
      </c>
    </row>
    <row r="416" spans="1:10">
      <c r="A416" s="3">
        <v>46002.859722222223</v>
      </c>
      <c r="B416" s="4">
        <v>-209.57831964649861</v>
      </c>
      <c r="C416" s="4">
        <v>174107.47078864841</v>
      </c>
      <c r="D416" s="4">
        <v>73878.049847104834</v>
      </c>
      <c r="E416" s="4">
        <v>100229.4209415435</v>
      </c>
      <c r="F416" s="4">
        <v>0</v>
      </c>
      <c r="G416" s="4">
        <v>2287.3568163511941</v>
      </c>
      <c r="H416" s="4">
        <v>2077.778496704695</v>
      </c>
      <c r="I416" s="4">
        <v>34821.494157729678</v>
      </c>
      <c r="J416" s="4">
        <v>32743.71566102498</v>
      </c>
    </row>
    <row r="417" spans="1:10">
      <c r="A417" s="1">
        <v>46002.86041666667</v>
      </c>
      <c r="B417">
        <v>-184.52738446711359</v>
      </c>
      <c r="C417">
        <v>174114.1680485043</v>
      </c>
      <c r="D417">
        <v>73893.923944622467</v>
      </c>
      <c r="E417">
        <v>100220.24410388181</v>
      </c>
      <c r="F417">
        <v>0</v>
      </c>
      <c r="G417">
        <v>2287.3568163511941</v>
      </c>
      <c r="H417">
        <v>2102.8294318840799</v>
      </c>
      <c r="I417">
        <v>34822.833609700858</v>
      </c>
      <c r="J417">
        <v>32720.00417781678</v>
      </c>
    </row>
    <row r="418" spans="1:10">
      <c r="A418" s="3">
        <v>46002.861111111109</v>
      </c>
      <c r="B418" s="4">
        <v>-229.17178387290011</v>
      </c>
      <c r="C418" s="4">
        <v>174142.93835039239</v>
      </c>
      <c r="D418" s="4">
        <v>73885.986895863665</v>
      </c>
      <c r="E418" s="4">
        <v>100256.9514545288</v>
      </c>
      <c r="F418" s="4">
        <v>0</v>
      </c>
      <c r="G418" s="4">
        <v>2287.3568163511941</v>
      </c>
      <c r="H418" s="4">
        <v>2058.185032478294</v>
      </c>
      <c r="I418" s="4">
        <v>34828.587670078487</v>
      </c>
      <c r="J418" s="4">
        <v>32770.4026376002</v>
      </c>
    </row>
    <row r="419" spans="1:10">
      <c r="A419" s="1">
        <v>46002.861805555563</v>
      </c>
      <c r="B419">
        <v>-251.49398357579801</v>
      </c>
      <c r="C419">
        <v>174157.3235013365</v>
      </c>
      <c r="D419">
        <v>73882.018371484242</v>
      </c>
      <c r="E419">
        <v>100275.3051298522</v>
      </c>
      <c r="F419">
        <v>0</v>
      </c>
      <c r="G419">
        <v>2287.3568163511941</v>
      </c>
      <c r="H419">
        <v>2035.8628327753961</v>
      </c>
      <c r="I419">
        <v>34831.464700267301</v>
      </c>
      <c r="J419">
        <v>32795.601867491903</v>
      </c>
    </row>
    <row r="420" spans="1:10">
      <c r="A420" s="1">
        <v>46002.862500000003</v>
      </c>
      <c r="B420">
        <v>-275.30512985225027</v>
      </c>
      <c r="C420">
        <v>174133.51235506</v>
      </c>
      <c r="D420">
        <v>73858.207225207792</v>
      </c>
      <c r="E420">
        <v>100275.3051298522</v>
      </c>
      <c r="F420">
        <v>0</v>
      </c>
      <c r="G420">
        <v>2287.3568163511941</v>
      </c>
      <c r="H420">
        <v>2012.0516864989429</v>
      </c>
      <c r="I420">
        <v>34826.702471012009</v>
      </c>
      <c r="J420">
        <v>32814.650784513069</v>
      </c>
    </row>
    <row r="421" spans="1:10">
      <c r="A421" s="1">
        <v>46002.863194444442</v>
      </c>
      <c r="B421">
        <v>-264.88850328759543</v>
      </c>
      <c r="C421">
        <v>174107.2216309777</v>
      </c>
      <c r="D421">
        <v>73850.270176448961</v>
      </c>
      <c r="E421">
        <v>100256.9514545288</v>
      </c>
      <c r="F421">
        <v>0</v>
      </c>
      <c r="G421">
        <v>2287.3568163511941</v>
      </c>
      <c r="H421">
        <v>2022.4683130635981</v>
      </c>
      <c r="I421">
        <v>34821.444326195553</v>
      </c>
      <c r="J421">
        <v>32798.976013131949</v>
      </c>
    </row>
    <row r="422" spans="1:10">
      <c r="A422" s="1">
        <v>46002.863888888889</v>
      </c>
      <c r="B422">
        <v>-275.55428752290572</v>
      </c>
      <c r="C422">
        <v>174078.2021714189</v>
      </c>
      <c r="D422">
        <v>73830.427554551905</v>
      </c>
      <c r="E422">
        <v>100247.774616867</v>
      </c>
      <c r="F422">
        <v>0</v>
      </c>
      <c r="G422">
        <v>2287.3568163511941</v>
      </c>
      <c r="H422">
        <v>2011.8025288282879</v>
      </c>
      <c r="I422">
        <v>34815.640434283778</v>
      </c>
      <c r="J422">
        <v>32803.837905455497</v>
      </c>
    </row>
    <row r="423" spans="1:10">
      <c r="A423" s="3">
        <v>46002.864583333343</v>
      </c>
      <c r="B423" s="4">
        <v>-230.66073044647689</v>
      </c>
      <c r="C423" s="4">
        <v>174104.74205317191</v>
      </c>
      <c r="D423" s="4">
        <v>73866.144273966609</v>
      </c>
      <c r="E423" s="4">
        <v>100238.5977792053</v>
      </c>
      <c r="F423" s="4">
        <v>0</v>
      </c>
      <c r="G423" s="4">
        <v>2287.3568163511941</v>
      </c>
      <c r="H423" s="4">
        <v>2056.6960859047172</v>
      </c>
      <c r="I423" s="4">
        <v>34820.948410634381</v>
      </c>
      <c r="J423" s="4">
        <v>32764.252324729659</v>
      </c>
    </row>
    <row r="424" spans="1:10">
      <c r="A424" s="1">
        <v>46002.865277777782</v>
      </c>
      <c r="B424">
        <v>-230.909888117121</v>
      </c>
      <c r="C424">
        <v>174049.43186953079</v>
      </c>
      <c r="D424">
        <v>73838.364603310736</v>
      </c>
      <c r="E424">
        <v>100211.0672662201</v>
      </c>
      <c r="F424">
        <v>0</v>
      </c>
      <c r="G424">
        <v>2287.3568163511941</v>
      </c>
      <c r="H424">
        <v>2056.4469282340729</v>
      </c>
      <c r="I424">
        <v>34809.886373906163</v>
      </c>
      <c r="J424">
        <v>32753.439445672091</v>
      </c>
    </row>
    <row r="425" spans="1:10">
      <c r="A425" s="3">
        <v>46002.865972222222</v>
      </c>
      <c r="B425" s="4">
        <v>-233.38946592296219</v>
      </c>
      <c r="C425" s="4">
        <v>174083.6596423719</v>
      </c>
      <c r="D425" s="4">
        <v>73854.238700828369</v>
      </c>
      <c r="E425" s="4">
        <v>100229.4209415435</v>
      </c>
      <c r="F425" s="4">
        <v>0</v>
      </c>
      <c r="G425" s="4">
        <v>2287.3568163511941</v>
      </c>
      <c r="H425" s="4">
        <v>2053.9673504282309</v>
      </c>
      <c r="I425" s="4">
        <v>34816.731928474393</v>
      </c>
      <c r="J425" s="4">
        <v>32762.76457804615</v>
      </c>
    </row>
    <row r="426" spans="1:10">
      <c r="A426" s="1">
        <v>46002.866666666669</v>
      </c>
      <c r="B426">
        <v>-262.90724082305348</v>
      </c>
      <c r="C426">
        <v>173962.3734908544</v>
      </c>
      <c r="D426">
        <v>73778.836737619567</v>
      </c>
      <c r="E426">
        <v>100183.5367532348</v>
      </c>
      <c r="F426">
        <v>0</v>
      </c>
      <c r="G426">
        <v>2287.3568163511941</v>
      </c>
      <c r="H426">
        <v>2024.44957552814</v>
      </c>
      <c r="I426">
        <v>34792.474698170881</v>
      </c>
      <c r="J426">
        <v>32768.025122642743</v>
      </c>
    </row>
    <row r="427" spans="1:10">
      <c r="A427" s="3">
        <v>46002.867361111108</v>
      </c>
      <c r="B427" s="4">
        <v>-252.73977192904269</v>
      </c>
      <c r="C427" s="4">
        <v>173880.77258313101</v>
      </c>
      <c r="D427" s="4">
        <v>73743.120018204878</v>
      </c>
      <c r="E427" s="4">
        <v>100137.6525649261</v>
      </c>
      <c r="F427" s="4">
        <v>0</v>
      </c>
      <c r="G427" s="4">
        <v>2287.3568163511941</v>
      </c>
      <c r="H427" s="4">
        <v>2034.6170444221509</v>
      </c>
      <c r="I427" s="4">
        <v>34776.1545166262</v>
      </c>
      <c r="J427" s="4">
        <v>32741.537472204051</v>
      </c>
    </row>
    <row r="428" spans="1:10">
      <c r="A428" s="3">
        <v>46002.868055555547</v>
      </c>
      <c r="B428" s="4">
        <v>-254.9701920642286</v>
      </c>
      <c r="C428" s="4">
        <v>173970.31053961319</v>
      </c>
      <c r="D428" s="4">
        <v>73786.773786378399</v>
      </c>
      <c r="E428" s="4">
        <v>100183.5367532348</v>
      </c>
      <c r="F428" s="4">
        <v>0</v>
      </c>
      <c r="G428" s="4">
        <v>2287.3568163511941</v>
      </c>
      <c r="H428" s="4">
        <v>2032.3866242869649</v>
      </c>
      <c r="I428" s="4">
        <v>34794.062107922648</v>
      </c>
      <c r="J428" s="4">
        <v>32761.675483635681</v>
      </c>
    </row>
    <row r="429" spans="1:10">
      <c r="A429" s="1">
        <v>46002.868750000001</v>
      </c>
      <c r="B429">
        <v>-310.28037570532541</v>
      </c>
      <c r="C429">
        <v>173970.06138194259</v>
      </c>
      <c r="D429">
        <v>73758.994115722526</v>
      </c>
      <c r="E429">
        <v>100211.0672662201</v>
      </c>
      <c r="F429">
        <v>0</v>
      </c>
      <c r="G429">
        <v>2287.3568163511941</v>
      </c>
      <c r="H429">
        <v>1977.0764406458679</v>
      </c>
      <c r="I429">
        <v>34794.012276388523</v>
      </c>
      <c r="J429">
        <v>32816.935835742654</v>
      </c>
    </row>
    <row r="430" spans="1:10">
      <c r="A430" s="1">
        <v>46002.869444444441</v>
      </c>
      <c r="B430">
        <v>-300.11290681131447</v>
      </c>
      <c r="C430">
        <v>173888.4604742192</v>
      </c>
      <c r="D430">
        <v>73723.277396307836</v>
      </c>
      <c r="E430">
        <v>100165.1830779114</v>
      </c>
      <c r="F430">
        <v>0</v>
      </c>
      <c r="G430">
        <v>2287.3568163511941</v>
      </c>
      <c r="H430">
        <v>1987.243909539879</v>
      </c>
      <c r="I430">
        <v>34777.692094843842</v>
      </c>
      <c r="J430">
        <v>32790.448185303962</v>
      </c>
    </row>
    <row r="431" spans="1:10">
      <c r="A431" s="1">
        <v>46002.870138888888</v>
      </c>
      <c r="B431">
        <v>-378.73592138757363</v>
      </c>
      <c r="C431">
        <v>173975.02053755429</v>
      </c>
      <c r="D431">
        <v>73727.245920687245</v>
      </c>
      <c r="E431">
        <v>100247.774616867</v>
      </c>
      <c r="F431">
        <v>0</v>
      </c>
      <c r="G431">
        <v>2287.3568163511941</v>
      </c>
      <c r="H431">
        <v>1908.62089496362</v>
      </c>
      <c r="I431">
        <v>34795.00410751086</v>
      </c>
      <c r="J431">
        <v>32886.38321254724</v>
      </c>
    </row>
    <row r="432" spans="1:10">
      <c r="A432" s="1">
        <v>46002.870833333327</v>
      </c>
      <c r="B432">
        <v>-392.37959877002629</v>
      </c>
      <c r="C432">
        <v>173869.60848355439</v>
      </c>
      <c r="D432">
        <v>73667.718054996076</v>
      </c>
      <c r="E432">
        <v>100201.8904285583</v>
      </c>
      <c r="F432">
        <v>0</v>
      </c>
      <c r="G432">
        <v>2287.3568163511941</v>
      </c>
      <c r="H432">
        <v>1894.977217581167</v>
      </c>
      <c r="I432">
        <v>34773.92169671088</v>
      </c>
      <c r="J432">
        <v>32878.944479129706</v>
      </c>
    </row>
    <row r="433" spans="1:10">
      <c r="A433" s="1">
        <v>46002.871527777781</v>
      </c>
      <c r="B433">
        <v>-369.31592550550619</v>
      </c>
      <c r="C433">
        <v>173727.48907890759</v>
      </c>
      <c r="D433">
        <v>73608.190189304922</v>
      </c>
      <c r="E433">
        <v>100119.29888960261</v>
      </c>
      <c r="F433">
        <v>0</v>
      </c>
      <c r="G433">
        <v>2287.3568163511941</v>
      </c>
      <c r="H433">
        <v>1918.040890845687</v>
      </c>
      <c r="I433">
        <v>34745.497815781513</v>
      </c>
      <c r="J433">
        <v>32827.456924935817</v>
      </c>
    </row>
    <row r="434" spans="1:10">
      <c r="A434" s="3">
        <v>46002.87222222222</v>
      </c>
      <c r="B434" s="4">
        <v>-386.67896959672169</v>
      </c>
      <c r="C434" s="4">
        <v>173673.41868416939</v>
      </c>
      <c r="D434" s="4">
        <v>73572.473469890232</v>
      </c>
      <c r="E434" s="4">
        <v>100100.9452142792</v>
      </c>
      <c r="F434" s="4">
        <v>0</v>
      </c>
      <c r="G434" s="4">
        <v>2287.3568163511941</v>
      </c>
      <c r="H434" s="4">
        <v>1900.6778467544721</v>
      </c>
      <c r="I434" s="4">
        <v>34734.683736833882</v>
      </c>
      <c r="J434" s="4">
        <v>32834.00589007941</v>
      </c>
    </row>
    <row r="435" spans="1:10">
      <c r="A435" s="3">
        <v>46002.872916666667</v>
      </c>
      <c r="B435" s="4">
        <v>-427.60400229374551</v>
      </c>
      <c r="C435" s="4">
        <v>173650.84732679589</v>
      </c>
      <c r="D435" s="4">
        <v>73540.725274854951</v>
      </c>
      <c r="E435" s="4">
        <v>100110.1220519409</v>
      </c>
      <c r="F435" s="4">
        <v>0</v>
      </c>
      <c r="G435" s="4">
        <v>2287.3568163511941</v>
      </c>
      <c r="H435" s="4">
        <v>1859.7528140574479</v>
      </c>
      <c r="I435" s="4">
        <v>34730.169465359177</v>
      </c>
      <c r="J435" s="4">
        <v>32870.416651301734</v>
      </c>
    </row>
    <row r="436" spans="1:10">
      <c r="A436" s="3">
        <v>46002.873611111107</v>
      </c>
      <c r="B436" s="4">
        <v>-563.52446242596625</v>
      </c>
      <c r="C436" s="4">
        <v>173588.34156795751</v>
      </c>
      <c r="D436" s="4">
        <v>73441.512165369684</v>
      </c>
      <c r="E436" s="4">
        <v>100146.8294025879</v>
      </c>
      <c r="F436" s="4">
        <v>0</v>
      </c>
      <c r="G436" s="4">
        <v>2287.3568163511941</v>
      </c>
      <c r="H436" s="4">
        <v>1723.8323539252269</v>
      </c>
      <c r="I436" s="4">
        <v>34717.668313591508</v>
      </c>
      <c r="J436" s="4">
        <v>32993.835959666278</v>
      </c>
    </row>
    <row r="437" spans="1:10">
      <c r="A437" s="1">
        <v>46002.874305555553</v>
      </c>
      <c r="B437">
        <v>-511.68448782298822</v>
      </c>
      <c r="C437">
        <v>173695.24256853099</v>
      </c>
      <c r="D437">
        <v>73520.882652957895</v>
      </c>
      <c r="E437">
        <v>100174.35991557311</v>
      </c>
      <c r="F437">
        <v>0</v>
      </c>
      <c r="G437">
        <v>2287.3568163511941</v>
      </c>
      <c r="H437">
        <v>1775.672328528206</v>
      </c>
      <c r="I437">
        <v>34739.048513706199</v>
      </c>
      <c r="J437">
        <v>32963.376185177993</v>
      </c>
    </row>
    <row r="438" spans="1:10">
      <c r="A438" s="3">
        <v>46003.604166666657</v>
      </c>
      <c r="B438" s="4">
        <v>-329.61868281077079</v>
      </c>
      <c r="C438" s="4">
        <v>174354.5039319538</v>
      </c>
      <c r="D438" s="4">
        <v>73941.546237175397</v>
      </c>
      <c r="E438" s="4">
        <v>100412.95769477839</v>
      </c>
      <c r="F438" s="4">
        <v>0</v>
      </c>
      <c r="G438" s="4">
        <v>2287.3568163511941</v>
      </c>
      <c r="H438" s="4">
        <v>1957.738133540423</v>
      </c>
      <c r="I438" s="4">
        <v>34870.900786390754</v>
      </c>
      <c r="J438" s="4">
        <v>32913.162652850333</v>
      </c>
    </row>
    <row r="439" spans="1:10">
      <c r="A439" s="3">
        <v>46003.604861111111</v>
      </c>
      <c r="B439" s="4">
        <v>-459.33419897806448</v>
      </c>
      <c r="C439" s="4">
        <v>174500.09354563869</v>
      </c>
      <c r="D439" s="4">
        <v>73949.483285934228</v>
      </c>
      <c r="E439" s="4">
        <v>100550.6102597045</v>
      </c>
      <c r="F439" s="4">
        <v>0</v>
      </c>
      <c r="G439" s="4">
        <v>2287.3568163511941</v>
      </c>
      <c r="H439" s="4">
        <v>1828.0226173731289</v>
      </c>
      <c r="I439" s="4">
        <v>34900.018709127748</v>
      </c>
      <c r="J439" s="4">
        <v>33071.99609175462</v>
      </c>
    </row>
    <row r="440" spans="1:10">
      <c r="A440" s="3">
        <v>46003.605555555558</v>
      </c>
      <c r="B440" s="4">
        <v>-360.37024716346042</v>
      </c>
      <c r="C440" s="4">
        <v>174543.99647148291</v>
      </c>
      <c r="D440" s="4">
        <v>74020.916724763621</v>
      </c>
      <c r="E440" s="4">
        <v>100523.0797467193</v>
      </c>
      <c r="F440" s="4">
        <v>0</v>
      </c>
      <c r="G440" s="4">
        <v>2287.3568163511941</v>
      </c>
      <c r="H440" s="4">
        <v>1926.986569187733</v>
      </c>
      <c r="I440" s="4">
        <v>34908.799294296587</v>
      </c>
      <c r="J440" s="4">
        <v>32981.812725108852</v>
      </c>
    </row>
    <row r="441" spans="1:10">
      <c r="A441" s="1">
        <v>46003.606249999997</v>
      </c>
      <c r="B441">
        <v>-200.89379787574151</v>
      </c>
      <c r="C441">
        <v>174281.33838833051</v>
      </c>
      <c r="D441">
        <v>73969.325907831269</v>
      </c>
      <c r="E441">
        <v>100312.01248049919</v>
      </c>
      <c r="F441">
        <v>0</v>
      </c>
      <c r="G441">
        <v>2287.3568163511941</v>
      </c>
      <c r="H441">
        <v>2086.4630184754519</v>
      </c>
      <c r="I441">
        <v>34856.267677666103</v>
      </c>
      <c r="J441">
        <v>32769.804659190653</v>
      </c>
    </row>
    <row r="442" spans="1:10">
      <c r="A442" s="1">
        <v>46003.606944444437</v>
      </c>
      <c r="B442">
        <v>-635.4442176960232</v>
      </c>
      <c r="C442">
        <v>173993.61737109811</v>
      </c>
      <c r="D442">
        <v>73608.190189304922</v>
      </c>
      <c r="E442">
        <v>100385.4271817932</v>
      </c>
      <c r="F442">
        <v>0</v>
      </c>
      <c r="G442">
        <v>2287.3568163511941</v>
      </c>
      <c r="H442">
        <v>1651.9125986551701</v>
      </c>
      <c r="I442">
        <v>34798.723474219623</v>
      </c>
      <c r="J442">
        <v>33146.810875564443</v>
      </c>
    </row>
    <row r="443" spans="1:10">
      <c r="A443" s="1">
        <v>46003.607638888891</v>
      </c>
      <c r="B443">
        <v>-643.3812664548368</v>
      </c>
      <c r="C443">
        <v>173985.68032233929</v>
      </c>
      <c r="D443">
        <v>73600.253140546105</v>
      </c>
      <c r="E443">
        <v>100385.4271817932</v>
      </c>
      <c r="F443">
        <v>0</v>
      </c>
      <c r="G443">
        <v>2287.3568163511941</v>
      </c>
      <c r="H443">
        <v>1643.9755498963571</v>
      </c>
      <c r="I443">
        <v>34797.136064467857</v>
      </c>
      <c r="J443">
        <v>33153.1605145715</v>
      </c>
    </row>
    <row r="444" spans="1:10">
      <c r="A444" s="3">
        <v>46003.60833333333</v>
      </c>
      <c r="B444" s="4">
        <v>-638.4221108431525</v>
      </c>
      <c r="C444" s="4">
        <v>173917.22477665701</v>
      </c>
      <c r="D444" s="4">
        <v>73568.504945510824</v>
      </c>
      <c r="E444" s="4">
        <v>100348.7198311462</v>
      </c>
      <c r="F444" s="4">
        <v>0</v>
      </c>
      <c r="G444" s="4">
        <v>2287.3568163511941</v>
      </c>
      <c r="H444" s="4">
        <v>1648.9347055080409</v>
      </c>
      <c r="I444" s="4">
        <v>34783.444955331397</v>
      </c>
      <c r="J444" s="4">
        <v>33134.510249823361</v>
      </c>
    </row>
    <row r="445" spans="1:10">
      <c r="A445" s="1">
        <v>46003.609027777777</v>
      </c>
      <c r="B445">
        <v>-786.24814411361831</v>
      </c>
      <c r="C445">
        <v>173842.81344468051</v>
      </c>
      <c r="D445">
        <v>73457.386262887332</v>
      </c>
      <c r="E445">
        <v>100385.4271817932</v>
      </c>
      <c r="F445">
        <v>0</v>
      </c>
      <c r="G445">
        <v>2287.3568163511941</v>
      </c>
      <c r="H445">
        <v>1501.1086722375751</v>
      </c>
      <c r="I445">
        <v>34768.562688936086</v>
      </c>
      <c r="J445">
        <v>33267.454016698517</v>
      </c>
    </row>
    <row r="446" spans="1:10">
      <c r="A446" s="1">
        <v>46003.609722222223</v>
      </c>
      <c r="B446">
        <v>-629.49443085206326</v>
      </c>
      <c r="C446">
        <v>173852.7377553542</v>
      </c>
      <c r="D446">
        <v>73540.725274854951</v>
      </c>
      <c r="E446">
        <v>100312.01248049919</v>
      </c>
      <c r="F446">
        <v>0</v>
      </c>
      <c r="G446">
        <v>2287.3568163511941</v>
      </c>
      <c r="H446">
        <v>1657.8623854991299</v>
      </c>
      <c r="I446">
        <v>34770.547551070827</v>
      </c>
      <c r="J446">
        <v>33112.685165571696</v>
      </c>
    </row>
    <row r="447" spans="1:10">
      <c r="A447" s="1">
        <v>46003.61041666667</v>
      </c>
      <c r="B447">
        <v>-569.72340694058335</v>
      </c>
      <c r="C447">
        <v>173673.91100006041</v>
      </c>
      <c r="D447">
        <v>73481.197409163797</v>
      </c>
      <c r="E447">
        <v>100192.7135908966</v>
      </c>
      <c r="F447">
        <v>0</v>
      </c>
      <c r="G447">
        <v>2287.3568163511941</v>
      </c>
      <c r="H447">
        <v>1717.6334094106101</v>
      </c>
      <c r="I447">
        <v>34734.78220001208</v>
      </c>
      <c r="J447">
        <v>33017.148790601474</v>
      </c>
    </row>
    <row r="448" spans="1:10">
      <c r="A448" s="1">
        <v>46003.611111111109</v>
      </c>
      <c r="B448">
        <v>0</v>
      </c>
      <c r="C448">
        <v>0</v>
      </c>
      <c r="D448">
        <v>0</v>
      </c>
      <c r="E448">
        <v>0</v>
      </c>
      <c r="F448">
        <v>-501.03726771673962</v>
      </c>
      <c r="G448">
        <v>1786.3195486344539</v>
      </c>
      <c r="H448">
        <v>1786.3195486344539</v>
      </c>
      <c r="I448">
        <v>0</v>
      </c>
      <c r="J448">
        <v>-1786.3195486344539</v>
      </c>
    </row>
    <row r="449" spans="1:10">
      <c r="A449" s="3">
        <v>46007.604166666657</v>
      </c>
      <c r="B449" s="4">
        <v>0</v>
      </c>
      <c r="C449" s="4">
        <v>167544.6945227368</v>
      </c>
      <c r="D449" s="4">
        <v>100000</v>
      </c>
      <c r="E449" s="4">
        <v>67544.694522736841</v>
      </c>
      <c r="F449" s="4">
        <v>0</v>
      </c>
      <c r="G449" s="4">
        <v>1786.3195486344539</v>
      </c>
      <c r="H449" s="4">
        <v>1786.3195486344539</v>
      </c>
      <c r="I449" s="4">
        <v>33508.938904547373</v>
      </c>
      <c r="J449" s="4">
        <v>31722.61935591291</v>
      </c>
    </row>
    <row r="450" spans="1:10">
      <c r="A450" s="3">
        <v>46007.604861111111</v>
      </c>
      <c r="B450" s="4">
        <v>321.55819211004467</v>
      </c>
      <c r="C450" s="4">
        <v>167568.810850776</v>
      </c>
      <c r="D450" s="4">
        <v>100172.83726007459</v>
      </c>
      <c r="E450" s="4">
        <v>67395.973590701382</v>
      </c>
      <c r="F450" s="4">
        <v>0</v>
      </c>
      <c r="G450" s="4">
        <v>1786.3195486344539</v>
      </c>
      <c r="H450" s="4">
        <v>2107.8777407444991</v>
      </c>
      <c r="I450" s="4">
        <v>33513.762170155198</v>
      </c>
      <c r="J450" s="4">
        <v>31405.8844294107</v>
      </c>
    </row>
    <row r="451" spans="1:10">
      <c r="A451" s="3">
        <v>46007.605555555558</v>
      </c>
      <c r="B451" s="4">
        <v>409.06792159676252</v>
      </c>
      <c r="C451" s="4">
        <v>167772.39545404649</v>
      </c>
      <c r="D451" s="4">
        <v>100318.38442645319</v>
      </c>
      <c r="E451" s="4">
        <v>67454.011027593267</v>
      </c>
      <c r="F451" s="4">
        <v>0</v>
      </c>
      <c r="G451" s="4">
        <v>1786.3195486344539</v>
      </c>
      <c r="H451" s="4">
        <v>2195.387470231216</v>
      </c>
      <c r="I451" s="4">
        <v>33554.479090809291</v>
      </c>
      <c r="J451" s="4">
        <v>31359.09162057807</v>
      </c>
    </row>
    <row r="452" spans="1:10">
      <c r="A452" s="3">
        <v>46007.606249999997</v>
      </c>
      <c r="B452" s="4">
        <v>412.52517109666752</v>
      </c>
      <c r="C452" s="4">
        <v>167659.77782976261</v>
      </c>
      <c r="D452" s="4">
        <v>100263.8042390612</v>
      </c>
      <c r="E452" s="4">
        <v>67395.973590701382</v>
      </c>
      <c r="F452" s="4">
        <v>0</v>
      </c>
      <c r="G452" s="4">
        <v>1786.3195486344539</v>
      </c>
      <c r="H452" s="4">
        <v>2198.844719731122</v>
      </c>
      <c r="I452" s="4">
        <v>33531.955565952521</v>
      </c>
      <c r="J452" s="4">
        <v>31333.1108462214</v>
      </c>
    </row>
    <row r="453" spans="1:10">
      <c r="A453" s="3">
        <v>46007.606944444437</v>
      </c>
      <c r="B453" s="4">
        <v>512.58884798195754</v>
      </c>
      <c r="C453" s="4">
        <v>167759.84150664791</v>
      </c>
      <c r="D453" s="4">
        <v>100363.8679159465</v>
      </c>
      <c r="E453" s="4">
        <v>67395.973590701382</v>
      </c>
      <c r="F453" s="4">
        <v>0</v>
      </c>
      <c r="G453" s="4">
        <v>1786.3195486344539</v>
      </c>
      <c r="H453" s="4">
        <v>2298.9083966164121</v>
      </c>
      <c r="I453" s="4">
        <v>33551.96830132958</v>
      </c>
      <c r="J453" s="4">
        <v>31253.059904713169</v>
      </c>
    </row>
    <row r="454" spans="1:10">
      <c r="A454" s="1">
        <v>46007.607638888891</v>
      </c>
      <c r="B454">
        <v>500.03490058338519</v>
      </c>
      <c r="C454">
        <v>167863.36243303309</v>
      </c>
      <c r="D454">
        <v>100409.3514054398</v>
      </c>
      <c r="E454">
        <v>67454.011027593267</v>
      </c>
      <c r="F454">
        <v>0</v>
      </c>
      <c r="G454">
        <v>1786.3195486344539</v>
      </c>
      <c r="H454">
        <v>2286.3544492178389</v>
      </c>
      <c r="I454">
        <v>33572.672486606607</v>
      </c>
      <c r="J454">
        <v>31286.31803738877</v>
      </c>
    </row>
    <row r="455" spans="1:10">
      <c r="A455" s="3">
        <v>46007.60833333333</v>
      </c>
      <c r="B455" s="4">
        <v>563.82517941124934</v>
      </c>
      <c r="C455" s="4">
        <v>167999.69950797581</v>
      </c>
      <c r="D455" s="4">
        <v>100509.4150823251</v>
      </c>
      <c r="E455" s="4">
        <v>67490.284425650694</v>
      </c>
      <c r="F455" s="4">
        <v>0</v>
      </c>
      <c r="G455" s="4">
        <v>1786.3195486344539</v>
      </c>
      <c r="H455" s="4">
        <v>2350.1447280457028</v>
      </c>
      <c r="I455" s="4">
        <v>33599.939901595157</v>
      </c>
      <c r="J455" s="4">
        <v>31249.795173549461</v>
      </c>
    </row>
    <row r="456" spans="1:10">
      <c r="A456" s="3">
        <v>46007.609027777777</v>
      </c>
      <c r="B456" s="4">
        <v>0</v>
      </c>
      <c r="C456" s="4">
        <v>0</v>
      </c>
      <c r="D456" s="4">
        <v>0</v>
      </c>
      <c r="E456" s="4">
        <v>0</v>
      </c>
      <c r="F456" s="4">
        <v>695.83421740570236</v>
      </c>
      <c r="G456" s="4">
        <v>2482.1537660401559</v>
      </c>
      <c r="H456" s="4">
        <v>2482.1537660401559</v>
      </c>
      <c r="I456" s="4">
        <v>0</v>
      </c>
      <c r="J456" s="4">
        <v>-2482.1537660401559</v>
      </c>
    </row>
    <row r="457" spans="1:10">
      <c r="A457" s="1">
        <v>46009.604861111111</v>
      </c>
      <c r="B457">
        <v>0</v>
      </c>
      <c r="C457">
        <v>167544.6945227368</v>
      </c>
      <c r="D457">
        <v>100000</v>
      </c>
      <c r="E457">
        <v>67544.694522736841</v>
      </c>
      <c r="F457">
        <v>0</v>
      </c>
      <c r="G457">
        <v>2482.1537660401559</v>
      </c>
      <c r="H457">
        <v>2482.1537660401559</v>
      </c>
      <c r="I457">
        <v>33508.938904547373</v>
      </c>
      <c r="J457">
        <v>31026.78513850721</v>
      </c>
    </row>
    <row r="458" spans="1:10">
      <c r="A458" s="3">
        <v>46009.605555555558</v>
      </c>
      <c r="B458" s="4">
        <v>71.543695452855502</v>
      </c>
      <c r="C458" s="4">
        <v>167638.00108829691</v>
      </c>
      <c r="D458" s="4">
        <v>100082.4251305065</v>
      </c>
      <c r="E458" s="4">
        <v>67555.575957790454</v>
      </c>
      <c r="F458" s="4">
        <v>0</v>
      </c>
      <c r="G458" s="4">
        <v>2482.1537660401559</v>
      </c>
      <c r="H458" s="4">
        <v>2553.6974614930118</v>
      </c>
      <c r="I458" s="4">
        <v>33527.600217659383</v>
      </c>
      <c r="J458" s="4">
        <v>30973.902756166372</v>
      </c>
    </row>
    <row r="459" spans="1:10">
      <c r="A459" s="1">
        <v>46009.606249999997</v>
      </c>
      <c r="B459">
        <v>59.482084915974717</v>
      </c>
      <c r="C459">
        <v>167778.27956851051</v>
      </c>
      <c r="D459">
        <v>100146.5335653448</v>
      </c>
      <c r="E459">
        <v>67631.746003165681</v>
      </c>
      <c r="F459">
        <v>0</v>
      </c>
      <c r="G459">
        <v>2482.1537660401559</v>
      </c>
      <c r="H459">
        <v>2541.635850956131</v>
      </c>
      <c r="I459">
        <v>33555.655913702103</v>
      </c>
      <c r="J459">
        <v>31014.02006274596</v>
      </c>
    </row>
    <row r="460" spans="1:10">
      <c r="A460" s="3">
        <v>46009.606944444437</v>
      </c>
      <c r="B460" s="4">
        <v>155.59756116816851</v>
      </c>
      <c r="C460" s="4">
        <v>168048.49800562029</v>
      </c>
      <c r="D460" s="4">
        <v>100329.7005220258</v>
      </c>
      <c r="E460" s="4">
        <v>67718.797483594506</v>
      </c>
      <c r="F460" s="4">
        <v>0</v>
      </c>
      <c r="G460" s="4">
        <v>2482.1537660401559</v>
      </c>
      <c r="H460" s="4">
        <v>2637.7513272083252</v>
      </c>
      <c r="I460" s="4">
        <v>33609.699601124063</v>
      </c>
      <c r="J460" s="4">
        <v>30971.948273915739</v>
      </c>
    </row>
    <row r="461" spans="1:10">
      <c r="A461" s="3">
        <v>46009.607638888891</v>
      </c>
      <c r="B461" s="4">
        <v>320.44782218108787</v>
      </c>
      <c r="C461" s="4">
        <v>168213.3482666332</v>
      </c>
      <c r="D461" s="4">
        <v>100494.55078303871</v>
      </c>
      <c r="E461" s="4">
        <v>67718.797483594506</v>
      </c>
      <c r="F461" s="4">
        <v>0</v>
      </c>
      <c r="G461" s="4">
        <v>2482.1537660401559</v>
      </c>
      <c r="H461" s="4">
        <v>2802.6015882212441</v>
      </c>
      <c r="I461" s="4">
        <v>33642.669653326637</v>
      </c>
      <c r="J461" s="4">
        <v>30840.068065105399</v>
      </c>
    </row>
    <row r="462" spans="1:10">
      <c r="A462" s="3">
        <v>46009.60833333333</v>
      </c>
      <c r="B462" s="4">
        <v>366.23956135133898</v>
      </c>
      <c r="C462" s="4">
        <v>168259.14000580349</v>
      </c>
      <c r="D462" s="4">
        <v>100540.342522209</v>
      </c>
      <c r="E462" s="4">
        <v>67718.797483594506</v>
      </c>
      <c r="F462" s="4">
        <v>0</v>
      </c>
      <c r="G462" s="4">
        <v>2482.1537660401559</v>
      </c>
      <c r="H462" s="4">
        <v>2848.3933273914949</v>
      </c>
      <c r="I462" s="4">
        <v>33651.828001160698</v>
      </c>
      <c r="J462" s="4">
        <v>30803.434673769199</v>
      </c>
    </row>
    <row r="463" spans="1:10">
      <c r="A463" s="1">
        <v>46009.609027777777</v>
      </c>
      <c r="B463">
        <v>453.65298293768092</v>
      </c>
      <c r="C463">
        <v>168244.99336688951</v>
      </c>
      <c r="D463">
        <v>100576.9759135452</v>
      </c>
      <c r="E463">
        <v>67668.01745334435</v>
      </c>
      <c r="F463">
        <v>0</v>
      </c>
      <c r="G463">
        <v>2482.1537660401559</v>
      </c>
      <c r="H463">
        <v>2935.8067489778368</v>
      </c>
      <c r="I463">
        <v>33648.998673377908</v>
      </c>
      <c r="J463">
        <v>30713.191924400071</v>
      </c>
    </row>
    <row r="464" spans="1:10">
      <c r="A464" s="3">
        <v>46009.609722222223</v>
      </c>
      <c r="B464" s="4">
        <v>484.75517145769891</v>
      </c>
      <c r="C464" s="4">
        <v>168268.84126537381</v>
      </c>
      <c r="D464" s="4">
        <v>100604.4509570473</v>
      </c>
      <c r="E464" s="4">
        <v>67664.390308326489</v>
      </c>
      <c r="F464" s="4">
        <v>0</v>
      </c>
      <c r="G464" s="4">
        <v>2482.1537660401559</v>
      </c>
      <c r="H464" s="4">
        <v>2966.9089374978548</v>
      </c>
      <c r="I464" s="4">
        <v>33653.76825307477</v>
      </c>
      <c r="J464" s="4">
        <v>30686.859315576919</v>
      </c>
    </row>
    <row r="465" spans="1:10">
      <c r="A465" s="1">
        <v>46009.61041666667</v>
      </c>
      <c r="B465">
        <v>528.46188225089315</v>
      </c>
      <c r="C465">
        <v>168261.76794591689</v>
      </c>
      <c r="D465">
        <v>100622.7676527155</v>
      </c>
      <c r="E465">
        <v>67639.000293201403</v>
      </c>
      <c r="F465">
        <v>0</v>
      </c>
      <c r="G465">
        <v>2482.1537660401559</v>
      </c>
      <c r="H465">
        <v>3010.6156482910501</v>
      </c>
      <c r="I465">
        <v>33652.353589183367</v>
      </c>
      <c r="J465">
        <v>30641.73794089233</v>
      </c>
    </row>
    <row r="466" spans="1:10">
      <c r="A466" s="1">
        <v>46009.611111111109</v>
      </c>
      <c r="B466">
        <v>564.5523618507932</v>
      </c>
      <c r="C466">
        <v>168189.04407498069</v>
      </c>
      <c r="D466">
        <v>100604.4509570473</v>
      </c>
      <c r="E466">
        <v>67584.5931179334</v>
      </c>
      <c r="F466">
        <v>0</v>
      </c>
      <c r="G466">
        <v>2482.1537660401559</v>
      </c>
      <c r="H466">
        <v>3046.70612789095</v>
      </c>
      <c r="I466">
        <v>33637.808814996148</v>
      </c>
      <c r="J466">
        <v>30591.102687105202</v>
      </c>
    </row>
    <row r="467" spans="1:10">
      <c r="A467" s="1">
        <v>46009.611805555563</v>
      </c>
      <c r="B467">
        <v>603.45175214284632</v>
      </c>
      <c r="C467">
        <v>168314.99494570159</v>
      </c>
      <c r="D467">
        <v>100686.8760875538</v>
      </c>
      <c r="E467">
        <v>67628.118858147805</v>
      </c>
      <c r="F467">
        <v>0</v>
      </c>
      <c r="G467">
        <v>2482.1537660401559</v>
      </c>
      <c r="H467">
        <v>3085.605518183002</v>
      </c>
      <c r="I467">
        <v>33662.998989140317</v>
      </c>
      <c r="J467">
        <v>30577.393470957319</v>
      </c>
    </row>
    <row r="468" spans="1:10">
      <c r="A468" s="1">
        <v>46009.612500000003</v>
      </c>
      <c r="B468">
        <v>467.43768069411061</v>
      </c>
      <c r="C468">
        <v>168084.67510378829</v>
      </c>
      <c r="D468">
        <v>100503.7091308728</v>
      </c>
      <c r="E468">
        <v>67580.965972915525</v>
      </c>
      <c r="F468">
        <v>0</v>
      </c>
      <c r="G468">
        <v>2482.1537660401559</v>
      </c>
      <c r="H468">
        <v>2949.5914467342668</v>
      </c>
      <c r="I468">
        <v>33616.935020757657</v>
      </c>
      <c r="J468">
        <v>30667.343574023402</v>
      </c>
    </row>
    <row r="469" spans="1:10">
      <c r="A469" s="1">
        <v>46009.613194444442</v>
      </c>
      <c r="B469">
        <v>430.80428935791491</v>
      </c>
      <c r="C469">
        <v>168048.0417124521</v>
      </c>
      <c r="D469">
        <v>100467.07573953659</v>
      </c>
      <c r="E469">
        <v>67580.965972915525</v>
      </c>
      <c r="F469">
        <v>0</v>
      </c>
      <c r="G469">
        <v>2482.1537660401559</v>
      </c>
      <c r="H469">
        <v>2912.9580553980709</v>
      </c>
      <c r="I469">
        <v>33609.608342490428</v>
      </c>
      <c r="J469">
        <v>30696.650287092361</v>
      </c>
    </row>
    <row r="470" spans="1:10">
      <c r="A470" s="1">
        <v>46009.613888888889</v>
      </c>
      <c r="B470">
        <v>689.41740909909936</v>
      </c>
      <c r="C470">
        <v>168009.22894072809</v>
      </c>
      <c r="D470">
        <v>100576.9759135452</v>
      </c>
      <c r="E470">
        <v>67432.253027182931</v>
      </c>
      <c r="F470">
        <v>0</v>
      </c>
      <c r="G470">
        <v>2482.1537660401559</v>
      </c>
      <c r="H470">
        <v>3171.571175139256</v>
      </c>
      <c r="I470">
        <v>33601.845788145627</v>
      </c>
      <c r="J470">
        <v>30430.274613006372</v>
      </c>
    </row>
    <row r="471" spans="1:10">
      <c r="A471" s="3">
        <v>46009.614583333343</v>
      </c>
      <c r="B471" s="4">
        <v>630.38388390870398</v>
      </c>
      <c r="C471" s="4">
        <v>168233.1127269314</v>
      </c>
      <c r="D471" s="4">
        <v>100659.4010440516</v>
      </c>
      <c r="E471" s="4">
        <v>67573.711682879788</v>
      </c>
      <c r="F471" s="4">
        <v>0</v>
      </c>
      <c r="G471" s="4">
        <v>2482.1537660401559</v>
      </c>
      <c r="H471" s="4">
        <v>3112.5376499488598</v>
      </c>
      <c r="I471" s="4">
        <v>33646.622545386293</v>
      </c>
      <c r="J471" s="4">
        <v>30534.084895437431</v>
      </c>
    </row>
    <row r="472" spans="1:10">
      <c r="A472" s="3">
        <v>46009.615277777782</v>
      </c>
      <c r="B472" s="4">
        <v>538.80040556820177</v>
      </c>
      <c r="C472" s="4">
        <v>168141.5292485909</v>
      </c>
      <c r="D472" s="4">
        <v>100567.8175657111</v>
      </c>
      <c r="E472" s="4">
        <v>67573.711682879788</v>
      </c>
      <c r="F472" s="4">
        <v>0</v>
      </c>
      <c r="G472" s="4">
        <v>2482.1537660401559</v>
      </c>
      <c r="H472" s="4">
        <v>3020.9541716083581</v>
      </c>
      <c r="I472" s="4">
        <v>33628.305849718177</v>
      </c>
      <c r="J472" s="4">
        <v>30607.35167810983</v>
      </c>
    </row>
    <row r="473" spans="1:10">
      <c r="A473" s="3">
        <v>46009.615972222222</v>
      </c>
      <c r="B473" s="4">
        <v>660.76219011368255</v>
      </c>
      <c r="C473" s="4">
        <v>168111.15094238601</v>
      </c>
      <c r="D473" s="4">
        <v>100613.60930488139</v>
      </c>
      <c r="E473" s="4">
        <v>67497.541637504561</v>
      </c>
      <c r="F473" s="4">
        <v>0</v>
      </c>
      <c r="G473" s="4">
        <v>2482.1537660401559</v>
      </c>
      <c r="H473" s="4">
        <v>3142.915956153839</v>
      </c>
      <c r="I473" s="4">
        <v>33622.230188477202</v>
      </c>
      <c r="J473" s="4">
        <v>30479.314232323359</v>
      </c>
    </row>
    <row r="474" spans="1:10">
      <c r="A474" s="1">
        <v>46009.616666666669</v>
      </c>
      <c r="B474">
        <v>589.76140639711241</v>
      </c>
      <c r="C474">
        <v>168127.2016390982</v>
      </c>
      <c r="D474">
        <v>100586.13426137929</v>
      </c>
      <c r="E474">
        <v>67541.06737771898</v>
      </c>
      <c r="F474">
        <v>0</v>
      </c>
      <c r="G474">
        <v>2482.1537660401559</v>
      </c>
      <c r="H474">
        <v>3071.9151724372691</v>
      </c>
      <c r="I474">
        <v>33625.440327819648</v>
      </c>
      <c r="J474">
        <v>30553.52515538238</v>
      </c>
    </row>
    <row r="475" spans="1:10">
      <c r="A475" s="3">
        <v>46009.617361111108</v>
      </c>
      <c r="B475" s="4">
        <v>700.66078531023481</v>
      </c>
      <c r="C475" s="4">
        <v>168071.25234718941</v>
      </c>
      <c r="D475" s="4">
        <v>100613.60930488139</v>
      </c>
      <c r="E475" s="4">
        <v>67457.643042308016</v>
      </c>
      <c r="F475" s="4">
        <v>0</v>
      </c>
      <c r="G475" s="4">
        <v>2482.1537660401559</v>
      </c>
      <c r="H475" s="4">
        <v>3182.814551350391</v>
      </c>
      <c r="I475" s="4">
        <v>33614.25046943788</v>
      </c>
      <c r="J475" s="4">
        <v>30431.435918087489</v>
      </c>
    </row>
    <row r="476" spans="1:10">
      <c r="A476" s="3">
        <v>46009.618055555547</v>
      </c>
      <c r="B476" s="4">
        <v>659.22007347289809</v>
      </c>
      <c r="C476" s="4">
        <v>168167.6431460311</v>
      </c>
      <c r="D476" s="4">
        <v>100641.08434838351</v>
      </c>
      <c r="E476" s="4">
        <v>67526.558797647507</v>
      </c>
      <c r="F476" s="4">
        <v>0</v>
      </c>
      <c r="G476" s="4">
        <v>2482.1537660401559</v>
      </c>
      <c r="H476" s="4">
        <v>3141.373839513054</v>
      </c>
      <c r="I476" s="4">
        <v>33633.528629206223</v>
      </c>
      <c r="J476" s="4">
        <v>30492.154789693159</v>
      </c>
    </row>
    <row r="477" spans="1:10">
      <c r="A477" s="1">
        <v>46009.618750000001</v>
      </c>
      <c r="B477">
        <v>734.20994336485126</v>
      </c>
      <c r="C477">
        <v>168220.8701458158</v>
      </c>
      <c r="D477">
        <v>100705.19278322189</v>
      </c>
      <c r="E477">
        <v>67515.677362593895</v>
      </c>
      <c r="F477">
        <v>0</v>
      </c>
      <c r="G477">
        <v>2482.1537660401559</v>
      </c>
      <c r="H477">
        <v>3216.3637094050082</v>
      </c>
      <c r="I477">
        <v>33644.174029163158</v>
      </c>
      <c r="J477">
        <v>30427.810319758151</v>
      </c>
    </row>
    <row r="478" spans="1:10">
      <c r="A478" s="1">
        <v>46009.619444444441</v>
      </c>
      <c r="B478">
        <v>811.28484163388725</v>
      </c>
      <c r="C478">
        <v>168326.96220422781</v>
      </c>
      <c r="D478">
        <v>100796.77626156239</v>
      </c>
      <c r="E478">
        <v>67530.185942665383</v>
      </c>
      <c r="F478">
        <v>0</v>
      </c>
      <c r="G478">
        <v>2482.1537660401559</v>
      </c>
      <c r="H478">
        <v>3293.4386076740439</v>
      </c>
      <c r="I478">
        <v>33665.392440845557</v>
      </c>
      <c r="J478">
        <v>30371.953833171519</v>
      </c>
    </row>
    <row r="479" spans="1:10">
      <c r="A479" s="3">
        <v>46009.620138888888</v>
      </c>
      <c r="B479" s="4">
        <v>694.67328932583018</v>
      </c>
      <c r="C479" s="4">
        <v>168333.6735825272</v>
      </c>
      <c r="D479" s="4">
        <v>100741.8261745581</v>
      </c>
      <c r="E479" s="4">
        <v>67591.847407969122</v>
      </c>
      <c r="F479" s="4">
        <v>0</v>
      </c>
      <c r="G479" s="4">
        <v>2482.1537660401559</v>
      </c>
      <c r="H479" s="4">
        <v>3176.8270553659868</v>
      </c>
      <c r="I479" s="4">
        <v>33666.734716505453</v>
      </c>
      <c r="J479" s="4">
        <v>30489.907661139459</v>
      </c>
    </row>
    <row r="480" spans="1:10">
      <c r="A480" s="3">
        <v>46009.620833333327</v>
      </c>
      <c r="B480" s="4">
        <v>595.01728662384323</v>
      </c>
      <c r="C480" s="4">
        <v>168451.64628089729</v>
      </c>
      <c r="D480" s="4">
        <v>100750.9845223922</v>
      </c>
      <c r="E480" s="4">
        <v>67700.661758505172</v>
      </c>
      <c r="F480" s="4">
        <v>0</v>
      </c>
      <c r="G480" s="4">
        <v>2482.1537660401559</v>
      </c>
      <c r="H480" s="4">
        <v>3077.171052663999</v>
      </c>
      <c r="I480" s="4">
        <v>33690.329256179473</v>
      </c>
      <c r="J480" s="4">
        <v>30613.158203515472</v>
      </c>
    </row>
    <row r="481" spans="1:10">
      <c r="A481" s="1">
        <v>46009.621527777781</v>
      </c>
      <c r="B481">
        <v>577.24350269201761</v>
      </c>
      <c r="C481">
        <v>168542.68684750161</v>
      </c>
      <c r="D481">
        <v>100787.61791372841</v>
      </c>
      <c r="E481">
        <v>67755.068933773189</v>
      </c>
      <c r="F481">
        <v>0</v>
      </c>
      <c r="G481">
        <v>2482.1537660401559</v>
      </c>
      <c r="H481">
        <v>3059.3972687321739</v>
      </c>
      <c r="I481">
        <v>33708.537369500307</v>
      </c>
      <c r="J481">
        <v>30649.140100768142</v>
      </c>
    </row>
    <row r="482" spans="1:10">
      <c r="A482" s="1">
        <v>46009.62222222222</v>
      </c>
      <c r="B482">
        <v>0</v>
      </c>
      <c r="C482">
        <v>0</v>
      </c>
      <c r="D482">
        <v>0</v>
      </c>
      <c r="E482">
        <v>0</v>
      </c>
      <c r="F482">
        <v>434.1472871656207</v>
      </c>
      <c r="G482">
        <v>2916.301053205777</v>
      </c>
      <c r="H482">
        <v>2916.301053205777</v>
      </c>
      <c r="I482">
        <v>0</v>
      </c>
      <c r="J482">
        <v>-2916.301053205777</v>
      </c>
    </row>
    <row r="483" spans="1:10">
      <c r="A483" s="3">
        <v>46010.604166666657</v>
      </c>
      <c r="B483" s="4">
        <v>0</v>
      </c>
      <c r="C483" s="4">
        <v>167544.6945227368</v>
      </c>
      <c r="D483" s="4">
        <v>67544.694522736841</v>
      </c>
      <c r="E483" s="4">
        <v>100000</v>
      </c>
      <c r="F483" s="4">
        <v>0</v>
      </c>
      <c r="G483" s="4">
        <v>2916.301053205777</v>
      </c>
      <c r="H483" s="4">
        <v>2916.301053205777</v>
      </c>
      <c r="I483" s="4">
        <v>33508.938904547373</v>
      </c>
      <c r="J483" s="4">
        <v>30592.637851341591</v>
      </c>
    </row>
    <row r="484" spans="1:10">
      <c r="A484" s="3">
        <v>46010.604861111111</v>
      </c>
      <c r="B484" s="4">
        <v>55.691237675017348</v>
      </c>
      <c r="C484" s="4">
        <v>167783.63663085349</v>
      </c>
      <c r="D484" s="4">
        <v>67692.011195632673</v>
      </c>
      <c r="E484" s="4">
        <v>100091.62543522081</v>
      </c>
      <c r="F484" s="4">
        <v>0</v>
      </c>
      <c r="G484" s="4">
        <v>2916.301053205777</v>
      </c>
      <c r="H484" s="4">
        <v>2971.9922908807939</v>
      </c>
      <c r="I484" s="4">
        <v>33556.727326170701</v>
      </c>
      <c r="J484" s="4">
        <v>30584.735035289908</v>
      </c>
    </row>
    <row r="485" spans="1:10">
      <c r="A485" s="3">
        <v>46010.605555555558</v>
      </c>
      <c r="B485" s="4">
        <v>39.341854643757898</v>
      </c>
      <c r="C485" s="4">
        <v>167858.91268304311</v>
      </c>
      <c r="D485" s="4">
        <v>67721.474530211839</v>
      </c>
      <c r="E485" s="4">
        <v>100137.43815283119</v>
      </c>
      <c r="F485" s="4">
        <v>0</v>
      </c>
      <c r="G485" s="4">
        <v>2916.301053205777</v>
      </c>
      <c r="H485" s="4">
        <v>2955.6429078495348</v>
      </c>
      <c r="I485" s="4">
        <v>33571.782536608618</v>
      </c>
      <c r="J485" s="4">
        <v>30616.13962875908</v>
      </c>
    </row>
    <row r="486" spans="1:10">
      <c r="A486" s="3">
        <v>46010.606249999997</v>
      </c>
      <c r="B486" s="4">
        <v>-0.63324799569684842</v>
      </c>
      <c r="C486" s="4">
        <v>168038.83862493359</v>
      </c>
      <c r="D486" s="4">
        <v>67791.449949837348</v>
      </c>
      <c r="E486" s="4">
        <v>100247.3886750962</v>
      </c>
      <c r="F486" s="4">
        <v>0</v>
      </c>
      <c r="G486" s="4">
        <v>2916.301053205777</v>
      </c>
      <c r="H486" s="4">
        <v>2915.6678052100801</v>
      </c>
      <c r="I486" s="4">
        <v>33607.767724986712</v>
      </c>
      <c r="J486" s="4">
        <v>30692.099919776629</v>
      </c>
    </row>
    <row r="487" spans="1:10">
      <c r="A487" s="1">
        <v>46010.606944444437</v>
      </c>
      <c r="B487">
        <v>-8.9008208396362534</v>
      </c>
      <c r="C487">
        <v>168415.39788001709</v>
      </c>
      <c r="D487">
        <v>67975.59579095713</v>
      </c>
      <c r="E487">
        <v>100439.8020890599</v>
      </c>
      <c r="F487">
        <v>0</v>
      </c>
      <c r="G487">
        <v>2916.301053205777</v>
      </c>
      <c r="H487">
        <v>2907.4002323661412</v>
      </c>
      <c r="I487">
        <v>33683.079576003423</v>
      </c>
      <c r="J487">
        <v>30775.679343637279</v>
      </c>
    </row>
    <row r="488" spans="1:10">
      <c r="A488" s="1">
        <v>46010.607638888891</v>
      </c>
      <c r="B488">
        <v>-70.615436142198291</v>
      </c>
      <c r="C488">
        <v>168720.1850055978</v>
      </c>
      <c r="D488">
        <v>68097.132046096202</v>
      </c>
      <c r="E488">
        <v>100623.0529595016</v>
      </c>
      <c r="F488">
        <v>0</v>
      </c>
      <c r="G488">
        <v>2916.301053205777</v>
      </c>
      <c r="H488">
        <v>2845.6856170635788</v>
      </c>
      <c r="I488">
        <v>33744.037001119563</v>
      </c>
      <c r="J488">
        <v>30898.351384055979</v>
      </c>
    </row>
    <row r="489" spans="1:10">
      <c r="A489" s="3">
        <v>46010.60833333333</v>
      </c>
      <c r="B489" s="4">
        <v>-52.111354962416392</v>
      </c>
      <c r="C489" s="4">
        <v>168775.33926086591</v>
      </c>
      <c r="D489" s="4">
        <v>68133.961214320152</v>
      </c>
      <c r="E489" s="4">
        <v>100641.37804654569</v>
      </c>
      <c r="F489" s="4">
        <v>0</v>
      </c>
      <c r="G489" s="4">
        <v>2916.301053205777</v>
      </c>
      <c r="H489" s="4">
        <v>2864.18969824336</v>
      </c>
      <c r="I489" s="4">
        <v>33755.067852173182</v>
      </c>
      <c r="J489" s="4">
        <v>30890.878153929811</v>
      </c>
    </row>
    <row r="490" spans="1:10">
      <c r="A490" s="1">
        <v>46010.609027777777</v>
      </c>
      <c r="B490">
        <v>17.416579324033819</v>
      </c>
      <c r="C490">
        <v>168661.61632471069</v>
      </c>
      <c r="D490">
        <v>68111.86371338577</v>
      </c>
      <c r="E490">
        <v>100549.7526113249</v>
      </c>
      <c r="F490">
        <v>0</v>
      </c>
      <c r="G490">
        <v>2916.301053205777</v>
      </c>
      <c r="H490">
        <v>2933.717632529811</v>
      </c>
      <c r="I490">
        <v>33732.323264942133</v>
      </c>
      <c r="J490">
        <v>30798.60563241232</v>
      </c>
    </row>
    <row r="491" spans="1:10">
      <c r="A491" s="3">
        <v>46010.609722222223</v>
      </c>
      <c r="B491" s="4">
        <v>-15.550677941906541</v>
      </c>
      <c r="C491" s="4">
        <v>168701.94941562141</v>
      </c>
      <c r="D491" s="4">
        <v>68115.546630208162</v>
      </c>
      <c r="E491" s="4">
        <v>100586.4027854132</v>
      </c>
      <c r="F491" s="4">
        <v>0</v>
      </c>
      <c r="G491" s="4">
        <v>2916.301053205777</v>
      </c>
      <c r="H491" s="4">
        <v>2900.75037526387</v>
      </c>
      <c r="I491" s="4">
        <v>33740.389883124277</v>
      </c>
      <c r="J491" s="4">
        <v>30839.639507860411</v>
      </c>
    </row>
    <row r="492" spans="1:10">
      <c r="A492" s="1">
        <v>46010.61041666667</v>
      </c>
      <c r="B492">
        <v>20.65201080734613</v>
      </c>
      <c r="C492">
        <v>168481.60088575241</v>
      </c>
      <c r="D492">
        <v>68023.473709648271</v>
      </c>
      <c r="E492">
        <v>100458.1271761041</v>
      </c>
      <c r="F492">
        <v>0</v>
      </c>
      <c r="G492">
        <v>2916.301053205777</v>
      </c>
      <c r="H492">
        <v>2936.9530640131229</v>
      </c>
      <c r="I492">
        <v>33696.320177150483</v>
      </c>
      <c r="J492">
        <v>30759.367113137348</v>
      </c>
    </row>
    <row r="493" spans="1:10">
      <c r="A493" s="3">
        <v>46010.611111111109</v>
      </c>
      <c r="B493" s="4">
        <v>-133.40401625856589</v>
      </c>
      <c r="C493" s="4">
        <v>168584.09607730471</v>
      </c>
      <c r="D493" s="4">
        <v>67997.693291891512</v>
      </c>
      <c r="E493" s="4">
        <v>100586.4027854132</v>
      </c>
      <c r="F493" s="4">
        <v>0</v>
      </c>
      <c r="G493" s="4">
        <v>2916.301053205777</v>
      </c>
      <c r="H493" s="4">
        <v>2782.8970369472108</v>
      </c>
      <c r="I493" s="4">
        <v>33716.81921546095</v>
      </c>
      <c r="J493" s="4">
        <v>30933.922178513742</v>
      </c>
    </row>
    <row r="494" spans="1:10">
      <c r="A494" s="3">
        <v>46010.611805555563</v>
      </c>
      <c r="B494" s="4">
        <v>-124.8679522111816</v>
      </c>
      <c r="C494" s="4">
        <v>168317.75583568969</v>
      </c>
      <c r="D494" s="4">
        <v>67868.791203107656</v>
      </c>
      <c r="E494" s="4">
        <v>100448.96463258201</v>
      </c>
      <c r="F494" s="4">
        <v>0</v>
      </c>
      <c r="G494" s="4">
        <v>2916.301053205777</v>
      </c>
      <c r="H494" s="4">
        <v>2791.433100994595</v>
      </c>
      <c r="I494" s="4">
        <v>33663.551167137943</v>
      </c>
      <c r="J494" s="4">
        <v>30872.118066143339</v>
      </c>
    </row>
    <row r="495" spans="1:10">
      <c r="A495" s="1">
        <v>46010.612500000003</v>
      </c>
      <c r="B495">
        <v>-134.477981072348</v>
      </c>
      <c r="C495">
        <v>168143.22002343109</v>
      </c>
      <c r="D495">
        <v>67776.718282547765</v>
      </c>
      <c r="E495">
        <v>100366.50174088329</v>
      </c>
      <c r="F495">
        <v>0</v>
      </c>
      <c r="G495">
        <v>2916.301053205777</v>
      </c>
      <c r="H495">
        <v>2781.8230721334289</v>
      </c>
      <c r="I495">
        <v>33628.644004686212</v>
      </c>
      <c r="J495">
        <v>30846.820932552779</v>
      </c>
    </row>
    <row r="496" spans="1:10">
      <c r="A496" s="3">
        <v>46010.613194444442</v>
      </c>
      <c r="B496" s="4">
        <v>-136.185193881814</v>
      </c>
      <c r="C496" s="4">
        <v>168196.48807175411</v>
      </c>
      <c r="D496" s="4">
        <v>67802.498700304539</v>
      </c>
      <c r="E496" s="4">
        <v>100393.9893714495</v>
      </c>
      <c r="F496" s="4">
        <v>0</v>
      </c>
      <c r="G496" s="4">
        <v>2916.301053205777</v>
      </c>
      <c r="H496" s="4">
        <v>2780.1158593239629</v>
      </c>
      <c r="I496" s="4">
        <v>33639.297614350813</v>
      </c>
      <c r="J496" s="4">
        <v>30859.18175502685</v>
      </c>
    </row>
    <row r="497" spans="1:10">
      <c r="A497" s="1">
        <v>46010.613888888889</v>
      </c>
      <c r="B497">
        <v>-157.9247065449342</v>
      </c>
      <c r="C497">
        <v>168321.34925544419</v>
      </c>
      <c r="D497">
        <v>67854.059535818087</v>
      </c>
      <c r="E497">
        <v>100467.28971962621</v>
      </c>
      <c r="F497">
        <v>0</v>
      </c>
      <c r="G497">
        <v>2916.301053205777</v>
      </c>
      <c r="H497">
        <v>2758.376346660843</v>
      </c>
      <c r="I497">
        <v>33664.269851088851</v>
      </c>
      <c r="J497">
        <v>30905.893504428012</v>
      </c>
    </row>
    <row r="498" spans="1:10">
      <c r="A498" s="3">
        <v>46010.614583333343</v>
      </c>
      <c r="B498" s="4">
        <v>-190.98146087868429</v>
      </c>
      <c r="C498" s="4">
        <v>168324.94267519881</v>
      </c>
      <c r="D498" s="4">
        <v>67839.327868528489</v>
      </c>
      <c r="E498" s="4">
        <v>100485.6148066703</v>
      </c>
      <c r="F498" s="4">
        <v>0</v>
      </c>
      <c r="G498" s="4">
        <v>2916.301053205777</v>
      </c>
      <c r="H498" s="4">
        <v>2725.3195923270928</v>
      </c>
      <c r="I498" s="4">
        <v>33664.988535039767</v>
      </c>
      <c r="J498" s="4">
        <v>30939.668942712669</v>
      </c>
    </row>
    <row r="499" spans="1:10">
      <c r="A499" s="3">
        <v>46010.615277777782</v>
      </c>
      <c r="B499" s="4">
        <v>-106.900853438279</v>
      </c>
      <c r="C499" s="4">
        <v>168152.4720640209</v>
      </c>
      <c r="D499" s="4">
        <v>67795.132866659755</v>
      </c>
      <c r="E499" s="4">
        <v>100357.3391973612</v>
      </c>
      <c r="F499" s="4">
        <v>0</v>
      </c>
      <c r="G499" s="4">
        <v>2916.301053205777</v>
      </c>
      <c r="H499" s="4">
        <v>2809.4001997674982</v>
      </c>
      <c r="I499" s="4">
        <v>33630.49441280419</v>
      </c>
      <c r="J499" s="4">
        <v>30821.094213036689</v>
      </c>
    </row>
    <row r="500" spans="1:10">
      <c r="A500" s="1">
        <v>46010.615972222222</v>
      </c>
      <c r="B500">
        <v>-145.97421687860239</v>
      </c>
      <c r="C500">
        <v>167948.47291718319</v>
      </c>
      <c r="D500">
        <v>67673.596611520697</v>
      </c>
      <c r="E500">
        <v>100274.8763056625</v>
      </c>
      <c r="F500">
        <v>0</v>
      </c>
      <c r="G500">
        <v>2916.301053205777</v>
      </c>
      <c r="H500">
        <v>2770.326836327175</v>
      </c>
      <c r="I500">
        <v>33589.694583436627</v>
      </c>
      <c r="J500">
        <v>30819.36774710946</v>
      </c>
    </row>
    <row r="501" spans="1:10">
      <c r="A501" s="1">
        <v>46010.616666666669</v>
      </c>
      <c r="B501">
        <v>-178.58348587327509</v>
      </c>
      <c r="C501">
        <v>168135.76469271851</v>
      </c>
      <c r="D501">
        <v>67750.937864791005</v>
      </c>
      <c r="E501">
        <v>100384.82682792741</v>
      </c>
      <c r="F501">
        <v>0</v>
      </c>
      <c r="G501">
        <v>2916.301053205777</v>
      </c>
      <c r="H501">
        <v>2737.7175673325019</v>
      </c>
      <c r="I501">
        <v>33627.152938543702</v>
      </c>
      <c r="J501">
        <v>30889.435371211192</v>
      </c>
    </row>
    <row r="502" spans="1:10">
      <c r="A502" s="1">
        <v>46010.617361111108</v>
      </c>
      <c r="B502">
        <v>-138.33989203037291</v>
      </c>
      <c r="C502">
        <v>168066.05776429639</v>
      </c>
      <c r="D502">
        <v>67736.206197501408</v>
      </c>
      <c r="E502">
        <v>100329.851566795</v>
      </c>
      <c r="F502">
        <v>0</v>
      </c>
      <c r="G502">
        <v>2916.301053205777</v>
      </c>
      <c r="H502">
        <v>2777.961161175404</v>
      </c>
      <c r="I502">
        <v>33613.211552859277</v>
      </c>
      <c r="J502">
        <v>30835.250391683869</v>
      </c>
    </row>
    <row r="503" spans="1:10">
      <c r="A503" s="1">
        <v>46010.618055555547</v>
      </c>
      <c r="B503">
        <v>-185.85982245024749</v>
      </c>
      <c r="C503">
        <v>168165.1385302298</v>
      </c>
      <c r="D503">
        <v>67761.986615258196</v>
      </c>
      <c r="E503">
        <v>100403.1519149716</v>
      </c>
      <c r="F503">
        <v>0</v>
      </c>
      <c r="G503">
        <v>2916.301053205777</v>
      </c>
      <c r="H503">
        <v>2730.441230755529</v>
      </c>
      <c r="I503">
        <v>33633.027706045963</v>
      </c>
      <c r="J503">
        <v>30902.586475290431</v>
      </c>
    </row>
    <row r="504" spans="1:10">
      <c r="A504" s="1">
        <v>46010.618750000001</v>
      </c>
      <c r="B504">
        <v>-145.3477374039004</v>
      </c>
      <c r="C504">
        <v>168205.6506152761</v>
      </c>
      <c r="D504">
        <v>67802.498700304539</v>
      </c>
      <c r="E504">
        <v>100403.1519149716</v>
      </c>
      <c r="F504">
        <v>0</v>
      </c>
      <c r="G504">
        <v>2916.301053205777</v>
      </c>
      <c r="H504">
        <v>2770.9533158018771</v>
      </c>
      <c r="I504">
        <v>33641.130123055227</v>
      </c>
      <c r="J504">
        <v>30870.176807253349</v>
      </c>
    </row>
    <row r="505" spans="1:10">
      <c r="A505" s="3">
        <v>46010.619444444441</v>
      </c>
      <c r="B505" s="4">
        <v>0</v>
      </c>
      <c r="C505" s="4">
        <v>0</v>
      </c>
      <c r="D505" s="4">
        <v>0</v>
      </c>
      <c r="E505" s="4">
        <v>0</v>
      </c>
      <c r="F505" s="4">
        <v>-112.8932717416091</v>
      </c>
      <c r="G505" s="4">
        <v>2803.4077814641678</v>
      </c>
      <c r="H505" s="4">
        <v>2803.4077814641678</v>
      </c>
      <c r="I505" s="4">
        <v>0</v>
      </c>
      <c r="J505" s="4">
        <v>-2803.4077814641678</v>
      </c>
    </row>
    <row r="506" spans="1:10">
      <c r="A506" s="1">
        <v>46013.688194444447</v>
      </c>
      <c r="B506">
        <v>0</v>
      </c>
      <c r="C506">
        <v>167544.6945227368</v>
      </c>
      <c r="D506">
        <v>67544.694522736841</v>
      </c>
      <c r="E506">
        <v>100000</v>
      </c>
      <c r="F506">
        <v>0</v>
      </c>
      <c r="G506">
        <v>2803.4077814641678</v>
      </c>
      <c r="H506">
        <v>2803.4077814641678</v>
      </c>
      <c r="I506">
        <v>33508.938904547373</v>
      </c>
      <c r="J506">
        <v>30705.531123083201</v>
      </c>
    </row>
    <row r="507" spans="1:10">
      <c r="A507" s="1">
        <v>46013.688888888893</v>
      </c>
      <c r="B507">
        <v>-16.070777909890619</v>
      </c>
      <c r="C507">
        <v>167582.31982501311</v>
      </c>
      <c r="D507">
        <v>67555.471784920024</v>
      </c>
      <c r="E507">
        <v>100026.8480400931</v>
      </c>
      <c r="F507">
        <v>0</v>
      </c>
      <c r="G507">
        <v>2803.4077814641678</v>
      </c>
      <c r="H507">
        <v>2787.3370035542771</v>
      </c>
      <c r="I507">
        <v>33516.463965002622</v>
      </c>
      <c r="J507">
        <v>30729.12696144835</v>
      </c>
    </row>
    <row r="508" spans="1:10">
      <c r="A508" s="1">
        <v>46013.689583333333</v>
      </c>
      <c r="B508">
        <v>-41.217723003992511</v>
      </c>
      <c r="C508">
        <v>167557.172879919</v>
      </c>
      <c r="D508">
        <v>67530.324839825931</v>
      </c>
      <c r="E508">
        <v>100026.8480400931</v>
      </c>
      <c r="F508">
        <v>0</v>
      </c>
      <c r="G508">
        <v>2803.4077814641678</v>
      </c>
      <c r="H508">
        <v>2762.1900584601749</v>
      </c>
      <c r="I508">
        <v>33511.434575983803</v>
      </c>
      <c r="J508">
        <v>30749.244517523632</v>
      </c>
    </row>
    <row r="509" spans="1:10">
      <c r="A509" s="3">
        <v>46013.69027777778</v>
      </c>
      <c r="B509" s="4">
        <v>-41.15431276074105</v>
      </c>
      <c r="C509" s="4">
        <v>167593.03367695311</v>
      </c>
      <c r="D509" s="4">
        <v>67548.286943464569</v>
      </c>
      <c r="E509" s="4">
        <v>100044.7467334885</v>
      </c>
      <c r="F509" s="4">
        <v>0</v>
      </c>
      <c r="G509" s="4">
        <v>2803.4077814641678</v>
      </c>
      <c r="H509" s="4">
        <v>2762.2534687034272</v>
      </c>
      <c r="I509" s="4">
        <v>33518.606735390611</v>
      </c>
      <c r="J509" s="4">
        <v>30756.35326668718</v>
      </c>
    </row>
    <row r="510" spans="1:10">
      <c r="A510" s="1">
        <v>46013.690972222219</v>
      </c>
      <c r="B510">
        <v>-42.855407759710872</v>
      </c>
      <c r="C510">
        <v>167645.02866214019</v>
      </c>
      <c r="D510">
        <v>67573.433888558662</v>
      </c>
      <c r="E510">
        <v>100071.5947735815</v>
      </c>
      <c r="F510">
        <v>0</v>
      </c>
      <c r="G510">
        <v>2803.4077814641678</v>
      </c>
      <c r="H510">
        <v>2760.5523737044568</v>
      </c>
      <c r="I510">
        <v>33529.005732428042</v>
      </c>
      <c r="J510">
        <v>30768.453358723589</v>
      </c>
    </row>
    <row r="511" spans="1:10">
      <c r="A511" s="3">
        <v>46013.691666666673</v>
      </c>
      <c r="B511" s="4">
        <v>-16.070777909890619</v>
      </c>
      <c r="C511" s="4">
        <v>167582.31982501311</v>
      </c>
      <c r="D511" s="4">
        <v>67555.471784920024</v>
      </c>
      <c r="E511" s="4">
        <v>100026.8480400931</v>
      </c>
      <c r="F511" s="4">
        <v>0</v>
      </c>
      <c r="G511" s="4">
        <v>2803.4077814641678</v>
      </c>
      <c r="H511" s="4">
        <v>2787.3370035542771</v>
      </c>
      <c r="I511" s="4">
        <v>33516.463965002622</v>
      </c>
      <c r="J511" s="4">
        <v>30729.12696144835</v>
      </c>
    </row>
    <row r="512" spans="1:10">
      <c r="A512" s="1">
        <v>46013.692361111112</v>
      </c>
      <c r="B512">
        <v>-30.440460820808902</v>
      </c>
      <c r="C512">
        <v>167567.9501421022</v>
      </c>
      <c r="D512">
        <v>67541.102102009114</v>
      </c>
      <c r="E512">
        <v>100026.8480400931</v>
      </c>
      <c r="F512">
        <v>0</v>
      </c>
      <c r="G512">
        <v>2803.4077814641678</v>
      </c>
      <c r="H512">
        <v>2772.967320643359</v>
      </c>
      <c r="I512">
        <v>33513.59002842044</v>
      </c>
      <c r="J512">
        <v>30740.622707777082</v>
      </c>
    </row>
    <row r="513" spans="1:10">
      <c r="A513" s="3">
        <v>46013.693055555559</v>
      </c>
      <c r="B513" s="4">
        <v>-78.779615036986158</v>
      </c>
      <c r="C513" s="4">
        <v>167609.10445486291</v>
      </c>
      <c r="D513" s="4">
        <v>67537.509681281386</v>
      </c>
      <c r="E513" s="4">
        <v>100071.5947735815</v>
      </c>
      <c r="F513" s="4">
        <v>0</v>
      </c>
      <c r="G513" s="4">
        <v>2803.4077814641678</v>
      </c>
      <c r="H513" s="4">
        <v>2724.628166427181</v>
      </c>
      <c r="I513" s="4">
        <v>33521.820890972587</v>
      </c>
      <c r="J513" s="4">
        <v>30797.19272454541</v>
      </c>
    </row>
    <row r="514" spans="1:10">
      <c r="A514" s="1">
        <v>46013.693749999999</v>
      </c>
      <c r="B514">
        <v>-69.766858096039059</v>
      </c>
      <c r="C514">
        <v>167636.01590519931</v>
      </c>
      <c r="D514">
        <v>67555.471784920024</v>
      </c>
      <c r="E514">
        <v>100080.5441202792</v>
      </c>
      <c r="F514">
        <v>0</v>
      </c>
      <c r="G514">
        <v>2803.4077814641678</v>
      </c>
      <c r="H514">
        <v>2733.6409233681288</v>
      </c>
      <c r="I514">
        <v>33527.203181039848</v>
      </c>
      <c r="J514">
        <v>30793.562257671729</v>
      </c>
    </row>
    <row r="515" spans="1:10">
      <c r="A515" s="1">
        <v>46013.694444444453</v>
      </c>
      <c r="B515">
        <v>-75.123784066010259</v>
      </c>
      <c r="C515">
        <v>167648.55767262471</v>
      </c>
      <c r="D515">
        <v>67559.064205647752</v>
      </c>
      <c r="E515">
        <v>100089.4934669769</v>
      </c>
      <c r="F515">
        <v>0</v>
      </c>
      <c r="G515">
        <v>2803.4077814641678</v>
      </c>
      <c r="H515">
        <v>2728.2839973981581</v>
      </c>
      <c r="I515">
        <v>33529.711534524933</v>
      </c>
      <c r="J515">
        <v>30801.427537126779</v>
      </c>
    </row>
    <row r="516" spans="1:10">
      <c r="A516" s="3">
        <v>46013.695138888892</v>
      </c>
      <c r="B516" s="4">
        <v>-37.371661303234283</v>
      </c>
      <c r="C516" s="4">
        <v>167704.20848878281</v>
      </c>
      <c r="D516" s="4">
        <v>67605.76567510821</v>
      </c>
      <c r="E516" s="4">
        <v>100098.4428136746</v>
      </c>
      <c r="F516" s="4">
        <v>0</v>
      </c>
      <c r="G516" s="4">
        <v>2803.4077814641678</v>
      </c>
      <c r="H516" s="4">
        <v>2766.036120160933</v>
      </c>
      <c r="I516" s="4">
        <v>33540.841697756558</v>
      </c>
      <c r="J516" s="4">
        <v>30774.805577595631</v>
      </c>
    </row>
    <row r="517" spans="1:10">
      <c r="A517" s="1">
        <v>46013.695833333331</v>
      </c>
      <c r="B517">
        <v>-42.728587273205463</v>
      </c>
      <c r="C517">
        <v>167716.75025620821</v>
      </c>
      <c r="D517">
        <v>67609.358095835938</v>
      </c>
      <c r="E517">
        <v>100107.3921603723</v>
      </c>
      <c r="F517">
        <v>0</v>
      </c>
      <c r="G517">
        <v>2803.4077814641678</v>
      </c>
      <c r="H517">
        <v>2760.6791941909619</v>
      </c>
      <c r="I517">
        <v>33543.35005124165</v>
      </c>
      <c r="J517">
        <v>30782.670857050689</v>
      </c>
    </row>
    <row r="518" spans="1:10">
      <c r="A518" s="3">
        <v>46013.696527777778</v>
      </c>
      <c r="B518" s="4">
        <v>-40.96408203095875</v>
      </c>
      <c r="C518" s="4">
        <v>167700.6160680551</v>
      </c>
      <c r="D518" s="4">
        <v>67602.173254380483</v>
      </c>
      <c r="E518" s="4">
        <v>100098.4428136746</v>
      </c>
      <c r="F518" s="4">
        <v>0</v>
      </c>
      <c r="G518" s="4">
        <v>2803.4077814641678</v>
      </c>
      <c r="H518" s="4">
        <v>2762.4436994332091</v>
      </c>
      <c r="I518" s="4">
        <v>33540.123213611019</v>
      </c>
      <c r="J518" s="4">
        <v>30777.679514177809</v>
      </c>
    </row>
    <row r="519" spans="1:10">
      <c r="A519" s="1">
        <v>46013.697222222218</v>
      </c>
      <c r="B519">
        <v>-26.721219606568798</v>
      </c>
      <c r="C519">
        <v>167643.26415689799</v>
      </c>
      <c r="D519">
        <v>67580.618730014117</v>
      </c>
      <c r="E519">
        <v>100062.6454268838</v>
      </c>
      <c r="F519">
        <v>0</v>
      </c>
      <c r="G519">
        <v>2803.4077814641678</v>
      </c>
      <c r="H519">
        <v>2776.6865618575989</v>
      </c>
      <c r="I519">
        <v>33528.652831379593</v>
      </c>
      <c r="J519">
        <v>30751.966269521999</v>
      </c>
    </row>
    <row r="520" spans="1:10">
      <c r="A520" s="1">
        <v>46013.697916666657</v>
      </c>
      <c r="B520">
        <v>-58.735954939831913</v>
      </c>
      <c r="C520">
        <v>167790.23635551849</v>
      </c>
      <c r="D520">
        <v>67638.097461657759</v>
      </c>
      <c r="E520">
        <v>100152.1388938608</v>
      </c>
      <c r="F520">
        <v>0</v>
      </c>
      <c r="G520">
        <v>2803.4077814641678</v>
      </c>
      <c r="H520">
        <v>2744.6718265243362</v>
      </c>
      <c r="I520">
        <v>33558.047271103707</v>
      </c>
      <c r="J520">
        <v>30813.375444579371</v>
      </c>
    </row>
    <row r="521" spans="1:10">
      <c r="A521" s="1">
        <v>46013.698611111111</v>
      </c>
      <c r="B521">
        <v>-37.371661303234283</v>
      </c>
      <c r="C521">
        <v>167704.20848878281</v>
      </c>
      <c r="D521">
        <v>67605.76567510821</v>
      </c>
      <c r="E521">
        <v>100098.4428136746</v>
      </c>
      <c r="F521">
        <v>0</v>
      </c>
      <c r="G521">
        <v>2803.4077814641678</v>
      </c>
      <c r="H521">
        <v>2766.036120160933</v>
      </c>
      <c r="I521">
        <v>33540.841697756558</v>
      </c>
      <c r="J521">
        <v>30774.805577595631</v>
      </c>
    </row>
    <row r="522" spans="1:10">
      <c r="A522" s="1">
        <v>46013.699305555558</v>
      </c>
      <c r="B522">
        <v>0</v>
      </c>
      <c r="C522">
        <v>0</v>
      </c>
      <c r="D522">
        <v>0</v>
      </c>
      <c r="E522">
        <v>0</v>
      </c>
      <c r="F522">
        <v>-63.711357247885203</v>
      </c>
      <c r="G522">
        <v>2739.696424216283</v>
      </c>
      <c r="H522">
        <v>2739.696424216283</v>
      </c>
      <c r="I522">
        <v>0</v>
      </c>
      <c r="J522">
        <v>-2739.696424216283</v>
      </c>
    </row>
    <row r="523" spans="1:10">
      <c r="A523" s="3">
        <v>46013.768750000003</v>
      </c>
      <c r="B523" s="4">
        <v>0</v>
      </c>
      <c r="C523" s="4">
        <v>167544.6945227368</v>
      </c>
      <c r="D523" s="4">
        <v>100000</v>
      </c>
      <c r="E523" s="4">
        <v>67544.694522736841</v>
      </c>
      <c r="F523" s="4">
        <v>0</v>
      </c>
      <c r="G523" s="4">
        <v>2739.696424216283</v>
      </c>
      <c r="H523" s="4">
        <v>2739.696424216283</v>
      </c>
      <c r="I523" s="4">
        <v>33508.938904547373</v>
      </c>
      <c r="J523" s="4">
        <v>30769.242480331079</v>
      </c>
    </row>
    <row r="524" spans="1:10">
      <c r="A524" s="3">
        <v>46013.769444444442</v>
      </c>
      <c r="B524" s="4">
        <v>5.3385761894491797</v>
      </c>
      <c r="C524" s="4">
        <v>167557.21946923411</v>
      </c>
      <c r="D524" s="4">
        <v>100008.9317613434</v>
      </c>
      <c r="E524" s="4">
        <v>67548.287707890733</v>
      </c>
      <c r="F524" s="4">
        <v>0</v>
      </c>
      <c r="G524" s="4">
        <v>2739.696424216283</v>
      </c>
      <c r="H524" s="4">
        <v>2745.0350004057318</v>
      </c>
      <c r="I524" s="4">
        <v>33511.443893846823</v>
      </c>
      <c r="J524" s="4">
        <v>30766.408893441079</v>
      </c>
    </row>
    <row r="525" spans="1:10">
      <c r="A525" s="1">
        <v>46013.770138888889</v>
      </c>
      <c r="B525">
        <v>-21.456707840562562</v>
      </c>
      <c r="C525">
        <v>167530.42418520409</v>
      </c>
      <c r="D525">
        <v>99982.136477313339</v>
      </c>
      <c r="E525">
        <v>67548.287707890733</v>
      </c>
      <c r="F525">
        <v>0</v>
      </c>
      <c r="G525">
        <v>2739.696424216283</v>
      </c>
      <c r="H525">
        <v>2718.23971637572</v>
      </c>
      <c r="I525">
        <v>33506.08483704082</v>
      </c>
      <c r="J525">
        <v>30787.845120665101</v>
      </c>
    </row>
    <row r="526" spans="1:10">
      <c r="A526" s="1">
        <v>46013.770833333343</v>
      </c>
      <c r="B526">
        <v>-28.745481231087311</v>
      </c>
      <c r="C526">
        <v>167573.4400039679</v>
      </c>
      <c r="D526">
        <v>100000</v>
      </c>
      <c r="E526">
        <v>67573.440003967931</v>
      </c>
      <c r="F526">
        <v>0</v>
      </c>
      <c r="G526">
        <v>2739.696424216283</v>
      </c>
      <c r="H526">
        <v>2710.9509429851951</v>
      </c>
      <c r="I526">
        <v>33514.688000793591</v>
      </c>
      <c r="J526">
        <v>30803.73705780839</v>
      </c>
    </row>
    <row r="527" spans="1:10">
      <c r="A527" s="1">
        <v>46013.771527777782</v>
      </c>
      <c r="B527">
        <v>-30.490872266641709</v>
      </c>
      <c r="C527">
        <v>167557.3218723168</v>
      </c>
      <c r="D527">
        <v>99991.068238656677</v>
      </c>
      <c r="E527">
        <v>67566.253633660162</v>
      </c>
      <c r="F527">
        <v>0</v>
      </c>
      <c r="G527">
        <v>2739.696424216283</v>
      </c>
      <c r="H527">
        <v>2709.2055519496412</v>
      </c>
      <c r="I527">
        <v>33511.464374463358</v>
      </c>
      <c r="J527">
        <v>30802.258822513719</v>
      </c>
    </row>
    <row r="528" spans="1:10">
      <c r="A528" s="1">
        <v>46013.772222222222</v>
      </c>
      <c r="B528">
        <v>-14.57754678104703</v>
      </c>
      <c r="C528">
        <v>167630.7261602646</v>
      </c>
      <c r="D528">
        <v>100035.72704537339</v>
      </c>
      <c r="E528">
        <v>67594.999114891252</v>
      </c>
      <c r="F528">
        <v>0</v>
      </c>
      <c r="G528">
        <v>2739.696424216283</v>
      </c>
      <c r="H528">
        <v>2725.1188774352349</v>
      </c>
      <c r="I528">
        <v>33526.145232052921</v>
      </c>
      <c r="J528">
        <v>30801.02635461769</v>
      </c>
    </row>
    <row r="529" spans="1:10">
      <c r="A529" s="3">
        <v>46013.772916666669</v>
      </c>
      <c r="B529" s="4">
        <v>21.251901675054079</v>
      </c>
      <c r="C529" s="4">
        <v>167630.62375718189</v>
      </c>
      <c r="D529" s="4">
        <v>100053.59056806</v>
      </c>
      <c r="E529" s="4">
        <v>67577.033189121823</v>
      </c>
      <c r="F529" s="4">
        <v>0</v>
      </c>
      <c r="G529" s="4">
        <v>2739.696424216283</v>
      </c>
      <c r="H529" s="4">
        <v>2760.948325891336</v>
      </c>
      <c r="I529" s="4">
        <v>33526.124751436371</v>
      </c>
      <c r="J529" s="4">
        <v>30765.17642554504</v>
      </c>
    </row>
    <row r="530" spans="1:10">
      <c r="A530" s="1">
        <v>46013.773611111108</v>
      </c>
      <c r="B530">
        <v>19.50651063948947</v>
      </c>
      <c r="C530">
        <v>167614.50562553079</v>
      </c>
      <c r="D530">
        <v>100044.6588067167</v>
      </c>
      <c r="E530">
        <v>67569.846818814054</v>
      </c>
      <c r="F530">
        <v>0</v>
      </c>
      <c r="G530">
        <v>2739.696424216283</v>
      </c>
      <c r="H530">
        <v>2759.2029348557721</v>
      </c>
      <c r="I530">
        <v>33522.901125106153</v>
      </c>
      <c r="J530">
        <v>30763.698190250379</v>
      </c>
    </row>
    <row r="531" spans="1:10">
      <c r="A531" s="3">
        <v>46013.774305555547</v>
      </c>
      <c r="B531" s="4">
        <v>-16.11813165110317</v>
      </c>
      <c r="C531" s="4">
        <v>167542.94913170129</v>
      </c>
      <c r="D531" s="4">
        <v>99991.068238656677</v>
      </c>
      <c r="E531" s="4">
        <v>67551.880893044625</v>
      </c>
      <c r="F531" s="4">
        <v>0</v>
      </c>
      <c r="G531" s="4">
        <v>2739.696424216283</v>
      </c>
      <c r="H531" s="4">
        <v>2723.5782925651788</v>
      </c>
      <c r="I531" s="4">
        <v>33508.589826340263</v>
      </c>
      <c r="J531" s="4">
        <v>30785.011533775079</v>
      </c>
    </row>
    <row r="532" spans="1:10">
      <c r="A532" s="3">
        <v>46013.775000000001</v>
      </c>
      <c r="B532" s="4">
        <v>-26.795284029999038</v>
      </c>
      <c r="C532" s="4">
        <v>167517.89923870689</v>
      </c>
      <c r="D532" s="4">
        <v>99973.204715970001</v>
      </c>
      <c r="E532" s="4">
        <v>67544.694522736841</v>
      </c>
      <c r="F532" s="4">
        <v>0</v>
      </c>
      <c r="G532" s="4">
        <v>2739.696424216283</v>
      </c>
      <c r="H532" s="4">
        <v>2712.901140186284</v>
      </c>
      <c r="I532" s="4">
        <v>33503.57984774137</v>
      </c>
      <c r="J532" s="4">
        <v>30790.678707555089</v>
      </c>
    </row>
    <row r="533" spans="1:10">
      <c r="A533" s="3">
        <v>46013.775694444441</v>
      </c>
      <c r="B533" s="4">
        <v>-37.677242574416098</v>
      </c>
      <c r="C533" s="4">
        <v>167564.50824262461</v>
      </c>
      <c r="D533" s="4">
        <v>99991.068238656677</v>
      </c>
      <c r="E533" s="4">
        <v>67573.440003967931</v>
      </c>
      <c r="F533" s="4">
        <v>0</v>
      </c>
      <c r="G533" s="4">
        <v>2739.696424216283</v>
      </c>
      <c r="H533" s="4">
        <v>2702.019181641866</v>
      </c>
      <c r="I533" s="4">
        <v>33512.901648524923</v>
      </c>
      <c r="J533" s="4">
        <v>30810.88246688306</v>
      </c>
    </row>
    <row r="534" spans="1:10">
      <c r="A534" s="3">
        <v>46013.776388888888</v>
      </c>
      <c r="B534" s="4">
        <v>3.490782071134189</v>
      </c>
      <c r="C534" s="4">
        <v>167576.9307860391</v>
      </c>
      <c r="D534" s="4">
        <v>100017.8635226867</v>
      </c>
      <c r="E534" s="4">
        <v>67559.067263352394</v>
      </c>
      <c r="F534" s="4">
        <v>0</v>
      </c>
      <c r="G534" s="4">
        <v>2739.696424216283</v>
      </c>
      <c r="H534" s="4">
        <v>2743.1872062874172</v>
      </c>
      <c r="I534" s="4">
        <v>33515.386157207817</v>
      </c>
      <c r="J534" s="4">
        <v>30772.19895092041</v>
      </c>
    </row>
    <row r="535" spans="1:10">
      <c r="A535" s="1">
        <v>46013.777083333327</v>
      </c>
      <c r="B535">
        <v>-0.1024030827478946</v>
      </c>
      <c r="C535">
        <v>167580.52397119289</v>
      </c>
      <c r="D535">
        <v>100017.8635226867</v>
      </c>
      <c r="E535">
        <v>67562.660448506271</v>
      </c>
      <c r="F535">
        <v>0</v>
      </c>
      <c r="G535">
        <v>2739.696424216283</v>
      </c>
      <c r="H535">
        <v>2739.5940211335351</v>
      </c>
      <c r="I535">
        <v>33516.104794238592</v>
      </c>
      <c r="J535">
        <v>30776.510773105059</v>
      </c>
    </row>
    <row r="536" spans="1:10">
      <c r="A536" s="1">
        <v>46013.777777777781</v>
      </c>
      <c r="B536">
        <v>0</v>
      </c>
      <c r="C536">
        <v>167544.6945227368</v>
      </c>
      <c r="D536">
        <v>100000</v>
      </c>
      <c r="E536">
        <v>67544.694522736841</v>
      </c>
      <c r="F536">
        <v>0</v>
      </c>
      <c r="G536">
        <v>2739.696424216283</v>
      </c>
      <c r="H536">
        <v>2739.696424216283</v>
      </c>
      <c r="I536">
        <v>33508.938904547373</v>
      </c>
      <c r="J536">
        <v>30769.242480331079</v>
      </c>
    </row>
    <row r="537" spans="1:10">
      <c r="A537" s="1">
        <v>46013.77847222222</v>
      </c>
      <c r="B537">
        <v>8.931761343341476</v>
      </c>
      <c r="C537">
        <v>167553.62628408021</v>
      </c>
      <c r="D537">
        <v>100008.9317613434</v>
      </c>
      <c r="E537">
        <v>67544.694522736841</v>
      </c>
      <c r="F537">
        <v>0</v>
      </c>
      <c r="G537">
        <v>2739.696424216283</v>
      </c>
      <c r="H537">
        <v>2748.6281855596239</v>
      </c>
      <c r="I537">
        <v>33510.72525681604</v>
      </c>
      <c r="J537">
        <v>30762.097071256419</v>
      </c>
    </row>
    <row r="538" spans="1:10">
      <c r="A538" s="3">
        <v>46013.779166666667</v>
      </c>
      <c r="B538" s="4">
        <v>-35.727045373340523</v>
      </c>
      <c r="C538" s="4">
        <v>167508.96747736351</v>
      </c>
      <c r="D538" s="4">
        <v>99964.272954626664</v>
      </c>
      <c r="E538" s="4">
        <v>67544.694522736841</v>
      </c>
      <c r="F538" s="4">
        <v>0</v>
      </c>
      <c r="G538" s="4">
        <v>2739.696424216283</v>
      </c>
      <c r="H538" s="4">
        <v>2703.9693788429422</v>
      </c>
      <c r="I538" s="4">
        <v>33501.793495472702</v>
      </c>
      <c r="J538" s="4">
        <v>30797.824116629759</v>
      </c>
    </row>
    <row r="539" spans="1:10">
      <c r="A539" s="1">
        <v>46013.779861111107</v>
      </c>
      <c r="B539">
        <v>-32.031457136697853</v>
      </c>
      <c r="C539">
        <v>167469.54484375351</v>
      </c>
      <c r="D539">
        <v>99946.409431939988</v>
      </c>
      <c r="E539">
        <v>67523.135411813535</v>
      </c>
      <c r="F539">
        <v>0</v>
      </c>
      <c r="G539">
        <v>2739.696424216283</v>
      </c>
      <c r="H539">
        <v>2707.664967079585</v>
      </c>
      <c r="I539">
        <v>33493.9089687507</v>
      </c>
      <c r="J539">
        <v>30786.244001671119</v>
      </c>
    </row>
    <row r="540" spans="1:10">
      <c r="A540" s="1">
        <v>46013.780555555553</v>
      </c>
      <c r="B540">
        <v>-26.692880947261362</v>
      </c>
      <c r="C540">
        <v>167482.06979025071</v>
      </c>
      <c r="D540">
        <v>99955.341193283326</v>
      </c>
      <c r="E540">
        <v>67526.728596967427</v>
      </c>
      <c r="F540">
        <v>0</v>
      </c>
      <c r="G540">
        <v>2739.696424216283</v>
      </c>
      <c r="H540">
        <v>2713.0035432690211</v>
      </c>
      <c r="I540">
        <v>33496.413958050151</v>
      </c>
      <c r="J540">
        <v>30783.41041478113</v>
      </c>
    </row>
    <row r="541" spans="1:10">
      <c r="A541" s="1">
        <v>46013.78125</v>
      </c>
      <c r="B541">
        <v>-49.792576740630423</v>
      </c>
      <c r="C541">
        <v>167415.85187261071</v>
      </c>
      <c r="D541">
        <v>99910.682386566637</v>
      </c>
      <c r="E541">
        <v>67505.16948604412</v>
      </c>
      <c r="F541">
        <v>0</v>
      </c>
      <c r="G541">
        <v>2739.696424216283</v>
      </c>
      <c r="H541">
        <v>2689.9038474756521</v>
      </c>
      <c r="I541">
        <v>33483.170374522153</v>
      </c>
      <c r="J541">
        <v>30793.2665270465</v>
      </c>
    </row>
    <row r="542" spans="1:10">
      <c r="A542" s="3">
        <v>46013.781944444447</v>
      </c>
      <c r="B542" s="4">
        <v>-89.010404185115362</v>
      </c>
      <c r="C542" s="4">
        <v>167347.88856393521</v>
      </c>
      <c r="D542" s="4">
        <v>99857.091818506611</v>
      </c>
      <c r="E542" s="4">
        <v>67490.796745428568</v>
      </c>
      <c r="F542" s="4">
        <v>0</v>
      </c>
      <c r="G542" s="4">
        <v>2739.696424216283</v>
      </c>
      <c r="H542" s="4">
        <v>2650.6860200311671</v>
      </c>
      <c r="I542" s="4">
        <v>33469.577712787039</v>
      </c>
      <c r="J542" s="4">
        <v>30818.891692755871</v>
      </c>
    </row>
    <row r="543" spans="1:10">
      <c r="A543" s="3">
        <v>46013.782638888893</v>
      </c>
      <c r="B543" s="4">
        <v>-85.519622113983644</v>
      </c>
      <c r="C543" s="4">
        <v>167380.12482723739</v>
      </c>
      <c r="D543" s="4">
        <v>99874.955341193287</v>
      </c>
      <c r="E543" s="4">
        <v>67505.16948604412</v>
      </c>
      <c r="F543" s="4">
        <v>0</v>
      </c>
      <c r="G543" s="4">
        <v>2739.696424216283</v>
      </c>
      <c r="H543" s="4">
        <v>2654.176802102299</v>
      </c>
      <c r="I543" s="4">
        <v>33476.024965447483</v>
      </c>
      <c r="J543" s="4">
        <v>30821.848163345181</v>
      </c>
    </row>
    <row r="544" spans="1:10">
      <c r="A544" s="3">
        <v>46013.783333333333</v>
      </c>
      <c r="B544" s="4">
        <v>-87.367416232298638</v>
      </c>
      <c r="C544" s="4">
        <v>167399.83614404241</v>
      </c>
      <c r="D544" s="4">
        <v>99883.887102536624</v>
      </c>
      <c r="E544" s="4">
        <v>67515.949041505766</v>
      </c>
      <c r="F544" s="4">
        <v>0</v>
      </c>
      <c r="G544" s="4">
        <v>2739.696424216283</v>
      </c>
      <c r="H544" s="4">
        <v>2652.329007983984</v>
      </c>
      <c r="I544" s="4">
        <v>33479.967228808477</v>
      </c>
      <c r="J544" s="4">
        <v>30827.63822082449</v>
      </c>
    </row>
    <row r="545" spans="1:10">
      <c r="A545" s="1">
        <v>46013.78402777778</v>
      </c>
      <c r="B545">
        <v>-80.181045924524255</v>
      </c>
      <c r="C545">
        <v>167392.64977373459</v>
      </c>
      <c r="D545">
        <v>99883.887102536624</v>
      </c>
      <c r="E545">
        <v>67508.762671197997</v>
      </c>
      <c r="F545">
        <v>0</v>
      </c>
      <c r="G545">
        <v>2739.696424216283</v>
      </c>
      <c r="H545">
        <v>2659.5153782917582</v>
      </c>
      <c r="I545">
        <v>33478.529954746933</v>
      </c>
      <c r="J545">
        <v>30819.014576455171</v>
      </c>
    </row>
    <row r="546" spans="1:10">
      <c r="A546" s="1">
        <v>46013.784722222219</v>
      </c>
      <c r="B546">
        <v>-78.230848723458891</v>
      </c>
      <c r="C546">
        <v>167337.10900847349</v>
      </c>
      <c r="D546">
        <v>99857.091818506611</v>
      </c>
      <c r="E546">
        <v>67480.017189966922</v>
      </c>
      <c r="F546">
        <v>0</v>
      </c>
      <c r="G546">
        <v>2739.696424216283</v>
      </c>
      <c r="H546">
        <v>2661.465575492824</v>
      </c>
      <c r="I546">
        <v>33467.421801694712</v>
      </c>
      <c r="J546">
        <v>30805.956226201881</v>
      </c>
    </row>
    <row r="547" spans="1:10">
      <c r="A547" s="1">
        <v>46013.785416666673</v>
      </c>
      <c r="B547">
        <v>-67.553696344552804</v>
      </c>
      <c r="C547">
        <v>167362.15890146801</v>
      </c>
      <c r="D547">
        <v>99874.955341193287</v>
      </c>
      <c r="E547">
        <v>67487.203560274676</v>
      </c>
      <c r="F547">
        <v>0</v>
      </c>
      <c r="G547">
        <v>2739.696424216283</v>
      </c>
      <c r="H547">
        <v>2672.1427278717301</v>
      </c>
      <c r="I547">
        <v>33472.431780293598</v>
      </c>
      <c r="J547">
        <v>30800.289052421871</v>
      </c>
    </row>
    <row r="548" spans="1:10">
      <c r="A548" s="3">
        <v>46013.786111111112</v>
      </c>
      <c r="B548" s="4">
        <v>-51.640370858945417</v>
      </c>
      <c r="C548" s="4">
        <v>167435.5631894157</v>
      </c>
      <c r="D548" s="4">
        <v>99919.614147909975</v>
      </c>
      <c r="E548" s="4">
        <v>67515.949041505766</v>
      </c>
      <c r="F548" s="4">
        <v>0</v>
      </c>
      <c r="G548" s="4">
        <v>2739.696424216283</v>
      </c>
      <c r="H548" s="4">
        <v>2688.0560533573371</v>
      </c>
      <c r="I548" s="4">
        <v>33487.112637883147</v>
      </c>
      <c r="J548" s="4">
        <v>30799.05658452581</v>
      </c>
    </row>
    <row r="549" spans="1:10">
      <c r="A549" s="3">
        <v>46013.786805555559</v>
      </c>
      <c r="B549" s="4">
        <v>-44.351597468433347</v>
      </c>
      <c r="C549" s="4">
        <v>167392.54737065191</v>
      </c>
      <c r="D549" s="4">
        <v>99901.7506252233</v>
      </c>
      <c r="E549" s="4">
        <v>67490.796745428568</v>
      </c>
      <c r="F549" s="4">
        <v>0</v>
      </c>
      <c r="G549" s="4">
        <v>2739.696424216283</v>
      </c>
      <c r="H549" s="4">
        <v>2695.3448267478489</v>
      </c>
      <c r="I549" s="4">
        <v>33478.509474130369</v>
      </c>
      <c r="J549" s="4">
        <v>30783.16464738252</v>
      </c>
    </row>
    <row r="550" spans="1:10">
      <c r="A550" s="3">
        <v>46013.787499999999</v>
      </c>
      <c r="B550" s="4">
        <v>0</v>
      </c>
      <c r="C550" s="4">
        <v>0</v>
      </c>
      <c r="D550" s="4">
        <v>0</v>
      </c>
      <c r="E550" s="4">
        <v>0</v>
      </c>
      <c r="F550" s="4">
        <v>-81.65190590059035</v>
      </c>
      <c r="G550" s="4">
        <v>2658.0445183156921</v>
      </c>
      <c r="H550" s="4">
        <v>2658.0445183156921</v>
      </c>
      <c r="I550" s="4">
        <v>0</v>
      </c>
      <c r="J550" s="4">
        <v>-2658.0445183156921</v>
      </c>
    </row>
    <row r="551" spans="1:10">
      <c r="A551" s="3">
        <v>46014.743055555547</v>
      </c>
      <c r="B551" s="4">
        <v>0</v>
      </c>
      <c r="C551" s="4">
        <v>167544.6945227368</v>
      </c>
      <c r="D551" s="4">
        <v>100000</v>
      </c>
      <c r="E551" s="4">
        <v>67544.694522736841</v>
      </c>
      <c r="F551" s="4">
        <v>0</v>
      </c>
      <c r="G551" s="4">
        <v>2658.0445183156921</v>
      </c>
      <c r="H551" s="4">
        <v>2658.0445183156921</v>
      </c>
      <c r="I551" s="4">
        <v>33508.938904547373</v>
      </c>
      <c r="J551" s="4">
        <v>30850.89438623167</v>
      </c>
    </row>
    <row r="552" spans="1:10">
      <c r="A552" s="1">
        <v>46014.743750000001</v>
      </c>
      <c r="B552">
        <v>0</v>
      </c>
      <c r="C552">
        <v>167544.6945227368</v>
      </c>
      <c r="D552">
        <v>100000</v>
      </c>
      <c r="E552">
        <v>67544.694522736841</v>
      </c>
      <c r="F552">
        <v>0</v>
      </c>
      <c r="G552">
        <v>2658.0445183156921</v>
      </c>
      <c r="H552">
        <v>2658.0445183156921</v>
      </c>
      <c r="I552">
        <v>33508.938904547373</v>
      </c>
      <c r="J552">
        <v>30850.89438623167</v>
      </c>
    </row>
    <row r="553" spans="1:10">
      <c r="A553" s="1">
        <v>46014.744444444441</v>
      </c>
      <c r="B553">
        <v>26.760683225232931</v>
      </c>
      <c r="C553">
        <v>167607.29934442669</v>
      </c>
      <c r="D553">
        <v>100044.68275245751</v>
      </c>
      <c r="E553">
        <v>67562.616591969156</v>
      </c>
      <c r="F553">
        <v>0</v>
      </c>
      <c r="G553">
        <v>2658.0445183156921</v>
      </c>
      <c r="H553">
        <v>2684.8052015409248</v>
      </c>
      <c r="I553">
        <v>33521.459868885337</v>
      </c>
      <c r="J553">
        <v>30836.654667344421</v>
      </c>
    </row>
    <row r="554" spans="1:10">
      <c r="A554" s="3">
        <v>46014.745138888888</v>
      </c>
      <c r="B554" s="4">
        <v>42.817093160377269</v>
      </c>
      <c r="C554" s="4">
        <v>167644.86223744071</v>
      </c>
      <c r="D554" s="4">
        <v>100071.4924039321</v>
      </c>
      <c r="E554" s="4">
        <v>67573.36983350855</v>
      </c>
      <c r="F554" s="4">
        <v>0</v>
      </c>
      <c r="G554" s="4">
        <v>2658.0445183156921</v>
      </c>
      <c r="H554" s="4">
        <v>2700.8616114760689</v>
      </c>
      <c r="I554" s="4">
        <v>33528.97244748813</v>
      </c>
      <c r="J554" s="4">
        <v>30828.11083601206</v>
      </c>
    </row>
    <row r="555" spans="1:10">
      <c r="A555" s="3">
        <v>46014.745833333327</v>
      </c>
      <c r="B555" s="4">
        <v>51.753643651879408</v>
      </c>
      <c r="C555" s="4">
        <v>167653.79878793209</v>
      </c>
      <c r="D555" s="4">
        <v>100080.42895442359</v>
      </c>
      <c r="E555" s="4">
        <v>67573.36983350855</v>
      </c>
      <c r="F555" s="4">
        <v>0</v>
      </c>
      <c r="G555" s="4">
        <v>2658.0445183156921</v>
      </c>
      <c r="H555" s="4">
        <v>2709.798161967572</v>
      </c>
      <c r="I555" s="4">
        <v>33530.759757586427</v>
      </c>
      <c r="J555" s="4">
        <v>30820.961595618861</v>
      </c>
    </row>
    <row r="556" spans="1:10">
      <c r="A556" s="1">
        <v>46014.746527777781</v>
      </c>
      <c r="B556">
        <v>39.232679313918162</v>
      </c>
      <c r="C556">
        <v>167648.44665128709</v>
      </c>
      <c r="D556">
        <v>100071.4924039321</v>
      </c>
      <c r="E556">
        <v>67576.95424735501</v>
      </c>
      <c r="F556">
        <v>0</v>
      </c>
      <c r="G556">
        <v>2658.0445183156921</v>
      </c>
      <c r="H556">
        <v>2697.2771976296099</v>
      </c>
      <c r="I556">
        <v>33529.689330257417</v>
      </c>
      <c r="J556">
        <v>30832.412132627811</v>
      </c>
    </row>
    <row r="557" spans="1:10">
      <c r="A557" s="3">
        <v>46014.74722222222</v>
      </c>
      <c r="B557" s="4">
        <v>39.232679313918162</v>
      </c>
      <c r="C557" s="4">
        <v>167648.44665128709</v>
      </c>
      <c r="D557" s="4">
        <v>100071.4924039321</v>
      </c>
      <c r="E557" s="4">
        <v>67576.95424735501</v>
      </c>
      <c r="F557" s="4">
        <v>0</v>
      </c>
      <c r="G557" s="4">
        <v>2658.0445183156921</v>
      </c>
      <c r="H557" s="4">
        <v>2697.2771976296099</v>
      </c>
      <c r="I557" s="4">
        <v>33529.689330257417</v>
      </c>
      <c r="J557" s="4">
        <v>30832.412132627811</v>
      </c>
    </row>
    <row r="558" spans="1:10">
      <c r="A558" s="3">
        <v>46014.747916666667</v>
      </c>
      <c r="B558" s="4">
        <v>17.775164484429361</v>
      </c>
      <c r="C558" s="4">
        <v>167634.15796415051</v>
      </c>
      <c r="D558" s="4">
        <v>100053.6193029491</v>
      </c>
      <c r="E558" s="4">
        <v>67580.53866120147</v>
      </c>
      <c r="F558" s="4">
        <v>0</v>
      </c>
      <c r="G558" s="4">
        <v>2658.0445183156921</v>
      </c>
      <c r="H558" s="4">
        <v>2675.819682800121</v>
      </c>
      <c r="I558" s="4">
        <v>33526.831592830109</v>
      </c>
      <c r="J558" s="4">
        <v>30851.011910029989</v>
      </c>
    </row>
    <row r="559" spans="1:10">
      <c r="A559" s="3">
        <v>46014.748611111107</v>
      </c>
      <c r="B559" s="4">
        <v>3.437509098572562</v>
      </c>
      <c r="C559" s="4">
        <v>167648.49561953641</v>
      </c>
      <c r="D559" s="4">
        <v>100053.6193029491</v>
      </c>
      <c r="E559" s="4">
        <v>67594.876316587324</v>
      </c>
      <c r="F559" s="4">
        <v>0</v>
      </c>
      <c r="G559" s="4">
        <v>2658.0445183156921</v>
      </c>
      <c r="H559" s="4">
        <v>2661.4820274142648</v>
      </c>
      <c r="I559" s="4">
        <v>33529.699123907267</v>
      </c>
      <c r="J559" s="4">
        <v>30868.217096493008</v>
      </c>
    </row>
    <row r="560" spans="1:10">
      <c r="A560" s="1">
        <v>46014.749305555553</v>
      </c>
      <c r="B560">
        <v>-0.14690474788654481</v>
      </c>
      <c r="C560">
        <v>167652.08003338281</v>
      </c>
      <c r="D560">
        <v>100053.6193029491</v>
      </c>
      <c r="E560">
        <v>67598.460730433784</v>
      </c>
      <c r="F560">
        <v>0</v>
      </c>
      <c r="G560">
        <v>2658.0445183156921</v>
      </c>
      <c r="H560">
        <v>2657.8976135678049</v>
      </c>
      <c r="I560">
        <v>33530.416006676569</v>
      </c>
      <c r="J560">
        <v>30872.518393108759</v>
      </c>
    </row>
    <row r="561" spans="1:10">
      <c r="A561" s="1">
        <v>46014.75</v>
      </c>
      <c r="B561">
        <v>44.584815958961201</v>
      </c>
      <c r="C561">
        <v>167660.96761562509</v>
      </c>
      <c r="D561">
        <v>100080.42895442359</v>
      </c>
      <c r="E561">
        <v>67580.53866120147</v>
      </c>
      <c r="F561">
        <v>0</v>
      </c>
      <c r="G561">
        <v>2658.0445183156921</v>
      </c>
      <c r="H561">
        <v>2702.629334274654</v>
      </c>
      <c r="I561">
        <v>33532.193523125017</v>
      </c>
      <c r="J561">
        <v>30829.56418885036</v>
      </c>
    </row>
    <row r="562" spans="1:10">
      <c r="A562" s="3">
        <v>46014.750694444447</v>
      </c>
      <c r="B562" s="4">
        <v>44.535847709674997</v>
      </c>
      <c r="C562" s="4">
        <v>167696.7627858404</v>
      </c>
      <c r="D562" s="4">
        <v>100098.3020554066</v>
      </c>
      <c r="E562" s="4">
        <v>67598.460730433784</v>
      </c>
      <c r="F562" s="4">
        <v>0</v>
      </c>
      <c r="G562" s="4">
        <v>2658.0445183156921</v>
      </c>
      <c r="H562" s="4">
        <v>2702.5803660253669</v>
      </c>
      <c r="I562" s="4">
        <v>33539.35255716808</v>
      </c>
      <c r="J562" s="4">
        <v>30836.772191142711</v>
      </c>
    </row>
    <row r="563" spans="1:10">
      <c r="A563" s="1">
        <v>46014.751388888893</v>
      </c>
      <c r="B563">
        <v>24.846055678772629</v>
      </c>
      <c r="C563">
        <v>167698.57947688829</v>
      </c>
      <c r="D563">
        <v>100089.3655049151</v>
      </c>
      <c r="E563">
        <v>67609.213971973164</v>
      </c>
      <c r="F563">
        <v>0</v>
      </c>
      <c r="G563">
        <v>2658.0445183156921</v>
      </c>
      <c r="H563">
        <v>2682.8905739944648</v>
      </c>
      <c r="I563">
        <v>33539.715895377652</v>
      </c>
      <c r="J563">
        <v>30856.825321383189</v>
      </c>
    </row>
    <row r="564" spans="1:10">
      <c r="A564" s="1">
        <v>46014.752083333333</v>
      </c>
      <c r="B564">
        <v>32.014883371701039</v>
      </c>
      <c r="C564">
        <v>167691.41064919531</v>
      </c>
      <c r="D564">
        <v>100089.3655049151</v>
      </c>
      <c r="E564">
        <v>67602.045144280244</v>
      </c>
      <c r="F564">
        <v>0</v>
      </c>
      <c r="G564">
        <v>2658.0445183156921</v>
      </c>
      <c r="H564">
        <v>2690.0594016873929</v>
      </c>
      <c r="I564">
        <v>33538.28212983907</v>
      </c>
      <c r="J564">
        <v>30848.222728151679</v>
      </c>
    </row>
    <row r="565" spans="1:10">
      <c r="A565" s="3">
        <v>46014.75277777778</v>
      </c>
      <c r="B565" s="4">
        <v>6.9729546957556323</v>
      </c>
      <c r="C565" s="4">
        <v>167680.70637590531</v>
      </c>
      <c r="D565" s="4">
        <v>100071.4924039321</v>
      </c>
      <c r="E565" s="4">
        <v>67609.213971973164</v>
      </c>
      <c r="F565" s="4">
        <v>0</v>
      </c>
      <c r="G565" s="4">
        <v>2658.0445183156921</v>
      </c>
      <c r="H565" s="4">
        <v>2665.0174730114481</v>
      </c>
      <c r="I565" s="4">
        <v>33536.141275181049</v>
      </c>
      <c r="J565" s="4">
        <v>30871.123802169601</v>
      </c>
    </row>
    <row r="566" spans="1:10">
      <c r="A566" s="1">
        <v>46014.753472222219</v>
      </c>
      <c r="B566">
        <v>0</v>
      </c>
      <c r="C566">
        <v>0</v>
      </c>
      <c r="D566">
        <v>0</v>
      </c>
      <c r="E566">
        <v>0</v>
      </c>
      <c r="F566">
        <v>25.29717293655187</v>
      </c>
      <c r="G566">
        <v>2683.3416912522439</v>
      </c>
      <c r="H566">
        <v>2683.3416912522439</v>
      </c>
      <c r="I566">
        <v>0</v>
      </c>
      <c r="J566">
        <v>-2683.3416912522439</v>
      </c>
    </row>
    <row r="567" spans="1:10">
      <c r="A567" s="3">
        <v>46017.604166666657</v>
      </c>
      <c r="B567" s="4">
        <v>0</v>
      </c>
      <c r="C567" s="4">
        <v>167544.6945227368</v>
      </c>
      <c r="D567" s="4">
        <v>67544.694522736841</v>
      </c>
      <c r="E567" s="4">
        <v>100000</v>
      </c>
      <c r="F567" s="4">
        <v>0</v>
      </c>
      <c r="G567" s="4">
        <v>2683.3416912522439</v>
      </c>
      <c r="H567" s="4">
        <v>2683.3416912522439</v>
      </c>
      <c r="I567" s="4">
        <v>33508.938904547373</v>
      </c>
      <c r="J567" s="4">
        <v>30825.597213295121</v>
      </c>
    </row>
    <row r="568" spans="1:10">
      <c r="A568" s="3">
        <v>46017.604861111111</v>
      </c>
      <c r="B568" s="4">
        <v>-92.167631866857164</v>
      </c>
      <c r="C568" s="4">
        <v>167452.52689087001</v>
      </c>
      <c r="D568" s="4">
        <v>67452.52689086998</v>
      </c>
      <c r="E568" s="4">
        <v>100000</v>
      </c>
      <c r="F568" s="4">
        <v>0</v>
      </c>
      <c r="G568" s="4">
        <v>2683.3416912522439</v>
      </c>
      <c r="H568" s="4">
        <v>2591.174059385386</v>
      </c>
      <c r="I568" s="4">
        <v>33490.505378173999</v>
      </c>
      <c r="J568" s="4">
        <v>30899.331318788609</v>
      </c>
    </row>
    <row r="569" spans="1:10">
      <c r="A569" s="3">
        <v>46017.605555555558</v>
      </c>
      <c r="B569" s="4">
        <v>-88.620389728629405</v>
      </c>
      <c r="C569" s="4">
        <v>167704.2130908246</v>
      </c>
      <c r="D569" s="4">
        <v>67580.143611916399</v>
      </c>
      <c r="E569" s="4">
        <v>100124.0694789082</v>
      </c>
      <c r="F569" s="4">
        <v>0</v>
      </c>
      <c r="G569" s="4">
        <v>2683.3416912522439</v>
      </c>
      <c r="H569" s="4">
        <v>2594.7213015236139</v>
      </c>
      <c r="I569" s="4">
        <v>33540.842618164919</v>
      </c>
      <c r="J569" s="4">
        <v>30946.1213166413</v>
      </c>
    </row>
    <row r="570" spans="1:10">
      <c r="A570" s="1">
        <v>46017.606249999997</v>
      </c>
      <c r="B570">
        <v>-88.620389728629405</v>
      </c>
      <c r="C570">
        <v>167704.2130908246</v>
      </c>
      <c r="D570">
        <v>67580.143611916399</v>
      </c>
      <c r="E570">
        <v>100124.0694789082</v>
      </c>
      <c r="F570">
        <v>0</v>
      </c>
      <c r="G570">
        <v>2683.3416912522439</v>
      </c>
      <c r="H570">
        <v>2594.7213015236139</v>
      </c>
      <c r="I570">
        <v>33540.842618164919</v>
      </c>
      <c r="J570">
        <v>30946.1213166413</v>
      </c>
    </row>
    <row r="571" spans="1:10">
      <c r="A571" s="3">
        <v>46017.606944444437</v>
      </c>
      <c r="B571" s="4">
        <v>-283.58904694748531</v>
      </c>
      <c r="C571" s="4">
        <v>167651.03812378651</v>
      </c>
      <c r="D571" s="4">
        <v>67456.07179978794</v>
      </c>
      <c r="E571" s="4">
        <v>100194.9663239986</v>
      </c>
      <c r="F571" s="4">
        <v>0</v>
      </c>
      <c r="G571" s="4">
        <v>2683.3416912522439</v>
      </c>
      <c r="H571" s="4">
        <v>2399.7526443047591</v>
      </c>
      <c r="I571" s="4">
        <v>33530.207624757313</v>
      </c>
      <c r="J571" s="4">
        <v>31130.454980452549</v>
      </c>
    </row>
    <row r="572" spans="1:10">
      <c r="A572" s="1">
        <v>46017.607638888891</v>
      </c>
      <c r="B572">
        <v>-134.70553893078539</v>
      </c>
      <c r="C572">
        <v>167516.33425144161</v>
      </c>
      <c r="D572">
        <v>67463.16161762386</v>
      </c>
      <c r="E572">
        <v>100053.1726338178</v>
      </c>
      <c r="F572">
        <v>0</v>
      </c>
      <c r="G572">
        <v>2683.3416912522439</v>
      </c>
      <c r="H572">
        <v>2548.6361523214591</v>
      </c>
      <c r="I572">
        <v>33503.266850288332</v>
      </c>
      <c r="J572">
        <v>30954.63069796687</v>
      </c>
    </row>
    <row r="573" spans="1:10">
      <c r="A573" s="3">
        <v>46017.60833333333</v>
      </c>
      <c r="B573" s="4">
        <v>15.951256837849691</v>
      </c>
      <c r="C573" s="4">
        <v>167472.02472321171</v>
      </c>
      <c r="D573" s="4">
        <v>67516.335251393204</v>
      </c>
      <c r="E573" s="4">
        <v>99955.689471818507</v>
      </c>
      <c r="F573" s="4">
        <v>0</v>
      </c>
      <c r="G573" s="4">
        <v>2683.3416912522439</v>
      </c>
      <c r="H573" s="4">
        <v>2699.292948090093</v>
      </c>
      <c r="I573" s="4">
        <v>33494.404944642352</v>
      </c>
      <c r="J573" s="4">
        <v>30795.111996552248</v>
      </c>
    </row>
    <row r="574" spans="1:10">
      <c r="A574" s="1">
        <v>46017.609027777777</v>
      </c>
      <c r="B574">
        <v>99.253783213770916</v>
      </c>
      <c r="C574">
        <v>167254.01565795351</v>
      </c>
      <c r="D574">
        <v>67448.981981952034</v>
      </c>
      <c r="E574">
        <v>99805.033676001418</v>
      </c>
      <c r="F574">
        <v>0</v>
      </c>
      <c r="G574">
        <v>2683.3416912522439</v>
      </c>
      <c r="H574">
        <v>2782.5954744660148</v>
      </c>
      <c r="I574">
        <v>33450.803131590692</v>
      </c>
      <c r="J574">
        <v>30668.20765712468</v>
      </c>
    </row>
    <row r="575" spans="1:10">
      <c r="A575" s="3">
        <v>46017.609722222223</v>
      </c>
      <c r="B575" s="4">
        <v>28.356938123378971</v>
      </c>
      <c r="C575" s="4">
        <v>167324.9125030438</v>
      </c>
      <c r="D575" s="4">
        <v>67448.981981952034</v>
      </c>
      <c r="E575" s="4">
        <v>99875.93052109181</v>
      </c>
      <c r="F575" s="4">
        <v>0</v>
      </c>
      <c r="G575" s="4">
        <v>2683.3416912522439</v>
      </c>
      <c r="H575" s="4">
        <v>2711.6986293756231</v>
      </c>
      <c r="I575" s="4">
        <v>33464.98250060877</v>
      </c>
      <c r="J575" s="4">
        <v>30753.28387123315</v>
      </c>
    </row>
    <row r="576" spans="1:10">
      <c r="A576" s="3">
        <v>46017.61041666667</v>
      </c>
      <c r="B576" s="4">
        <v>0</v>
      </c>
      <c r="C576" s="4">
        <v>0</v>
      </c>
      <c r="D576" s="4">
        <v>0</v>
      </c>
      <c r="E576" s="4">
        <v>0</v>
      </c>
      <c r="F576" s="4">
        <v>101.2076736720623</v>
      </c>
      <c r="G576" s="4">
        <v>2784.5493649243058</v>
      </c>
      <c r="H576" s="4">
        <v>2784.5493649243058</v>
      </c>
      <c r="I576" s="4">
        <v>0</v>
      </c>
      <c r="J576" s="4">
        <v>-2784.5493649243058</v>
      </c>
    </row>
    <row r="577" spans="1:10">
      <c r="A577" s="1">
        <v>46020.604166666657</v>
      </c>
      <c r="B577">
        <v>0</v>
      </c>
      <c r="C577">
        <v>167544.6945227368</v>
      </c>
      <c r="D577">
        <v>100000</v>
      </c>
      <c r="E577">
        <v>67544.694522736841</v>
      </c>
      <c r="F577">
        <v>0</v>
      </c>
      <c r="G577">
        <v>2784.5493649243058</v>
      </c>
      <c r="H577">
        <v>2784.5493649243058</v>
      </c>
      <c r="I577">
        <v>33508.938904547373</v>
      </c>
      <c r="J577">
        <v>30724.389539623058</v>
      </c>
    </row>
    <row r="578" spans="1:10">
      <c r="A578" s="1">
        <v>46020.604861111111</v>
      </c>
      <c r="B578">
        <v>83.883186716552075</v>
      </c>
      <c r="C578">
        <v>167656.9072447466</v>
      </c>
      <c r="D578">
        <v>100098.04795436309</v>
      </c>
      <c r="E578">
        <v>67558.859290383421</v>
      </c>
      <c r="F578">
        <v>0</v>
      </c>
      <c r="G578">
        <v>2784.5493649243058</v>
      </c>
      <c r="H578">
        <v>2868.432551640858</v>
      </c>
      <c r="I578">
        <v>33531.381448949323</v>
      </c>
      <c r="J578">
        <v>30662.948897308459</v>
      </c>
    </row>
    <row r="579" spans="1:10">
      <c r="A579" s="1">
        <v>46020.605555555558</v>
      </c>
      <c r="B579">
        <v>86.318959465238464</v>
      </c>
      <c r="C579">
        <v>167850.5673807241</v>
      </c>
      <c r="D579">
        <v>100196.0959087263</v>
      </c>
      <c r="E579">
        <v>67654.471471997866</v>
      </c>
      <c r="F579">
        <v>0</v>
      </c>
      <c r="G579">
        <v>2784.5493649243058</v>
      </c>
      <c r="H579">
        <v>2870.8683243895448</v>
      </c>
      <c r="I579">
        <v>33570.113476144827</v>
      </c>
      <c r="J579">
        <v>30699.24515175528</v>
      </c>
    </row>
    <row r="580" spans="1:10">
      <c r="A580" s="3">
        <v>46020.606249999997</v>
      </c>
      <c r="B580" s="4">
        <v>41.993589952139473</v>
      </c>
      <c r="C580" s="4">
        <v>167877.06584944401</v>
      </c>
      <c r="D580" s="4">
        <v>100187.1824583296</v>
      </c>
      <c r="E580" s="4">
        <v>67689.88339111433</v>
      </c>
      <c r="F580" s="4">
        <v>0</v>
      </c>
      <c r="G580" s="4">
        <v>2784.5493649243058</v>
      </c>
      <c r="H580" s="4">
        <v>2826.5429548764459</v>
      </c>
      <c r="I580" s="4">
        <v>33575.413169888787</v>
      </c>
      <c r="J580" s="4">
        <v>30748.87021501235</v>
      </c>
    </row>
    <row r="581" spans="1:10">
      <c r="A581" s="3">
        <v>46020.606944444437</v>
      </c>
      <c r="B581" s="4">
        <v>29.297065173702322</v>
      </c>
      <c r="C581" s="4">
        <v>167800.62787025591</v>
      </c>
      <c r="D581" s="4">
        <v>100142.6152063464</v>
      </c>
      <c r="E581" s="4">
        <v>67658.012663909511</v>
      </c>
      <c r="F581" s="4">
        <v>0</v>
      </c>
      <c r="G581" s="4">
        <v>2784.5493649243058</v>
      </c>
      <c r="H581" s="4">
        <v>2813.846430098009</v>
      </c>
      <c r="I581" s="4">
        <v>33560.125574051177</v>
      </c>
      <c r="J581" s="4">
        <v>30746.279143953179</v>
      </c>
    </row>
    <row r="582" spans="1:10">
      <c r="A582" s="3">
        <v>46020.607638888891</v>
      </c>
      <c r="B582" s="4">
        <v>-92.554754643063944</v>
      </c>
      <c r="C582" s="4">
        <v>167494.63407103351</v>
      </c>
      <c r="D582" s="4">
        <v>99928.692396826809</v>
      </c>
      <c r="E582" s="4">
        <v>67565.941674206711</v>
      </c>
      <c r="F582" s="4">
        <v>0</v>
      </c>
      <c r="G582" s="4">
        <v>2784.5493649243058</v>
      </c>
      <c r="H582" s="4">
        <v>2691.9946102812419</v>
      </c>
      <c r="I582" s="4">
        <v>33498.926814206701</v>
      </c>
      <c r="J582" s="4">
        <v>30806.932203925458</v>
      </c>
    </row>
    <row r="583" spans="1:10">
      <c r="A583" s="1">
        <v>46020.60833333333</v>
      </c>
      <c r="B583">
        <v>-82.052120143184638</v>
      </c>
      <c r="C583">
        <v>167448.47763494699</v>
      </c>
      <c r="D583">
        <v>99910.865496033526</v>
      </c>
      <c r="E583">
        <v>67537.612138913537</v>
      </c>
      <c r="F583">
        <v>0</v>
      </c>
      <c r="G583">
        <v>2784.5493649243058</v>
      </c>
      <c r="H583">
        <v>2702.497244781121</v>
      </c>
      <c r="I583">
        <v>33489.69552698941</v>
      </c>
      <c r="J583">
        <v>30787.19828220829</v>
      </c>
    </row>
    <row r="584" spans="1:10">
      <c r="A584" s="3">
        <v>46020.609027777777</v>
      </c>
      <c r="B584" s="4">
        <v>-136.75918292109361</v>
      </c>
      <c r="C584" s="4">
        <v>167556.66540010489</v>
      </c>
      <c r="D584" s="4">
        <v>99937.605847223473</v>
      </c>
      <c r="E584" s="4">
        <v>67619.059552881401</v>
      </c>
      <c r="F584" s="4">
        <v>0</v>
      </c>
      <c r="G584" s="4">
        <v>2784.5493649243058</v>
      </c>
      <c r="H584" s="4">
        <v>2647.790182003213</v>
      </c>
      <c r="I584" s="4">
        <v>33511.333080020981</v>
      </c>
      <c r="J584" s="4">
        <v>30863.542898017771</v>
      </c>
    </row>
    <row r="585" spans="1:10">
      <c r="A585" s="1">
        <v>46020.609722222223</v>
      </c>
      <c r="B585">
        <v>-12.817466013483729</v>
      </c>
      <c r="C585">
        <v>167432.72368319731</v>
      </c>
      <c r="D585">
        <v>99937.605847223473</v>
      </c>
      <c r="E585">
        <v>67495.117835973782</v>
      </c>
      <c r="F585">
        <v>0</v>
      </c>
      <c r="G585">
        <v>2784.5493649243058</v>
      </c>
      <c r="H585">
        <v>2771.731898910823</v>
      </c>
      <c r="I585">
        <v>33486.544736639451</v>
      </c>
      <c r="J585">
        <v>30714.81283772863</v>
      </c>
    </row>
    <row r="586" spans="1:10">
      <c r="A586" s="1">
        <v>46020.61041666667</v>
      </c>
      <c r="B586">
        <v>-44.567251983240183</v>
      </c>
      <c r="C586">
        <v>167500.12727075361</v>
      </c>
      <c r="D586">
        <v>99955.432748016756</v>
      </c>
      <c r="E586">
        <v>67544.694522736841</v>
      </c>
      <c r="F586">
        <v>0</v>
      </c>
      <c r="G586">
        <v>2784.5493649243058</v>
      </c>
      <c r="H586">
        <v>2739.9821129410661</v>
      </c>
      <c r="I586">
        <v>33500.025454150717</v>
      </c>
      <c r="J586">
        <v>30760.043341209661</v>
      </c>
    </row>
    <row r="587" spans="1:10">
      <c r="A587" s="3">
        <v>46020.611111111109</v>
      </c>
      <c r="B587" s="4">
        <v>-20.38361477703916</v>
      </c>
      <c r="C587" s="4">
        <v>167297.6746256144</v>
      </c>
      <c r="D587" s="4">
        <v>99866.298244050282</v>
      </c>
      <c r="E587" s="4">
        <v>67431.376381564158</v>
      </c>
      <c r="F587" s="4">
        <v>0</v>
      </c>
      <c r="G587" s="4">
        <v>2784.5493649243058</v>
      </c>
      <c r="H587" s="4">
        <v>2764.1657501472669</v>
      </c>
      <c r="I587" s="4">
        <v>33459.534925122884</v>
      </c>
      <c r="J587" s="4">
        <v>30695.369174975622</v>
      </c>
    </row>
    <row r="588" spans="1:10">
      <c r="A588" s="1">
        <v>46020.611805555563</v>
      </c>
      <c r="B588">
        <v>54.586121542849739</v>
      </c>
      <c r="C588">
        <v>167400.97389722749</v>
      </c>
      <c r="D588">
        <v>99955.432748016756</v>
      </c>
      <c r="E588">
        <v>67445.541149210752</v>
      </c>
      <c r="F588">
        <v>0</v>
      </c>
      <c r="G588">
        <v>2784.5493649243058</v>
      </c>
      <c r="H588">
        <v>2839.1354864671562</v>
      </c>
      <c r="I588">
        <v>33480.194779445497</v>
      </c>
      <c r="J588">
        <v>30641.059292978342</v>
      </c>
    </row>
    <row r="589" spans="1:10">
      <c r="A589" s="1">
        <v>46020.612500000003</v>
      </c>
      <c r="B589">
        <v>23.94175473605981</v>
      </c>
      <c r="C589">
        <v>167271.17615689459</v>
      </c>
      <c r="D589">
        <v>99875.211694446916</v>
      </c>
      <c r="E589">
        <v>67395.964462447693</v>
      </c>
      <c r="F589">
        <v>0</v>
      </c>
      <c r="G589">
        <v>2784.5493649243058</v>
      </c>
      <c r="H589">
        <v>2808.4911196603662</v>
      </c>
      <c r="I589">
        <v>33454.235231378923</v>
      </c>
      <c r="J589">
        <v>30645.744111718559</v>
      </c>
    </row>
    <row r="590" spans="1:10">
      <c r="A590" s="3">
        <v>46020.613194444442</v>
      </c>
      <c r="B590" s="4">
        <v>10.88240625242477</v>
      </c>
      <c r="C590" s="4">
        <v>167088.13959665201</v>
      </c>
      <c r="D590" s="4">
        <v>99777.163740083794</v>
      </c>
      <c r="E590" s="4">
        <v>67310.975856568199</v>
      </c>
      <c r="F590" s="4">
        <v>0</v>
      </c>
      <c r="G590" s="4">
        <v>2784.5493649243058</v>
      </c>
      <c r="H590" s="4">
        <v>2795.4317711767312</v>
      </c>
      <c r="I590" s="4">
        <v>33417.6279193304</v>
      </c>
      <c r="J590" s="4">
        <v>30622.196148153671</v>
      </c>
    </row>
    <row r="591" spans="1:10">
      <c r="A591" s="1">
        <v>46020.613888888889</v>
      </c>
      <c r="B591">
        <v>28.951189515859539</v>
      </c>
      <c r="C591">
        <v>167177.03221814829</v>
      </c>
      <c r="D591">
        <v>99830.644442463687</v>
      </c>
      <c r="E591">
        <v>67346.387775684663</v>
      </c>
      <c r="F591">
        <v>0</v>
      </c>
      <c r="G591">
        <v>2784.5493649243058</v>
      </c>
      <c r="H591">
        <v>2813.5005544401661</v>
      </c>
      <c r="I591">
        <v>33435.406443629669</v>
      </c>
      <c r="J591">
        <v>30621.9058891895</v>
      </c>
    </row>
    <row r="592" spans="1:10">
      <c r="A592" s="3">
        <v>46020.614583333343</v>
      </c>
      <c r="B592" s="4">
        <v>10.15675884202386</v>
      </c>
      <c r="C592" s="4">
        <v>166874.94243454281</v>
      </c>
      <c r="D592" s="4">
        <v>99670.202335324007</v>
      </c>
      <c r="E592" s="4">
        <v>67204.74009921882</v>
      </c>
      <c r="F592" s="4">
        <v>0</v>
      </c>
      <c r="G592" s="4">
        <v>2784.5493649243058</v>
      </c>
      <c r="H592" s="4">
        <v>2794.7061237663302</v>
      </c>
      <c r="I592" s="4">
        <v>33374.988486908573</v>
      </c>
      <c r="J592" s="4">
        <v>30580.28236314224</v>
      </c>
    </row>
    <row r="593" spans="1:10">
      <c r="A593" s="1">
        <v>46020.615277777782</v>
      </c>
      <c r="B593">
        <v>9.6729939017540687</v>
      </c>
      <c r="C593">
        <v>166732.81099313669</v>
      </c>
      <c r="D593">
        <v>99598.894732150817</v>
      </c>
      <c r="E593">
        <v>67133.916260985905</v>
      </c>
      <c r="F593">
        <v>0</v>
      </c>
      <c r="G593">
        <v>2784.5493649243058</v>
      </c>
      <c r="H593">
        <v>2794.2223588260599</v>
      </c>
      <c r="I593">
        <v>33346.562198627347</v>
      </c>
      <c r="J593">
        <v>30552.339839801291</v>
      </c>
    </row>
    <row r="594" spans="1:10">
      <c r="A594" s="1">
        <v>46020.615972222222</v>
      </c>
      <c r="B594">
        <v>-4.2498912746860924</v>
      </c>
      <c r="C594">
        <v>166818.04148148629</v>
      </c>
      <c r="D594">
        <v>99634.548533737412</v>
      </c>
      <c r="E594">
        <v>67183.492947748935</v>
      </c>
      <c r="F594">
        <v>0</v>
      </c>
      <c r="G594">
        <v>2784.5493649243058</v>
      </c>
      <c r="H594">
        <v>2780.2994736496198</v>
      </c>
      <c r="I594">
        <v>33363.608296297272</v>
      </c>
      <c r="J594">
        <v>30583.30882264765</v>
      </c>
    </row>
    <row r="595" spans="1:10">
      <c r="A595" s="3">
        <v>46020.616666666669</v>
      </c>
      <c r="B595" s="4">
        <v>-9.9849734648968251</v>
      </c>
      <c r="C595" s="4">
        <v>166698.98825812351</v>
      </c>
      <c r="D595" s="4">
        <v>99572.15438096087</v>
      </c>
      <c r="E595" s="4">
        <v>67126.8338771626</v>
      </c>
      <c r="F595" s="4">
        <v>0</v>
      </c>
      <c r="G595" s="4">
        <v>2784.5493649243058</v>
      </c>
      <c r="H595" s="4">
        <v>2774.5643914594089</v>
      </c>
      <c r="I595" s="4">
        <v>33339.797651624693</v>
      </c>
      <c r="J595" s="4">
        <v>30565.233260165282</v>
      </c>
    </row>
    <row r="596" spans="1:10">
      <c r="A596" s="3">
        <v>46020.617361111108</v>
      </c>
      <c r="B596" s="4">
        <v>-35.378023021745832</v>
      </c>
      <c r="C596" s="4">
        <v>166546.11229974739</v>
      </c>
      <c r="D596" s="4">
        <v>99483.019876994396</v>
      </c>
      <c r="E596" s="4">
        <v>67063.092422752976</v>
      </c>
      <c r="F596" s="4">
        <v>0</v>
      </c>
      <c r="G596" s="4">
        <v>2784.5493649243058</v>
      </c>
      <c r="H596" s="4">
        <v>2749.17134190256</v>
      </c>
      <c r="I596" s="4">
        <v>33309.222459949473</v>
      </c>
      <c r="J596" s="4">
        <v>30560.051118046911</v>
      </c>
    </row>
    <row r="597" spans="1:10">
      <c r="A597" s="3">
        <v>46020.618055555547</v>
      </c>
      <c r="B597" s="4">
        <v>-41.734759434630519</v>
      </c>
      <c r="C597" s="4">
        <v>166766.39184567981</v>
      </c>
      <c r="D597" s="4">
        <v>99589.981281754182</v>
      </c>
      <c r="E597" s="4">
        <v>67176.410563925645</v>
      </c>
      <c r="F597" s="4">
        <v>0</v>
      </c>
      <c r="G597" s="4">
        <v>2784.5493649243058</v>
      </c>
      <c r="H597" s="4">
        <v>2742.8146054896761</v>
      </c>
      <c r="I597" s="4">
        <v>33353.278369135973</v>
      </c>
      <c r="J597" s="4">
        <v>30610.463763646301</v>
      </c>
    </row>
    <row r="598" spans="1:10">
      <c r="A598" s="1">
        <v>46020.618750000001</v>
      </c>
      <c r="B598">
        <v>-27.328109317920621</v>
      </c>
      <c r="C598">
        <v>166823.29279873631</v>
      </c>
      <c r="D598">
        <v>99625.635083340763</v>
      </c>
      <c r="E598">
        <v>67197.657715395515</v>
      </c>
      <c r="F598">
        <v>0</v>
      </c>
      <c r="G598">
        <v>2784.5493649243058</v>
      </c>
      <c r="H598">
        <v>2757.221255606386</v>
      </c>
      <c r="I598">
        <v>33364.658559747259</v>
      </c>
      <c r="J598">
        <v>30607.437304140869</v>
      </c>
    </row>
    <row r="599" spans="1:10">
      <c r="A599" s="1">
        <v>46020.619444444441</v>
      </c>
      <c r="B599">
        <v>-14.752525774565409</v>
      </c>
      <c r="C599">
        <v>166864.1979175728</v>
      </c>
      <c r="D599">
        <v>99652.37543453071</v>
      </c>
      <c r="E599">
        <v>67211.82248304211</v>
      </c>
      <c r="F599">
        <v>0</v>
      </c>
      <c r="G599">
        <v>2784.5493649243058</v>
      </c>
      <c r="H599">
        <v>2769.7968391497411</v>
      </c>
      <c r="I599">
        <v>33372.839583514557</v>
      </c>
      <c r="J599">
        <v>30603.042744364819</v>
      </c>
    </row>
    <row r="600" spans="1:10">
      <c r="A600" s="1">
        <v>46020.620138888888</v>
      </c>
      <c r="B600">
        <v>0</v>
      </c>
      <c r="C600">
        <v>0</v>
      </c>
      <c r="D600">
        <v>0</v>
      </c>
      <c r="E600">
        <v>0</v>
      </c>
      <c r="F600">
        <v>-69.443765655311523</v>
      </c>
      <c r="G600">
        <v>2715.1055992689949</v>
      </c>
      <c r="H600">
        <v>2715.1055992689949</v>
      </c>
      <c r="I600">
        <v>0</v>
      </c>
      <c r="J600">
        <v>-2715.1055992689949</v>
      </c>
    </row>
    <row r="601" spans="1:10">
      <c r="A601" s="1">
        <v>46020.741666666669</v>
      </c>
      <c r="B601">
        <v>0</v>
      </c>
      <c r="C601">
        <v>206294.4145798035</v>
      </c>
      <c r="D601">
        <v>106294.4145798035</v>
      </c>
      <c r="E601">
        <v>100000</v>
      </c>
      <c r="F601">
        <v>0</v>
      </c>
      <c r="G601">
        <v>2715.1055992689949</v>
      </c>
      <c r="H601">
        <v>2715.1055992689949</v>
      </c>
      <c r="I601">
        <v>41258.882915960698</v>
      </c>
      <c r="J601">
        <v>38543.777316691703</v>
      </c>
    </row>
    <row r="602" spans="1:10">
      <c r="A602" s="1">
        <v>46020.742361111108</v>
      </c>
      <c r="B602">
        <v>7.2602173597315822</v>
      </c>
      <c r="C602">
        <v>206287.15436244381</v>
      </c>
      <c r="D602">
        <v>106294.4145798035</v>
      </c>
      <c r="E602">
        <v>99992.739782640274</v>
      </c>
      <c r="F602">
        <v>0</v>
      </c>
      <c r="G602">
        <v>2715.1055992689949</v>
      </c>
      <c r="H602">
        <v>2722.365816628726</v>
      </c>
      <c r="I602">
        <v>41257.43087248876</v>
      </c>
      <c r="J602">
        <v>38535.065055860032</v>
      </c>
    </row>
    <row r="603" spans="1:10">
      <c r="A603" s="3">
        <v>46020.743055555547</v>
      </c>
      <c r="B603" s="4">
        <v>0</v>
      </c>
      <c r="C603" s="4">
        <v>0</v>
      </c>
      <c r="D603" s="4">
        <v>0</v>
      </c>
      <c r="E603" s="4">
        <v>0</v>
      </c>
      <c r="F603" s="4">
        <v>63.961309104301691</v>
      </c>
      <c r="G603" s="4">
        <v>2779.066908373296</v>
      </c>
      <c r="H603" s="4">
        <v>2779.066908373296</v>
      </c>
      <c r="I603" s="4">
        <v>0</v>
      </c>
      <c r="J603" s="4">
        <v>-2779.066908373296</v>
      </c>
    </row>
    <row r="604" spans="1:10">
      <c r="A604" s="3">
        <v>46021.606944444437</v>
      </c>
      <c r="B604" s="4">
        <v>0</v>
      </c>
      <c r="C604" s="4">
        <v>206294.4145798035</v>
      </c>
      <c r="D604" s="4">
        <v>100000</v>
      </c>
      <c r="E604" s="4">
        <v>106294.4145798035</v>
      </c>
      <c r="F604" s="4">
        <v>0</v>
      </c>
      <c r="G604" s="4">
        <v>2779.066908373296</v>
      </c>
      <c r="H604" s="4">
        <v>2779.066908373296</v>
      </c>
      <c r="I604" s="4">
        <v>41258.882915960698</v>
      </c>
      <c r="J604" s="4">
        <v>38479.816007587397</v>
      </c>
    </row>
    <row r="605" spans="1:10">
      <c r="A605" s="1">
        <v>46021.607638888891</v>
      </c>
      <c r="B605">
        <v>168.03980473028949</v>
      </c>
      <c r="C605">
        <v>206249.39682875149</v>
      </c>
      <c r="D605">
        <v>100061.5110268391</v>
      </c>
      <c r="E605">
        <v>106187.8858019123</v>
      </c>
      <c r="F605">
        <v>0</v>
      </c>
      <c r="G605">
        <v>2779.066908373296</v>
      </c>
      <c r="H605">
        <v>2947.1067131035861</v>
      </c>
      <c r="I605">
        <v>41249.879365750297</v>
      </c>
      <c r="J605">
        <v>38302.772652646709</v>
      </c>
    </row>
    <row r="606" spans="1:10">
      <c r="A606" s="1">
        <v>46021.60833333333</v>
      </c>
      <c r="B606">
        <v>345.80102908187649</v>
      </c>
      <c r="C606">
        <v>206427.15805310311</v>
      </c>
      <c r="D606">
        <v>100239.2722511907</v>
      </c>
      <c r="E606">
        <v>106187.8858019123</v>
      </c>
      <c r="F606">
        <v>0</v>
      </c>
      <c r="G606">
        <v>2779.066908373296</v>
      </c>
      <c r="H606">
        <v>3124.867937455173</v>
      </c>
      <c r="I606">
        <v>41285.431610620617</v>
      </c>
      <c r="J606">
        <v>38160.563673165438</v>
      </c>
    </row>
    <row r="607" spans="1:10">
      <c r="A607" s="1">
        <v>46021.609027777777</v>
      </c>
      <c r="B607">
        <v>54.61121395354526</v>
      </c>
      <c r="C607">
        <v>206135.96823797471</v>
      </c>
      <c r="D607">
        <v>99948.082436062381</v>
      </c>
      <c r="E607">
        <v>106187.8858019123</v>
      </c>
      <c r="F607">
        <v>0</v>
      </c>
      <c r="G607">
        <v>2779.066908373296</v>
      </c>
      <c r="H607">
        <v>2833.6781223268422</v>
      </c>
      <c r="I607">
        <v>41227.193647594948</v>
      </c>
      <c r="J607">
        <v>38393.515525268107</v>
      </c>
    </row>
    <row r="608" spans="1:10">
      <c r="A608" s="3">
        <v>46021.609722222223</v>
      </c>
      <c r="B608" s="4">
        <v>-79.558811054267295</v>
      </c>
      <c r="C608" s="4">
        <v>206044.4097241234</v>
      </c>
      <c r="D608" s="4">
        <v>99835.218166632796</v>
      </c>
      <c r="E608" s="4">
        <v>106209.1915574906</v>
      </c>
      <c r="F608" s="4">
        <v>0</v>
      </c>
      <c r="G608" s="4">
        <v>2779.066908373296</v>
      </c>
      <c r="H608" s="4">
        <v>2699.5080973190288</v>
      </c>
      <c r="I608" s="4">
        <v>41208.88194482468</v>
      </c>
      <c r="J608" s="4">
        <v>38509.373847505653</v>
      </c>
    </row>
    <row r="609" spans="1:10">
      <c r="A609" s="1">
        <v>46021.61041666667</v>
      </c>
      <c r="B609">
        <v>-250.00485568012621</v>
      </c>
      <c r="C609">
        <v>206214.8557687492</v>
      </c>
      <c r="D609">
        <v>99835.218166632796</v>
      </c>
      <c r="E609">
        <v>106379.6376021164</v>
      </c>
      <c r="F609">
        <v>0</v>
      </c>
      <c r="G609">
        <v>2779.066908373296</v>
      </c>
      <c r="H609">
        <v>2529.0620526931698</v>
      </c>
      <c r="I609">
        <v>41242.971153749837</v>
      </c>
      <c r="J609">
        <v>38713.909101056677</v>
      </c>
    </row>
    <row r="610" spans="1:10">
      <c r="A610" s="3">
        <v>46021.611111111109</v>
      </c>
      <c r="B610" s="4">
        <v>-473.33765353730598</v>
      </c>
      <c r="C610" s="4">
        <v>206034.13448204851</v>
      </c>
      <c r="D610" s="4">
        <v>99633.191124353849</v>
      </c>
      <c r="E610" s="4">
        <v>106400.9433576946</v>
      </c>
      <c r="F610" s="4">
        <v>0</v>
      </c>
      <c r="G610" s="4">
        <v>2779.066908373296</v>
      </c>
      <c r="H610" s="4">
        <v>2305.729254835991</v>
      </c>
      <c r="I610" s="4">
        <v>41206.826896409708</v>
      </c>
      <c r="J610" s="4">
        <v>38901.097641573717</v>
      </c>
    </row>
    <row r="611" spans="1:10">
      <c r="A611" s="3">
        <v>46021.611805555563</v>
      </c>
      <c r="B611" s="4">
        <v>-186.6414113989787</v>
      </c>
      <c r="C611" s="4">
        <v>205979.9386349351</v>
      </c>
      <c r="D611" s="4">
        <v>99749.441321866325</v>
      </c>
      <c r="E611" s="4">
        <v>106230.4973130688</v>
      </c>
      <c r="F611" s="4">
        <v>0</v>
      </c>
      <c r="G611" s="4">
        <v>2779.066908373296</v>
      </c>
      <c r="H611" s="4">
        <v>2592.4254969743179</v>
      </c>
      <c r="I611" s="4">
        <v>41195.987726987027</v>
      </c>
      <c r="J611" s="4">
        <v>38603.562230012707</v>
      </c>
    </row>
    <row r="612" spans="1:10">
      <c r="A612" s="3">
        <v>46021.612500000003</v>
      </c>
      <c r="B612" s="4">
        <v>-227.84736863435899</v>
      </c>
      <c r="C612" s="4">
        <v>206109.1787223256</v>
      </c>
      <c r="D612" s="4">
        <v>99793.458386943865</v>
      </c>
      <c r="E612" s="4">
        <v>106315.7203353817</v>
      </c>
      <c r="F612" s="4">
        <v>0</v>
      </c>
      <c r="G612" s="4">
        <v>2779.066908373296</v>
      </c>
      <c r="H612" s="4">
        <v>2551.2195397389369</v>
      </c>
      <c r="I612" s="4">
        <v>41221.835744465119</v>
      </c>
      <c r="J612" s="4">
        <v>38670.616204726182</v>
      </c>
    </row>
    <row r="613" spans="1:10">
      <c r="A613" s="3">
        <v>46021.613194444442</v>
      </c>
      <c r="B613" s="4">
        <v>-249.15312421258761</v>
      </c>
      <c r="C613" s="4">
        <v>206130.48447790381</v>
      </c>
      <c r="D613" s="4">
        <v>99793.458386943865</v>
      </c>
      <c r="E613" s="4">
        <v>106337.0260909599</v>
      </c>
      <c r="F613" s="4">
        <v>0</v>
      </c>
      <c r="G613" s="4">
        <v>2779.066908373296</v>
      </c>
      <c r="H613" s="4">
        <v>2529.9137841607089</v>
      </c>
      <c r="I613" s="4">
        <v>41226.096895580762</v>
      </c>
      <c r="J613" s="4">
        <v>38696.183111420047</v>
      </c>
    </row>
    <row r="614" spans="1:10">
      <c r="A614" s="1">
        <v>46021.613888888889</v>
      </c>
      <c r="B614">
        <v>-236.5198722616604</v>
      </c>
      <c r="C614">
        <v>206036.58895196361</v>
      </c>
      <c r="D614">
        <v>99752.827249949216</v>
      </c>
      <c r="E614">
        <v>106283.7617020144</v>
      </c>
      <c r="F614">
        <v>0</v>
      </c>
      <c r="G614">
        <v>2779.066908373296</v>
      </c>
      <c r="H614">
        <v>2542.5470361116359</v>
      </c>
      <c r="I614">
        <v>41207.317790392721</v>
      </c>
      <c r="J614">
        <v>38664.770754281082</v>
      </c>
    </row>
    <row r="615" spans="1:10">
      <c r="A615" s="1">
        <v>46021.614583333343</v>
      </c>
      <c r="B615">
        <v>-78.01480151980482</v>
      </c>
      <c r="C615">
        <v>206173.78826712721</v>
      </c>
      <c r="D615">
        <v>99900.679442901965</v>
      </c>
      <c r="E615">
        <v>106273.1088242253</v>
      </c>
      <c r="F615">
        <v>0</v>
      </c>
      <c r="G615">
        <v>2779.066908373296</v>
      </c>
      <c r="H615">
        <v>2701.0521068534922</v>
      </c>
      <c r="I615">
        <v>41234.757653425448</v>
      </c>
      <c r="J615">
        <v>38533.705546571953</v>
      </c>
    </row>
    <row r="616" spans="1:10">
      <c r="A616" s="1">
        <v>46021.615277777782</v>
      </c>
      <c r="B616">
        <v>-252.53905229548491</v>
      </c>
      <c r="C616">
        <v>206127.09854982089</v>
      </c>
      <c r="D616">
        <v>99790.072458860974</v>
      </c>
      <c r="E616">
        <v>106337.0260909599</v>
      </c>
      <c r="F616">
        <v>0</v>
      </c>
      <c r="G616">
        <v>2779.066908373296</v>
      </c>
      <c r="H616">
        <v>2526.527856077812</v>
      </c>
      <c r="I616">
        <v>41225.41970996419</v>
      </c>
      <c r="J616">
        <v>38698.89185388638</v>
      </c>
    </row>
    <row r="617" spans="1:10">
      <c r="A617" s="1">
        <v>46021.615972222222</v>
      </c>
      <c r="B617">
        <v>-142.7837997220162</v>
      </c>
      <c r="C617">
        <v>206322.0768247073</v>
      </c>
      <c r="D617">
        <v>99942.439222590911</v>
      </c>
      <c r="E617">
        <v>106379.6376021164</v>
      </c>
      <c r="F617">
        <v>0</v>
      </c>
      <c r="G617">
        <v>2779.066908373296</v>
      </c>
      <c r="H617">
        <v>2636.2831086512801</v>
      </c>
      <c r="I617">
        <v>41264.415364941473</v>
      </c>
      <c r="J617">
        <v>38628.132256290177</v>
      </c>
    </row>
    <row r="618" spans="1:10">
      <c r="A618" s="3">
        <v>46021.616666666669</v>
      </c>
      <c r="B618" s="4">
        <v>-3.5453814834710609</v>
      </c>
      <c r="C618" s="4">
        <v>206589.14977641529</v>
      </c>
      <c r="D618" s="4">
        <v>100145.5949075642</v>
      </c>
      <c r="E618" s="4">
        <v>106443.5548688511</v>
      </c>
      <c r="F618" s="4">
        <v>0</v>
      </c>
      <c r="G618" s="4">
        <v>2779.066908373296</v>
      </c>
      <c r="H618" s="4">
        <v>2775.521526889826</v>
      </c>
      <c r="I618" s="4">
        <v>41317.829955283058</v>
      </c>
      <c r="J618" s="4">
        <v>38542.308428393233</v>
      </c>
    </row>
    <row r="619" spans="1:10">
      <c r="A619" s="1">
        <v>46021.617361111108</v>
      </c>
      <c r="B619">
        <v>-56.570590328177701</v>
      </c>
      <c r="C619">
        <v>206195.23247831891</v>
      </c>
      <c r="D619">
        <v>99922.123654093593</v>
      </c>
      <c r="E619">
        <v>106273.1088242253</v>
      </c>
      <c r="F619">
        <v>0</v>
      </c>
      <c r="G619">
        <v>2779.066908373296</v>
      </c>
      <c r="H619">
        <v>2722.4963180451191</v>
      </c>
      <c r="I619">
        <v>41239.046495663773</v>
      </c>
      <c r="J619">
        <v>38516.550177618657</v>
      </c>
    </row>
    <row r="620" spans="1:10">
      <c r="A620" s="1">
        <v>46021.618055555547</v>
      </c>
      <c r="B620">
        <v>0</v>
      </c>
      <c r="C620">
        <v>0</v>
      </c>
      <c r="D620">
        <v>0</v>
      </c>
      <c r="E620">
        <v>0</v>
      </c>
      <c r="F620">
        <v>32.946553634547953</v>
      </c>
      <c r="G620">
        <v>2812.0134620078438</v>
      </c>
      <c r="H620">
        <v>2812.0134620078438</v>
      </c>
      <c r="I620">
        <v>0</v>
      </c>
      <c r="J620">
        <v>-2812.0134620078438</v>
      </c>
    </row>
    <row r="621" spans="1:10">
      <c r="A621" s="1">
        <v>46021.779166666667</v>
      </c>
      <c r="B621">
        <v>0</v>
      </c>
      <c r="C621">
        <v>206294.4145798035</v>
      </c>
      <c r="D621">
        <v>106294.4145798035</v>
      </c>
      <c r="E621">
        <v>100000</v>
      </c>
      <c r="F621">
        <v>0</v>
      </c>
      <c r="G621">
        <v>2812.0134620078438</v>
      </c>
      <c r="H621">
        <v>2812.0134620078438</v>
      </c>
      <c r="I621">
        <v>41258.882915960698</v>
      </c>
      <c r="J621">
        <v>38446.869453952859</v>
      </c>
    </row>
    <row r="622" spans="1:10">
      <c r="A622" s="1">
        <v>46021.779861111107</v>
      </c>
      <c r="B622">
        <v>2.8190031488747058</v>
      </c>
      <c r="C622">
        <v>206313.07570489141</v>
      </c>
      <c r="D622">
        <v>106305.15464392189</v>
      </c>
      <c r="E622">
        <v>100007.9210609695</v>
      </c>
      <c r="F622">
        <v>0</v>
      </c>
      <c r="G622">
        <v>2812.0134620078438</v>
      </c>
      <c r="H622">
        <v>2814.8324651567191</v>
      </c>
      <c r="I622">
        <v>41262.615140978291</v>
      </c>
      <c r="J622">
        <v>38447.782675821567</v>
      </c>
    </row>
    <row r="623" spans="1:10">
      <c r="A623" s="3">
        <v>46021.780555555553</v>
      </c>
      <c r="B623" s="4">
        <v>35.634827165527447</v>
      </c>
      <c r="C623" s="4">
        <v>206280.2598808748</v>
      </c>
      <c r="D623" s="4">
        <v>106305.15464392189</v>
      </c>
      <c r="E623" s="4">
        <v>99975.105236952877</v>
      </c>
      <c r="F623" s="4">
        <v>0</v>
      </c>
      <c r="G623" s="4">
        <v>2812.0134620078438</v>
      </c>
      <c r="H623" s="4">
        <v>2847.6482891733722</v>
      </c>
      <c r="I623" s="4">
        <v>41256.05197617496</v>
      </c>
      <c r="J623" s="4">
        <v>38408.403687001592</v>
      </c>
    </row>
    <row r="624" spans="1:10">
      <c r="A624" s="1">
        <v>46021.78125</v>
      </c>
      <c r="B624">
        <v>35.634827165527447</v>
      </c>
      <c r="C624">
        <v>206280.2598808748</v>
      </c>
      <c r="D624">
        <v>106305.15464392189</v>
      </c>
      <c r="E624">
        <v>99975.105236952877</v>
      </c>
      <c r="F624">
        <v>0</v>
      </c>
      <c r="G624">
        <v>2812.0134620078438</v>
      </c>
      <c r="H624">
        <v>2847.6482891733722</v>
      </c>
      <c r="I624">
        <v>41256.05197617496</v>
      </c>
      <c r="J624">
        <v>38408.403687001592</v>
      </c>
    </row>
    <row r="625" spans="1:10">
      <c r="A625" s="3">
        <v>46021.781944444447</v>
      </c>
      <c r="B625" s="4">
        <v>67.855019520728277</v>
      </c>
      <c r="C625" s="4">
        <v>206312.48007322999</v>
      </c>
      <c r="D625" s="4">
        <v>106337.3748362771</v>
      </c>
      <c r="E625" s="4">
        <v>99975.105236952877</v>
      </c>
      <c r="F625" s="4">
        <v>0</v>
      </c>
      <c r="G625" s="4">
        <v>2812.0134620078438</v>
      </c>
      <c r="H625" s="4">
        <v>2879.8684815285719</v>
      </c>
      <c r="I625" s="4">
        <v>41262.496014646</v>
      </c>
      <c r="J625" s="4">
        <v>38382.627533117433</v>
      </c>
    </row>
    <row r="626" spans="1:10">
      <c r="A626" s="3">
        <v>46021.782638888893</v>
      </c>
      <c r="B626" s="4">
        <v>24.89476304712208</v>
      </c>
      <c r="C626" s="4">
        <v>206269.51981675639</v>
      </c>
      <c r="D626" s="4">
        <v>106294.4145798035</v>
      </c>
      <c r="E626" s="4">
        <v>99975.105236952877</v>
      </c>
      <c r="F626" s="4">
        <v>0</v>
      </c>
      <c r="G626" s="4">
        <v>2812.0134620078438</v>
      </c>
      <c r="H626" s="4">
        <v>2836.9082250549659</v>
      </c>
      <c r="I626" s="4">
        <v>41253.903963351273</v>
      </c>
      <c r="J626" s="4">
        <v>38416.995738296297</v>
      </c>
    </row>
    <row r="627" spans="1:10">
      <c r="A627" s="1">
        <v>46021.783333333333</v>
      </c>
      <c r="B627">
        <v>66.743333777009241</v>
      </c>
      <c r="C627">
        <v>206270.63150250009</v>
      </c>
      <c r="D627">
        <v>106315.8947080403</v>
      </c>
      <c r="E627">
        <v>99954.736794459794</v>
      </c>
      <c r="F627">
        <v>0</v>
      </c>
      <c r="G627">
        <v>2812.0134620078438</v>
      </c>
      <c r="H627">
        <v>2878.7567957848541</v>
      </c>
      <c r="I627">
        <v>41254.126300500022</v>
      </c>
      <c r="J627">
        <v>38375.36950471517</v>
      </c>
    </row>
    <row r="628" spans="1:10">
      <c r="A628" s="3">
        <v>46021.78402777778</v>
      </c>
      <c r="B628" s="4">
        <v>45.263205540213782</v>
      </c>
      <c r="C628" s="4">
        <v>206249.15137426331</v>
      </c>
      <c r="D628" s="4">
        <v>106294.4145798035</v>
      </c>
      <c r="E628" s="4">
        <v>99954.736794459794</v>
      </c>
      <c r="F628" s="4">
        <v>0</v>
      </c>
      <c r="G628" s="4">
        <v>2812.0134620078438</v>
      </c>
      <c r="H628" s="4">
        <v>2857.276667548058</v>
      </c>
      <c r="I628" s="4">
        <v>41249.830274852662</v>
      </c>
      <c r="J628" s="4">
        <v>38392.553607304602</v>
      </c>
    </row>
    <row r="629" spans="1:10">
      <c r="A629" s="1">
        <v>46021.784722222219</v>
      </c>
      <c r="B629">
        <v>45.263205540213782</v>
      </c>
      <c r="C629">
        <v>206249.15137426331</v>
      </c>
      <c r="D629">
        <v>106294.4145798035</v>
      </c>
      <c r="E629">
        <v>99954.736794459794</v>
      </c>
      <c r="F629">
        <v>0</v>
      </c>
      <c r="G629">
        <v>2812.0134620078438</v>
      </c>
      <c r="H629">
        <v>2857.276667548058</v>
      </c>
      <c r="I629">
        <v>41249.830274852662</v>
      </c>
      <c r="J629">
        <v>38392.553607304602</v>
      </c>
    </row>
    <row r="630" spans="1:10">
      <c r="A630" s="3">
        <v>46021.785416666673</v>
      </c>
      <c r="B630" s="4">
        <v>-19.17717917018788</v>
      </c>
      <c r="C630" s="4">
        <v>206184.7109895529</v>
      </c>
      <c r="D630" s="4">
        <v>106229.97419509311</v>
      </c>
      <c r="E630" s="4">
        <v>99954.736794459794</v>
      </c>
      <c r="F630" s="4">
        <v>0</v>
      </c>
      <c r="G630" s="4">
        <v>2812.0134620078438</v>
      </c>
      <c r="H630" s="4">
        <v>2792.8362828376562</v>
      </c>
      <c r="I630" s="4">
        <v>41236.942197910583</v>
      </c>
      <c r="J630" s="4">
        <v>38444.105915072927</v>
      </c>
    </row>
    <row r="631" spans="1:10">
      <c r="A631" s="3">
        <v>46021.786111111112</v>
      </c>
      <c r="B631" s="4">
        <v>-8.4371150517825058</v>
      </c>
      <c r="C631" s="4">
        <v>206195.45105367131</v>
      </c>
      <c r="D631" s="4">
        <v>106240.7142592115</v>
      </c>
      <c r="E631" s="4">
        <v>99954.736794459794</v>
      </c>
      <c r="F631" s="4">
        <v>0</v>
      </c>
      <c r="G631" s="4">
        <v>2812.0134620078438</v>
      </c>
      <c r="H631" s="4">
        <v>2803.576346956062</v>
      </c>
      <c r="I631" s="4">
        <v>41239.090210734263</v>
      </c>
      <c r="J631" s="4">
        <v>38435.5138637782</v>
      </c>
    </row>
    <row r="632" spans="1:10">
      <c r="A632" s="3">
        <v>46021.786805555559</v>
      </c>
      <c r="B632" s="4">
        <v>13.043013185012949</v>
      </c>
      <c r="C632" s="4">
        <v>206216.93118190809</v>
      </c>
      <c r="D632" s="4">
        <v>106262.1943874483</v>
      </c>
      <c r="E632" s="4">
        <v>99954.736794459794</v>
      </c>
      <c r="F632" s="4">
        <v>0</v>
      </c>
      <c r="G632" s="4">
        <v>2812.0134620078438</v>
      </c>
      <c r="H632" s="4">
        <v>2825.0564751928569</v>
      </c>
      <c r="I632" s="4">
        <v>41243.386236381622</v>
      </c>
      <c r="J632" s="4">
        <v>38418.329761188768</v>
      </c>
    </row>
    <row r="633" spans="1:10">
      <c r="A633" s="1">
        <v>46021.787499999999</v>
      </c>
      <c r="B633">
        <v>13.043013185012949</v>
      </c>
      <c r="C633">
        <v>206216.93118190809</v>
      </c>
      <c r="D633">
        <v>106262.1943874483</v>
      </c>
      <c r="E633">
        <v>99954.736794459794</v>
      </c>
      <c r="F633">
        <v>0</v>
      </c>
      <c r="G633">
        <v>2812.0134620078438</v>
      </c>
      <c r="H633">
        <v>2825.0564751928569</v>
      </c>
      <c r="I633">
        <v>41243.386236381622</v>
      </c>
      <c r="J633">
        <v>38418.329761188768</v>
      </c>
    </row>
    <row r="634" spans="1:10">
      <c r="A634" s="3">
        <v>46021.788194444453</v>
      </c>
      <c r="B634" s="4">
        <v>0</v>
      </c>
      <c r="C634" s="4">
        <v>0</v>
      </c>
      <c r="D634" s="4">
        <v>0</v>
      </c>
      <c r="E634" s="4">
        <v>0</v>
      </c>
      <c r="F634" s="4">
        <v>21.799237416148351</v>
      </c>
      <c r="G634" s="4">
        <v>2833.8126994239929</v>
      </c>
      <c r="H634" s="4">
        <v>2833.8126994239929</v>
      </c>
      <c r="I634" s="4">
        <v>0</v>
      </c>
      <c r="J634" s="4">
        <v>-2833.8126994239929</v>
      </c>
    </row>
    <row r="635" spans="1:10">
      <c r="A635" s="3">
        <v>46024.604166666657</v>
      </c>
      <c r="B635" s="4">
        <v>0</v>
      </c>
      <c r="C635" s="4">
        <v>206294.4145798035</v>
      </c>
      <c r="D635" s="4">
        <v>106294.4145798035</v>
      </c>
      <c r="E635" s="4">
        <v>100000</v>
      </c>
      <c r="F635" s="4">
        <v>0</v>
      </c>
      <c r="G635" s="4">
        <v>2833.8126994239929</v>
      </c>
      <c r="H635" s="4">
        <v>2833.8126994239929</v>
      </c>
      <c r="I635" s="4">
        <v>41258.882915960712</v>
      </c>
      <c r="J635" s="4">
        <v>38425.070216536718</v>
      </c>
    </row>
    <row r="636" spans="1:10">
      <c r="A636" s="1">
        <v>46024.604861111111</v>
      </c>
      <c r="B636">
        <v>-562.55136794415375</v>
      </c>
      <c r="C636">
        <v>206296.84134720551</v>
      </c>
      <c r="D636">
        <v>106014.3522795324</v>
      </c>
      <c r="E636">
        <v>100282.4890676731</v>
      </c>
      <c r="F636">
        <v>0</v>
      </c>
      <c r="G636">
        <v>2833.8126994239929</v>
      </c>
      <c r="H636">
        <v>2271.2613314798391</v>
      </c>
      <c r="I636">
        <v>41259.368269441104</v>
      </c>
      <c r="J636">
        <v>38988.106937961267</v>
      </c>
    </row>
    <row r="637" spans="1:10">
      <c r="A637" s="3">
        <v>46024.605555555558</v>
      </c>
      <c r="B637" s="4">
        <v>-465.15287449306248</v>
      </c>
      <c r="C637" s="4">
        <v>206328.7023769565</v>
      </c>
      <c r="D637" s="4">
        <v>106078.98204113349</v>
      </c>
      <c r="E637" s="4">
        <v>100249.720335823</v>
      </c>
      <c r="F637" s="4">
        <v>0</v>
      </c>
      <c r="G637" s="4">
        <v>2833.8126994239929</v>
      </c>
      <c r="H637" s="4">
        <v>2368.65982493093</v>
      </c>
      <c r="I637" s="4">
        <v>41265.7404753913</v>
      </c>
      <c r="J637" s="4">
        <v>38897.080650460368</v>
      </c>
    </row>
    <row r="638" spans="1:10">
      <c r="A638" s="3">
        <v>46024.606249999997</v>
      </c>
      <c r="B638" s="4">
        <v>-813.08663572951775</v>
      </c>
      <c r="C638" s="4">
        <v>206073.42502991681</v>
      </c>
      <c r="D638" s="4">
        <v>105777.3764869954</v>
      </c>
      <c r="E638" s="4">
        <v>100296.0485429214</v>
      </c>
      <c r="F638" s="4">
        <v>0</v>
      </c>
      <c r="G638" s="4">
        <v>2833.8126994239929</v>
      </c>
      <c r="H638" s="4">
        <v>2020.726063694475</v>
      </c>
      <c r="I638" s="4">
        <v>41214.68500598336</v>
      </c>
      <c r="J638" s="4">
        <v>39193.958942288882</v>
      </c>
    </row>
    <row r="639" spans="1:10">
      <c r="A639" s="1">
        <v>46024.606944444437</v>
      </c>
      <c r="B639">
        <v>-532.85748059781929</v>
      </c>
      <c r="C639">
        <v>205793.1958747851</v>
      </c>
      <c r="D639">
        <v>105777.3764869954</v>
      </c>
      <c r="E639">
        <v>100015.8193877897</v>
      </c>
      <c r="F639">
        <v>0</v>
      </c>
      <c r="G639">
        <v>2833.8126994239929</v>
      </c>
      <c r="H639">
        <v>2300.9552188261741</v>
      </c>
      <c r="I639">
        <v>41158.639174957018</v>
      </c>
      <c r="J639">
        <v>38857.683956130837</v>
      </c>
    </row>
    <row r="640" spans="1:10">
      <c r="A640" s="1">
        <v>46024.607638888891</v>
      </c>
      <c r="B640">
        <v>-710.92737761118224</v>
      </c>
      <c r="C640">
        <v>205583.48720219231</v>
      </c>
      <c r="D640">
        <v>105583.48720219229</v>
      </c>
      <c r="E640">
        <v>100000</v>
      </c>
      <c r="F640">
        <v>0</v>
      </c>
      <c r="G640">
        <v>2833.8126994239929</v>
      </c>
      <c r="H640">
        <v>2122.8853218128111</v>
      </c>
      <c r="I640">
        <v>41116.697440438467</v>
      </c>
      <c r="J640">
        <v>38993.812118625647</v>
      </c>
    </row>
    <row r="641" spans="1:10">
      <c r="A641" s="1">
        <v>46024.60833333333</v>
      </c>
      <c r="B641">
        <v>-589.87388719938861</v>
      </c>
      <c r="C641">
        <v>205548.60672724861</v>
      </c>
      <c r="D641">
        <v>105626.57370992631</v>
      </c>
      <c r="E641">
        <v>99922.033017322217</v>
      </c>
      <c r="F641">
        <v>0</v>
      </c>
      <c r="G641">
        <v>2833.8126994239929</v>
      </c>
      <c r="H641">
        <v>2243.9388122246041</v>
      </c>
      <c r="I641">
        <v>41109.721345449718</v>
      </c>
      <c r="J641">
        <v>38865.782533225123</v>
      </c>
    </row>
    <row r="642" spans="1:10">
      <c r="A642" s="3">
        <v>46024.609027777777</v>
      </c>
      <c r="B642" s="4">
        <v>-724.94070390905483</v>
      </c>
      <c r="C642" s="4">
        <v>205662.13029009121</v>
      </c>
      <c r="D642" s="4">
        <v>105615.8020829928</v>
      </c>
      <c r="E642" s="4">
        <v>100046.3282070984</v>
      </c>
      <c r="F642" s="4">
        <v>0</v>
      </c>
      <c r="G642" s="4">
        <v>2833.8126994239929</v>
      </c>
      <c r="H642" s="4">
        <v>2108.8719955149381</v>
      </c>
      <c r="I642" s="4">
        <v>41132.426058018253</v>
      </c>
      <c r="J642" s="4">
        <v>39023.55406250331</v>
      </c>
    </row>
    <row r="643" spans="1:10">
      <c r="A643" s="3">
        <v>46024.609722222223</v>
      </c>
      <c r="B643" s="4">
        <v>-595.79230779280044</v>
      </c>
      <c r="C643" s="4">
        <v>205726.871178778</v>
      </c>
      <c r="D643" s="4">
        <v>105712.74672539441</v>
      </c>
      <c r="E643" s="4">
        <v>100014.1244533836</v>
      </c>
      <c r="F643" s="4">
        <v>0</v>
      </c>
      <c r="G643" s="4">
        <v>2833.8126994239929</v>
      </c>
      <c r="H643" s="4">
        <v>2238.020391631193</v>
      </c>
      <c r="I643" s="4">
        <v>41145.374235755597</v>
      </c>
      <c r="J643" s="4">
        <v>38907.353844124409</v>
      </c>
    </row>
    <row r="644" spans="1:10">
      <c r="A644" s="3">
        <v>46024.61041666667</v>
      </c>
      <c r="B644" s="4">
        <v>-573.980414685857</v>
      </c>
      <c r="C644" s="4">
        <v>205575.79976246899</v>
      </c>
      <c r="D644" s="4">
        <v>105648.11696379331</v>
      </c>
      <c r="E644" s="4">
        <v>99927.682798675683</v>
      </c>
      <c r="F644" s="4">
        <v>0</v>
      </c>
      <c r="G644" s="4">
        <v>2833.8126994239929</v>
      </c>
      <c r="H644" s="4">
        <v>2259.832284738136</v>
      </c>
      <c r="I644" s="4">
        <v>41115.159952493806</v>
      </c>
      <c r="J644" s="4">
        <v>38855.327667755671</v>
      </c>
    </row>
    <row r="645" spans="1:10">
      <c r="A645" s="1">
        <v>46024.611111111109</v>
      </c>
      <c r="B645">
        <v>-453.76054164935152</v>
      </c>
      <c r="C645">
        <v>205714.09893583661</v>
      </c>
      <c r="D645">
        <v>105777.3764869954</v>
      </c>
      <c r="E645">
        <v>99936.722448841218</v>
      </c>
      <c r="F645">
        <v>0</v>
      </c>
      <c r="G645">
        <v>2833.8126994239929</v>
      </c>
      <c r="H645">
        <v>2380.0521577746408</v>
      </c>
      <c r="I645">
        <v>41142.819787167333</v>
      </c>
      <c r="J645">
        <v>38762.767629392692</v>
      </c>
    </row>
    <row r="646" spans="1:10">
      <c r="A646" s="3">
        <v>46024.611805555563</v>
      </c>
      <c r="B646" s="4">
        <v>-588.59576148100336</v>
      </c>
      <c r="C646" s="4">
        <v>205633.5016169982</v>
      </c>
      <c r="D646" s="4">
        <v>105669.6602176603</v>
      </c>
      <c r="E646" s="4">
        <v>99963.841399337834</v>
      </c>
      <c r="F646" s="4">
        <v>0</v>
      </c>
      <c r="G646" s="4">
        <v>2833.8126994239929</v>
      </c>
      <c r="H646" s="4">
        <v>2245.2169379429902</v>
      </c>
      <c r="I646" s="4">
        <v>41126.700323399637</v>
      </c>
      <c r="J646" s="4">
        <v>38881.483385456653</v>
      </c>
    </row>
    <row r="647" spans="1:10">
      <c r="A647" s="1">
        <v>46024.612500000003</v>
      </c>
      <c r="B647">
        <v>-564.03306242118526</v>
      </c>
      <c r="C647">
        <v>205436.59288700231</v>
      </c>
      <c r="D647">
        <v>105583.48720219229</v>
      </c>
      <c r="E647">
        <v>99853.105684809998</v>
      </c>
      <c r="F647">
        <v>0</v>
      </c>
      <c r="G647">
        <v>2833.8126994239929</v>
      </c>
      <c r="H647">
        <v>2269.7796370028082</v>
      </c>
      <c r="I647">
        <v>41087.318577400467</v>
      </c>
      <c r="J647">
        <v>38817.538940397659</v>
      </c>
    </row>
    <row r="648" spans="1:10">
      <c r="A648" s="1">
        <v>46024.613194444442</v>
      </c>
      <c r="B648">
        <v>-679.14043258409095</v>
      </c>
      <c r="C648">
        <v>205637.8732726333</v>
      </c>
      <c r="D648">
        <v>105626.57370992631</v>
      </c>
      <c r="E648">
        <v>100011.2995627069</v>
      </c>
      <c r="F648">
        <v>0</v>
      </c>
      <c r="G648">
        <v>2833.8126994239929</v>
      </c>
      <c r="H648">
        <v>2154.672266839902</v>
      </c>
      <c r="I648">
        <v>41127.574654526659</v>
      </c>
      <c r="J648">
        <v>38972.902387686758</v>
      </c>
    </row>
    <row r="649" spans="1:10">
      <c r="A649" s="3">
        <v>46024.613888888889</v>
      </c>
      <c r="B649" s="4">
        <v>-681.62259929702338</v>
      </c>
      <c r="C649" s="4">
        <v>205511.09591614411</v>
      </c>
      <c r="D649" s="4">
        <v>105561.94394832529</v>
      </c>
      <c r="E649" s="4">
        <v>99949.151967818834</v>
      </c>
      <c r="F649" s="4">
        <v>0</v>
      </c>
      <c r="G649" s="4">
        <v>2833.8126994239929</v>
      </c>
      <c r="H649" s="4">
        <v>2152.1901001269689</v>
      </c>
      <c r="I649" s="4">
        <v>41102.21918322883</v>
      </c>
      <c r="J649" s="4">
        <v>38950.029083101857</v>
      </c>
    </row>
    <row r="650" spans="1:10">
      <c r="A650" s="3">
        <v>46024.614583333343</v>
      </c>
      <c r="B650" s="4">
        <v>-821.19989838298773</v>
      </c>
      <c r="C650" s="4">
        <v>205305.98115335809</v>
      </c>
      <c r="D650" s="4">
        <v>105389.5979173893</v>
      </c>
      <c r="E650" s="4">
        <v>99916.383235968766</v>
      </c>
      <c r="F650" s="4">
        <v>0</v>
      </c>
      <c r="G650" s="4">
        <v>2833.8126994239929</v>
      </c>
      <c r="H650" s="4">
        <v>2012.612801041005</v>
      </c>
      <c r="I650" s="4">
        <v>41061.196230671623</v>
      </c>
      <c r="J650" s="4">
        <v>39048.583429630613</v>
      </c>
    </row>
    <row r="651" spans="1:10">
      <c r="A651" s="3">
        <v>46024.615277777782</v>
      </c>
      <c r="B651" s="4">
        <v>-618.40044744916815</v>
      </c>
      <c r="C651" s="4">
        <v>204758.48964055211</v>
      </c>
      <c r="D651" s="4">
        <v>105217.2518864532</v>
      </c>
      <c r="E651" s="4">
        <v>99541.237754098896</v>
      </c>
      <c r="F651" s="4">
        <v>0</v>
      </c>
      <c r="G651" s="4">
        <v>2833.8126994239929</v>
      </c>
      <c r="H651" s="4">
        <v>2215.4122519748248</v>
      </c>
      <c r="I651" s="4">
        <v>40951.697928110429</v>
      </c>
      <c r="J651" s="4">
        <v>38736.285676135602</v>
      </c>
    </row>
    <row r="652" spans="1:10">
      <c r="A652" s="1">
        <v>46024.615972222222</v>
      </c>
      <c r="B652">
        <v>-546.91686350014902</v>
      </c>
      <c r="C652">
        <v>204859.35208753921</v>
      </c>
      <c r="D652">
        <v>105303.4249019213</v>
      </c>
      <c r="E652">
        <v>99555.927185617897</v>
      </c>
      <c r="F652">
        <v>0</v>
      </c>
      <c r="G652">
        <v>2833.8126994239929</v>
      </c>
      <c r="H652">
        <v>2286.8958359238441</v>
      </c>
      <c r="I652">
        <v>40971.870417507831</v>
      </c>
      <c r="J652">
        <v>38684.974581583992</v>
      </c>
    </row>
    <row r="653" spans="1:10">
      <c r="A653" s="3">
        <v>46024.616666666669</v>
      </c>
      <c r="B653" s="4">
        <v>-607.93450211754316</v>
      </c>
      <c r="C653" s="4">
        <v>204920.36972615661</v>
      </c>
      <c r="D653" s="4">
        <v>105303.4249019213</v>
      </c>
      <c r="E653" s="4">
        <v>99616.944824235296</v>
      </c>
      <c r="F653" s="4">
        <v>0</v>
      </c>
      <c r="G653" s="4">
        <v>2833.8126994239929</v>
      </c>
      <c r="H653" s="4">
        <v>2225.8781973064501</v>
      </c>
      <c r="I653" s="4">
        <v>40984.073945231321</v>
      </c>
      <c r="J653" s="4">
        <v>38758.195747924867</v>
      </c>
    </row>
    <row r="654" spans="1:10">
      <c r="A654" s="3">
        <v>46024.617361111108</v>
      </c>
      <c r="B654" s="4">
        <v>-505.15486655292511</v>
      </c>
      <c r="C654" s="4">
        <v>205119.19564473</v>
      </c>
      <c r="D654" s="4">
        <v>105454.2276789903</v>
      </c>
      <c r="E654" s="4">
        <v>99664.967965739721</v>
      </c>
      <c r="F654" s="4">
        <v>0</v>
      </c>
      <c r="G654" s="4">
        <v>2833.8126994239929</v>
      </c>
      <c r="H654" s="4">
        <v>2328.657832871068</v>
      </c>
      <c r="I654" s="4">
        <v>41023.839128946012</v>
      </c>
      <c r="J654" s="4">
        <v>38695.181296074938</v>
      </c>
    </row>
    <row r="655" spans="1:10">
      <c r="A655" s="1">
        <v>46024.618055555547</v>
      </c>
      <c r="B655">
        <v>-558.67961996311908</v>
      </c>
      <c r="C655">
        <v>205258.8934136082</v>
      </c>
      <c r="D655">
        <v>105497.3141867243</v>
      </c>
      <c r="E655">
        <v>99761.579226883914</v>
      </c>
      <c r="F655">
        <v>0</v>
      </c>
      <c r="G655">
        <v>2833.8126994239929</v>
      </c>
      <c r="H655">
        <v>2275.1330794608739</v>
      </c>
      <c r="I655">
        <v>41051.778682721648</v>
      </c>
      <c r="J655">
        <v>38776.645603260768</v>
      </c>
    </row>
    <row r="656" spans="1:10">
      <c r="A656" s="1">
        <v>46024.618750000001</v>
      </c>
      <c r="B656">
        <v>0</v>
      </c>
      <c r="C656">
        <v>0</v>
      </c>
      <c r="D656">
        <v>0</v>
      </c>
      <c r="E656">
        <v>0</v>
      </c>
      <c r="F656">
        <v>-584.11168101522776</v>
      </c>
      <c r="G656">
        <v>2249.7010184087649</v>
      </c>
      <c r="H656">
        <v>2249.7010184087649</v>
      </c>
      <c r="I656">
        <v>0</v>
      </c>
      <c r="J656">
        <v>-2249.7010184087649</v>
      </c>
    </row>
    <row r="657" spans="1:10">
      <c r="A657" s="3">
        <v>46027.604166666657</v>
      </c>
      <c r="B657" s="4">
        <v>0</v>
      </c>
      <c r="C657" s="4">
        <v>206294.4145798035</v>
      </c>
      <c r="D657" s="4">
        <v>106294.4145798035</v>
      </c>
      <c r="E657" s="4">
        <v>100000</v>
      </c>
      <c r="F657" s="4">
        <v>0</v>
      </c>
      <c r="G657" s="4">
        <v>2249.7010184087649</v>
      </c>
      <c r="H657" s="4">
        <v>2249.7010184087649</v>
      </c>
      <c r="I657" s="4">
        <v>41258.882915960698</v>
      </c>
      <c r="J657" s="4">
        <v>39009.181897551942</v>
      </c>
    </row>
    <row r="658" spans="1:10">
      <c r="A658" s="3">
        <v>46027.604861111111</v>
      </c>
      <c r="B658" s="4">
        <v>-389.73503816728112</v>
      </c>
      <c r="C658" s="4">
        <v>206982.1315571212</v>
      </c>
      <c r="D658" s="4">
        <v>106443.4055493787</v>
      </c>
      <c r="E658" s="4">
        <v>100538.7260077425</v>
      </c>
      <c r="F658" s="4">
        <v>0</v>
      </c>
      <c r="G658" s="4">
        <v>2249.7010184087649</v>
      </c>
      <c r="H658" s="4">
        <v>1859.965980241484</v>
      </c>
      <c r="I658" s="4">
        <v>41396.426311424249</v>
      </c>
      <c r="J658" s="4">
        <v>39536.460331182767</v>
      </c>
    </row>
    <row r="659" spans="1:10">
      <c r="A659" s="3">
        <v>46027.605555555558</v>
      </c>
      <c r="B659" s="4">
        <v>-567.50432816629655</v>
      </c>
      <c r="C659" s="4">
        <v>207798.43357387121</v>
      </c>
      <c r="D659" s="4">
        <v>106762.6719127542</v>
      </c>
      <c r="E659" s="4">
        <v>101035.76166111699</v>
      </c>
      <c r="F659" s="4">
        <v>0</v>
      </c>
      <c r="G659" s="4">
        <v>2249.7010184087649</v>
      </c>
      <c r="H659" s="4">
        <v>1682.1966902424681</v>
      </c>
      <c r="I659" s="4">
        <v>41559.68671477423</v>
      </c>
      <c r="J659" s="4">
        <v>39877.490024531762</v>
      </c>
    </row>
    <row r="660" spans="1:10">
      <c r="A660" s="3">
        <v>46027.606249999997</v>
      </c>
      <c r="B660" s="4">
        <v>-612.91303112766843</v>
      </c>
      <c r="C660" s="4">
        <v>207588.42918613221</v>
      </c>
      <c r="D660" s="4">
        <v>106634.965367404</v>
      </c>
      <c r="E660" s="4">
        <v>100953.4638187282</v>
      </c>
      <c r="F660" s="4">
        <v>0</v>
      </c>
      <c r="G660" s="4">
        <v>2249.7010184087649</v>
      </c>
      <c r="H660" s="4">
        <v>1636.7879872810961</v>
      </c>
      <c r="I660" s="4">
        <v>41517.685837226432</v>
      </c>
      <c r="J660" s="4">
        <v>39880.897849945337</v>
      </c>
    </row>
    <row r="661" spans="1:10">
      <c r="A661" s="3">
        <v>46027.606944444437</v>
      </c>
      <c r="B661" s="4">
        <v>-690.57818903011162</v>
      </c>
      <c r="C661" s="4">
        <v>207878.9385862849</v>
      </c>
      <c r="D661" s="4">
        <v>106741.3874885292</v>
      </c>
      <c r="E661" s="4">
        <v>101137.5510977558</v>
      </c>
      <c r="F661" s="4">
        <v>0</v>
      </c>
      <c r="G661" s="4">
        <v>2249.7010184087649</v>
      </c>
      <c r="H661" s="4">
        <v>1559.122829378653</v>
      </c>
      <c r="I661" s="4">
        <v>41575.787717256993</v>
      </c>
      <c r="J661" s="4">
        <v>40016.664887878331</v>
      </c>
    </row>
    <row r="662" spans="1:10">
      <c r="A662" s="3">
        <v>46027.607638888891</v>
      </c>
      <c r="B662" s="4">
        <v>-667.97068438173346</v>
      </c>
      <c r="C662" s="4">
        <v>207686.05568783631</v>
      </c>
      <c r="D662" s="4">
        <v>106656.249791629</v>
      </c>
      <c r="E662" s="4">
        <v>101029.8058962073</v>
      </c>
      <c r="F662" s="4">
        <v>0</v>
      </c>
      <c r="G662" s="4">
        <v>2249.7010184087649</v>
      </c>
      <c r="H662" s="4">
        <v>1581.7303340270309</v>
      </c>
      <c r="I662" s="4">
        <v>41537.211137567268</v>
      </c>
      <c r="J662" s="4">
        <v>39955.480803540238</v>
      </c>
    </row>
    <row r="663" spans="1:10">
      <c r="A663" s="1">
        <v>46027.60833333333</v>
      </c>
      <c r="B663">
        <v>-732.43707385233267</v>
      </c>
      <c r="C663">
        <v>207878.2286226571</v>
      </c>
      <c r="D663">
        <v>106720.1030643041</v>
      </c>
      <c r="E663">
        <v>101158.125558353</v>
      </c>
      <c r="F663">
        <v>0</v>
      </c>
      <c r="G663">
        <v>2249.7010184087649</v>
      </c>
      <c r="H663">
        <v>1517.2639445564321</v>
      </c>
      <c r="I663">
        <v>41575.645724531423</v>
      </c>
      <c r="J663">
        <v>40058.381779974981</v>
      </c>
    </row>
    <row r="664" spans="1:10">
      <c r="A664" s="1">
        <v>46027.609027777777</v>
      </c>
      <c r="B664">
        <v>-589.73893009528672</v>
      </c>
      <c r="C664">
        <v>207948.37472115029</v>
      </c>
      <c r="D664">
        <v>106826.5251854293</v>
      </c>
      <c r="E664">
        <v>101121.84953572111</v>
      </c>
      <c r="F664">
        <v>0</v>
      </c>
      <c r="G664">
        <v>2249.7010184087649</v>
      </c>
      <c r="H664">
        <v>1659.962088313478</v>
      </c>
      <c r="I664">
        <v>41589.674944230057</v>
      </c>
      <c r="J664">
        <v>39929.712855916587</v>
      </c>
    </row>
    <row r="665" spans="1:10">
      <c r="A665" s="3">
        <v>46027.609722222223</v>
      </c>
      <c r="B665" s="4">
        <v>-726.79320664064812</v>
      </c>
      <c r="C665" s="4">
        <v>208340.84208839611</v>
      </c>
      <c r="D665" s="4">
        <v>106954.2317307795</v>
      </c>
      <c r="E665" s="4">
        <v>101386.61035761661</v>
      </c>
      <c r="F665" s="4">
        <v>0</v>
      </c>
      <c r="G665" s="4">
        <v>2249.7010184087649</v>
      </c>
      <c r="H665" s="4">
        <v>1522.907811768117</v>
      </c>
      <c r="I665" s="4">
        <v>41668.168417679219</v>
      </c>
      <c r="J665" s="4">
        <v>40145.260605911099</v>
      </c>
    </row>
    <row r="666" spans="1:10">
      <c r="A666" s="3">
        <v>46027.61041666667</v>
      </c>
      <c r="B666" s="4">
        <v>-855.01602195403893</v>
      </c>
      <c r="C666" s="4">
        <v>208767.04684285991</v>
      </c>
      <c r="D666" s="4">
        <v>107103.2227003547</v>
      </c>
      <c r="E666" s="4">
        <v>101663.8241425052</v>
      </c>
      <c r="F666" s="4">
        <v>0</v>
      </c>
      <c r="G666" s="4">
        <v>2249.7010184087649</v>
      </c>
      <c r="H666" s="4">
        <v>1394.6849964547259</v>
      </c>
      <c r="I666" s="4">
        <v>41753.409368571978</v>
      </c>
      <c r="J666" s="4">
        <v>40358.724372117249</v>
      </c>
    </row>
    <row r="667" spans="1:10">
      <c r="A667" s="1">
        <v>46027.611111111109</v>
      </c>
      <c r="B667">
        <v>-925.43817633436072</v>
      </c>
      <c r="C667">
        <v>208965.17554259041</v>
      </c>
      <c r="D667">
        <v>107167.0759730298</v>
      </c>
      <c r="E667">
        <v>101798.0995695606</v>
      </c>
      <c r="F667">
        <v>0</v>
      </c>
      <c r="G667">
        <v>2249.7010184087649</v>
      </c>
      <c r="H667">
        <v>1324.262842074404</v>
      </c>
      <c r="I667">
        <v>41793.035108518088</v>
      </c>
      <c r="J667">
        <v>40468.772266443688</v>
      </c>
    </row>
    <row r="668" spans="1:10">
      <c r="A668" s="1">
        <v>46027.611805555563</v>
      </c>
      <c r="B668">
        <v>-1140.8210539984991</v>
      </c>
      <c r="C668">
        <v>208797.43878420399</v>
      </c>
      <c r="D668">
        <v>106975.5161550045</v>
      </c>
      <c r="E668">
        <v>101821.9226291995</v>
      </c>
      <c r="F668">
        <v>0</v>
      </c>
      <c r="G668">
        <v>2249.7010184087649</v>
      </c>
      <c r="H668">
        <v>1108.879964410266</v>
      </c>
      <c r="I668">
        <v>41759.487756840797</v>
      </c>
      <c r="J668">
        <v>40650.607792430528</v>
      </c>
    </row>
    <row r="669" spans="1:10">
      <c r="A669" s="1">
        <v>46027.612500000003</v>
      </c>
      <c r="B669">
        <v>-1077.5629772134509</v>
      </c>
      <c r="C669">
        <v>209053.44707079441</v>
      </c>
      <c r="D669">
        <v>107135.14933669219</v>
      </c>
      <c r="E669">
        <v>101918.29773410221</v>
      </c>
      <c r="F669">
        <v>0</v>
      </c>
      <c r="G669">
        <v>2249.7010184087649</v>
      </c>
      <c r="H669">
        <v>1172.1380411953139</v>
      </c>
      <c r="I669">
        <v>41810.689414158893</v>
      </c>
      <c r="J669">
        <v>40638.551372963571</v>
      </c>
    </row>
    <row r="670" spans="1:10">
      <c r="A670" s="1">
        <v>46027.613194444442</v>
      </c>
      <c r="B670">
        <v>-1055.647515287422</v>
      </c>
      <c r="C670">
        <v>208754.83409394301</v>
      </c>
      <c r="D670">
        <v>106996.8005792295</v>
      </c>
      <c r="E670">
        <v>101758.0335147134</v>
      </c>
      <c r="F670">
        <v>0</v>
      </c>
      <c r="G670">
        <v>2249.7010184087649</v>
      </c>
      <c r="H670">
        <v>1194.0535031213431</v>
      </c>
      <c r="I670">
        <v>41750.966818788598</v>
      </c>
      <c r="J670">
        <v>40556.913315667247</v>
      </c>
    </row>
    <row r="671" spans="1:10">
      <c r="A671" s="1">
        <v>46027.613888888889</v>
      </c>
      <c r="B671">
        <v>-1252.4638131951299</v>
      </c>
      <c r="C671">
        <v>209292.20117945119</v>
      </c>
      <c r="D671">
        <v>107167.0759730298</v>
      </c>
      <c r="E671">
        <v>102125.12520642141</v>
      </c>
      <c r="F671">
        <v>0</v>
      </c>
      <c r="G671">
        <v>2249.7010184087649</v>
      </c>
      <c r="H671">
        <v>997.23720521363521</v>
      </c>
      <c r="I671">
        <v>41858.440235890237</v>
      </c>
      <c r="J671">
        <v>40861.20303067661</v>
      </c>
    </row>
    <row r="672" spans="1:10">
      <c r="A672" s="3">
        <v>46027.614583333343</v>
      </c>
      <c r="B672" s="4">
        <v>-1344.8803554283129</v>
      </c>
      <c r="C672" s="4">
        <v>209427.18657013439</v>
      </c>
      <c r="D672" s="4">
        <v>107188.3603972548</v>
      </c>
      <c r="E672" s="4">
        <v>102238.82617287961</v>
      </c>
      <c r="F672" s="4">
        <v>0</v>
      </c>
      <c r="G672" s="4">
        <v>2249.7010184087649</v>
      </c>
      <c r="H672" s="4">
        <v>904.8206629804522</v>
      </c>
      <c r="I672" s="4">
        <v>41885.437314026887</v>
      </c>
      <c r="J672" s="4">
        <v>40980.616651046432</v>
      </c>
    </row>
    <row r="673" spans="1:10">
      <c r="A673" s="3">
        <v>46027.615277777782</v>
      </c>
      <c r="B673" s="4">
        <v>-1328.300299311552</v>
      </c>
      <c r="C673" s="4">
        <v>209495.74421091779</v>
      </c>
      <c r="D673" s="4">
        <v>107230.9292457049</v>
      </c>
      <c r="E673" s="4">
        <v>102264.81496521291</v>
      </c>
      <c r="F673" s="4">
        <v>0</v>
      </c>
      <c r="G673" s="4">
        <v>2249.7010184087649</v>
      </c>
      <c r="H673" s="4">
        <v>921.40071909721314</v>
      </c>
      <c r="I673" s="4">
        <v>41899.14884218356</v>
      </c>
      <c r="J673" s="4">
        <v>40977.748123086349</v>
      </c>
    </row>
    <row r="674" spans="1:10">
      <c r="A674" s="3">
        <v>46027.615972222222</v>
      </c>
      <c r="B674" s="4">
        <v>-1358.2118125033981</v>
      </c>
      <c r="C674" s="4">
        <v>209355.38033030939</v>
      </c>
      <c r="D674" s="4">
        <v>107145.7915488047</v>
      </c>
      <c r="E674" s="4">
        <v>102209.5887815046</v>
      </c>
      <c r="F674" s="4">
        <v>0</v>
      </c>
      <c r="G674" s="4">
        <v>2249.7010184087649</v>
      </c>
      <c r="H674" s="4">
        <v>891.48920590536659</v>
      </c>
      <c r="I674" s="4">
        <v>41871.076066061883</v>
      </c>
      <c r="J674" s="4">
        <v>40979.586860156523</v>
      </c>
    </row>
    <row r="675" spans="1:10">
      <c r="A675" s="3">
        <v>46027.616666666669</v>
      </c>
      <c r="B675" s="4">
        <v>-1465.860167219598</v>
      </c>
      <c r="C675" s="4">
        <v>209761.01062417601</v>
      </c>
      <c r="D675" s="4">
        <v>107294.7825183799</v>
      </c>
      <c r="E675" s="4">
        <v>102466.22810579601</v>
      </c>
      <c r="F675" s="4">
        <v>0</v>
      </c>
      <c r="G675" s="4">
        <v>2249.7010184087649</v>
      </c>
      <c r="H675" s="4">
        <v>783.8408511891671</v>
      </c>
      <c r="I675" s="4">
        <v>41952.202124835203</v>
      </c>
      <c r="J675" s="4">
        <v>41168.361273646027</v>
      </c>
    </row>
    <row r="676" spans="1:10">
      <c r="A676" s="1">
        <v>46027.617361111108</v>
      </c>
      <c r="B676">
        <v>-1353.356834846393</v>
      </c>
      <c r="C676">
        <v>209414.3786253274</v>
      </c>
      <c r="D676">
        <v>107177.71818514229</v>
      </c>
      <c r="E676">
        <v>102236.66044018519</v>
      </c>
      <c r="F676">
        <v>0</v>
      </c>
      <c r="G676">
        <v>2249.7010184087649</v>
      </c>
      <c r="H676">
        <v>896.34418356237143</v>
      </c>
      <c r="I676">
        <v>41882.875725065489</v>
      </c>
      <c r="J676">
        <v>40986.531541503107</v>
      </c>
    </row>
    <row r="677" spans="1:10">
      <c r="A677" s="1">
        <v>46027.618055555547</v>
      </c>
      <c r="B677">
        <v>-1307.378099205378</v>
      </c>
      <c r="C677">
        <v>208878.85813251071</v>
      </c>
      <c r="D677">
        <v>106932.9473065544</v>
      </c>
      <c r="E677">
        <v>101945.91082595631</v>
      </c>
      <c r="F677">
        <v>0</v>
      </c>
      <c r="G677">
        <v>2249.7010184087649</v>
      </c>
      <c r="H677">
        <v>942.32291920338685</v>
      </c>
      <c r="I677">
        <v>41775.771626502152</v>
      </c>
      <c r="J677">
        <v>40833.448707298769</v>
      </c>
    </row>
    <row r="678" spans="1:10">
      <c r="A678" s="3">
        <v>46027.618750000001</v>
      </c>
      <c r="B678" s="4">
        <v>-1333.16251927351</v>
      </c>
      <c r="C678" s="4">
        <v>208819.5048556788</v>
      </c>
      <c r="D678" s="4">
        <v>106890.3784581044</v>
      </c>
      <c r="E678" s="4">
        <v>101929.12639757439</v>
      </c>
      <c r="F678" s="4">
        <v>0</v>
      </c>
      <c r="G678" s="4">
        <v>2249.7010184087649</v>
      </c>
      <c r="H678" s="4">
        <v>916.53849913525505</v>
      </c>
      <c r="I678" s="4">
        <v>41763.900971135758</v>
      </c>
      <c r="J678" s="4">
        <v>40847.362472000503</v>
      </c>
    </row>
    <row r="679" spans="1:10">
      <c r="A679" s="3">
        <v>46027.619444444441</v>
      </c>
      <c r="B679" s="4">
        <v>-1403.2117709344441</v>
      </c>
      <c r="C679" s="4">
        <v>208974.69180423979</v>
      </c>
      <c r="D679" s="4">
        <v>106932.9473065544</v>
      </c>
      <c r="E679" s="4">
        <v>102041.7444976854</v>
      </c>
      <c r="F679" s="4">
        <v>0</v>
      </c>
      <c r="G679" s="4">
        <v>2249.7010184087649</v>
      </c>
      <c r="H679" s="4">
        <v>846.48924747432102</v>
      </c>
      <c r="I679" s="4">
        <v>41794.938360847969</v>
      </c>
      <c r="J679" s="4">
        <v>40948.449113373637</v>
      </c>
    </row>
    <row r="680" spans="1:10">
      <c r="A680" s="3">
        <v>46027.620138888888</v>
      </c>
      <c r="B680" s="4">
        <v>-1568.277205263752</v>
      </c>
      <c r="C680" s="4">
        <v>208884.34414786869</v>
      </c>
      <c r="D680" s="4">
        <v>106805.2407612042</v>
      </c>
      <c r="E680" s="4">
        <v>102079.1033866645</v>
      </c>
      <c r="F680" s="4">
        <v>0</v>
      </c>
      <c r="G680" s="4">
        <v>2249.7010184087649</v>
      </c>
      <c r="H680" s="4">
        <v>681.42381314501336</v>
      </c>
      <c r="I680" s="4">
        <v>41776.868829573752</v>
      </c>
      <c r="J680" s="4">
        <v>41095.445016428741</v>
      </c>
    </row>
    <row r="681" spans="1:10">
      <c r="A681" s="3">
        <v>46027.620833333327</v>
      </c>
      <c r="B681" s="4">
        <v>-1630.072270677254</v>
      </c>
      <c r="C681" s="4">
        <v>209201.55230398261</v>
      </c>
      <c r="D681" s="4">
        <v>106932.9473065544</v>
      </c>
      <c r="E681" s="4">
        <v>102268.60499742821</v>
      </c>
      <c r="F681" s="4">
        <v>0</v>
      </c>
      <c r="G681" s="4">
        <v>2249.7010184087649</v>
      </c>
      <c r="H681" s="4">
        <v>619.62874773151111</v>
      </c>
      <c r="I681" s="4">
        <v>41840.310460796522</v>
      </c>
      <c r="J681" s="4">
        <v>41220.681713065009</v>
      </c>
    </row>
    <row r="682" spans="1:10">
      <c r="A682" s="1">
        <v>46027.621527777781</v>
      </c>
      <c r="B682">
        <v>-1969.8879314395131</v>
      </c>
      <c r="C682">
        <v>209456.23026784469</v>
      </c>
      <c r="D682">
        <v>106890.3784581044</v>
      </c>
      <c r="E682">
        <v>102565.8518097404</v>
      </c>
      <c r="F682">
        <v>0</v>
      </c>
      <c r="G682">
        <v>2249.7010184087649</v>
      </c>
      <c r="H682">
        <v>279.81308696925231</v>
      </c>
      <c r="I682">
        <v>41891.246053568953</v>
      </c>
      <c r="J682">
        <v>41611.432966599699</v>
      </c>
    </row>
    <row r="683" spans="1:10">
      <c r="A683" s="1">
        <v>46027.62222222222</v>
      </c>
      <c r="B683">
        <v>-1933.3106897101211</v>
      </c>
      <c r="C683">
        <v>209632.4972683657</v>
      </c>
      <c r="D683">
        <v>106996.8005792295</v>
      </c>
      <c r="E683">
        <v>102635.6966891362</v>
      </c>
      <c r="F683">
        <v>0</v>
      </c>
      <c r="G683">
        <v>2249.7010184087649</v>
      </c>
      <c r="H683">
        <v>316.39032869864423</v>
      </c>
      <c r="I683">
        <v>41926.499453673139</v>
      </c>
      <c r="J683">
        <v>41610.109124974493</v>
      </c>
    </row>
    <row r="684" spans="1:10">
      <c r="A684" s="3">
        <v>46027.622916666667</v>
      </c>
      <c r="B684" s="4">
        <v>-2174.3201355887259</v>
      </c>
      <c r="C684" s="4">
        <v>210128.9198049446</v>
      </c>
      <c r="D684" s="4">
        <v>107124.5071245797</v>
      </c>
      <c r="E684" s="4">
        <v>103004.4126803649</v>
      </c>
      <c r="F684" s="4">
        <v>0</v>
      </c>
      <c r="G684" s="4">
        <v>2249.7010184087649</v>
      </c>
      <c r="H684" s="4">
        <v>75.380882820038551</v>
      </c>
      <c r="I684" s="4">
        <v>42025.783960988927</v>
      </c>
      <c r="J684" s="4">
        <v>41950.403078168893</v>
      </c>
    </row>
    <row r="685" spans="1:10">
      <c r="A685" s="3">
        <v>46027.623611111107</v>
      </c>
      <c r="B685" s="4">
        <v>-2269.648215955136</v>
      </c>
      <c r="C685" s="4">
        <v>210351.95443066119</v>
      </c>
      <c r="D685" s="4">
        <v>107188.3603972548</v>
      </c>
      <c r="E685" s="4">
        <v>103163.59403340641</v>
      </c>
      <c r="F685" s="4">
        <v>0</v>
      </c>
      <c r="G685" s="4">
        <v>2249.7010184087649</v>
      </c>
      <c r="H685" s="4">
        <v>-19.94719754637072</v>
      </c>
      <c r="I685" s="4">
        <v>42070.390886132249</v>
      </c>
      <c r="J685" s="4">
        <v>42090.338083678616</v>
      </c>
    </row>
    <row r="686" spans="1:10">
      <c r="A686" s="1">
        <v>46027.624305555553</v>
      </c>
      <c r="B686">
        <v>-2001.506106374643</v>
      </c>
      <c r="C686">
        <v>210254.087714881</v>
      </c>
      <c r="D686">
        <v>107273.4980941549</v>
      </c>
      <c r="E686">
        <v>102980.5896207261</v>
      </c>
      <c r="F686">
        <v>0</v>
      </c>
      <c r="G686">
        <v>2249.7010184087649</v>
      </c>
      <c r="H686">
        <v>248.19491203412139</v>
      </c>
      <c r="I686">
        <v>42050.817542976212</v>
      </c>
      <c r="J686">
        <v>41802.622630942082</v>
      </c>
    </row>
    <row r="687" spans="1:10">
      <c r="A687" s="1">
        <v>46027.625</v>
      </c>
      <c r="B687">
        <v>-2161.1213671568948</v>
      </c>
      <c r="C687">
        <v>210030.5833396127</v>
      </c>
      <c r="D687">
        <v>107081.9382761297</v>
      </c>
      <c r="E687">
        <v>102948.645063483</v>
      </c>
      <c r="F687">
        <v>0</v>
      </c>
      <c r="G687">
        <v>2249.7010184087649</v>
      </c>
      <c r="H687">
        <v>88.579651251870018</v>
      </c>
      <c r="I687">
        <v>42006.116667922543</v>
      </c>
      <c r="J687">
        <v>41917.537016670671</v>
      </c>
    </row>
    <row r="688" spans="1:10">
      <c r="A688" s="1">
        <v>46027.625694444447</v>
      </c>
      <c r="B688">
        <v>-1840.266546071548</v>
      </c>
      <c r="C688">
        <v>210475.96779062841</v>
      </c>
      <c r="D688">
        <v>107465.0579121802</v>
      </c>
      <c r="E688">
        <v>103010.9098784482</v>
      </c>
      <c r="F688">
        <v>0</v>
      </c>
      <c r="G688">
        <v>2249.7010184087649</v>
      </c>
      <c r="H688">
        <v>409.43447233721741</v>
      </c>
      <c r="I688">
        <v>42095.193558125691</v>
      </c>
      <c r="J688">
        <v>41685.759085788472</v>
      </c>
    </row>
    <row r="689" spans="1:10">
      <c r="A689" s="3">
        <v>46027.626388888893</v>
      </c>
      <c r="B689" s="4">
        <v>-2017.8924688267591</v>
      </c>
      <c r="C689" s="4">
        <v>210781.30025873391</v>
      </c>
      <c r="D689" s="4">
        <v>107528.9111848553</v>
      </c>
      <c r="E689" s="4">
        <v>103252.3890738786</v>
      </c>
      <c r="F689" s="4">
        <v>0</v>
      </c>
      <c r="G689" s="4">
        <v>2249.7010184087649</v>
      </c>
      <c r="H689" s="4">
        <v>231.80854958200621</v>
      </c>
      <c r="I689" s="4">
        <v>42156.260051746773</v>
      </c>
      <c r="J689" s="4">
        <v>41924.451502164768</v>
      </c>
    </row>
    <row r="690" spans="1:10">
      <c r="A690" s="3">
        <v>46027.627083333333</v>
      </c>
      <c r="B690" s="4">
        <v>-2095.894687637649</v>
      </c>
      <c r="C690" s="4">
        <v>210987.0090228949</v>
      </c>
      <c r="D690" s="4">
        <v>107592.7644575304</v>
      </c>
      <c r="E690" s="4">
        <v>103394.2445653645</v>
      </c>
      <c r="F690" s="4">
        <v>0</v>
      </c>
      <c r="G690" s="4">
        <v>2249.7010184087649</v>
      </c>
      <c r="H690" s="4">
        <v>153.80633077111631</v>
      </c>
      <c r="I690" s="4">
        <v>42197.401804578993</v>
      </c>
      <c r="J690" s="4">
        <v>42043.595473807873</v>
      </c>
    </row>
    <row r="691" spans="1:10">
      <c r="A691" s="1">
        <v>46027.62777777778</v>
      </c>
      <c r="B691">
        <v>-2035.200409476822</v>
      </c>
      <c r="C691">
        <v>210734.75492670879</v>
      </c>
      <c r="D691">
        <v>107496.98454851779</v>
      </c>
      <c r="E691">
        <v>103237.7703781911</v>
      </c>
      <c r="F691">
        <v>0</v>
      </c>
      <c r="G691">
        <v>2249.7010184087649</v>
      </c>
      <c r="H691">
        <v>214.50060893194251</v>
      </c>
      <c r="I691">
        <v>42146.950985341769</v>
      </c>
      <c r="J691">
        <v>41932.450376409834</v>
      </c>
    </row>
    <row r="692" spans="1:10">
      <c r="A692" s="1">
        <v>46027.628472222219</v>
      </c>
      <c r="B692">
        <v>-2013.9518270627491</v>
      </c>
      <c r="C692">
        <v>210883.78173809499</v>
      </c>
      <c r="D692">
        <v>107582.12224541789</v>
      </c>
      <c r="E692">
        <v>103301.65949267711</v>
      </c>
      <c r="F692">
        <v>0</v>
      </c>
      <c r="G692">
        <v>2249.7010184087649</v>
      </c>
      <c r="H692">
        <v>235.74919134601581</v>
      </c>
      <c r="I692">
        <v>42176.756347618997</v>
      </c>
      <c r="J692">
        <v>41941.007156272979</v>
      </c>
    </row>
    <row r="693" spans="1:10">
      <c r="A693" s="3">
        <v>46027.629166666673</v>
      </c>
      <c r="B693" s="4">
        <v>-2107.8493015729459</v>
      </c>
      <c r="C693" s="4">
        <v>210509.42187965449</v>
      </c>
      <c r="D693" s="4">
        <v>107347.99357894251</v>
      </c>
      <c r="E693" s="4">
        <v>103161.428300712</v>
      </c>
      <c r="F693" s="4">
        <v>0</v>
      </c>
      <c r="G693" s="4">
        <v>2249.7010184087649</v>
      </c>
      <c r="H693" s="4">
        <v>141.85171683581851</v>
      </c>
      <c r="I693" s="4">
        <v>42101.884375930909</v>
      </c>
      <c r="J693" s="4">
        <v>41960.032659095094</v>
      </c>
    </row>
    <row r="694" spans="1:10">
      <c r="A694" s="1">
        <v>46027.629861111112</v>
      </c>
      <c r="B694">
        <v>-2351.6448392464472</v>
      </c>
      <c r="C694">
        <v>210646.79529620279</v>
      </c>
      <c r="D694">
        <v>107294.7825183799</v>
      </c>
      <c r="E694">
        <v>103352.01277782291</v>
      </c>
      <c r="F694">
        <v>0</v>
      </c>
      <c r="G694">
        <v>2249.7010184087649</v>
      </c>
      <c r="H694">
        <v>-101.9438208376823</v>
      </c>
      <c r="I694">
        <v>42129.359059240567</v>
      </c>
      <c r="J694">
        <v>42231.302880078249</v>
      </c>
    </row>
    <row r="695" spans="1:10">
      <c r="A695" s="3">
        <v>46027.630555555559</v>
      </c>
      <c r="B695" s="4">
        <v>-2202.9909305796632</v>
      </c>
      <c r="C695" s="4">
        <v>210710.98562978639</v>
      </c>
      <c r="D695" s="4">
        <v>107401.2046395051</v>
      </c>
      <c r="E695" s="4">
        <v>103309.7809902813</v>
      </c>
      <c r="F695" s="4">
        <v>0</v>
      </c>
      <c r="G695" s="4">
        <v>2249.7010184087649</v>
      </c>
      <c r="H695" s="4">
        <v>46.710087829101667</v>
      </c>
      <c r="I695" s="4">
        <v>42142.197125957282</v>
      </c>
      <c r="J695" s="4">
        <v>42095.48703812818</v>
      </c>
    </row>
    <row r="696" spans="1:10">
      <c r="A696" s="3">
        <v>46027.631249999999</v>
      </c>
      <c r="B696" s="4">
        <v>-2093.6931131322399</v>
      </c>
      <c r="C696" s="4">
        <v>210857.1009030393</v>
      </c>
      <c r="D696" s="4">
        <v>107528.9111848553</v>
      </c>
      <c r="E696" s="4">
        <v>103328.189718184</v>
      </c>
      <c r="F696" s="4">
        <v>0</v>
      </c>
      <c r="G696" s="4">
        <v>2249.7010184087649</v>
      </c>
      <c r="H696" s="4">
        <v>156.00790527652501</v>
      </c>
      <c r="I696" s="4">
        <v>42171.420180607871</v>
      </c>
      <c r="J696" s="4">
        <v>42015.412275331342</v>
      </c>
    </row>
    <row r="697" spans="1:10">
      <c r="A697" s="1">
        <v>46027.631944444453</v>
      </c>
      <c r="B697">
        <v>-2350.3324374236399</v>
      </c>
      <c r="C697">
        <v>211113.74022733071</v>
      </c>
      <c r="D697">
        <v>107528.9111848553</v>
      </c>
      <c r="E697">
        <v>103584.82904247539</v>
      </c>
      <c r="F697">
        <v>0</v>
      </c>
      <c r="G697">
        <v>2249.7010184087649</v>
      </c>
      <c r="H697">
        <v>-100.63141901487511</v>
      </c>
      <c r="I697">
        <v>42222.748045466149</v>
      </c>
      <c r="J697">
        <v>42323.379464481033</v>
      </c>
    </row>
    <row r="698" spans="1:10">
      <c r="A698" s="3">
        <v>46027.632638888892</v>
      </c>
      <c r="B698" s="4">
        <v>-2182.6566840586001</v>
      </c>
      <c r="C698" s="4">
        <v>210903.49562551561</v>
      </c>
      <c r="D698" s="4">
        <v>107507.6267606303</v>
      </c>
      <c r="E698" s="4">
        <v>103395.8688648854</v>
      </c>
      <c r="F698" s="4">
        <v>0</v>
      </c>
      <c r="G698" s="4">
        <v>2249.7010184087649</v>
      </c>
      <c r="H698" s="4">
        <v>67.044334350164718</v>
      </c>
      <c r="I698" s="4">
        <v>42180.699125103129</v>
      </c>
      <c r="J698" s="4">
        <v>42113.65479075296</v>
      </c>
    </row>
    <row r="699" spans="1:10">
      <c r="A699" s="1">
        <v>46027.633333333331</v>
      </c>
      <c r="B699">
        <v>-2289.078805183748</v>
      </c>
      <c r="C699">
        <v>210797.07350439049</v>
      </c>
      <c r="D699">
        <v>107401.2046395051</v>
      </c>
      <c r="E699">
        <v>103395.8688648854</v>
      </c>
      <c r="F699">
        <v>0</v>
      </c>
      <c r="G699">
        <v>2249.7010184087649</v>
      </c>
      <c r="H699">
        <v>-39.377786774983178</v>
      </c>
      <c r="I699">
        <v>42159.4147008781</v>
      </c>
      <c r="J699">
        <v>42198.792487653081</v>
      </c>
    </row>
    <row r="700" spans="1:10">
      <c r="A700" s="3">
        <v>46027.634027777778</v>
      </c>
      <c r="B700" s="4">
        <v>-2549.881064409818</v>
      </c>
      <c r="C700" s="4">
        <v>211100.44461206661</v>
      </c>
      <c r="D700" s="4">
        <v>107422.4890637301</v>
      </c>
      <c r="E700" s="4">
        <v>103677.9555483365</v>
      </c>
      <c r="F700" s="4">
        <v>0</v>
      </c>
      <c r="G700" s="4">
        <v>2249.7010184087649</v>
      </c>
      <c r="H700" s="4">
        <v>-300.1800460010536</v>
      </c>
      <c r="I700" s="4">
        <v>42220.088922413328</v>
      </c>
      <c r="J700" s="4">
        <v>42520.268968414377</v>
      </c>
    </row>
    <row r="701" spans="1:10">
      <c r="A701" s="1">
        <v>46027.634722222218</v>
      </c>
      <c r="B701">
        <v>-2337.6751021654341</v>
      </c>
      <c r="C701">
        <v>211015.94519517239</v>
      </c>
      <c r="D701">
        <v>107486.3423364052</v>
      </c>
      <c r="E701">
        <v>103529.6028587672</v>
      </c>
      <c r="F701">
        <v>0</v>
      </c>
      <c r="G701">
        <v>2249.7010184087649</v>
      </c>
      <c r="H701">
        <v>-87.974083756668733</v>
      </c>
      <c r="I701">
        <v>42203.189039034478</v>
      </c>
      <c r="J701">
        <v>42291.163122791149</v>
      </c>
    </row>
    <row r="702" spans="1:10">
      <c r="A702" s="1">
        <v>46027.635416666657</v>
      </c>
      <c r="B702">
        <v>-2354.4236887364041</v>
      </c>
      <c r="C702">
        <v>210904.98723639321</v>
      </c>
      <c r="D702">
        <v>107422.4890637301</v>
      </c>
      <c r="E702">
        <v>103482.49817266301</v>
      </c>
      <c r="F702">
        <v>0</v>
      </c>
      <c r="G702">
        <v>2249.7010184087649</v>
      </c>
      <c r="H702">
        <v>-104.72267032763919</v>
      </c>
      <c r="I702">
        <v>42180.997447278642</v>
      </c>
      <c r="J702">
        <v>42285.720117606281</v>
      </c>
    </row>
    <row r="703" spans="1:10">
      <c r="A703" s="3">
        <v>46027.636111111111</v>
      </c>
      <c r="B703" s="4">
        <v>-2286.2927133888529</v>
      </c>
      <c r="C703" s="4">
        <v>211156.12262442111</v>
      </c>
      <c r="D703" s="4">
        <v>107582.12224541789</v>
      </c>
      <c r="E703" s="4">
        <v>103574.00037900321</v>
      </c>
      <c r="F703" s="4">
        <v>0</v>
      </c>
      <c r="G703" s="4">
        <v>2249.7010184087649</v>
      </c>
      <c r="H703" s="4">
        <v>-36.59169498008805</v>
      </c>
      <c r="I703" s="4">
        <v>42231.224524884223</v>
      </c>
      <c r="J703" s="4">
        <v>42267.816219864311</v>
      </c>
    </row>
    <row r="704" spans="1:10">
      <c r="A704" s="1">
        <v>46027.636805555558</v>
      </c>
      <c r="B704">
        <v>-2317.1723251901208</v>
      </c>
      <c r="C704">
        <v>211250.85550889751</v>
      </c>
      <c r="D704">
        <v>107614.0488817554</v>
      </c>
      <c r="E704">
        <v>103636.806627142</v>
      </c>
      <c r="F704">
        <v>0</v>
      </c>
      <c r="G704">
        <v>2249.7010184087649</v>
      </c>
      <c r="H704">
        <v>-67.471306781356361</v>
      </c>
      <c r="I704">
        <v>42250.171101779502</v>
      </c>
      <c r="J704">
        <v>42317.642408560852</v>
      </c>
    </row>
    <row r="705" spans="1:10">
      <c r="A705" s="3">
        <v>46027.637499999997</v>
      </c>
      <c r="B705" s="4">
        <v>0</v>
      </c>
      <c r="C705" s="4">
        <v>0</v>
      </c>
      <c r="D705" s="4">
        <v>0</v>
      </c>
      <c r="E705" s="4">
        <v>0</v>
      </c>
      <c r="F705" s="4">
        <v>-2253.1486965479112</v>
      </c>
      <c r="G705" s="4">
        <v>-3.447678139145864</v>
      </c>
      <c r="H705" s="4">
        <v>-3.447678139145864</v>
      </c>
      <c r="I705" s="4">
        <v>0</v>
      </c>
      <c r="J705" s="4">
        <v>3.447678139145864</v>
      </c>
    </row>
    <row r="706" spans="1:10">
      <c r="A706" s="1">
        <v>46027.870138888888</v>
      </c>
      <c r="B706">
        <v>0</v>
      </c>
      <c r="C706">
        <v>206294.4145798035</v>
      </c>
      <c r="D706">
        <v>100000</v>
      </c>
      <c r="E706">
        <v>106294.4145798035</v>
      </c>
      <c r="F706">
        <v>0</v>
      </c>
      <c r="G706">
        <v>-3.447678139145864</v>
      </c>
      <c r="H706">
        <v>-3.447678139145864</v>
      </c>
      <c r="I706">
        <v>41258.882915960698</v>
      </c>
      <c r="J706">
        <v>41262.330594099847</v>
      </c>
    </row>
    <row r="707" spans="1:10">
      <c r="A707" s="3">
        <v>46027.870833333327</v>
      </c>
      <c r="B707" s="4">
        <v>-100.0374894337476</v>
      </c>
      <c r="C707" s="4">
        <v>206278.5540173781</v>
      </c>
      <c r="D707" s="4">
        <v>99942.050974070444</v>
      </c>
      <c r="E707" s="4">
        <v>106336.5030433077</v>
      </c>
      <c r="F707" s="4">
        <v>0</v>
      </c>
      <c r="G707" s="4">
        <v>-3.447678139145864</v>
      </c>
      <c r="H707" s="4">
        <v>-103.4851675728935</v>
      </c>
      <c r="I707" s="4">
        <v>41255.710803475631</v>
      </c>
      <c r="J707" s="4">
        <v>41359.195971048517</v>
      </c>
    </row>
    <row r="708" spans="1:10">
      <c r="A708" s="1">
        <v>46027.871527777781</v>
      </c>
      <c r="B708">
        <v>-31.152103554313879</v>
      </c>
      <c r="C708">
        <v>206158.04131748879</v>
      </c>
      <c r="D708">
        <v>99916.237317065476</v>
      </c>
      <c r="E708">
        <v>106241.8040004233</v>
      </c>
      <c r="F708">
        <v>0</v>
      </c>
      <c r="G708">
        <v>-3.447678139145864</v>
      </c>
      <c r="H708">
        <v>-34.599781693459747</v>
      </c>
      <c r="I708">
        <v>41231.608263497757</v>
      </c>
      <c r="J708">
        <v>41266.208045191219</v>
      </c>
    </row>
    <row r="709" spans="1:10">
      <c r="A709" s="3">
        <v>46027.87222222222</v>
      </c>
      <c r="B709" s="4">
        <v>60.014051266278578</v>
      </c>
      <c r="C709" s="4">
        <v>206291.29593581351</v>
      </c>
      <c r="D709" s="4">
        <v>100028.4477036381</v>
      </c>
      <c r="E709" s="4">
        <v>106262.8482321754</v>
      </c>
      <c r="F709" s="4">
        <v>0</v>
      </c>
      <c r="G709" s="4">
        <v>-3.447678139145864</v>
      </c>
      <c r="H709" s="4">
        <v>56.566373127132707</v>
      </c>
      <c r="I709" s="4">
        <v>41258.259187162708</v>
      </c>
      <c r="J709" s="4">
        <v>41201.692814035567</v>
      </c>
    </row>
    <row r="710" spans="1:10">
      <c r="A710" s="3">
        <v>46027.872916666667</v>
      </c>
      <c r="B710" s="4">
        <v>-16.942322391840921</v>
      </c>
      <c r="C710" s="4">
        <v>206151.2068668991</v>
      </c>
      <c r="D710" s="4">
        <v>99919.924982351891</v>
      </c>
      <c r="E710" s="4">
        <v>106231.28188454721</v>
      </c>
      <c r="F710" s="4">
        <v>0</v>
      </c>
      <c r="G710" s="4">
        <v>-3.447678139145864</v>
      </c>
      <c r="H710" s="4">
        <v>-20.390000530986779</v>
      </c>
      <c r="I710" s="4">
        <v>41230.241373379831</v>
      </c>
      <c r="J710" s="4">
        <v>41250.631373910823</v>
      </c>
    </row>
    <row r="711" spans="1:10">
      <c r="A711" s="3">
        <v>46027.873611111107</v>
      </c>
      <c r="B711" s="4">
        <v>55.715152713598833</v>
      </c>
      <c r="C711" s="4">
        <v>206160.73164674829</v>
      </c>
      <c r="D711" s="4">
        <v>99961.016109829216</v>
      </c>
      <c r="E711" s="4">
        <v>106199.7155369191</v>
      </c>
      <c r="F711" s="4">
        <v>0</v>
      </c>
      <c r="G711" s="4">
        <v>-3.447678139145864</v>
      </c>
      <c r="H711" s="4">
        <v>52.267474574452962</v>
      </c>
      <c r="I711" s="4">
        <v>41232.146329349664</v>
      </c>
      <c r="J711" s="4">
        <v>41179.878854775212</v>
      </c>
    </row>
    <row r="712" spans="1:10">
      <c r="A712" s="3">
        <v>46027.874305555553</v>
      </c>
      <c r="B712" s="4">
        <v>0.49866801341950412</v>
      </c>
      <c r="C712" s="4">
        <v>206252.82478431269</v>
      </c>
      <c r="D712" s="4">
        <v>99979.454436261338</v>
      </c>
      <c r="E712" s="4">
        <v>106273.37034805139</v>
      </c>
      <c r="F712" s="4">
        <v>0</v>
      </c>
      <c r="G712" s="4">
        <v>-3.447678139145864</v>
      </c>
      <c r="H712" s="4">
        <v>-2.9490101257263599</v>
      </c>
      <c r="I712" s="4">
        <v>41250.564956862552</v>
      </c>
      <c r="J712" s="4">
        <v>41253.513966988277</v>
      </c>
    </row>
    <row r="713" spans="1:10">
      <c r="A713" s="1">
        <v>46028.604166666657</v>
      </c>
      <c r="B713">
        <v>123.0623225829241</v>
      </c>
      <c r="C713">
        <v>206101.8134261051</v>
      </c>
      <c r="D713">
        <v>99965.230584442266</v>
      </c>
      <c r="E713">
        <v>106136.58284166289</v>
      </c>
      <c r="F713">
        <v>0</v>
      </c>
      <c r="G713">
        <v>-3.447678139145864</v>
      </c>
      <c r="H713">
        <v>119.6146444437782</v>
      </c>
      <c r="I713">
        <v>41220.362685221029</v>
      </c>
      <c r="J713">
        <v>41100.748040777253</v>
      </c>
    </row>
    <row r="714" spans="1:10">
      <c r="A714" s="3">
        <v>46028.604861111111</v>
      </c>
      <c r="B714" s="4">
        <v>322.21031870655281</v>
      </c>
      <c r="C714" s="4">
        <v>206322.0056539808</v>
      </c>
      <c r="D714" s="4">
        <v>100174.90069644189</v>
      </c>
      <c r="E714" s="4">
        <v>106147.1049575389</v>
      </c>
      <c r="F714" s="4">
        <v>0</v>
      </c>
      <c r="G714" s="4">
        <v>-3.447678139145864</v>
      </c>
      <c r="H714" s="4">
        <v>318.76264056740689</v>
      </c>
      <c r="I714" s="4">
        <v>41264.401130796163</v>
      </c>
      <c r="J714" s="4">
        <v>40945.638490228746</v>
      </c>
    </row>
    <row r="715" spans="1:10">
      <c r="A715" s="3">
        <v>46028.605555555558</v>
      </c>
      <c r="B715" s="4">
        <v>451.84762502790409</v>
      </c>
      <c r="C715" s="4">
        <v>206514.77565555839</v>
      </c>
      <c r="D715" s="4">
        <v>100336.1043503914</v>
      </c>
      <c r="E715" s="4">
        <v>106178.67130516699</v>
      </c>
      <c r="F715" s="4">
        <v>0</v>
      </c>
      <c r="G715" s="4">
        <v>-3.447678139145864</v>
      </c>
      <c r="H715" s="4">
        <v>448.39994688875828</v>
      </c>
      <c r="I715" s="4">
        <v>41302.955131111688</v>
      </c>
      <c r="J715" s="4">
        <v>40854.555184222932</v>
      </c>
    </row>
    <row r="716" spans="1:10">
      <c r="A716" s="1">
        <v>46028.606249999997</v>
      </c>
      <c r="B716">
        <v>0</v>
      </c>
      <c r="C716">
        <v>0</v>
      </c>
      <c r="D716">
        <v>0</v>
      </c>
      <c r="E716">
        <v>0</v>
      </c>
      <c r="F716">
        <v>201.05062167459269</v>
      </c>
      <c r="G716">
        <v>197.6029435354468</v>
      </c>
      <c r="H716">
        <v>197.6029435354468</v>
      </c>
      <c r="I716">
        <v>0</v>
      </c>
      <c r="J716">
        <v>-197.6029435354468</v>
      </c>
    </row>
    <row r="717" spans="1:10">
      <c r="A717" s="1">
        <v>46029.874305555553</v>
      </c>
      <c r="B717">
        <v>0</v>
      </c>
      <c r="C717">
        <v>206294.4145798035</v>
      </c>
      <c r="D717">
        <v>106294.4145798035</v>
      </c>
      <c r="E717">
        <v>100000</v>
      </c>
      <c r="F717">
        <v>0</v>
      </c>
      <c r="G717">
        <v>197.6029435354468</v>
      </c>
      <c r="H717">
        <v>197.6029435354468</v>
      </c>
      <c r="I717">
        <v>41258.882915960712</v>
      </c>
      <c r="J717">
        <v>41061.279972425262</v>
      </c>
    </row>
    <row r="718" spans="1:10">
      <c r="A718" s="3">
        <v>46030.604166666657</v>
      </c>
      <c r="B718" s="4">
        <v>0</v>
      </c>
      <c r="C718" s="4">
        <v>0</v>
      </c>
      <c r="D718" s="4">
        <v>0</v>
      </c>
      <c r="E718" s="4">
        <v>0</v>
      </c>
      <c r="F718" s="4">
        <v>287.11176780831897</v>
      </c>
      <c r="G718" s="4">
        <v>484.71471134376583</v>
      </c>
      <c r="H718" s="4">
        <v>484.71471134376583</v>
      </c>
      <c r="I718" s="4">
        <v>0</v>
      </c>
      <c r="J718" s="4">
        <v>-484.71471134376583</v>
      </c>
    </row>
    <row r="719" spans="1:10">
      <c r="A719" s="3">
        <v>46031.60833333333</v>
      </c>
      <c r="B719" s="4">
        <v>0</v>
      </c>
      <c r="C719" s="4">
        <v>206294.4145798035</v>
      </c>
      <c r="D719" s="4">
        <v>106294.4145798035</v>
      </c>
      <c r="E719" s="4">
        <v>100000</v>
      </c>
      <c r="F719" s="4">
        <v>0</v>
      </c>
      <c r="G719" s="4">
        <v>484.71471134376583</v>
      </c>
      <c r="H719" s="4">
        <v>484.71471134376583</v>
      </c>
      <c r="I719" s="4">
        <v>41258.882915960712</v>
      </c>
      <c r="J719" s="4">
        <v>40774.168204616937</v>
      </c>
    </row>
    <row r="720" spans="1:10">
      <c r="A720" s="1">
        <v>46031.609027777777</v>
      </c>
      <c r="B720">
        <v>68.630198021221162</v>
      </c>
      <c r="C720">
        <v>206516.71728581301</v>
      </c>
      <c r="D720">
        <v>106439.88103181891</v>
      </c>
      <c r="E720">
        <v>100076.8362539942</v>
      </c>
      <c r="F720">
        <v>0</v>
      </c>
      <c r="G720">
        <v>484.71471134376583</v>
      </c>
      <c r="H720">
        <v>553.34490936498696</v>
      </c>
      <c r="I720">
        <v>41303.343457162613</v>
      </c>
      <c r="J720">
        <v>40749.99854779763</v>
      </c>
    </row>
    <row r="721" spans="1:10">
      <c r="A721" s="1">
        <v>46031.609722222223</v>
      </c>
      <c r="B721">
        <v>-139.57271073035281</v>
      </c>
      <c r="C721">
        <v>206454.7682122504</v>
      </c>
      <c r="D721">
        <v>106304.8050406618</v>
      </c>
      <c r="E721">
        <v>100149.96317158861</v>
      </c>
      <c r="F721">
        <v>0</v>
      </c>
      <c r="G721">
        <v>484.71471134376583</v>
      </c>
      <c r="H721">
        <v>345.14200061341302</v>
      </c>
      <c r="I721">
        <v>41290.953642450077</v>
      </c>
      <c r="J721">
        <v>40945.811641836663</v>
      </c>
    </row>
    <row r="722" spans="1:10">
      <c r="A722" s="3">
        <v>46031.61041666667</v>
      </c>
      <c r="B722" s="4">
        <v>-170.7440933050764</v>
      </c>
      <c r="C722" s="4">
        <v>206423.59682967569</v>
      </c>
      <c r="D722" s="4">
        <v>106273.633658087</v>
      </c>
      <c r="E722" s="4">
        <v>100149.96317158861</v>
      </c>
      <c r="F722" s="4">
        <v>0</v>
      </c>
      <c r="G722" s="4">
        <v>484.71471134376583</v>
      </c>
      <c r="H722" s="4">
        <v>313.97061803868939</v>
      </c>
      <c r="I722" s="4">
        <v>41284.719365935132</v>
      </c>
      <c r="J722" s="4">
        <v>40970.748747896439</v>
      </c>
    </row>
    <row r="723" spans="1:10">
      <c r="A723" s="3">
        <v>46031.611111111109</v>
      </c>
      <c r="B723" s="4">
        <v>-30.45542892896043</v>
      </c>
      <c r="C723" s="4">
        <v>206137.84171328411</v>
      </c>
      <c r="D723" s="4">
        <v>106200.9004320793</v>
      </c>
      <c r="E723" s="4">
        <v>99936.941281204796</v>
      </c>
      <c r="F723" s="4">
        <v>0</v>
      </c>
      <c r="G723" s="4">
        <v>484.71471134376583</v>
      </c>
      <c r="H723" s="4">
        <v>454.25928241480528</v>
      </c>
      <c r="I723" s="4">
        <v>41227.568342656828</v>
      </c>
      <c r="J723" s="4">
        <v>40773.30906024202</v>
      </c>
    </row>
    <row r="724" spans="1:10">
      <c r="A724" s="1">
        <v>46031.611805555563</v>
      </c>
      <c r="B724">
        <v>-92.79819407839291</v>
      </c>
      <c r="C724">
        <v>206075.49894813469</v>
      </c>
      <c r="D724">
        <v>106138.5576669299</v>
      </c>
      <c r="E724">
        <v>99936.941281204796</v>
      </c>
      <c r="F724">
        <v>0</v>
      </c>
      <c r="G724">
        <v>484.71471134376583</v>
      </c>
      <c r="H724">
        <v>391.91651726537287</v>
      </c>
      <c r="I724">
        <v>41215.099789626947</v>
      </c>
      <c r="J724">
        <v>40823.183272361573</v>
      </c>
    </row>
    <row r="725" spans="1:10">
      <c r="A725" s="3">
        <v>46031.612500000003</v>
      </c>
      <c r="B725" s="4">
        <v>-259.04556781025713</v>
      </c>
      <c r="C725" s="4">
        <v>205909.25157440279</v>
      </c>
      <c r="D725" s="4">
        <v>105972.310293198</v>
      </c>
      <c r="E725" s="4">
        <v>99936.941281204796</v>
      </c>
      <c r="F725" s="4">
        <v>0</v>
      </c>
      <c r="G725" s="4">
        <v>484.71471134376583</v>
      </c>
      <c r="H725" s="4">
        <v>225.66914353350859</v>
      </c>
      <c r="I725" s="4">
        <v>41181.850314880583</v>
      </c>
      <c r="J725" s="4">
        <v>40956.181171347067</v>
      </c>
    </row>
    <row r="726" spans="1:10">
      <c r="A726" s="1">
        <v>46031.613194444442</v>
      </c>
      <c r="B726">
        <v>0</v>
      </c>
      <c r="C726">
        <v>0</v>
      </c>
      <c r="D726">
        <v>0</v>
      </c>
      <c r="E726">
        <v>0</v>
      </c>
      <c r="F726">
        <v>206.9001279438138</v>
      </c>
      <c r="G726">
        <v>691.61483928757957</v>
      </c>
      <c r="H726">
        <v>691.61483928757957</v>
      </c>
      <c r="I726">
        <v>0</v>
      </c>
      <c r="J726">
        <v>-691.61483928757957</v>
      </c>
    </row>
    <row r="727" spans="1:10">
      <c r="A727" s="3">
        <v>46034.604166666657</v>
      </c>
      <c r="B727" s="4">
        <v>0</v>
      </c>
      <c r="C727" s="4">
        <v>206294.4145798035</v>
      </c>
      <c r="D727" s="4">
        <v>106294.4145798035</v>
      </c>
      <c r="E727" s="4">
        <v>100000</v>
      </c>
      <c r="F727" s="4">
        <v>0</v>
      </c>
      <c r="G727" s="4">
        <v>691.61483928757957</v>
      </c>
      <c r="H727" s="4">
        <v>691.61483928757957</v>
      </c>
      <c r="I727" s="4">
        <v>41258.882915960698</v>
      </c>
      <c r="J727" s="4">
        <v>40567.268076673121</v>
      </c>
    </row>
    <row r="728" spans="1:10">
      <c r="A728" s="3">
        <v>46034.604861111111</v>
      </c>
      <c r="B728" s="4">
        <v>-282.47760517043912</v>
      </c>
      <c r="C728" s="4">
        <v>205833.9457026388</v>
      </c>
      <c r="D728" s="4">
        <v>105922.94133863589</v>
      </c>
      <c r="E728" s="4">
        <v>99911.00436400286</v>
      </c>
      <c r="F728" s="4">
        <v>0</v>
      </c>
      <c r="G728" s="4">
        <v>691.61483928757957</v>
      </c>
      <c r="H728" s="4">
        <v>409.13723411714051</v>
      </c>
      <c r="I728" s="4">
        <v>41166.789140527762</v>
      </c>
      <c r="J728" s="4">
        <v>40757.651906410618</v>
      </c>
    </row>
    <row r="729" spans="1:10">
      <c r="A729" s="1">
        <v>46034.605555555558</v>
      </c>
      <c r="B729">
        <v>-216.8372751948724</v>
      </c>
      <c r="C729">
        <v>205513.5808644341</v>
      </c>
      <c r="D729">
        <v>105795.57908452131</v>
      </c>
      <c r="E729">
        <v>99718.001779912709</v>
      </c>
      <c r="F729">
        <v>0</v>
      </c>
      <c r="G729">
        <v>691.61483928757957</v>
      </c>
      <c r="H729">
        <v>474.77756409270722</v>
      </c>
      <c r="I729">
        <v>41102.716172886823</v>
      </c>
      <c r="J729">
        <v>40627.938608794109</v>
      </c>
    </row>
    <row r="730" spans="1:10">
      <c r="A730" s="1">
        <v>46034.606249999997</v>
      </c>
      <c r="B730">
        <v>-337.29482950036248</v>
      </c>
      <c r="C730">
        <v>206228.39560460759</v>
      </c>
      <c r="D730">
        <v>106092.7576774554</v>
      </c>
      <c r="E730">
        <v>100135.6379271522</v>
      </c>
      <c r="F730">
        <v>0</v>
      </c>
      <c r="G730">
        <v>691.61483928757957</v>
      </c>
      <c r="H730">
        <v>354.32000978721697</v>
      </c>
      <c r="I730">
        <v>41245.67912092153</v>
      </c>
      <c r="J730">
        <v>40891.359111134312</v>
      </c>
    </row>
    <row r="731" spans="1:10">
      <c r="A731" s="1">
        <v>46034.606944444437</v>
      </c>
      <c r="B731">
        <v>-586.97658391414257</v>
      </c>
      <c r="C731">
        <v>205926.17425785819</v>
      </c>
      <c r="D731">
        <v>105816.80612687379</v>
      </c>
      <c r="E731">
        <v>100109.3681309844</v>
      </c>
      <c r="F731">
        <v>0</v>
      </c>
      <c r="G731">
        <v>691.61483928757957</v>
      </c>
      <c r="H731">
        <v>104.638255373437</v>
      </c>
      <c r="I731">
        <v>41185.234851571637</v>
      </c>
      <c r="J731">
        <v>41080.596596198207</v>
      </c>
    </row>
    <row r="732" spans="1:10">
      <c r="A732" s="1">
        <v>46034.607638888891</v>
      </c>
      <c r="B732">
        <v>-553.43503039894074</v>
      </c>
      <c r="C732">
        <v>206147.35721257221</v>
      </c>
      <c r="D732">
        <v>105944.1683809884</v>
      </c>
      <c r="E732">
        <v>100203.1888315838</v>
      </c>
      <c r="F732">
        <v>0</v>
      </c>
      <c r="G732">
        <v>691.61483928757957</v>
      </c>
      <c r="H732">
        <v>138.1798088886388</v>
      </c>
      <c r="I732">
        <v>41229.471442514427</v>
      </c>
      <c r="J732">
        <v>41091.291633625799</v>
      </c>
    </row>
    <row r="733" spans="1:10">
      <c r="A733" s="1">
        <v>46034.60833333333</v>
      </c>
      <c r="B733">
        <v>-683.64345377177858</v>
      </c>
      <c r="C733">
        <v>206787.01465240339</v>
      </c>
      <c r="D733">
        <v>106198.8928892175</v>
      </c>
      <c r="E733">
        <v>100588.1217631858</v>
      </c>
      <c r="F733">
        <v>0</v>
      </c>
      <c r="G733">
        <v>691.61483928757957</v>
      </c>
      <c r="H733">
        <v>7.9713855158009892</v>
      </c>
      <c r="I733">
        <v>41357.402930480683</v>
      </c>
      <c r="J733">
        <v>41349.431544964871</v>
      </c>
    </row>
    <row r="734" spans="1:10">
      <c r="A734" s="1">
        <v>46034.609027777777</v>
      </c>
      <c r="B734">
        <v>-657.17217787823324</v>
      </c>
      <c r="C734">
        <v>206930.35971532931</v>
      </c>
      <c r="D734">
        <v>106283.8010586273</v>
      </c>
      <c r="E734">
        <v>100646.55865670199</v>
      </c>
      <c r="F734">
        <v>0</v>
      </c>
      <c r="G734">
        <v>691.61483928757957</v>
      </c>
      <c r="H734">
        <v>34.442661409346329</v>
      </c>
      <c r="I734">
        <v>41386.071943065857</v>
      </c>
      <c r="J734">
        <v>41351.629281656511</v>
      </c>
    </row>
    <row r="735" spans="1:10">
      <c r="A735" s="3">
        <v>46034.609722222223</v>
      </c>
      <c r="B735" s="4">
        <v>-691.57638350230593</v>
      </c>
      <c r="C735" s="4">
        <v>206773.7205397815</v>
      </c>
      <c r="D735" s="4">
        <v>106188.2793680413</v>
      </c>
      <c r="E735" s="4">
        <v>100585.44117174009</v>
      </c>
      <c r="F735" s="4">
        <v>0</v>
      </c>
      <c r="G735" s="4">
        <v>691.61483928757957</v>
      </c>
      <c r="H735" s="4">
        <v>3.8455785273640693E-2</v>
      </c>
      <c r="I735" s="4">
        <v>41354.7441079563</v>
      </c>
      <c r="J735" s="4">
        <v>41354.705652171033</v>
      </c>
    </row>
    <row r="736" spans="1:10">
      <c r="A736" s="3">
        <v>46034.61041666667</v>
      </c>
      <c r="B736" s="4">
        <v>-649.12229879743518</v>
      </c>
      <c r="C736" s="4">
        <v>206816.1746244863</v>
      </c>
      <c r="D736" s="4">
        <v>106230.73345274619</v>
      </c>
      <c r="E736" s="4">
        <v>100585.44117174009</v>
      </c>
      <c r="F736" s="4">
        <v>0</v>
      </c>
      <c r="G736" s="4">
        <v>691.61483928757957</v>
      </c>
      <c r="H736" s="4">
        <v>42.492540490144393</v>
      </c>
      <c r="I736" s="4">
        <v>41363.234924897268</v>
      </c>
      <c r="J736" s="4">
        <v>41320.742384407124</v>
      </c>
    </row>
    <row r="737" spans="1:10">
      <c r="A737" s="1">
        <v>46034.611111111109</v>
      </c>
      <c r="B737">
        <v>-799.1589941247214</v>
      </c>
      <c r="C737">
        <v>207369.52512450979</v>
      </c>
      <c r="D737">
        <v>106432.39035509431</v>
      </c>
      <c r="E737">
        <v>100937.1347694155</v>
      </c>
      <c r="F737">
        <v>0</v>
      </c>
      <c r="G737">
        <v>691.61483928757957</v>
      </c>
      <c r="H737">
        <v>-107.5441548371418</v>
      </c>
      <c r="I737">
        <v>41473.905024901956</v>
      </c>
      <c r="J737">
        <v>41581.449179739109</v>
      </c>
    </row>
    <row r="738" spans="1:10">
      <c r="A738" s="1">
        <v>46034.611805555563</v>
      </c>
      <c r="B738">
        <v>-893.96740092694358</v>
      </c>
      <c r="C738">
        <v>207761.5121242461</v>
      </c>
      <c r="D738">
        <v>106580.9796515613</v>
      </c>
      <c r="E738">
        <v>101180.5324726848</v>
      </c>
      <c r="F738">
        <v>0</v>
      </c>
      <c r="G738">
        <v>691.61483928757957</v>
      </c>
      <c r="H738">
        <v>-202.35256163936401</v>
      </c>
      <c r="I738">
        <v>41552.302424849222</v>
      </c>
      <c r="J738">
        <v>41754.654986488589</v>
      </c>
    </row>
    <row r="739" spans="1:10">
      <c r="A739" s="1">
        <v>46034.612500000003</v>
      </c>
      <c r="B739">
        <v>-1005.354950973931</v>
      </c>
      <c r="C739">
        <v>207639.40220841629</v>
      </c>
      <c r="D739">
        <v>106464.2309186229</v>
      </c>
      <c r="E739">
        <v>101175.1712897934</v>
      </c>
      <c r="F739">
        <v>0</v>
      </c>
      <c r="G739">
        <v>691.61483928757957</v>
      </c>
      <c r="H739">
        <v>-313.74011168635161</v>
      </c>
      <c r="I739">
        <v>41527.880441683257</v>
      </c>
      <c r="J739">
        <v>41841.620553369619</v>
      </c>
    </row>
    <row r="740" spans="1:10">
      <c r="A740" s="1">
        <v>46034.613194444442</v>
      </c>
      <c r="B740">
        <v>-1069.0360780312301</v>
      </c>
      <c r="C740">
        <v>207575.72108135899</v>
      </c>
      <c r="D740">
        <v>106400.5497915656</v>
      </c>
      <c r="E740">
        <v>101175.1712897934</v>
      </c>
      <c r="F740">
        <v>0</v>
      </c>
      <c r="G740">
        <v>691.61483928757957</v>
      </c>
      <c r="H740">
        <v>-377.42123874365012</v>
      </c>
      <c r="I740">
        <v>41515.144216271809</v>
      </c>
      <c r="J740">
        <v>41892.565455015458</v>
      </c>
    </row>
    <row r="741" spans="1:10">
      <c r="A741" s="3">
        <v>46034.613888888889</v>
      </c>
      <c r="B741" s="4">
        <v>-1049.9210898605099</v>
      </c>
      <c r="C741" s="4">
        <v>207174.51933084449</v>
      </c>
      <c r="D741" s="4">
        <v>106209.5064103937</v>
      </c>
      <c r="E741" s="4">
        <v>100965.0129204508</v>
      </c>
      <c r="F741" s="4">
        <v>0</v>
      </c>
      <c r="G741" s="4">
        <v>691.61483928757957</v>
      </c>
      <c r="H741" s="4">
        <v>-358.30625057293008</v>
      </c>
      <c r="I741" s="4">
        <v>41434.903866168897</v>
      </c>
      <c r="J741" s="4">
        <v>41793.210116741837</v>
      </c>
    </row>
    <row r="742" spans="1:10">
      <c r="A742" s="3">
        <v>46034.614583333343</v>
      </c>
      <c r="B742" s="4">
        <v>-589.62127344667988</v>
      </c>
      <c r="C742" s="4">
        <v>206862.8088108977</v>
      </c>
      <c r="D742" s="4">
        <v>106283.8010586273</v>
      </c>
      <c r="E742" s="4">
        <v>100579.0077522705</v>
      </c>
      <c r="F742" s="4">
        <v>0</v>
      </c>
      <c r="G742" s="4">
        <v>691.61483928757957</v>
      </c>
      <c r="H742" s="4">
        <v>101.99356584089971</v>
      </c>
      <c r="I742" s="4">
        <v>41372.561762179554</v>
      </c>
      <c r="J742" s="4">
        <v>41270.568196338652</v>
      </c>
    </row>
    <row r="743" spans="1:10">
      <c r="A743" s="1">
        <v>46034.615277777782</v>
      </c>
      <c r="B743">
        <v>-589.62127344667988</v>
      </c>
      <c r="C743">
        <v>206862.8088108977</v>
      </c>
      <c r="D743">
        <v>106283.8010586273</v>
      </c>
      <c r="E743">
        <v>100579.0077522705</v>
      </c>
      <c r="F743">
        <v>0</v>
      </c>
      <c r="G743">
        <v>691.61483928757957</v>
      </c>
      <c r="H743">
        <v>101.99356584089971</v>
      </c>
      <c r="I743">
        <v>41372.561762179554</v>
      </c>
      <c r="J743">
        <v>41270.568196338652</v>
      </c>
    </row>
    <row r="744" spans="1:10">
      <c r="A744" s="3">
        <v>46034.615972222222</v>
      </c>
      <c r="B744" s="4">
        <v>0</v>
      </c>
      <c r="C744" s="4">
        <v>0</v>
      </c>
      <c r="D744" s="4">
        <v>0</v>
      </c>
      <c r="E744" s="4">
        <v>0</v>
      </c>
      <c r="F744" s="4">
        <v>-325.1777835911256</v>
      </c>
      <c r="G744" s="4">
        <v>366.43705569645402</v>
      </c>
      <c r="H744" s="4">
        <v>366.43705569645402</v>
      </c>
      <c r="I744" s="4">
        <v>0</v>
      </c>
      <c r="J744" s="4">
        <v>-366.43705569645402</v>
      </c>
    </row>
    <row r="745" spans="1:10">
      <c r="A745" s="1">
        <v>46035.604166666657</v>
      </c>
      <c r="B745">
        <v>0</v>
      </c>
      <c r="C745">
        <v>206294.4145798035</v>
      </c>
      <c r="D745">
        <v>100000</v>
      </c>
      <c r="E745">
        <v>106294.4145798035</v>
      </c>
      <c r="F745">
        <v>0</v>
      </c>
      <c r="G745">
        <v>366.43705569645402</v>
      </c>
      <c r="H745">
        <v>366.43705569645402</v>
      </c>
      <c r="I745">
        <v>41258.882915960698</v>
      </c>
      <c r="J745">
        <v>40892.445860264248</v>
      </c>
    </row>
    <row r="746" spans="1:10">
      <c r="A746" s="1">
        <v>46035.604861111111</v>
      </c>
      <c r="B746">
        <v>-400.27028575694942</v>
      </c>
      <c r="C746">
        <v>206422.02676613539</v>
      </c>
      <c r="D746">
        <v>99863.670950287458</v>
      </c>
      <c r="E746">
        <v>106558.3558158479</v>
      </c>
      <c r="F746">
        <v>0</v>
      </c>
      <c r="G746">
        <v>366.43705569645402</v>
      </c>
      <c r="H746">
        <v>-33.833230060495453</v>
      </c>
      <c r="I746">
        <v>41284.405353227077</v>
      </c>
      <c r="J746">
        <v>41318.238583287573</v>
      </c>
    </row>
    <row r="747" spans="1:10">
      <c r="A747" s="3">
        <v>46035.605555555558</v>
      </c>
      <c r="B747" s="4">
        <v>139.33158958044001</v>
      </c>
      <c r="C747" s="4">
        <v>206095.90138724711</v>
      </c>
      <c r="D747" s="4">
        <v>99970.409198512003</v>
      </c>
      <c r="E747" s="4">
        <v>106125.49218873509</v>
      </c>
      <c r="F747" s="4">
        <v>0</v>
      </c>
      <c r="G747" s="4">
        <v>366.43705569645402</v>
      </c>
      <c r="H747" s="4">
        <v>505.76864527689389</v>
      </c>
      <c r="I747" s="4">
        <v>41219.180277449421</v>
      </c>
      <c r="J747" s="4">
        <v>40713.411632172531</v>
      </c>
    </row>
    <row r="748" spans="1:10">
      <c r="A748" s="3">
        <v>46035.606249999997</v>
      </c>
      <c r="B748" s="4">
        <v>-149.17872492750911</v>
      </c>
      <c r="C748" s="4">
        <v>205807.39107273909</v>
      </c>
      <c r="D748" s="4">
        <v>99681.898884004055</v>
      </c>
      <c r="E748" s="4">
        <v>106125.49218873509</v>
      </c>
      <c r="F748" s="4">
        <v>0</v>
      </c>
      <c r="G748" s="4">
        <v>366.43705569645402</v>
      </c>
      <c r="H748" s="4">
        <v>217.2583307689448</v>
      </c>
      <c r="I748" s="4">
        <v>41161.478214547817</v>
      </c>
      <c r="J748" s="4">
        <v>40944.219883778882</v>
      </c>
    </row>
    <row r="749" spans="1:10">
      <c r="A749" s="1">
        <v>46035.606944444437</v>
      </c>
      <c r="B749">
        <v>-110.0765943898015</v>
      </c>
      <c r="C749">
        <v>205846.4932032768</v>
      </c>
      <c r="D749">
        <v>99721.001014541762</v>
      </c>
      <c r="E749">
        <v>106125.49218873509</v>
      </c>
      <c r="F749">
        <v>0</v>
      </c>
      <c r="G749">
        <v>366.43705569645402</v>
      </c>
      <c r="H749">
        <v>256.3604613066525</v>
      </c>
      <c r="I749">
        <v>41169.298640655368</v>
      </c>
      <c r="J749">
        <v>40912.938179348719</v>
      </c>
    </row>
    <row r="750" spans="1:10">
      <c r="A750" s="3">
        <v>46035.607638888891</v>
      </c>
      <c r="B750" s="4">
        <v>-25.615398855593131</v>
      </c>
      <c r="C750" s="4">
        <v>205762.03200774259</v>
      </c>
      <c r="D750" s="4">
        <v>99721.001014541762</v>
      </c>
      <c r="E750" s="4">
        <v>106041.0309932009</v>
      </c>
      <c r="F750" s="4">
        <v>0</v>
      </c>
      <c r="G750" s="4">
        <v>366.43705569645402</v>
      </c>
      <c r="H750" s="4">
        <v>340.82165684086078</v>
      </c>
      <c r="I750" s="4">
        <v>41152.406401548527</v>
      </c>
      <c r="J750" s="4">
        <v>40811.584744707667</v>
      </c>
    </row>
    <row r="751" spans="1:10">
      <c r="A751" s="1">
        <v>46035.60833333333</v>
      </c>
      <c r="B751">
        <v>-49.922128649304909</v>
      </c>
      <c r="C751">
        <v>205737.72527794889</v>
      </c>
      <c r="D751">
        <v>99696.694284748053</v>
      </c>
      <c r="E751">
        <v>106041.0309932009</v>
      </c>
      <c r="F751">
        <v>0</v>
      </c>
      <c r="G751">
        <v>366.43705569645402</v>
      </c>
      <c r="H751">
        <v>316.51492704714911</v>
      </c>
      <c r="I751">
        <v>41147.545055589777</v>
      </c>
      <c r="J751">
        <v>40831.030128542632</v>
      </c>
    </row>
    <row r="752" spans="1:10">
      <c r="A752" s="3">
        <v>46035.609027777777</v>
      </c>
      <c r="B752" s="4">
        <v>-270.26791830098273</v>
      </c>
      <c r="C752" s="4">
        <v>205517.37948829721</v>
      </c>
      <c r="D752" s="4">
        <v>99476.348495096376</v>
      </c>
      <c r="E752" s="4">
        <v>106041.0309932009</v>
      </c>
      <c r="F752" s="4">
        <v>0</v>
      </c>
      <c r="G752" s="4">
        <v>366.43705569645402</v>
      </c>
      <c r="H752" s="4">
        <v>96.169137395471239</v>
      </c>
      <c r="I752" s="4">
        <v>41103.475897659453</v>
      </c>
      <c r="J752" s="4">
        <v>41007.306760263971</v>
      </c>
    </row>
    <row r="753" spans="1:10">
      <c r="A753" s="1">
        <v>46035.609722222223</v>
      </c>
      <c r="B753">
        <v>-455.99068949341728</v>
      </c>
      <c r="C753">
        <v>204824.8895438996</v>
      </c>
      <c r="D753">
        <v>99037.24213730132</v>
      </c>
      <c r="E753">
        <v>105787.6474065982</v>
      </c>
      <c r="F753">
        <v>0</v>
      </c>
      <c r="G753">
        <v>366.43705569645402</v>
      </c>
      <c r="H753">
        <v>-89.553633796963368</v>
      </c>
      <c r="I753">
        <v>40964.977908779918</v>
      </c>
      <c r="J753">
        <v>41054.531542576879</v>
      </c>
    </row>
    <row r="754" spans="1:10">
      <c r="A754" s="1">
        <v>46035.61041666667</v>
      </c>
      <c r="B754">
        <v>-382.08714340097561</v>
      </c>
      <c r="C754">
        <v>204750.98599780709</v>
      </c>
      <c r="D754">
        <v>99037.24213730132</v>
      </c>
      <c r="E754">
        <v>105713.7438605058</v>
      </c>
      <c r="F754">
        <v>0</v>
      </c>
      <c r="G754">
        <v>366.43705569645402</v>
      </c>
      <c r="H754">
        <v>-15.65008770452164</v>
      </c>
      <c r="I754">
        <v>40950.197199561429</v>
      </c>
      <c r="J754">
        <v>40965.847287265948</v>
      </c>
    </row>
    <row r="755" spans="1:10">
      <c r="A755" s="3">
        <v>46035.611111111109</v>
      </c>
      <c r="B755" s="4">
        <v>-456.10612290814578</v>
      </c>
      <c r="C755" s="4">
        <v>204592.50582276579</v>
      </c>
      <c r="D755" s="4">
        <v>98920.992560027051</v>
      </c>
      <c r="E755" s="4">
        <v>105671.51326273871</v>
      </c>
      <c r="F755" s="4">
        <v>0</v>
      </c>
      <c r="G755" s="4">
        <v>366.43705569645402</v>
      </c>
      <c r="H755" s="4">
        <v>-89.669067211691868</v>
      </c>
      <c r="I755" s="4">
        <v>40918.501164553163</v>
      </c>
      <c r="J755" s="4">
        <v>41008.170231764852</v>
      </c>
    </row>
    <row r="756" spans="1:10">
      <c r="A756" s="3">
        <v>46035.611805555563</v>
      </c>
      <c r="B756" s="4">
        <v>-364.21574516155982</v>
      </c>
      <c r="C756" s="4">
        <v>204578.8197060946</v>
      </c>
      <c r="D756" s="4">
        <v>98960.094690564758</v>
      </c>
      <c r="E756" s="4">
        <v>105618.7250155298</v>
      </c>
      <c r="F756" s="4">
        <v>0</v>
      </c>
      <c r="G756" s="4">
        <v>366.43705569645402</v>
      </c>
      <c r="H756" s="4">
        <v>2.2213105348942008</v>
      </c>
      <c r="I756" s="4">
        <v>40915.763941218916</v>
      </c>
      <c r="J756" s="4">
        <v>40913.542630684024</v>
      </c>
    </row>
    <row r="757" spans="1:10">
      <c r="A757" s="1">
        <v>46035.612500000003</v>
      </c>
      <c r="B757">
        <v>-353.58463809221348</v>
      </c>
      <c r="C757">
        <v>204716.1426064652</v>
      </c>
      <c r="D757">
        <v>99034.07169428475</v>
      </c>
      <c r="E757">
        <v>105682.0709121805</v>
      </c>
      <c r="F757">
        <v>0</v>
      </c>
      <c r="G757">
        <v>366.43705569645402</v>
      </c>
      <c r="H757">
        <v>12.85241760424049</v>
      </c>
      <c r="I757">
        <v>40943.228521293036</v>
      </c>
      <c r="J757">
        <v>40930.376103688803</v>
      </c>
    </row>
    <row r="758" spans="1:10">
      <c r="A758" s="1">
        <v>46035.613194444442</v>
      </c>
      <c r="B758">
        <v>-347.23325811228727</v>
      </c>
      <c r="C758">
        <v>204743.60928532871</v>
      </c>
      <c r="D758">
        <v>99050.980723706452</v>
      </c>
      <c r="E758">
        <v>105692.6285616222</v>
      </c>
      <c r="F758">
        <v>0</v>
      </c>
      <c r="G758">
        <v>366.43705569645402</v>
      </c>
      <c r="H758">
        <v>19.20379758416664</v>
      </c>
      <c r="I758">
        <v>40948.721857065742</v>
      </c>
      <c r="J758">
        <v>40929.518059481583</v>
      </c>
    </row>
    <row r="759" spans="1:10">
      <c r="A759" s="3">
        <v>46035.613888888889</v>
      </c>
      <c r="B759" s="4">
        <v>-224.663782698468</v>
      </c>
      <c r="C759" s="4">
        <v>204823.9481629754</v>
      </c>
      <c r="D759" s="4">
        <v>99152.434900236723</v>
      </c>
      <c r="E759" s="4">
        <v>105671.51326273871</v>
      </c>
      <c r="F759" s="4">
        <v>0</v>
      </c>
      <c r="G759" s="4">
        <v>366.43705569645402</v>
      </c>
      <c r="H759" s="4">
        <v>141.77327299798591</v>
      </c>
      <c r="I759" s="4">
        <v>40964.789632595093</v>
      </c>
      <c r="J759" s="4">
        <v>40823.016359597103</v>
      </c>
    </row>
    <row r="760" spans="1:10">
      <c r="A760" s="1">
        <v>46035.614583333343</v>
      </c>
      <c r="B760">
        <v>-227.79224992785711</v>
      </c>
      <c r="C760">
        <v>204905.28089128021</v>
      </c>
      <c r="D760">
        <v>99191.537030774431</v>
      </c>
      <c r="E760">
        <v>105713.7438605058</v>
      </c>
      <c r="F760">
        <v>0</v>
      </c>
      <c r="G760">
        <v>366.43705569645402</v>
      </c>
      <c r="H760">
        <v>138.6448057685968</v>
      </c>
      <c r="I760">
        <v>40981.056178256047</v>
      </c>
      <c r="J760">
        <v>40842.411372487448</v>
      </c>
    </row>
    <row r="761" spans="1:10">
      <c r="A761" s="3">
        <v>46035.615277777782</v>
      </c>
      <c r="B761" s="4">
        <v>-393.20468185255891</v>
      </c>
      <c r="C761" s="4">
        <v>204697.63786158839</v>
      </c>
      <c r="D761" s="4">
        <v>99005.009299966187</v>
      </c>
      <c r="E761" s="4">
        <v>105692.6285616222</v>
      </c>
      <c r="F761" s="4">
        <v>0</v>
      </c>
      <c r="G761" s="4">
        <v>366.43705569645402</v>
      </c>
      <c r="H761" s="4">
        <v>-26.767626156104939</v>
      </c>
      <c r="I761" s="4">
        <v>40939.527572317689</v>
      </c>
      <c r="J761" s="4">
        <v>40966.295198473803</v>
      </c>
    </row>
    <row r="762" spans="1:10">
      <c r="A762" s="3">
        <v>46035.615972222222</v>
      </c>
      <c r="B762" s="4">
        <v>-479.85296369204389</v>
      </c>
      <c r="C762" s="4">
        <v>204632.1048786325</v>
      </c>
      <c r="D762" s="4">
        <v>98928.918667568476</v>
      </c>
      <c r="E762" s="4">
        <v>105703.18621106401</v>
      </c>
      <c r="F762" s="4">
        <v>0</v>
      </c>
      <c r="G762" s="4">
        <v>366.43705569645402</v>
      </c>
      <c r="H762" s="4">
        <v>-113.4159079955899</v>
      </c>
      <c r="I762" s="4">
        <v>40926.420975726513</v>
      </c>
      <c r="J762" s="4">
        <v>41039.836883722099</v>
      </c>
    </row>
    <row r="763" spans="1:10">
      <c r="A763" s="1">
        <v>46035.616666666669</v>
      </c>
      <c r="B763">
        <v>-596.70440576328826</v>
      </c>
      <c r="C763">
        <v>204367.4463443764</v>
      </c>
      <c r="D763">
        <v>98738.163679404795</v>
      </c>
      <c r="E763">
        <v>105629.2826649716</v>
      </c>
      <c r="F763">
        <v>0</v>
      </c>
      <c r="G763">
        <v>366.43705569645402</v>
      </c>
      <c r="H763">
        <v>-230.2673500668343</v>
      </c>
      <c r="I763">
        <v>40873.489268875273</v>
      </c>
      <c r="J763">
        <v>41103.756618942098</v>
      </c>
    </row>
    <row r="764" spans="1:10">
      <c r="A764" s="1">
        <v>46035.617361111108</v>
      </c>
      <c r="B764">
        <v>-531.20290464774041</v>
      </c>
      <c r="C764">
        <v>204390.7172477248</v>
      </c>
      <c r="D764">
        <v>98782.549881636791</v>
      </c>
      <c r="E764">
        <v>105608.167366088</v>
      </c>
      <c r="F764">
        <v>0</v>
      </c>
      <c r="G764">
        <v>366.43705569645402</v>
      </c>
      <c r="H764">
        <v>-164.76584895128639</v>
      </c>
      <c r="I764">
        <v>40878.143449544958</v>
      </c>
      <c r="J764">
        <v>41042.909298496248</v>
      </c>
    </row>
    <row r="765" spans="1:10">
      <c r="A765" s="1">
        <v>46035.618055555547</v>
      </c>
      <c r="B765">
        <v>-731.79824404148712</v>
      </c>
      <c r="C765">
        <v>204591.31258711859</v>
      </c>
      <c r="D765">
        <v>98782.549881636791</v>
      </c>
      <c r="E765">
        <v>105808.7627054818</v>
      </c>
      <c r="F765">
        <v>0</v>
      </c>
      <c r="G765">
        <v>366.43705569645402</v>
      </c>
      <c r="H765">
        <v>-365.36118834503321</v>
      </c>
      <c r="I765">
        <v>40918.262517423718</v>
      </c>
      <c r="J765">
        <v>41283.623705768747</v>
      </c>
    </row>
    <row r="766" spans="1:10">
      <c r="A766" s="1">
        <v>46035.618750000001</v>
      </c>
      <c r="B766">
        <v>-705.47233109119634</v>
      </c>
      <c r="C766">
        <v>204427.60081011691</v>
      </c>
      <c r="D766">
        <v>98713.856949611101</v>
      </c>
      <c r="E766">
        <v>105713.7438605058</v>
      </c>
      <c r="F766">
        <v>0</v>
      </c>
      <c r="G766">
        <v>366.43705569645402</v>
      </c>
      <c r="H766">
        <v>-339.03527539474243</v>
      </c>
      <c r="I766">
        <v>40885.520162023393</v>
      </c>
      <c r="J766">
        <v>41224.55543741813</v>
      </c>
    </row>
    <row r="767" spans="1:10">
      <c r="A767" s="1">
        <v>46035.619444444441</v>
      </c>
      <c r="B767">
        <v>-786.77357755564208</v>
      </c>
      <c r="C767">
        <v>204494.1066558373</v>
      </c>
      <c r="D767">
        <v>98706.459249239095</v>
      </c>
      <c r="E767">
        <v>105787.6474065982</v>
      </c>
      <c r="F767">
        <v>0</v>
      </c>
      <c r="G767">
        <v>366.43705569645402</v>
      </c>
      <c r="H767">
        <v>-420.33652185918811</v>
      </c>
      <c r="I767">
        <v>40898.82133116747</v>
      </c>
      <c r="J767">
        <v>41319.157853026663</v>
      </c>
    </row>
    <row r="768" spans="1:10">
      <c r="A768" s="3">
        <v>46035.620138888888</v>
      </c>
      <c r="B768" s="4">
        <v>-826.44609104994151</v>
      </c>
      <c r="C768" s="4">
        <v>204369.97294680879</v>
      </c>
      <c r="D768" s="4">
        <v>98624.556137977677</v>
      </c>
      <c r="E768" s="4">
        <v>105745.4168088311</v>
      </c>
      <c r="F768" s="4">
        <v>0</v>
      </c>
      <c r="G768" s="4">
        <v>366.43705569645402</v>
      </c>
      <c r="H768" s="4">
        <v>-460.00903535348749</v>
      </c>
      <c r="I768" s="4">
        <v>40873.994589361762</v>
      </c>
      <c r="J768" s="4">
        <v>41334.003624715253</v>
      </c>
    </row>
    <row r="769" spans="1:10">
      <c r="A769" s="3">
        <v>46035.620833333327</v>
      </c>
      <c r="B769" s="4">
        <v>-774.21773285087693</v>
      </c>
      <c r="C769" s="4">
        <v>204253.2789139394</v>
      </c>
      <c r="D769" s="4">
        <v>98592.323300642529</v>
      </c>
      <c r="E769" s="4">
        <v>105660.9556132969</v>
      </c>
      <c r="F769" s="4">
        <v>0</v>
      </c>
      <c r="G769" s="4">
        <v>366.43705569645402</v>
      </c>
      <c r="H769" s="4">
        <v>-407.78067715442302</v>
      </c>
      <c r="I769" s="4">
        <v>40850.655782787893</v>
      </c>
      <c r="J769" s="4">
        <v>41258.436459942313</v>
      </c>
    </row>
    <row r="770" spans="1:10">
      <c r="A770" s="3">
        <v>46035.621527777781</v>
      </c>
      <c r="B770" s="4">
        <v>-787.83039189449801</v>
      </c>
      <c r="C770" s="4">
        <v>204493.04984149849</v>
      </c>
      <c r="D770" s="4">
        <v>98705.402434900228</v>
      </c>
      <c r="E770" s="4">
        <v>105787.6474065982</v>
      </c>
      <c r="F770" s="4">
        <v>0</v>
      </c>
      <c r="G770" s="4">
        <v>366.43705569645402</v>
      </c>
      <c r="H770" s="4">
        <v>-421.39333619804398</v>
      </c>
      <c r="I770" s="4">
        <v>40898.609968299686</v>
      </c>
      <c r="J770" s="4">
        <v>41320.003304497739</v>
      </c>
    </row>
    <row r="771" spans="1:10">
      <c r="A771" s="1">
        <v>46035.62222222222</v>
      </c>
      <c r="B771">
        <v>-665.25042253388551</v>
      </c>
      <c r="C771">
        <v>204594.51451197549</v>
      </c>
      <c r="D771">
        <v>98817.424754819061</v>
      </c>
      <c r="E771">
        <v>105777.0897571565</v>
      </c>
      <c r="F771">
        <v>0</v>
      </c>
      <c r="G771">
        <v>366.43705569645402</v>
      </c>
      <c r="H771">
        <v>-298.81336683743149</v>
      </c>
      <c r="I771">
        <v>40918.902902395108</v>
      </c>
      <c r="J771">
        <v>41217.716269232536</v>
      </c>
    </row>
    <row r="772" spans="1:10">
      <c r="A772" s="1">
        <v>46035.622916666667</v>
      </c>
      <c r="B772">
        <v>0</v>
      </c>
      <c r="C772">
        <v>0</v>
      </c>
      <c r="D772">
        <v>0</v>
      </c>
      <c r="E772">
        <v>0</v>
      </c>
      <c r="F772">
        <v>-266.54079006771832</v>
      </c>
      <c r="G772">
        <v>99.896265628735705</v>
      </c>
      <c r="H772">
        <v>99.896265628735705</v>
      </c>
      <c r="I772">
        <v>0</v>
      </c>
      <c r="J772">
        <v>-99.896265628735705</v>
      </c>
    </row>
    <row r="773" spans="1:10">
      <c r="A773" s="1">
        <v>46036.668749999997</v>
      </c>
      <c r="B773">
        <v>0</v>
      </c>
      <c r="C773">
        <v>200225.34820548579</v>
      </c>
      <c r="D773">
        <v>100000</v>
      </c>
      <c r="E773">
        <v>100225.3482054858</v>
      </c>
      <c r="F773">
        <v>0</v>
      </c>
      <c r="G773">
        <v>99.896265628735705</v>
      </c>
      <c r="H773">
        <v>99.896265628735705</v>
      </c>
      <c r="I773">
        <v>40045.069641097172</v>
      </c>
      <c r="J773">
        <v>39945.173375468439</v>
      </c>
    </row>
    <row r="774" spans="1:10">
      <c r="A774" s="3">
        <v>46036.669444444437</v>
      </c>
      <c r="B774" s="4">
        <v>1.003885797144584</v>
      </c>
      <c r="C774" s="4">
        <v>200130.00009339271</v>
      </c>
      <c r="D774" s="4">
        <v>99952.827886851999</v>
      </c>
      <c r="E774" s="4">
        <v>100177.17220654069</v>
      </c>
      <c r="F774" s="4">
        <v>0</v>
      </c>
      <c r="G774" s="4">
        <v>99.896265628735705</v>
      </c>
      <c r="H774" s="4">
        <v>100.9001514258803</v>
      </c>
      <c r="I774" s="4">
        <v>40026.000018678547</v>
      </c>
      <c r="J774" s="4">
        <v>39925.099867252669</v>
      </c>
    </row>
    <row r="775" spans="1:10">
      <c r="A775" s="3">
        <v>46036.670138888891</v>
      </c>
      <c r="B775" s="4">
        <v>141.2747476528175</v>
      </c>
      <c r="C775" s="4">
        <v>200077.5669594678</v>
      </c>
      <c r="D775" s="4">
        <v>99996.746750817387</v>
      </c>
      <c r="E775" s="4">
        <v>100080.8202086504</v>
      </c>
      <c r="F775" s="4">
        <v>0</v>
      </c>
      <c r="G775" s="4">
        <v>99.896265628735705</v>
      </c>
      <c r="H775" s="4">
        <v>241.1710132815532</v>
      </c>
      <c r="I775" s="4">
        <v>40015.513391893561</v>
      </c>
      <c r="J775" s="4">
        <v>39774.342378612011</v>
      </c>
    </row>
    <row r="776" spans="1:10">
      <c r="A776" s="3">
        <v>46036.67083333333</v>
      </c>
      <c r="B776" s="4">
        <v>108.36861255010641</v>
      </c>
      <c r="C776" s="4">
        <v>199986.84962563089</v>
      </c>
      <c r="D776" s="4">
        <v>99934.935016347576</v>
      </c>
      <c r="E776" s="4">
        <v>100051.9146092833</v>
      </c>
      <c r="F776" s="4">
        <v>0</v>
      </c>
      <c r="G776" s="4">
        <v>99.896265628735705</v>
      </c>
      <c r="H776" s="4">
        <v>208.26487817884211</v>
      </c>
      <c r="I776" s="4">
        <v>39997.369925126179</v>
      </c>
      <c r="J776" s="4">
        <v>39789.105046947327</v>
      </c>
    </row>
    <row r="777" spans="1:10">
      <c r="A777" s="1">
        <v>46036.671527777777</v>
      </c>
      <c r="B777">
        <v>-94.600825540142864</v>
      </c>
      <c r="C777">
        <v>200342.72177530441</v>
      </c>
      <c r="D777">
        <v>100011.3863721392</v>
      </c>
      <c r="E777">
        <v>100331.3354031652</v>
      </c>
      <c r="F777">
        <v>0</v>
      </c>
      <c r="G777">
        <v>99.896265628735705</v>
      </c>
      <c r="H777">
        <v>5.2954400885928408</v>
      </c>
      <c r="I777">
        <v>40068.544355060883</v>
      </c>
      <c r="J777">
        <v>40063.248914972282</v>
      </c>
    </row>
    <row r="778" spans="1:10">
      <c r="A778" s="3">
        <v>46036.672222222223</v>
      </c>
      <c r="B778" s="4">
        <v>-230.11636138074081</v>
      </c>
      <c r="C778" s="4">
        <v>200380.63983566631</v>
      </c>
      <c r="D778" s="4">
        <v>99962.587634399853</v>
      </c>
      <c r="E778" s="4">
        <v>100418.0522012664</v>
      </c>
      <c r="F778" s="4">
        <v>0</v>
      </c>
      <c r="G778" s="4">
        <v>99.896265628735705</v>
      </c>
      <c r="H778" s="4">
        <v>-130.22009575200511</v>
      </c>
      <c r="I778" s="4">
        <v>40076.12796713326</v>
      </c>
      <c r="J778" s="4">
        <v>40206.348062885263</v>
      </c>
    </row>
    <row r="779" spans="1:10">
      <c r="A779" s="3">
        <v>46036.67291666667</v>
      </c>
      <c r="B779" s="4">
        <v>-205.96608802873959</v>
      </c>
      <c r="C779" s="4">
        <v>200366.24930986221</v>
      </c>
      <c r="D779" s="4">
        <v>99967.467508173795</v>
      </c>
      <c r="E779" s="4">
        <v>100398.7818016884</v>
      </c>
      <c r="F779" s="4">
        <v>0</v>
      </c>
      <c r="G779" s="4">
        <v>99.896265628735705</v>
      </c>
      <c r="H779" s="4">
        <v>-106.0698224000039</v>
      </c>
      <c r="I779" s="4">
        <v>40073.249861972443</v>
      </c>
      <c r="J779" s="4">
        <v>40179.319684372444</v>
      </c>
    </row>
    <row r="780" spans="1:10">
      <c r="A780" s="3">
        <v>46036.673611111109</v>
      </c>
      <c r="B780" s="4">
        <v>-345.98785436675882</v>
      </c>
      <c r="C780" s="4">
        <v>200457.47233846091</v>
      </c>
      <c r="D780" s="4">
        <v>99943.06813930413</v>
      </c>
      <c r="E780" s="4">
        <v>100514.40419915671</v>
      </c>
      <c r="F780" s="4">
        <v>0</v>
      </c>
      <c r="G780" s="4">
        <v>99.896265628735705</v>
      </c>
      <c r="H780" s="4">
        <v>-246.09158873802309</v>
      </c>
      <c r="I780" s="4">
        <v>40091.494467692173</v>
      </c>
      <c r="J780" s="4">
        <v>40337.586056430198</v>
      </c>
    </row>
    <row r="781" spans="1:10">
      <c r="A781" s="3">
        <v>46036.674305555563</v>
      </c>
      <c r="B781" s="4">
        <v>-386.90256466719541</v>
      </c>
      <c r="C781" s="4">
        <v>200378.01682900431</v>
      </c>
      <c r="D781" s="4">
        <v>99882.883029425633</v>
      </c>
      <c r="E781" s="4">
        <v>100495.1337995787</v>
      </c>
      <c r="F781" s="4">
        <v>0</v>
      </c>
      <c r="G781" s="4">
        <v>99.896265628735705</v>
      </c>
      <c r="H781" s="4">
        <v>-287.0062990384597</v>
      </c>
      <c r="I781" s="4">
        <v>40075.603365800867</v>
      </c>
      <c r="J781" s="4">
        <v>40362.609664839329</v>
      </c>
    </row>
    <row r="782" spans="1:10">
      <c r="A782" s="1">
        <v>46036.675000000003</v>
      </c>
      <c r="B782">
        <v>-439.70934186860927</v>
      </c>
      <c r="C782">
        <v>200460.10284884929</v>
      </c>
      <c r="D782">
        <v>99897.522650747429</v>
      </c>
      <c r="E782">
        <v>100562.5801981019</v>
      </c>
      <c r="F782">
        <v>0</v>
      </c>
      <c r="G782">
        <v>99.896265628735705</v>
      </c>
      <c r="H782">
        <v>-339.81307623987362</v>
      </c>
      <c r="I782">
        <v>40092.020569769869</v>
      </c>
      <c r="J782">
        <v>40431.833646009742</v>
      </c>
    </row>
    <row r="783" spans="1:10">
      <c r="A783" s="1">
        <v>46036.675694444442</v>
      </c>
      <c r="B783">
        <v>-502.14381513256109</v>
      </c>
      <c r="C783">
        <v>200301.3163776951</v>
      </c>
      <c r="D783">
        <v>99786.912178538318</v>
      </c>
      <c r="E783">
        <v>100514.40419915671</v>
      </c>
      <c r="F783">
        <v>0</v>
      </c>
      <c r="G783">
        <v>99.896265628735705</v>
      </c>
      <c r="H783">
        <v>-402.24754950382538</v>
      </c>
      <c r="I783">
        <v>40060.263275539022</v>
      </c>
      <c r="J783">
        <v>40462.510825042838</v>
      </c>
    </row>
    <row r="784" spans="1:10">
      <c r="A784" s="3">
        <v>46036.676388888889</v>
      </c>
      <c r="B784" s="4">
        <v>-474.36664932144947</v>
      </c>
      <c r="C784" s="4">
        <v>200348.3639430842</v>
      </c>
      <c r="D784" s="4">
        <v>99824.324544138464</v>
      </c>
      <c r="E784" s="4">
        <v>100524.0393989458</v>
      </c>
      <c r="F784" s="4">
        <v>0</v>
      </c>
      <c r="G784" s="4">
        <v>99.896265628735705</v>
      </c>
      <c r="H784" s="4">
        <v>-374.47038369271382</v>
      </c>
      <c r="I784" s="4">
        <v>40069.672788616852</v>
      </c>
      <c r="J784" s="4">
        <v>40444.143172309567</v>
      </c>
    </row>
    <row r="785" spans="1:10">
      <c r="A785" s="3">
        <v>46036.677083333343</v>
      </c>
      <c r="B785" s="4">
        <v>-495.51276900850468</v>
      </c>
      <c r="C785" s="4">
        <v>200327.21782339719</v>
      </c>
      <c r="D785" s="4">
        <v>99803.178424451413</v>
      </c>
      <c r="E785" s="4">
        <v>100524.0393989458</v>
      </c>
      <c r="F785" s="4">
        <v>0</v>
      </c>
      <c r="G785" s="4">
        <v>99.896265628735705</v>
      </c>
      <c r="H785" s="4">
        <v>-395.61650337976897</v>
      </c>
      <c r="I785" s="4">
        <v>40065.443564679437</v>
      </c>
      <c r="J785" s="4">
        <v>40461.060068059211</v>
      </c>
    </row>
    <row r="786" spans="1:10">
      <c r="A786" s="1">
        <v>46036.677777777782</v>
      </c>
      <c r="B786">
        <v>-515.53045513955828</v>
      </c>
      <c r="C786">
        <v>200230.11853895389</v>
      </c>
      <c r="D786">
        <v>99744.619939164244</v>
      </c>
      <c r="E786">
        <v>100485.4985997897</v>
      </c>
      <c r="F786">
        <v>0</v>
      </c>
      <c r="G786">
        <v>99.896265628735705</v>
      </c>
      <c r="H786">
        <v>-415.63418951082258</v>
      </c>
      <c r="I786">
        <v>40046.02370779078</v>
      </c>
      <c r="J786">
        <v>40461.6578973016</v>
      </c>
    </row>
    <row r="787" spans="1:10">
      <c r="A787" s="1">
        <v>46036.678472222222</v>
      </c>
      <c r="B787">
        <v>-465.72783160309029</v>
      </c>
      <c r="C787">
        <v>200183.56916459999</v>
      </c>
      <c r="D787">
        <v>99746.246563755558</v>
      </c>
      <c r="E787">
        <v>100437.32260084451</v>
      </c>
      <c r="F787">
        <v>0</v>
      </c>
      <c r="G787">
        <v>99.896265628735705</v>
      </c>
      <c r="H787">
        <v>-365.83156597435459</v>
      </c>
      <c r="I787">
        <v>40036.71383292001</v>
      </c>
      <c r="J787">
        <v>40402.545398894363</v>
      </c>
    </row>
    <row r="788" spans="1:10">
      <c r="A788" s="1">
        <v>46036.679166666669</v>
      </c>
      <c r="B788">
        <v>-457.96835192303712</v>
      </c>
      <c r="C788">
        <v>200133.51744554591</v>
      </c>
      <c r="D788">
        <v>99725.100444068521</v>
      </c>
      <c r="E788">
        <v>100408.4170014774</v>
      </c>
      <c r="F788">
        <v>0</v>
      </c>
      <c r="G788">
        <v>99.896265628735705</v>
      </c>
      <c r="H788">
        <v>-358.07208629430141</v>
      </c>
      <c r="I788">
        <v>40026.70348910919</v>
      </c>
      <c r="J788">
        <v>40384.775575403488</v>
      </c>
    </row>
    <row r="789" spans="1:10">
      <c r="A789" s="3">
        <v>46036.679861111108</v>
      </c>
      <c r="B789" s="4">
        <v>-351.10931993188899</v>
      </c>
      <c r="C789" s="4">
        <v>200163.29487922479</v>
      </c>
      <c r="D789" s="4">
        <v>99793.418676903559</v>
      </c>
      <c r="E789" s="4">
        <v>100369.87620232131</v>
      </c>
      <c r="F789" s="4">
        <v>0</v>
      </c>
      <c r="G789" s="4">
        <v>99.896265628735705</v>
      </c>
      <c r="H789" s="4">
        <v>-251.21305430315331</v>
      </c>
      <c r="I789" s="4">
        <v>40032.65897584497</v>
      </c>
      <c r="J789" s="4">
        <v>40283.872030148123</v>
      </c>
    </row>
    <row r="790" spans="1:10">
      <c r="A790" s="1">
        <v>46036.680555555547</v>
      </c>
      <c r="B790">
        <v>-314.20264909355672</v>
      </c>
      <c r="C790">
        <v>200373.6351462657</v>
      </c>
      <c r="D790">
        <v>99917.042145843167</v>
      </c>
      <c r="E790">
        <v>100456.5930004226</v>
      </c>
      <c r="F790">
        <v>0</v>
      </c>
      <c r="G790">
        <v>99.896265628735705</v>
      </c>
      <c r="H790">
        <v>-214.30638346482101</v>
      </c>
      <c r="I790">
        <v>40074.727029253147</v>
      </c>
      <c r="J790">
        <v>40289.033412717967</v>
      </c>
    </row>
    <row r="791" spans="1:10">
      <c r="A791" s="1">
        <v>46036.681250000001</v>
      </c>
      <c r="B791">
        <v>-230.11636138074081</v>
      </c>
      <c r="C791">
        <v>200380.63983566631</v>
      </c>
      <c r="D791">
        <v>99962.587634399853</v>
      </c>
      <c r="E791">
        <v>100418.0522012664</v>
      </c>
      <c r="F791">
        <v>0</v>
      </c>
      <c r="G791">
        <v>99.896265628735705</v>
      </c>
      <c r="H791">
        <v>-130.22009575200511</v>
      </c>
      <c r="I791">
        <v>40076.12796713326</v>
      </c>
      <c r="J791">
        <v>40206.348062885263</v>
      </c>
    </row>
    <row r="792" spans="1:10">
      <c r="A792" s="3">
        <v>46036.681944444441</v>
      </c>
      <c r="B792" s="4">
        <v>-232.7468717691759</v>
      </c>
      <c r="C792" s="4">
        <v>200474.36132316821</v>
      </c>
      <c r="D792" s="4">
        <v>100008.1331229566</v>
      </c>
      <c r="E792" s="4">
        <v>100466.2282002116</v>
      </c>
      <c r="F792" s="4">
        <v>0</v>
      </c>
      <c r="G792" s="4">
        <v>99.896265628735705</v>
      </c>
      <c r="H792" s="4">
        <v>-132.85060614044019</v>
      </c>
      <c r="I792" s="4">
        <v>40094.872264633632</v>
      </c>
      <c r="J792" s="4">
        <v>40227.722870774072</v>
      </c>
    </row>
    <row r="793" spans="1:10">
      <c r="A793" s="3">
        <v>46036.682638888888</v>
      </c>
      <c r="B793" s="4">
        <v>-254.39868621802651</v>
      </c>
      <c r="C793" s="4">
        <v>200626.14310492191</v>
      </c>
      <c r="D793" s="4">
        <v>100073.19810660899</v>
      </c>
      <c r="E793" s="4">
        <v>100552.9449983129</v>
      </c>
      <c r="F793" s="4">
        <v>0</v>
      </c>
      <c r="G793" s="4">
        <v>99.896265628735705</v>
      </c>
      <c r="H793" s="4">
        <v>-154.50242058929081</v>
      </c>
      <c r="I793" s="4">
        <v>40125.228620984373</v>
      </c>
      <c r="J793" s="4">
        <v>40279.731041573657</v>
      </c>
    </row>
    <row r="794" spans="1:10">
      <c r="A794" s="1">
        <v>46036.683333333327</v>
      </c>
      <c r="B794">
        <v>-280.30013192017037</v>
      </c>
      <c r="C794">
        <v>200619.51205879779</v>
      </c>
      <c r="D794">
        <v>100056.9318606959</v>
      </c>
      <c r="E794">
        <v>100562.5801981019</v>
      </c>
      <c r="F794">
        <v>0</v>
      </c>
      <c r="G794">
        <v>99.896265628735705</v>
      </c>
      <c r="H794">
        <v>-180.4038662914347</v>
      </c>
      <c r="I794">
        <v>40123.902411759547</v>
      </c>
      <c r="J794">
        <v>40304.306278050994</v>
      </c>
    </row>
    <row r="795" spans="1:10">
      <c r="A795" s="3">
        <v>46036.684027777781</v>
      </c>
      <c r="B795" s="4">
        <v>0</v>
      </c>
      <c r="C795" s="4">
        <v>0</v>
      </c>
      <c r="D795" s="4">
        <v>0</v>
      </c>
      <c r="E795" s="4">
        <v>0</v>
      </c>
      <c r="F795" s="4">
        <v>-273.24817479039211</v>
      </c>
      <c r="G795" s="4">
        <v>-173.35190916165641</v>
      </c>
      <c r="H795" s="4">
        <v>-173.35190916165641</v>
      </c>
      <c r="I795" s="4">
        <v>0</v>
      </c>
      <c r="J795" s="4">
        <v>173.35190916165641</v>
      </c>
    </row>
    <row r="796" spans="1:10">
      <c r="A796" s="3">
        <v>46038.60833333333</v>
      </c>
      <c r="B796" s="4">
        <v>0</v>
      </c>
      <c r="C796" s="4">
        <v>200225.34820548579</v>
      </c>
      <c r="D796" s="4">
        <v>100225.3482054858</v>
      </c>
      <c r="E796" s="4">
        <v>100000</v>
      </c>
      <c r="F796" s="4">
        <v>0</v>
      </c>
      <c r="G796" s="4">
        <v>-173.35190916165641</v>
      </c>
      <c r="H796" s="4">
        <v>-173.35190916165641</v>
      </c>
      <c r="I796" s="4">
        <v>40045.069641097172</v>
      </c>
      <c r="J796" s="4">
        <v>40218.421550258827</v>
      </c>
    </row>
    <row r="797" spans="1:10">
      <c r="A797" s="3">
        <v>46038.609027777777</v>
      </c>
      <c r="B797" s="4">
        <v>-102.81063732912931</v>
      </c>
      <c r="C797" s="4">
        <v>200366.3617580829</v>
      </c>
      <c r="D797" s="4">
        <v>100244.4496631198</v>
      </c>
      <c r="E797" s="4">
        <v>100121.9120949631</v>
      </c>
      <c r="F797" s="4">
        <v>0</v>
      </c>
      <c r="G797" s="4">
        <v>-173.35190916165641</v>
      </c>
      <c r="H797" s="4">
        <v>-276.1625464907857</v>
      </c>
      <c r="I797" s="4">
        <v>40073.272351616593</v>
      </c>
      <c r="J797" s="4">
        <v>40349.434898107371</v>
      </c>
    </row>
    <row r="798" spans="1:10">
      <c r="A798" s="3">
        <v>46038.609722222223</v>
      </c>
      <c r="B798" s="4">
        <v>-153.84640469846499</v>
      </c>
      <c r="C798" s="4">
        <v>200340.99169491639</v>
      </c>
      <c r="D798" s="4">
        <v>100206.2467478519</v>
      </c>
      <c r="E798" s="4">
        <v>100134.74494706449</v>
      </c>
      <c r="F798" s="4">
        <v>0</v>
      </c>
      <c r="G798" s="4">
        <v>-173.35190916165641</v>
      </c>
      <c r="H798" s="4">
        <v>-327.1983138601214</v>
      </c>
      <c r="I798" s="4">
        <v>40068.198338983268</v>
      </c>
      <c r="J798" s="4">
        <v>40395.396652843403</v>
      </c>
    </row>
    <row r="799" spans="1:10">
      <c r="A799" s="3">
        <v>46038.61041666667</v>
      </c>
      <c r="B799" s="4">
        <v>-100.19370637614099</v>
      </c>
      <c r="C799" s="4">
        <v>200516.55648820181</v>
      </c>
      <c r="D799" s="4">
        <v>100320.8554936557</v>
      </c>
      <c r="E799" s="4">
        <v>100195.700994546</v>
      </c>
      <c r="F799" s="4">
        <v>0</v>
      </c>
      <c r="G799" s="4">
        <v>-173.35190916165641</v>
      </c>
      <c r="H799" s="4">
        <v>-273.5456155377974</v>
      </c>
      <c r="I799" s="4">
        <v>40103.311297640357</v>
      </c>
      <c r="J799" s="4">
        <v>40376.856913178162</v>
      </c>
    </row>
    <row r="800" spans="1:10">
      <c r="A800" s="3">
        <v>46038.611111111109</v>
      </c>
      <c r="B800" s="4">
        <v>42.571773251704137</v>
      </c>
      <c r="C800" s="4">
        <v>200373.79100857399</v>
      </c>
      <c r="D800" s="4">
        <v>100320.8554936557</v>
      </c>
      <c r="E800" s="4">
        <v>100052.93551491819</v>
      </c>
      <c r="F800" s="4">
        <v>0</v>
      </c>
      <c r="G800" s="4">
        <v>-173.35190916165641</v>
      </c>
      <c r="H800" s="4">
        <v>-130.78013590995229</v>
      </c>
      <c r="I800" s="4">
        <v>40074.758201714787</v>
      </c>
      <c r="J800" s="4">
        <v>40205.538337624748</v>
      </c>
    </row>
    <row r="801" spans="1:10">
      <c r="A801" s="3">
        <v>46038.611805555563</v>
      </c>
      <c r="B801" s="4">
        <v>20.631653887595871</v>
      </c>
      <c r="C801" s="4">
        <v>200262.02092450019</v>
      </c>
      <c r="D801" s="4">
        <v>100254.0003919368</v>
      </c>
      <c r="E801" s="4">
        <v>100008.0205325634</v>
      </c>
      <c r="F801" s="4">
        <v>0</v>
      </c>
      <c r="G801" s="4">
        <v>-173.35190916165641</v>
      </c>
      <c r="H801" s="4">
        <v>-152.72025527406049</v>
      </c>
      <c r="I801" s="4">
        <v>40052.404184900042</v>
      </c>
      <c r="J801" s="4">
        <v>40205.124440174113</v>
      </c>
    </row>
    <row r="802" spans="1:10">
      <c r="A802" s="3">
        <v>46038.612500000003</v>
      </c>
      <c r="B802" s="4">
        <v>-71.098058370899935</v>
      </c>
      <c r="C802" s="4">
        <v>200430.15646729461</v>
      </c>
      <c r="D802" s="4">
        <v>100292.20330720481</v>
      </c>
      <c r="E802" s="4">
        <v>100137.9531600898</v>
      </c>
      <c r="F802" s="4">
        <v>0</v>
      </c>
      <c r="G802" s="4">
        <v>-173.35190916165641</v>
      </c>
      <c r="H802" s="4">
        <v>-244.44996753255629</v>
      </c>
      <c r="I802" s="4">
        <v>40086.031293458916</v>
      </c>
      <c r="J802" s="4">
        <v>40330.481260991481</v>
      </c>
    </row>
    <row r="803" spans="1:10">
      <c r="A803" s="3">
        <v>46038.613194444442</v>
      </c>
      <c r="B803" s="4">
        <v>-76.997112608280119</v>
      </c>
      <c r="C803" s="4">
        <v>200302.3453180941</v>
      </c>
      <c r="D803" s="4">
        <v>100225.3482054858</v>
      </c>
      <c r="E803" s="4">
        <v>100076.9971126083</v>
      </c>
      <c r="F803" s="4">
        <v>0</v>
      </c>
      <c r="G803" s="4">
        <v>-173.35190916165641</v>
      </c>
      <c r="H803" s="4">
        <v>-250.34902176993651</v>
      </c>
      <c r="I803" s="4">
        <v>40060.469063618832</v>
      </c>
      <c r="J803" s="4">
        <v>40310.818085388768</v>
      </c>
    </row>
    <row r="804" spans="1:10">
      <c r="A804" s="1">
        <v>46038.613888888889</v>
      </c>
      <c r="B804">
        <v>-94.790104765774373</v>
      </c>
      <c r="C804">
        <v>200358.3412255196</v>
      </c>
      <c r="D804">
        <v>100244.4496631198</v>
      </c>
      <c r="E804">
        <v>100113.8915623998</v>
      </c>
      <c r="F804">
        <v>0</v>
      </c>
      <c r="G804">
        <v>-173.35190916165641</v>
      </c>
      <c r="H804">
        <v>-268.14201392743081</v>
      </c>
      <c r="I804">
        <v>40071.668245103923</v>
      </c>
      <c r="J804">
        <v>40339.810259031357</v>
      </c>
    </row>
    <row r="805" spans="1:10">
      <c r="A805" s="3">
        <v>46038.614583333343</v>
      </c>
      <c r="B805" s="4">
        <v>-185.18943236147231</v>
      </c>
      <c r="C805" s="4">
        <v>200181.3201462396</v>
      </c>
      <c r="D805" s="4">
        <v>100110.73945968199</v>
      </c>
      <c r="E805" s="4">
        <v>100070.5806865576</v>
      </c>
      <c r="F805" s="4">
        <v>0</v>
      </c>
      <c r="G805" s="4">
        <v>-173.35190916165641</v>
      </c>
      <c r="H805" s="4">
        <v>-358.54134152312872</v>
      </c>
      <c r="I805" s="4">
        <v>40036.264029247919</v>
      </c>
      <c r="J805" s="4">
        <v>40394.80537077105</v>
      </c>
    </row>
    <row r="806" spans="1:10">
      <c r="A806" s="1">
        <v>46038.615277777782</v>
      </c>
      <c r="B806">
        <v>-232.35179437404889</v>
      </c>
      <c r="C806">
        <v>199980.1635590104</v>
      </c>
      <c r="D806">
        <v>99986.579985061107</v>
      </c>
      <c r="E806">
        <v>99993.58357394932</v>
      </c>
      <c r="F806">
        <v>0</v>
      </c>
      <c r="G806">
        <v>-173.35190916165641</v>
      </c>
      <c r="H806">
        <v>-405.7037035357053</v>
      </c>
      <c r="I806">
        <v>39996.032711802087</v>
      </c>
      <c r="J806">
        <v>40401.736415337793</v>
      </c>
    </row>
    <row r="807" spans="1:10">
      <c r="A807" s="3">
        <v>46038.615972222222</v>
      </c>
      <c r="B807" s="4">
        <v>-277.19286646982761</v>
      </c>
      <c r="C807" s="4">
        <v>200005.9031734723</v>
      </c>
      <c r="D807" s="4">
        <v>99977.029256244132</v>
      </c>
      <c r="E807" s="4">
        <v>100028.87391722811</v>
      </c>
      <c r="F807" s="4">
        <v>0</v>
      </c>
      <c r="G807" s="4">
        <v>-173.35190916165641</v>
      </c>
      <c r="H807" s="4">
        <v>-450.54477563148401</v>
      </c>
      <c r="I807" s="4">
        <v>40001.180634694458</v>
      </c>
      <c r="J807" s="4">
        <v>40451.72541032594</v>
      </c>
    </row>
    <row r="808" spans="1:10">
      <c r="A808" s="1">
        <v>46038.616666666669</v>
      </c>
      <c r="B808">
        <v>-183.71122718054741</v>
      </c>
      <c r="C808">
        <v>199797.81278837909</v>
      </c>
      <c r="D808">
        <v>99919.724883342191</v>
      </c>
      <c r="E808">
        <v>99878.087905036897</v>
      </c>
      <c r="F808">
        <v>0</v>
      </c>
      <c r="G808">
        <v>-173.35190916165641</v>
      </c>
      <c r="H808">
        <v>-357.06313634220379</v>
      </c>
      <c r="I808">
        <v>39959.562557675818</v>
      </c>
      <c r="J808">
        <v>40316.625694018017</v>
      </c>
    </row>
    <row r="809" spans="1:10">
      <c r="A809" s="1">
        <v>46038.617361111108</v>
      </c>
      <c r="B809">
        <v>-55.53052668485455</v>
      </c>
      <c r="C809">
        <v>199707.83500315141</v>
      </c>
      <c r="D809">
        <v>99938.826340976171</v>
      </c>
      <c r="E809">
        <v>99769.008662175183</v>
      </c>
      <c r="F809">
        <v>0</v>
      </c>
      <c r="G809">
        <v>-173.35190916165641</v>
      </c>
      <c r="H809">
        <v>-228.88243584651099</v>
      </c>
      <c r="I809">
        <v>39941.567000630283</v>
      </c>
      <c r="J809">
        <v>40170.449436476789</v>
      </c>
    </row>
    <row r="810" spans="1:10">
      <c r="A810" s="1">
        <v>46038.618055555547</v>
      </c>
      <c r="B810">
        <v>45.084722059236469</v>
      </c>
      <c r="C810">
        <v>199721.82850021109</v>
      </c>
      <c r="D810">
        <v>99996.130713878112</v>
      </c>
      <c r="E810">
        <v>99725.697786333025</v>
      </c>
      <c r="F810">
        <v>0</v>
      </c>
      <c r="G810">
        <v>-173.35190916165641</v>
      </c>
      <c r="H810">
        <v>-128.26718710241991</v>
      </c>
      <c r="I810">
        <v>39944.365700042217</v>
      </c>
      <c r="J810">
        <v>40072.632887144653</v>
      </c>
    </row>
    <row r="811" spans="1:10">
      <c r="A811" s="1">
        <v>46038.618750000001</v>
      </c>
      <c r="B811">
        <v>0</v>
      </c>
      <c r="C811">
        <v>0</v>
      </c>
      <c r="D811">
        <v>0</v>
      </c>
      <c r="E811">
        <v>0</v>
      </c>
      <c r="F811">
        <v>44.436810188979052</v>
      </c>
      <c r="G811">
        <v>-128.91509897267741</v>
      </c>
      <c r="H811">
        <v>-128.91509897267741</v>
      </c>
      <c r="I811">
        <v>0</v>
      </c>
      <c r="J811">
        <v>128.91509897267741</v>
      </c>
    </row>
    <row r="812" spans="1:10">
      <c r="A812" s="1">
        <v>46038.840277777781</v>
      </c>
      <c r="B812">
        <v>0</v>
      </c>
      <c r="C812">
        <v>200225.34820548579</v>
      </c>
      <c r="D812">
        <v>100000</v>
      </c>
      <c r="E812">
        <v>100225.3482054858</v>
      </c>
      <c r="F812">
        <v>0</v>
      </c>
      <c r="G812">
        <v>-128.91509897267741</v>
      </c>
      <c r="H812">
        <v>-128.91509897267741</v>
      </c>
      <c r="I812">
        <v>40045.069641097172</v>
      </c>
      <c r="J812">
        <v>40173.984740069849</v>
      </c>
    </row>
    <row r="813" spans="1:10">
      <c r="A813" s="3">
        <v>46038.84097222222</v>
      </c>
      <c r="B813" s="4">
        <v>8.3636776527106491</v>
      </c>
      <c r="C813" s="4">
        <v>200290.3310422792</v>
      </c>
      <c r="D813" s="4">
        <v>100036.673257223</v>
      </c>
      <c r="E813" s="4">
        <v>100253.6577850562</v>
      </c>
      <c r="F813" s="4">
        <v>0</v>
      </c>
      <c r="G813" s="4">
        <v>-128.91509897267741</v>
      </c>
      <c r="H813" s="4">
        <v>-120.55142131996671</v>
      </c>
      <c r="I813" s="4">
        <v>40058.06620845585</v>
      </c>
      <c r="J813" s="4">
        <v>40178.617629775807</v>
      </c>
    </row>
    <row r="814" spans="1:10">
      <c r="A814" s="1">
        <v>46038.841666666667</v>
      </c>
      <c r="B814">
        <v>8.3636776527106491</v>
      </c>
      <c r="C814">
        <v>200290.3310422792</v>
      </c>
      <c r="D814">
        <v>100036.673257223</v>
      </c>
      <c r="E814">
        <v>100253.6577850562</v>
      </c>
      <c r="F814">
        <v>0</v>
      </c>
      <c r="G814">
        <v>-128.91509897267741</v>
      </c>
      <c r="H814">
        <v>-120.55142131996671</v>
      </c>
      <c r="I814">
        <v>40058.06620845585</v>
      </c>
      <c r="J814">
        <v>40178.617629775807</v>
      </c>
    </row>
    <row r="815" spans="1:10">
      <c r="A815" s="1">
        <v>46038.842361111107</v>
      </c>
      <c r="B815">
        <v>74.128975306699076</v>
      </c>
      <c r="C815">
        <v>200412.71549907391</v>
      </c>
      <c r="D815">
        <v>100130.74813444741</v>
      </c>
      <c r="E815">
        <v>100281.9673646265</v>
      </c>
      <c r="F815">
        <v>0</v>
      </c>
      <c r="G815">
        <v>-128.91509897267741</v>
      </c>
      <c r="H815">
        <v>-54.78612366597828</v>
      </c>
      <c r="I815">
        <v>40082.543099814779</v>
      </c>
      <c r="J815">
        <v>40137.32922348076</v>
      </c>
    </row>
    <row r="816" spans="1:10">
      <c r="A816" s="1">
        <v>46038.843055555553</v>
      </c>
      <c r="B816">
        <v>105.497123622549</v>
      </c>
      <c r="C816">
        <v>200368.59143520219</v>
      </c>
      <c r="D816">
        <v>100124.3701766694</v>
      </c>
      <c r="E816">
        <v>100244.22125853279</v>
      </c>
      <c r="F816">
        <v>0</v>
      </c>
      <c r="G816">
        <v>-128.91509897267741</v>
      </c>
      <c r="H816">
        <v>-23.417975350128359</v>
      </c>
      <c r="I816">
        <v>40073.718287040443</v>
      </c>
      <c r="J816">
        <v>40097.136262390573</v>
      </c>
    </row>
    <row r="817" spans="1:10">
      <c r="A817" s="1">
        <v>46038.84375</v>
      </c>
      <c r="B817">
        <v>39.050207528137413</v>
      </c>
      <c r="C817">
        <v>200377.63673129529</v>
      </c>
      <c r="D817">
        <v>100095.66936666879</v>
      </c>
      <c r="E817">
        <v>100281.9673646265</v>
      </c>
      <c r="F817">
        <v>0</v>
      </c>
      <c r="G817">
        <v>-128.91509897267741</v>
      </c>
      <c r="H817">
        <v>-89.86489144453995</v>
      </c>
      <c r="I817">
        <v>40075.52734625907</v>
      </c>
      <c r="J817">
        <v>40165.392237703607</v>
      </c>
    </row>
    <row r="818" spans="1:10">
      <c r="A818" s="1">
        <v>46038.844444444447</v>
      </c>
      <c r="B818">
        <v>9.9581670971890759</v>
      </c>
      <c r="C818">
        <v>200291.92553172371</v>
      </c>
      <c r="D818">
        <v>100038.26774666749</v>
      </c>
      <c r="E818">
        <v>100253.6577850562</v>
      </c>
      <c r="F818">
        <v>0</v>
      </c>
      <c r="G818">
        <v>-128.91509897267741</v>
      </c>
      <c r="H818">
        <v>-118.95693187548829</v>
      </c>
      <c r="I818">
        <v>40058.385106344736</v>
      </c>
      <c r="J818">
        <v>40177.342038220231</v>
      </c>
    </row>
    <row r="819" spans="1:10">
      <c r="A819" s="3">
        <v>46038.845138888893</v>
      </c>
      <c r="B819" s="4">
        <v>11.552656541667499</v>
      </c>
      <c r="C819" s="4">
        <v>200293.52002116819</v>
      </c>
      <c r="D819" s="4">
        <v>100039.86223611201</v>
      </c>
      <c r="E819" s="4">
        <v>100253.6577850562</v>
      </c>
      <c r="F819" s="4">
        <v>0</v>
      </c>
      <c r="G819" s="4">
        <v>-128.91509897267741</v>
      </c>
      <c r="H819" s="4">
        <v>-117.3624424310099</v>
      </c>
      <c r="I819" s="4">
        <v>40058.704004233638</v>
      </c>
      <c r="J819" s="4">
        <v>40176.066446664663</v>
      </c>
    </row>
    <row r="820" spans="1:10">
      <c r="A820" s="3">
        <v>46038.845833333333</v>
      </c>
      <c r="B820" s="4">
        <v>-20.206722204496231</v>
      </c>
      <c r="C820" s="4">
        <v>200280.63369546889</v>
      </c>
      <c r="D820" s="4">
        <v>100017.53938388931</v>
      </c>
      <c r="E820" s="4">
        <v>100263.0943115796</v>
      </c>
      <c r="F820" s="4">
        <v>0</v>
      </c>
      <c r="G820" s="4">
        <v>-128.91509897267741</v>
      </c>
      <c r="H820" s="4">
        <v>-149.12182117717359</v>
      </c>
      <c r="I820" s="4">
        <v>40056.126739093786</v>
      </c>
      <c r="J820" s="4">
        <v>40205.248560270957</v>
      </c>
    </row>
    <row r="821" spans="1:10">
      <c r="A821" s="1">
        <v>46038.84652777778</v>
      </c>
      <c r="B821">
        <v>-2.5369281717743211</v>
      </c>
      <c r="C821">
        <v>200317.17654254849</v>
      </c>
      <c r="D821">
        <v>100044.6457044455</v>
      </c>
      <c r="E821">
        <v>100272.53083810311</v>
      </c>
      <c r="F821">
        <v>0</v>
      </c>
      <c r="G821">
        <v>-128.91509897267741</v>
      </c>
      <c r="H821">
        <v>-131.4520271444517</v>
      </c>
      <c r="I821">
        <v>40063.43530850971</v>
      </c>
      <c r="J821">
        <v>40194.887335654159</v>
      </c>
    </row>
    <row r="822" spans="1:10">
      <c r="A822" s="3">
        <v>46038.847222222219</v>
      </c>
      <c r="B822" s="4">
        <v>-22.322852222716111</v>
      </c>
      <c r="C822" s="4">
        <v>200203.0253532631</v>
      </c>
      <c r="D822" s="4">
        <v>99977.677147777285</v>
      </c>
      <c r="E822" s="4">
        <v>100225.3482054858</v>
      </c>
      <c r="F822" s="4">
        <v>0</v>
      </c>
      <c r="G822" s="4">
        <v>-128.91509897267741</v>
      </c>
      <c r="H822" s="4">
        <v>-151.23795119539349</v>
      </c>
      <c r="I822" s="4">
        <v>40040.605070652629</v>
      </c>
      <c r="J822" s="4">
        <v>40191.843021848021</v>
      </c>
    </row>
    <row r="823" spans="1:10">
      <c r="A823" s="1">
        <v>46038.847916666673</v>
      </c>
      <c r="B823">
        <v>-83.043861256387089</v>
      </c>
      <c r="C823">
        <v>200123.43129118261</v>
      </c>
      <c r="D823">
        <v>99907.519612220189</v>
      </c>
      <c r="E823">
        <v>100215.91167896239</v>
      </c>
      <c r="F823">
        <v>0</v>
      </c>
      <c r="G823">
        <v>-128.91509897267741</v>
      </c>
      <c r="H823">
        <v>-211.95896022906439</v>
      </c>
      <c r="I823">
        <v>40024.686258236528</v>
      </c>
      <c r="J823">
        <v>40236.645218465586</v>
      </c>
    </row>
    <row r="824" spans="1:10">
      <c r="A824" s="1">
        <v>46038.848611111112</v>
      </c>
      <c r="B824">
        <v>-56.198360987113134</v>
      </c>
      <c r="C824">
        <v>200112.5306853581</v>
      </c>
      <c r="D824">
        <v>99915.492059442578</v>
      </c>
      <c r="E824">
        <v>100197.03862591551</v>
      </c>
      <c r="F824">
        <v>0</v>
      </c>
      <c r="G824">
        <v>-128.91509897267741</v>
      </c>
      <c r="H824">
        <v>-185.1134599597905</v>
      </c>
      <c r="I824">
        <v>40022.506137071621</v>
      </c>
      <c r="J824">
        <v>40207.619597031407</v>
      </c>
    </row>
    <row r="825" spans="1:10">
      <c r="A825" s="1">
        <v>46038.849305555559</v>
      </c>
      <c r="B825">
        <v>-20.046744337814498</v>
      </c>
      <c r="C825">
        <v>200073.19008981981</v>
      </c>
      <c r="D825">
        <v>99913.897569998095</v>
      </c>
      <c r="E825">
        <v>100159.2925198218</v>
      </c>
      <c r="F825">
        <v>0</v>
      </c>
      <c r="G825">
        <v>-128.91509897267741</v>
      </c>
      <c r="H825">
        <v>-148.9618433104919</v>
      </c>
      <c r="I825">
        <v>40014.638017963967</v>
      </c>
      <c r="J825">
        <v>40163.599861274459</v>
      </c>
    </row>
    <row r="826" spans="1:10">
      <c r="A826" s="1">
        <v>46038.85</v>
      </c>
      <c r="B826">
        <v>-42.369596560530617</v>
      </c>
      <c r="C826">
        <v>200050.86723759709</v>
      </c>
      <c r="D826">
        <v>99891.57471777538</v>
      </c>
      <c r="E826">
        <v>100159.2925198218</v>
      </c>
      <c r="F826">
        <v>0</v>
      </c>
      <c r="G826">
        <v>-128.91509897267741</v>
      </c>
      <c r="H826">
        <v>-171.28469553320801</v>
      </c>
      <c r="I826">
        <v>40010.173447519417</v>
      </c>
      <c r="J826">
        <v>40181.45814305263</v>
      </c>
    </row>
    <row r="827" spans="1:10">
      <c r="A827" s="3">
        <v>46038.850694444453</v>
      </c>
      <c r="B827" s="4">
        <v>-68.272658102522101</v>
      </c>
      <c r="C827" s="4">
        <v>199968.34501691451</v>
      </c>
      <c r="D827" s="4">
        <v>99837.362076663063</v>
      </c>
      <c r="E827" s="4">
        <v>100130.9829402514</v>
      </c>
      <c r="F827" s="4">
        <v>0</v>
      </c>
      <c r="G827" s="4">
        <v>-128.91509897267741</v>
      </c>
      <c r="H827" s="4">
        <v>-197.18775707519941</v>
      </c>
      <c r="I827" s="4">
        <v>39993.6690033829</v>
      </c>
      <c r="J827" s="4">
        <v>40190.856760458097</v>
      </c>
    </row>
    <row r="828" spans="1:10">
      <c r="A828" s="1">
        <v>46038.851388888892</v>
      </c>
      <c r="B828">
        <v>-90.595510325238209</v>
      </c>
      <c r="C828">
        <v>199946.02216469179</v>
      </c>
      <c r="D828">
        <v>99815.039224440348</v>
      </c>
      <c r="E828">
        <v>100130.9829402514</v>
      </c>
      <c r="F828">
        <v>0</v>
      </c>
      <c r="G828">
        <v>-128.91509897267741</v>
      </c>
      <c r="H828">
        <v>-219.51060929791561</v>
      </c>
      <c r="I828">
        <v>39989.204432938357</v>
      </c>
      <c r="J828">
        <v>40208.715042236283</v>
      </c>
    </row>
    <row r="829" spans="1:10">
      <c r="A829" s="1">
        <v>46038.852083333331</v>
      </c>
      <c r="B829">
        <v>-144.28651086381771</v>
      </c>
      <c r="C829">
        <v>199967.8233763407</v>
      </c>
      <c r="D829">
        <v>99799.09432999554</v>
      </c>
      <c r="E829">
        <v>100168.72904634519</v>
      </c>
      <c r="F829">
        <v>0</v>
      </c>
      <c r="G829">
        <v>-128.91509897267741</v>
      </c>
      <c r="H829">
        <v>-273.20160983649498</v>
      </c>
      <c r="I829">
        <v>39993.56467526815</v>
      </c>
      <c r="J829">
        <v>40266.766285104648</v>
      </c>
    </row>
    <row r="830" spans="1:10">
      <c r="A830" s="1">
        <v>46038.852777777778</v>
      </c>
      <c r="B830">
        <v>-81.41980408866803</v>
      </c>
      <c r="C830">
        <v>199898.5787117877</v>
      </c>
      <c r="D830">
        <v>99795.905351106587</v>
      </c>
      <c r="E830">
        <v>100102.6733606811</v>
      </c>
      <c r="F830">
        <v>0</v>
      </c>
      <c r="G830">
        <v>-128.91509897267741</v>
      </c>
      <c r="H830">
        <v>-210.33490306134539</v>
      </c>
      <c r="I830">
        <v>39979.715742357541</v>
      </c>
      <c r="J830">
        <v>40190.050645418887</v>
      </c>
    </row>
    <row r="831" spans="1:10">
      <c r="A831" s="3">
        <v>46038.853472222218</v>
      </c>
      <c r="B831" s="4">
        <v>0</v>
      </c>
      <c r="C831" s="4">
        <v>0</v>
      </c>
      <c r="D831" s="4">
        <v>0</v>
      </c>
      <c r="E831" s="4">
        <v>0</v>
      </c>
      <c r="F831" s="4">
        <v>-36.493396788134888</v>
      </c>
      <c r="G831" s="4">
        <v>-165.40849576081229</v>
      </c>
      <c r="H831" s="4">
        <v>-165.40849576081229</v>
      </c>
      <c r="I831" s="4">
        <v>0</v>
      </c>
      <c r="J831" s="4">
        <v>165.40849576081229</v>
      </c>
    </row>
    <row r="832" spans="1:10">
      <c r="A832" s="3">
        <v>46042.604166666657</v>
      </c>
      <c r="B832" s="4">
        <v>0</v>
      </c>
      <c r="C832" s="4">
        <v>200225.34820548579</v>
      </c>
      <c r="D832" s="4">
        <v>100000</v>
      </c>
      <c r="E832" s="4">
        <v>100225.3482054858</v>
      </c>
      <c r="F832" s="4">
        <v>0</v>
      </c>
      <c r="G832" s="4">
        <v>-165.40849576081229</v>
      </c>
      <c r="H832" s="4">
        <v>-165.40849576081229</v>
      </c>
      <c r="I832" s="4">
        <v>40045.069641097172</v>
      </c>
      <c r="J832" s="4">
        <v>40210.478136857993</v>
      </c>
    </row>
    <row r="833" spans="1:10">
      <c r="A833" s="1">
        <v>46042.604861111111</v>
      </c>
      <c r="B833">
        <v>233.00657299818681</v>
      </c>
      <c r="C833">
        <v>200821.59399944809</v>
      </c>
      <c r="D833">
        <v>100414.6261834802</v>
      </c>
      <c r="E833">
        <v>100406.9678159679</v>
      </c>
      <c r="F833">
        <v>0</v>
      </c>
      <c r="G833">
        <v>-165.40849576081229</v>
      </c>
      <c r="H833">
        <v>67.598077237374525</v>
      </c>
      <c r="I833">
        <v>40164.318799889632</v>
      </c>
      <c r="J833">
        <v>40096.720722652259</v>
      </c>
    </row>
    <row r="834" spans="1:10">
      <c r="A834" s="3">
        <v>46042.605555555558</v>
      </c>
      <c r="B834" s="4">
        <v>251.4336098933428</v>
      </c>
      <c r="C834" s="4">
        <v>200878.2567438132</v>
      </c>
      <c r="D834" s="4">
        <v>100452.1710741103</v>
      </c>
      <c r="E834" s="4">
        <v>100426.08566970289</v>
      </c>
      <c r="F834" s="4">
        <v>0</v>
      </c>
      <c r="G834" s="4">
        <v>-165.40849576081229</v>
      </c>
      <c r="H834" s="4">
        <v>86.025114132530518</v>
      </c>
      <c r="I834" s="4">
        <v>40175.651348762643</v>
      </c>
      <c r="J834" s="4">
        <v>40089.626234630123</v>
      </c>
    </row>
    <row r="835" spans="1:10">
      <c r="A835" s="1">
        <v>46042.606249999997</v>
      </c>
      <c r="B835">
        <v>280.26898071212543</v>
      </c>
      <c r="C835">
        <v>200199.73152643879</v>
      </c>
      <c r="D835">
        <v>100127.32615083249</v>
      </c>
      <c r="E835">
        <v>100072.40537560621</v>
      </c>
      <c r="F835">
        <v>0</v>
      </c>
      <c r="G835">
        <v>-165.40849576081229</v>
      </c>
      <c r="H835">
        <v>114.8604849513132</v>
      </c>
      <c r="I835">
        <v>40039.946305287747</v>
      </c>
      <c r="J835">
        <v>39925.085820336441</v>
      </c>
    </row>
    <row r="836" spans="1:10">
      <c r="A836" s="1">
        <v>46042.606944444437</v>
      </c>
      <c r="B836">
        <v>0</v>
      </c>
      <c r="C836">
        <v>0</v>
      </c>
      <c r="D836">
        <v>0</v>
      </c>
      <c r="E836">
        <v>0</v>
      </c>
      <c r="F836">
        <v>504.41477724204123</v>
      </c>
      <c r="G836">
        <v>339.00628148122888</v>
      </c>
      <c r="H836">
        <v>339.00628148122888</v>
      </c>
      <c r="I836">
        <v>0</v>
      </c>
      <c r="J836">
        <v>-339.00628148122888</v>
      </c>
    </row>
    <row r="837" spans="1:10">
      <c r="A837" s="1">
        <v>46043.738194444442</v>
      </c>
      <c r="B837">
        <v>0</v>
      </c>
      <c r="C837">
        <v>200225.34820548579</v>
      </c>
      <c r="D837">
        <v>100000</v>
      </c>
      <c r="E837">
        <v>100225.3482054858</v>
      </c>
      <c r="F837">
        <v>0</v>
      </c>
      <c r="G837">
        <v>339.00628148122888</v>
      </c>
      <c r="H837">
        <v>339.00628148122888</v>
      </c>
      <c r="I837">
        <v>40045.069641097172</v>
      </c>
      <c r="J837">
        <v>39706.063359615953</v>
      </c>
    </row>
    <row r="838" spans="1:10">
      <c r="A838" s="1">
        <v>46043.738888888889</v>
      </c>
      <c r="B838">
        <v>-19.268427165615091</v>
      </c>
      <c r="C838">
        <v>200320.81973047301</v>
      </c>
      <c r="D838">
        <v>100038.1015489108</v>
      </c>
      <c r="E838">
        <v>100282.7181815623</v>
      </c>
      <c r="F838">
        <v>0</v>
      </c>
      <c r="G838">
        <v>339.00628148122888</v>
      </c>
      <c r="H838">
        <v>319.73785431561379</v>
      </c>
      <c r="I838">
        <v>40064.16394609461</v>
      </c>
      <c r="J838">
        <v>39744.426091778987</v>
      </c>
    </row>
    <row r="839" spans="1:10">
      <c r="A839" s="1">
        <v>46043.739583333343</v>
      </c>
      <c r="B839">
        <v>50.220646118204307</v>
      </c>
      <c r="C839">
        <v>200218.19887552771</v>
      </c>
      <c r="D839">
        <v>100021.53565808</v>
      </c>
      <c r="E839">
        <v>100196.6632174477</v>
      </c>
      <c r="F839">
        <v>0</v>
      </c>
      <c r="G839">
        <v>339.00628148122888</v>
      </c>
      <c r="H839">
        <v>389.22692759943322</v>
      </c>
      <c r="I839">
        <v>40043.639775105526</v>
      </c>
      <c r="J839">
        <v>39654.412847506101</v>
      </c>
    </row>
    <row r="840" spans="1:10">
      <c r="A840" s="1">
        <v>46043.740277777782</v>
      </c>
      <c r="B840">
        <v>15.577377180396351</v>
      </c>
      <c r="C840">
        <v>200107.0623051546</v>
      </c>
      <c r="D840">
        <v>99948.645738424602</v>
      </c>
      <c r="E840">
        <v>100158.41656673</v>
      </c>
      <c r="F840">
        <v>0</v>
      </c>
      <c r="G840">
        <v>339.00628148122888</v>
      </c>
      <c r="H840">
        <v>354.58365866162529</v>
      </c>
      <c r="I840">
        <v>40021.41246103093</v>
      </c>
      <c r="J840">
        <v>39666.828802369302</v>
      </c>
    </row>
    <row r="841" spans="1:10">
      <c r="A841" s="3">
        <v>46043.740972222222</v>
      </c>
      <c r="B841" s="4">
        <v>74.836712352133418</v>
      </c>
      <c r="C841" s="4">
        <v>200147.19831496759</v>
      </c>
      <c r="D841" s="4">
        <v>99998.343410916932</v>
      </c>
      <c r="E841" s="4">
        <v>100148.8549040506</v>
      </c>
      <c r="F841" s="4">
        <v>0</v>
      </c>
      <c r="G841" s="4">
        <v>339.00628148122888</v>
      </c>
      <c r="H841" s="4">
        <v>413.84299383336241</v>
      </c>
      <c r="I841" s="4">
        <v>40029.439662993507</v>
      </c>
      <c r="J841" s="4">
        <v>39615.59666916015</v>
      </c>
    </row>
    <row r="842" spans="1:10">
      <c r="A842" s="1">
        <v>46043.741666666669</v>
      </c>
      <c r="B842">
        <v>-68.820997851143403</v>
      </c>
      <c r="C842">
        <v>200194.7738583523</v>
      </c>
      <c r="D842">
        <v>99950.30232750767</v>
      </c>
      <c r="E842">
        <v>100244.4715308447</v>
      </c>
      <c r="F842">
        <v>0</v>
      </c>
      <c r="G842">
        <v>339.00628148122888</v>
      </c>
      <c r="H842">
        <v>270.18528363008562</v>
      </c>
      <c r="I842">
        <v>40038.954771670469</v>
      </c>
      <c r="J842">
        <v>39768.769488040387</v>
      </c>
    </row>
    <row r="843" spans="1:10">
      <c r="A843" s="1">
        <v>46043.742361111108</v>
      </c>
      <c r="B843">
        <v>-88.845168654881903</v>
      </c>
      <c r="C843">
        <v>200251.24298898381</v>
      </c>
      <c r="D843">
        <v>99968.524807421534</v>
      </c>
      <c r="E843">
        <v>100282.7181815623</v>
      </c>
      <c r="F843">
        <v>0</v>
      </c>
      <c r="G843">
        <v>339.00628148122888</v>
      </c>
      <c r="H843">
        <v>250.16111282634711</v>
      </c>
      <c r="I843">
        <v>40050.248597796774</v>
      </c>
      <c r="J843">
        <v>39800.08748497042</v>
      </c>
    </row>
    <row r="844" spans="1:10">
      <c r="A844" s="1">
        <v>46043.743055555547</v>
      </c>
      <c r="B844">
        <v>-64.519306034603687</v>
      </c>
      <c r="C844">
        <v>200332.93882768051</v>
      </c>
      <c r="D844">
        <v>100021.53565808</v>
      </c>
      <c r="E844">
        <v>100311.4031696005</v>
      </c>
      <c r="F844">
        <v>0</v>
      </c>
      <c r="G844">
        <v>339.00628148122888</v>
      </c>
      <c r="H844">
        <v>274.48697544662531</v>
      </c>
      <c r="I844">
        <v>40066.587765536096</v>
      </c>
      <c r="J844">
        <v>39792.100790089469</v>
      </c>
    </row>
    <row r="845" spans="1:10">
      <c r="A845" s="1">
        <v>46043.743750000001</v>
      </c>
      <c r="B845">
        <v>-49.37723427464708</v>
      </c>
      <c r="C845">
        <v>200443.69752623441</v>
      </c>
      <c r="D845">
        <v>100084.486043237</v>
      </c>
      <c r="E845">
        <v>100359.2114829975</v>
      </c>
      <c r="F845">
        <v>0</v>
      </c>
      <c r="G845">
        <v>339.00628148122888</v>
      </c>
      <c r="H845">
        <v>289.62904720658179</v>
      </c>
      <c r="I845">
        <v>40088.739505246893</v>
      </c>
      <c r="J845">
        <v>39799.110458040312</v>
      </c>
    </row>
    <row r="846" spans="1:10">
      <c r="A846" s="1">
        <v>46043.744444444441</v>
      </c>
      <c r="B846">
        <v>10.259972716161119</v>
      </c>
      <c r="C846">
        <v>200503.3347332252</v>
      </c>
      <c r="D846">
        <v>100144.1232502278</v>
      </c>
      <c r="E846">
        <v>100359.2114829975</v>
      </c>
      <c r="F846">
        <v>0</v>
      </c>
      <c r="G846">
        <v>339.00628148122888</v>
      </c>
      <c r="H846">
        <v>349.26625419739003</v>
      </c>
      <c r="I846">
        <v>40100.666946645048</v>
      </c>
      <c r="J846">
        <v>39751.400692447663</v>
      </c>
    </row>
    <row r="847" spans="1:10">
      <c r="A847" s="1">
        <v>46043.745138888888</v>
      </c>
      <c r="B847">
        <v>-0.81317723951920584</v>
      </c>
      <c r="C847">
        <v>200434.89160719319</v>
      </c>
      <c r="D847">
        <v>100104.36511223391</v>
      </c>
      <c r="E847">
        <v>100330.5264949593</v>
      </c>
      <c r="F847">
        <v>0</v>
      </c>
      <c r="G847">
        <v>339.00628148122888</v>
      </c>
      <c r="H847">
        <v>338.19310424170982</v>
      </c>
      <c r="I847">
        <v>40086.978321438633</v>
      </c>
      <c r="J847">
        <v>39748.785217196921</v>
      </c>
    </row>
    <row r="848" spans="1:10">
      <c r="A848" s="3">
        <v>46043.745833333327</v>
      </c>
      <c r="B848" s="4">
        <v>54.987877959262562</v>
      </c>
      <c r="C848" s="4">
        <v>200548.06263846831</v>
      </c>
      <c r="D848" s="4">
        <v>100188.8511554709</v>
      </c>
      <c r="E848" s="4">
        <v>100359.2114829975</v>
      </c>
      <c r="F848" s="4">
        <v>0</v>
      </c>
      <c r="G848" s="4">
        <v>339.00628148122888</v>
      </c>
      <c r="H848" s="4">
        <v>393.9941594404915</v>
      </c>
      <c r="I848" s="4">
        <v>40109.612527693673</v>
      </c>
      <c r="J848" s="4">
        <v>39715.618368253177</v>
      </c>
    </row>
    <row r="849" spans="1:10">
      <c r="A849" s="1">
        <v>46043.746527777781</v>
      </c>
      <c r="B849">
        <v>17.642072686590272</v>
      </c>
      <c r="C849">
        <v>200548.96348391331</v>
      </c>
      <c r="D849">
        <v>100170.628675557</v>
      </c>
      <c r="E849">
        <v>100378.3348083563</v>
      </c>
      <c r="F849">
        <v>0</v>
      </c>
      <c r="G849">
        <v>339.00628148122888</v>
      </c>
      <c r="H849">
        <v>356.64835416781921</v>
      </c>
      <c r="I849">
        <v>40109.792696782657</v>
      </c>
      <c r="J849">
        <v>39753.144342614847</v>
      </c>
    </row>
    <row r="850" spans="1:10">
      <c r="A850" s="1">
        <v>46043.74722222222</v>
      </c>
      <c r="B850">
        <v>18.39781632472727</v>
      </c>
      <c r="C850">
        <v>200587.96587826911</v>
      </c>
      <c r="D850">
        <v>100190.50774455399</v>
      </c>
      <c r="E850">
        <v>100397.4581337151</v>
      </c>
      <c r="F850">
        <v>0</v>
      </c>
      <c r="G850">
        <v>339.00628148122888</v>
      </c>
      <c r="H850">
        <v>357.40409780595621</v>
      </c>
      <c r="I850">
        <v>40117.593175653812</v>
      </c>
      <c r="J850">
        <v>39760.189077847863</v>
      </c>
    </row>
    <row r="851" spans="1:10">
      <c r="A851" s="1">
        <v>46043.747916666667</v>
      </c>
      <c r="B851">
        <v>55.22064797151765</v>
      </c>
      <c r="C851">
        <v>200643.91203527461</v>
      </c>
      <c r="D851">
        <v>100236.8922388802</v>
      </c>
      <c r="E851">
        <v>100407.0197963945</v>
      </c>
      <c r="F851">
        <v>0</v>
      </c>
      <c r="G851">
        <v>339.00628148122888</v>
      </c>
      <c r="H851">
        <v>394.22692945274662</v>
      </c>
      <c r="I851">
        <v>40128.782407054932</v>
      </c>
      <c r="J851">
        <v>39734.555477602189</v>
      </c>
    </row>
    <row r="852" spans="1:10">
      <c r="A852" s="1">
        <v>46043.748611111107</v>
      </c>
      <c r="B852">
        <v>-54.92740875114572</v>
      </c>
      <c r="C852">
        <v>200744.1205574988</v>
      </c>
      <c r="D852">
        <v>100231.9224716309</v>
      </c>
      <c r="E852">
        <v>100512.1980858679</v>
      </c>
      <c r="F852">
        <v>0</v>
      </c>
      <c r="G852">
        <v>339.00628148122888</v>
      </c>
      <c r="H852">
        <v>284.07887273008322</v>
      </c>
      <c r="I852">
        <v>40148.824111499773</v>
      </c>
      <c r="J852">
        <v>39864.745238769683</v>
      </c>
    </row>
    <row r="853" spans="1:10">
      <c r="A853" s="3">
        <v>46043.749305555553</v>
      </c>
      <c r="B853" s="4">
        <v>-4.7067626329278767</v>
      </c>
      <c r="C853" s="4">
        <v>200736.97122754061</v>
      </c>
      <c r="D853" s="4">
        <v>100253.4581297109</v>
      </c>
      <c r="E853" s="4">
        <v>100483.51309782969</v>
      </c>
      <c r="F853" s="4">
        <v>0</v>
      </c>
      <c r="G853" s="4">
        <v>339.00628148122888</v>
      </c>
      <c r="H853" s="4">
        <v>334.29951884830109</v>
      </c>
      <c r="I853" s="4">
        <v>40147.394245508127</v>
      </c>
      <c r="J853" s="4">
        <v>39813.094726659823</v>
      </c>
    </row>
    <row r="854" spans="1:10">
      <c r="A854" s="3">
        <v>46043.75</v>
      </c>
      <c r="B854" s="4">
        <v>-3.2829435621012522</v>
      </c>
      <c r="C854" s="4">
        <v>200642.77841981739</v>
      </c>
      <c r="D854" s="4">
        <v>100207.0736353847</v>
      </c>
      <c r="E854" s="4">
        <v>100435.7047844327</v>
      </c>
      <c r="F854" s="4">
        <v>0</v>
      </c>
      <c r="G854" s="4">
        <v>339.00628148122888</v>
      </c>
      <c r="H854" s="4">
        <v>335.72333791912769</v>
      </c>
      <c r="I854" s="4">
        <v>40128.555683963503</v>
      </c>
      <c r="J854" s="4">
        <v>39792.832346044357</v>
      </c>
    </row>
    <row r="855" spans="1:10">
      <c r="A855" s="1">
        <v>46043.750694444447</v>
      </c>
      <c r="B855">
        <v>9.3591272712080809</v>
      </c>
      <c r="C855">
        <v>200540.68053849789</v>
      </c>
      <c r="D855">
        <v>100162.34573014161</v>
      </c>
      <c r="E855">
        <v>100378.3348083563</v>
      </c>
      <c r="F855">
        <v>0</v>
      </c>
      <c r="G855">
        <v>339.00628148122888</v>
      </c>
      <c r="H855">
        <v>348.36540875243702</v>
      </c>
      <c r="I855">
        <v>40108.136107699589</v>
      </c>
      <c r="J855">
        <v>39759.770698947163</v>
      </c>
    </row>
    <row r="856" spans="1:10">
      <c r="A856" s="3">
        <v>46043.751388888893</v>
      </c>
      <c r="B856" s="4">
        <v>0</v>
      </c>
      <c r="C856" s="4">
        <v>0</v>
      </c>
      <c r="D856" s="4">
        <v>0</v>
      </c>
      <c r="E856" s="4">
        <v>0</v>
      </c>
      <c r="F856" s="4">
        <v>-21.37646081537795</v>
      </c>
      <c r="G856" s="4">
        <v>317.62982066585101</v>
      </c>
      <c r="H856" s="4">
        <v>317.62982066585101</v>
      </c>
      <c r="I856" s="4">
        <v>0</v>
      </c>
      <c r="J856" s="4">
        <v>-317.62982066585101</v>
      </c>
    </row>
    <row r="857" spans="1:10">
      <c r="A857" s="3">
        <v>46043.817361111112</v>
      </c>
      <c r="B857" s="4">
        <v>0</v>
      </c>
      <c r="C857" s="4">
        <v>200225.34820548579</v>
      </c>
      <c r="D857" s="4">
        <v>100000</v>
      </c>
      <c r="E857" s="4">
        <v>100225.3482054858</v>
      </c>
      <c r="F857" s="4">
        <v>0</v>
      </c>
      <c r="G857" s="4">
        <v>317.62982066585101</v>
      </c>
      <c r="H857" s="4">
        <v>317.62982066585101</v>
      </c>
      <c r="I857" s="4">
        <v>40045.069641097172</v>
      </c>
      <c r="J857" s="4">
        <v>39727.439820431318</v>
      </c>
    </row>
    <row r="858" spans="1:10">
      <c r="A858" s="3">
        <v>46043.818055555559</v>
      </c>
      <c r="B858" s="4">
        <v>-45.339165011108108</v>
      </c>
      <c r="C858" s="4">
        <v>200313.37610395509</v>
      </c>
      <c r="D858" s="4">
        <v>100021.3443667291</v>
      </c>
      <c r="E858" s="4">
        <v>100292.031737226</v>
      </c>
      <c r="F858" s="4">
        <v>0</v>
      </c>
      <c r="G858" s="4">
        <v>317.62982066585101</v>
      </c>
      <c r="H858" s="4">
        <v>272.29065565474292</v>
      </c>
      <c r="I858" s="4">
        <v>40062.675220791018</v>
      </c>
      <c r="J858" s="4">
        <v>39790.384565136272</v>
      </c>
    </row>
    <row r="859" spans="1:10">
      <c r="A859" s="3">
        <v>46043.818749999999</v>
      </c>
      <c r="B859" s="4">
        <v>-65.024919825718968</v>
      </c>
      <c r="C859" s="4">
        <v>200198.42816094021</v>
      </c>
      <c r="D859" s="4">
        <v>99954.027517814335</v>
      </c>
      <c r="E859" s="4">
        <v>100244.4006431259</v>
      </c>
      <c r="F859" s="4">
        <v>0</v>
      </c>
      <c r="G859" s="4">
        <v>317.62982066585101</v>
      </c>
      <c r="H859" s="4">
        <v>252.60490084013199</v>
      </c>
      <c r="I859" s="4">
        <v>40039.685632188048</v>
      </c>
      <c r="J859" s="4">
        <v>39787.080731347924</v>
      </c>
    </row>
    <row r="860" spans="1:10">
      <c r="A860" s="1">
        <v>46043.819444444453</v>
      </c>
      <c r="B860">
        <v>44.347345372579248</v>
      </c>
      <c r="C860">
        <v>200174.43336265819</v>
      </c>
      <c r="D860">
        <v>99996.716251272446</v>
      </c>
      <c r="E860">
        <v>100177.7171113857</v>
      </c>
      <c r="F860">
        <v>0</v>
      </c>
      <c r="G860">
        <v>317.62982066585101</v>
      </c>
      <c r="H860">
        <v>361.97716603843031</v>
      </c>
      <c r="I860">
        <v>40034.886672531633</v>
      </c>
      <c r="J860">
        <v>39672.909506493197</v>
      </c>
    </row>
    <row r="861" spans="1:10">
      <c r="A861" s="3">
        <v>46043.820138888892</v>
      </c>
      <c r="B861" s="4">
        <v>120.5570959327798</v>
      </c>
      <c r="C861" s="4">
        <v>200098.22361209799</v>
      </c>
      <c r="D861" s="4">
        <v>99996.716251272446</v>
      </c>
      <c r="E861" s="4">
        <v>100101.5073608255</v>
      </c>
      <c r="F861" s="4">
        <v>0</v>
      </c>
      <c r="G861" s="4">
        <v>317.62982066585101</v>
      </c>
      <c r="H861" s="4">
        <v>438.18691659863077</v>
      </c>
      <c r="I861" s="4">
        <v>40019.644722419587</v>
      </c>
      <c r="J861" s="4">
        <v>39581.457805820974</v>
      </c>
    </row>
    <row r="862" spans="1:10">
      <c r="A862" s="1">
        <v>46043.820833333331</v>
      </c>
      <c r="B862">
        <v>31.212350462401719</v>
      </c>
      <c r="C862">
        <v>200161.29836774801</v>
      </c>
      <c r="D862">
        <v>99983.581256362275</v>
      </c>
      <c r="E862">
        <v>100177.7171113857</v>
      </c>
      <c r="F862">
        <v>0</v>
      </c>
      <c r="G862">
        <v>317.62982066585101</v>
      </c>
      <c r="H862">
        <v>348.84217112825269</v>
      </c>
      <c r="I862">
        <v>40032.259673549597</v>
      </c>
      <c r="J862">
        <v>39683.417502421347</v>
      </c>
    </row>
    <row r="863" spans="1:10">
      <c r="A863" s="3">
        <v>46043.821527777778</v>
      </c>
      <c r="B863" s="4">
        <v>45.680929924441202</v>
      </c>
      <c r="C863" s="4">
        <v>200061.4523213697</v>
      </c>
      <c r="D863" s="4">
        <v>99940.892522904163</v>
      </c>
      <c r="E863" s="4">
        <v>100120.55979846561</v>
      </c>
      <c r="F863" s="4">
        <v>0</v>
      </c>
      <c r="G863" s="4">
        <v>317.62982066585101</v>
      </c>
      <c r="H863" s="4">
        <v>363.31075059029217</v>
      </c>
      <c r="I863" s="4">
        <v>40012.290464273938</v>
      </c>
      <c r="J863" s="4">
        <v>39648.97971368365</v>
      </c>
    </row>
    <row r="864" spans="1:10">
      <c r="A864" s="3">
        <v>46043.822222222218</v>
      </c>
      <c r="B864" s="4">
        <v>88.078111121319353</v>
      </c>
      <c r="C864" s="4">
        <v>199894.27268852599</v>
      </c>
      <c r="D864" s="4">
        <v>99878.501297080758</v>
      </c>
      <c r="E864" s="4">
        <v>100015.77139144531</v>
      </c>
      <c r="F864" s="4">
        <v>0</v>
      </c>
      <c r="G864" s="4">
        <v>317.62982066585101</v>
      </c>
      <c r="H864" s="4">
        <v>405.70793178717042</v>
      </c>
      <c r="I864" s="4">
        <v>39978.854537705207</v>
      </c>
      <c r="J864" s="4">
        <v>39573.146605918053</v>
      </c>
    </row>
    <row r="865" spans="1:10">
      <c r="A865" s="1">
        <v>46043.822916666657</v>
      </c>
      <c r="B865">
        <v>0</v>
      </c>
      <c r="C865">
        <v>0</v>
      </c>
      <c r="D865">
        <v>0</v>
      </c>
      <c r="E865">
        <v>0</v>
      </c>
      <c r="F865">
        <v>76.003060994278869</v>
      </c>
      <c r="G865">
        <v>393.6328816601299</v>
      </c>
      <c r="H865">
        <v>393.6328816601299</v>
      </c>
      <c r="I865">
        <v>0</v>
      </c>
      <c r="J865">
        <v>-393.6328816601299</v>
      </c>
    </row>
    <row r="866" spans="1:10">
      <c r="A866" s="1">
        <v>46044.797222222223</v>
      </c>
      <c r="B866">
        <v>0</v>
      </c>
      <c r="C866">
        <v>200225.34820548579</v>
      </c>
      <c r="D866">
        <v>100000</v>
      </c>
      <c r="E866">
        <v>100225.3482054858</v>
      </c>
      <c r="F866">
        <v>0</v>
      </c>
      <c r="G866">
        <v>393.6328816601299</v>
      </c>
      <c r="H866">
        <v>393.6328816601299</v>
      </c>
      <c r="I866">
        <v>40045.069641097172</v>
      </c>
      <c r="J866">
        <v>39651.436759437041</v>
      </c>
    </row>
    <row r="867" spans="1:10">
      <c r="A867" s="1">
        <v>46044.79791666667</v>
      </c>
      <c r="B867">
        <v>13.791469258676861</v>
      </c>
      <c r="C867">
        <v>200277.14340901529</v>
      </c>
      <c r="D867">
        <v>100032.7933363941</v>
      </c>
      <c r="E867">
        <v>100244.35007262119</v>
      </c>
      <c r="F867">
        <v>0</v>
      </c>
      <c r="G867">
        <v>393.6328816601299</v>
      </c>
      <c r="H867">
        <v>407.42435091880668</v>
      </c>
      <c r="I867">
        <v>40055.428681803052</v>
      </c>
      <c r="J867">
        <v>39648.004330884243</v>
      </c>
    </row>
    <row r="868" spans="1:10">
      <c r="A868" s="1">
        <v>46044.798611111109</v>
      </c>
      <c r="B868">
        <v>77.018670593043353</v>
      </c>
      <c r="C868">
        <v>200207.3575404021</v>
      </c>
      <c r="D868">
        <v>100029.5140027546</v>
      </c>
      <c r="E868">
        <v>100177.84353764739</v>
      </c>
      <c r="F868">
        <v>0</v>
      </c>
      <c r="G868">
        <v>393.6328816601299</v>
      </c>
      <c r="H868">
        <v>470.65155225317318</v>
      </c>
      <c r="I868">
        <v>40041.471508080424</v>
      </c>
      <c r="J868">
        <v>39570.819955827254</v>
      </c>
    </row>
    <row r="869" spans="1:10">
      <c r="A869" s="3">
        <v>46044.799305555563</v>
      </c>
      <c r="B869" s="4">
        <v>37.712336853154419</v>
      </c>
      <c r="C869" s="4">
        <v>200263.06054233899</v>
      </c>
      <c r="D869" s="4">
        <v>100037.7123368531</v>
      </c>
      <c r="E869" s="4">
        <v>100225.3482054858</v>
      </c>
      <c r="F869" s="4">
        <v>0</v>
      </c>
      <c r="G869" s="4">
        <v>393.6328816601299</v>
      </c>
      <c r="H869" s="4">
        <v>431.34521851328429</v>
      </c>
      <c r="I869" s="4">
        <v>40052.612108467802</v>
      </c>
      <c r="J869" s="4">
        <v>39621.266889954517</v>
      </c>
    </row>
    <row r="870" spans="1:10">
      <c r="A870" s="3">
        <v>46044.800000000003</v>
      </c>
      <c r="B870" s="4">
        <v>55.074537168815503</v>
      </c>
      <c r="C870" s="4">
        <v>200242.41900838391</v>
      </c>
      <c r="D870" s="4">
        <v>100036.07267003341</v>
      </c>
      <c r="E870" s="4">
        <v>100206.3463383505</v>
      </c>
      <c r="F870" s="4">
        <v>0</v>
      </c>
      <c r="G870" s="4">
        <v>393.6328816601299</v>
      </c>
      <c r="H870" s="4">
        <v>448.70741882894538</v>
      </c>
      <c r="I870" s="4">
        <v>40048.48380167679</v>
      </c>
      <c r="J870" s="4">
        <v>39599.776382847842</v>
      </c>
    </row>
    <row r="871" spans="1:10">
      <c r="A871" s="3">
        <v>46044.800694444442</v>
      </c>
      <c r="B871" s="4">
        <v>38.677868971789401</v>
      </c>
      <c r="C871" s="4">
        <v>200226.0223401869</v>
      </c>
      <c r="D871" s="4">
        <v>100019.6760018364</v>
      </c>
      <c r="E871" s="4">
        <v>100206.3463383505</v>
      </c>
      <c r="F871" s="4">
        <v>0</v>
      </c>
      <c r="G871" s="4">
        <v>393.6328816601299</v>
      </c>
      <c r="H871" s="4">
        <v>432.31075063191929</v>
      </c>
      <c r="I871" s="4">
        <v>40045.204468037387</v>
      </c>
      <c r="J871" s="4">
        <v>39612.893717405474</v>
      </c>
    </row>
    <row r="872" spans="1:10">
      <c r="A872" s="3">
        <v>46044.801388888889</v>
      </c>
      <c r="B872" s="4">
        <v>44.899468900075568</v>
      </c>
      <c r="C872" s="4">
        <v>200213.2420729798</v>
      </c>
      <c r="D872" s="4">
        <v>100016.39666819701</v>
      </c>
      <c r="E872" s="4">
        <v>100196.8454047828</v>
      </c>
      <c r="F872" s="4">
        <v>0</v>
      </c>
      <c r="G872" s="4">
        <v>393.6328816601299</v>
      </c>
      <c r="H872" s="4">
        <v>438.53235056020549</v>
      </c>
      <c r="I872" s="4">
        <v>40042.648414595962</v>
      </c>
      <c r="J872" s="4">
        <v>39604.116064035763</v>
      </c>
    </row>
    <row r="873" spans="1:10">
      <c r="A873" s="3">
        <v>46044.802083333343</v>
      </c>
      <c r="B873" s="4">
        <v>48.807267307581718</v>
      </c>
      <c r="C873" s="4">
        <v>200160.14426998119</v>
      </c>
      <c r="D873" s="4">
        <v>99991.801665901497</v>
      </c>
      <c r="E873" s="4">
        <v>100168.34260407979</v>
      </c>
      <c r="F873" s="4">
        <v>0</v>
      </c>
      <c r="G873" s="4">
        <v>393.6328816601299</v>
      </c>
      <c r="H873" s="4">
        <v>442.44014896771159</v>
      </c>
      <c r="I873" s="4">
        <v>40032.028853996249</v>
      </c>
      <c r="J873" s="4">
        <v>39589.588705028538</v>
      </c>
    </row>
    <row r="874" spans="1:10">
      <c r="A874" s="3">
        <v>46044.802777777782</v>
      </c>
      <c r="B874" s="4">
        <v>55.994399354502868</v>
      </c>
      <c r="C874" s="4">
        <v>200110.32580062209</v>
      </c>
      <c r="D874" s="4">
        <v>99970.485997245371</v>
      </c>
      <c r="E874" s="4">
        <v>100139.8398033767</v>
      </c>
      <c r="F874" s="4">
        <v>0</v>
      </c>
      <c r="G874" s="4">
        <v>393.6328816601299</v>
      </c>
      <c r="H874" s="4">
        <v>449.62728101463279</v>
      </c>
      <c r="I874" s="4">
        <v>40022.065160124417</v>
      </c>
      <c r="J874" s="4">
        <v>39572.437879109777</v>
      </c>
    </row>
    <row r="875" spans="1:10">
      <c r="A875" s="3">
        <v>46044.803472222222</v>
      </c>
      <c r="B875" s="4">
        <v>0</v>
      </c>
      <c r="C875" s="4">
        <v>0</v>
      </c>
      <c r="D875" s="4">
        <v>0</v>
      </c>
      <c r="E875" s="4">
        <v>0</v>
      </c>
      <c r="F875" s="4">
        <v>38.915444149550211</v>
      </c>
      <c r="G875" s="4">
        <v>432.54832580968008</v>
      </c>
      <c r="H875" s="4">
        <v>432.54832580968008</v>
      </c>
      <c r="I875" s="4">
        <v>0</v>
      </c>
      <c r="J875" s="4">
        <v>-432.54832580968008</v>
      </c>
    </row>
    <row r="876" spans="1:10">
      <c r="A876" s="3">
        <v>46045.604861111111</v>
      </c>
      <c r="B876" s="4">
        <v>0</v>
      </c>
      <c r="C876" s="4">
        <v>200225.34820548579</v>
      </c>
      <c r="D876" s="4">
        <v>100000</v>
      </c>
      <c r="E876" s="4">
        <v>100225.3482054858</v>
      </c>
      <c r="F876" s="4">
        <v>0</v>
      </c>
      <c r="G876" s="4">
        <v>432.54832580968008</v>
      </c>
      <c r="H876" s="4">
        <v>432.54832580968008</v>
      </c>
      <c r="I876" s="4">
        <v>40045.069641097172</v>
      </c>
      <c r="J876" s="4">
        <v>39612.521315287493</v>
      </c>
    </row>
    <row r="877" spans="1:10">
      <c r="A877" s="3">
        <v>46045.605555555558</v>
      </c>
      <c r="B877" s="4">
        <v>177.16222491036359</v>
      </c>
      <c r="C877" s="4">
        <v>200595.39986112271</v>
      </c>
      <c r="D877" s="4">
        <v>100273.6069402736</v>
      </c>
      <c r="E877" s="4">
        <v>100321.7929208491</v>
      </c>
      <c r="F877" s="4">
        <v>0</v>
      </c>
      <c r="G877" s="4">
        <v>432.54832580968008</v>
      </c>
      <c r="H877" s="4">
        <v>609.71055072004378</v>
      </c>
      <c r="I877" s="4">
        <v>40119.079972224543</v>
      </c>
      <c r="J877" s="4">
        <v>39509.369421504503</v>
      </c>
    </row>
    <row r="878" spans="1:10">
      <c r="A878" s="1">
        <v>46045.606249999997</v>
      </c>
      <c r="B878">
        <v>170.99489459787841</v>
      </c>
      <c r="C878">
        <v>200087.72001092139</v>
      </c>
      <c r="D878">
        <v>100016.6833500167</v>
      </c>
      <c r="E878">
        <v>100071.0366609046</v>
      </c>
      <c r="F878">
        <v>0</v>
      </c>
      <c r="G878">
        <v>432.54832580968008</v>
      </c>
      <c r="H878">
        <v>603.54322040755847</v>
      </c>
      <c r="I878">
        <v>40017.544002184273</v>
      </c>
      <c r="J878">
        <v>39414.000781776718</v>
      </c>
    </row>
    <row r="879" spans="1:10">
      <c r="A879" s="3">
        <v>46045.606944444437</v>
      </c>
      <c r="B879" s="4">
        <v>180.18018018018699</v>
      </c>
      <c r="C879" s="4">
        <v>200405.528385666</v>
      </c>
      <c r="D879" s="4">
        <v>100180.18018018021</v>
      </c>
      <c r="E879" s="4">
        <v>100225.3482054858</v>
      </c>
      <c r="F879" s="4">
        <v>0</v>
      </c>
      <c r="G879" s="4">
        <v>432.54832580968008</v>
      </c>
      <c r="H879" s="4">
        <v>612.72850598986713</v>
      </c>
      <c r="I879" s="4">
        <v>40081.105677133208</v>
      </c>
      <c r="J879" s="4">
        <v>39468.377171143336</v>
      </c>
    </row>
    <row r="880" spans="1:10">
      <c r="A880" s="1">
        <v>46045.607638888891</v>
      </c>
      <c r="B880">
        <v>0</v>
      </c>
      <c r="C880">
        <v>0</v>
      </c>
      <c r="D880">
        <v>0</v>
      </c>
      <c r="E880">
        <v>0</v>
      </c>
      <c r="F880">
        <v>293.07688923483988</v>
      </c>
      <c r="G880">
        <v>725.62521504452002</v>
      </c>
      <c r="H880">
        <v>725.62521504452002</v>
      </c>
      <c r="I880">
        <v>0</v>
      </c>
      <c r="J880">
        <v>-725.62521504452002</v>
      </c>
    </row>
    <row r="881" spans="1:10">
      <c r="A881" s="1">
        <v>46049.759027777778</v>
      </c>
      <c r="B881">
        <v>0</v>
      </c>
      <c r="C881">
        <v>200225.34820548579</v>
      </c>
      <c r="D881">
        <v>100225.3482054858</v>
      </c>
      <c r="E881">
        <v>100000</v>
      </c>
      <c r="F881">
        <v>0</v>
      </c>
      <c r="G881">
        <v>725.62521504452002</v>
      </c>
      <c r="H881">
        <v>725.62521504452002</v>
      </c>
      <c r="I881">
        <v>40045.069641097172</v>
      </c>
      <c r="J881">
        <v>39319.444426052651</v>
      </c>
    </row>
    <row r="882" spans="1:10">
      <c r="A882" s="1">
        <v>46049.759722222218</v>
      </c>
      <c r="B882">
        <v>-36.715620827755941</v>
      </c>
      <c r="C882">
        <v>200262.06382631359</v>
      </c>
      <c r="D882">
        <v>100225.3482054858</v>
      </c>
      <c r="E882">
        <v>100036.7156208278</v>
      </c>
      <c r="F882">
        <v>0</v>
      </c>
      <c r="G882">
        <v>725.62521504452002</v>
      </c>
      <c r="H882">
        <v>688.90959421676405</v>
      </c>
      <c r="I882">
        <v>40052.412765262721</v>
      </c>
      <c r="J882">
        <v>39363.503171045959</v>
      </c>
    </row>
    <row r="883" spans="1:10">
      <c r="A883" s="1">
        <v>46049.760416666657</v>
      </c>
      <c r="B883">
        <v>-77.711301262800589</v>
      </c>
      <c r="C883">
        <v>200264.45933412961</v>
      </c>
      <c r="D883">
        <v>100206.0481191763</v>
      </c>
      <c r="E883">
        <v>100058.4112149533</v>
      </c>
      <c r="F883">
        <v>0</v>
      </c>
      <c r="G883">
        <v>725.62521504452002</v>
      </c>
      <c r="H883">
        <v>647.91391378171943</v>
      </c>
      <c r="I883">
        <v>40052.891866825921</v>
      </c>
      <c r="J883">
        <v>39404.977953044203</v>
      </c>
    </row>
    <row r="884" spans="1:10">
      <c r="A884" s="1">
        <v>46049.761111111111</v>
      </c>
      <c r="B884">
        <v>-114.5745701351252</v>
      </c>
      <c r="C884">
        <v>200397.8230345496</v>
      </c>
      <c r="D884">
        <v>100254.2983349502</v>
      </c>
      <c r="E884">
        <v>100143.5246995995</v>
      </c>
      <c r="F884">
        <v>0</v>
      </c>
      <c r="G884">
        <v>725.62521504452002</v>
      </c>
      <c r="H884">
        <v>611.0506449093948</v>
      </c>
      <c r="I884">
        <v>40079.564606909931</v>
      </c>
      <c r="J884">
        <v>39468.513962000543</v>
      </c>
    </row>
    <row r="885" spans="1:10">
      <c r="A885" s="3">
        <v>46049.761805555558</v>
      </c>
      <c r="B885" s="4">
        <v>-107.5356947318422</v>
      </c>
      <c r="C885" s="4">
        <v>200371.48407283681</v>
      </c>
      <c r="D885" s="4">
        <v>100244.6482917954</v>
      </c>
      <c r="E885" s="4">
        <v>100126.8357810414</v>
      </c>
      <c r="F885" s="4">
        <v>0</v>
      </c>
      <c r="G885" s="4">
        <v>725.62521504452002</v>
      </c>
      <c r="H885" s="4">
        <v>618.08952031267779</v>
      </c>
      <c r="I885" s="4">
        <v>40074.296814567359</v>
      </c>
      <c r="J885" s="4">
        <v>39456.20729425468</v>
      </c>
    </row>
    <row r="886" spans="1:10">
      <c r="A886" s="1">
        <v>46049.762499999997</v>
      </c>
      <c r="B886">
        <v>-5.8809395721036424</v>
      </c>
      <c r="C886">
        <v>200366.32974922479</v>
      </c>
      <c r="D886">
        <v>100292.89850756931</v>
      </c>
      <c r="E886">
        <v>100073.4312416555</v>
      </c>
      <c r="F886">
        <v>0</v>
      </c>
      <c r="G886">
        <v>725.62521504452002</v>
      </c>
      <c r="H886">
        <v>719.74427547241635</v>
      </c>
      <c r="I886">
        <v>40073.265949844958</v>
      </c>
      <c r="J886">
        <v>39353.521674372547</v>
      </c>
    </row>
    <row r="887" spans="1:10">
      <c r="A887" s="3">
        <v>46049.763194444437</v>
      </c>
      <c r="B887" s="4">
        <v>0</v>
      </c>
      <c r="C887" s="4">
        <v>0</v>
      </c>
      <c r="D887" s="4">
        <v>0</v>
      </c>
      <c r="E887" s="4">
        <v>0</v>
      </c>
      <c r="F887" s="4">
        <v>81.272035341144729</v>
      </c>
      <c r="G887" s="4">
        <v>806.89725038566473</v>
      </c>
      <c r="H887" s="4">
        <v>806.89725038566473</v>
      </c>
      <c r="I887" s="4">
        <v>0</v>
      </c>
      <c r="J887" s="4">
        <v>-806.89725038566473</v>
      </c>
    </row>
    <row r="888" spans="1:10">
      <c r="A888" s="3">
        <v>46050.604166666657</v>
      </c>
      <c r="B888" s="4">
        <v>0</v>
      </c>
      <c r="C888" s="4">
        <v>200225.34820548579</v>
      </c>
      <c r="D888" s="4">
        <v>100225.3482054858</v>
      </c>
      <c r="E888" s="4">
        <v>100000</v>
      </c>
      <c r="F888" s="4">
        <v>0</v>
      </c>
      <c r="G888" s="4">
        <v>806.89725038566473</v>
      </c>
      <c r="H888" s="4">
        <v>806.89725038566473</v>
      </c>
      <c r="I888" s="4">
        <v>40045.069641097172</v>
      </c>
      <c r="J888" s="4">
        <v>39238.172390711508</v>
      </c>
    </row>
    <row r="889" spans="1:10">
      <c r="A889" s="3">
        <v>46050.604861111111</v>
      </c>
      <c r="B889" s="4">
        <v>119.44227500223251</v>
      </c>
      <c r="C889" s="4">
        <v>200318.12514708811</v>
      </c>
      <c r="D889" s="4">
        <v>100331.4578137881</v>
      </c>
      <c r="E889" s="4">
        <v>99986.667333300007</v>
      </c>
      <c r="F889" s="4">
        <v>0</v>
      </c>
      <c r="G889" s="4">
        <v>806.89725038566473</v>
      </c>
      <c r="H889" s="4">
        <v>926.3395253878972</v>
      </c>
      <c r="I889" s="4">
        <v>40063.625029417621</v>
      </c>
      <c r="J889" s="4">
        <v>39137.285504029722</v>
      </c>
    </row>
    <row r="890" spans="1:10">
      <c r="A890" s="3">
        <v>46050.605555555558</v>
      </c>
      <c r="B890" s="4">
        <v>88.218232793094785</v>
      </c>
      <c r="C890" s="4">
        <v>199596.93560315401</v>
      </c>
      <c r="D890" s="4">
        <v>99955.251020716489</v>
      </c>
      <c r="E890" s="4">
        <v>99641.684582437549</v>
      </c>
      <c r="F890" s="4">
        <v>0</v>
      </c>
      <c r="G890" s="4">
        <v>806.89725038566473</v>
      </c>
      <c r="H890" s="4">
        <v>895.11548317875952</v>
      </c>
      <c r="I890" s="4">
        <v>39919.38712063081</v>
      </c>
      <c r="J890" s="4">
        <v>39024.271637452053</v>
      </c>
    </row>
    <row r="891" spans="1:10">
      <c r="A891" s="1">
        <v>46050.606249999997</v>
      </c>
      <c r="B891">
        <v>79.940658152788757</v>
      </c>
      <c r="C891">
        <v>199875.3103625637</v>
      </c>
      <c r="D891">
        <v>100090.2996131012</v>
      </c>
      <c r="E891">
        <v>99785.010749462526</v>
      </c>
      <c r="F891">
        <v>0</v>
      </c>
      <c r="G891">
        <v>806.89725038566473</v>
      </c>
      <c r="H891">
        <v>886.83790853845346</v>
      </c>
      <c r="I891">
        <v>39975.062072512737</v>
      </c>
      <c r="J891">
        <v>39088.224163974293</v>
      </c>
    </row>
    <row r="892" spans="1:10">
      <c r="A892" s="3">
        <v>46050.606944444437</v>
      </c>
      <c r="B892" s="4">
        <v>194.4824597926374</v>
      </c>
      <c r="C892" s="4">
        <v>199876.5244972535</v>
      </c>
      <c r="D892" s="4">
        <v>100148.17758126601</v>
      </c>
      <c r="E892" s="4">
        <v>99728.346915987524</v>
      </c>
      <c r="F892" s="4">
        <v>0</v>
      </c>
      <c r="G892" s="4">
        <v>806.89725038566473</v>
      </c>
      <c r="H892" s="4">
        <v>1001.379710178302</v>
      </c>
      <c r="I892" s="4">
        <v>39975.304899450712</v>
      </c>
      <c r="J892" s="4">
        <v>38973.925189272413</v>
      </c>
    </row>
    <row r="893" spans="1:10">
      <c r="A893" s="1">
        <v>46050.607638888891</v>
      </c>
      <c r="B893">
        <v>189.53805182732791</v>
      </c>
      <c r="C893">
        <v>200151.56608998819</v>
      </c>
      <c r="D893">
        <v>100283.22617365071</v>
      </c>
      <c r="E893">
        <v>99868.339916337514</v>
      </c>
      <c r="F893">
        <v>0</v>
      </c>
      <c r="G893">
        <v>806.89725038566473</v>
      </c>
      <c r="H893">
        <v>996.43530221299261</v>
      </c>
      <c r="I893">
        <v>40030.313217997653</v>
      </c>
      <c r="J893">
        <v>39033.877915784651</v>
      </c>
    </row>
    <row r="894" spans="1:10">
      <c r="A894" s="3">
        <v>46050.60833333333</v>
      </c>
      <c r="B894" s="4">
        <v>239.69017064962401</v>
      </c>
      <c r="C894" s="4">
        <v>200275.0478756605</v>
      </c>
      <c r="D894" s="4">
        <v>100370.043125898</v>
      </c>
      <c r="E894" s="4">
        <v>99905.00474976252</v>
      </c>
      <c r="F894" s="4">
        <v>0</v>
      </c>
      <c r="G894" s="4">
        <v>806.89725038566473</v>
      </c>
      <c r="H894" s="4">
        <v>1046.587421035289</v>
      </c>
      <c r="I894" s="4">
        <v>40055.009575132113</v>
      </c>
      <c r="J894" s="4">
        <v>39008.422154096806</v>
      </c>
    </row>
    <row r="895" spans="1:10">
      <c r="A895" s="3">
        <v>46050.609027777777</v>
      </c>
      <c r="B895" s="4">
        <v>393.87680039195618</v>
      </c>
      <c r="C895" s="4">
        <v>200255.9098383029</v>
      </c>
      <c r="D895" s="4">
        <v>100437.5674220903</v>
      </c>
      <c r="E895" s="4">
        <v>99818.34241621253</v>
      </c>
      <c r="F895" s="4">
        <v>0</v>
      </c>
      <c r="G895" s="4">
        <v>806.89725038566473</v>
      </c>
      <c r="H895" s="4">
        <v>1200.7740507776209</v>
      </c>
      <c r="I895" s="4">
        <v>40051.181967660581</v>
      </c>
      <c r="J895" s="4">
        <v>38850.407916882963</v>
      </c>
    </row>
    <row r="896" spans="1:10">
      <c r="A896" s="3">
        <v>46050.609722222223</v>
      </c>
      <c r="B896" s="4">
        <v>491.24497796198528</v>
      </c>
      <c r="C896" s="4">
        <v>200119.95634862289</v>
      </c>
      <c r="D896" s="4">
        <v>100418.27476603541</v>
      </c>
      <c r="E896" s="4">
        <v>99701.681582587538</v>
      </c>
      <c r="F896" s="4">
        <v>0</v>
      </c>
      <c r="G896" s="4">
        <v>806.89725038566473</v>
      </c>
      <c r="H896" s="4">
        <v>1298.14222834765</v>
      </c>
      <c r="I896" s="4">
        <v>40023.991269724589</v>
      </c>
      <c r="J896" s="4">
        <v>38725.84904137694</v>
      </c>
    </row>
    <row r="897" spans="1:10">
      <c r="A897" s="1">
        <v>46050.61041666667</v>
      </c>
      <c r="B897">
        <v>483.71768191964782</v>
      </c>
      <c r="C897">
        <v>199992.43505228061</v>
      </c>
      <c r="D897">
        <v>100350.750469843</v>
      </c>
      <c r="E897">
        <v>99641.684582437549</v>
      </c>
      <c r="F897">
        <v>0</v>
      </c>
      <c r="G897">
        <v>806.89725038566473</v>
      </c>
      <c r="H897">
        <v>1290.614932305313</v>
      </c>
      <c r="I897">
        <v>39998.487010456127</v>
      </c>
      <c r="J897">
        <v>38707.872078150816</v>
      </c>
    </row>
    <row r="898" spans="1:10">
      <c r="A898" s="3">
        <v>46050.611111111109</v>
      </c>
      <c r="B898" s="4">
        <v>618.8655509544318</v>
      </c>
      <c r="C898" s="4">
        <v>200030.9210877404</v>
      </c>
      <c r="D898" s="4">
        <v>100437.5674220903</v>
      </c>
      <c r="E898" s="4">
        <v>99593.353665650051</v>
      </c>
      <c r="F898" s="4">
        <v>0</v>
      </c>
      <c r="G898" s="4">
        <v>806.89725038566473</v>
      </c>
      <c r="H898" s="4">
        <v>1425.762801340097</v>
      </c>
      <c r="I898" s="4">
        <v>40006.184217548092</v>
      </c>
      <c r="J898" s="4">
        <v>38580.421416207988</v>
      </c>
    </row>
    <row r="899" spans="1:10">
      <c r="A899" s="1">
        <v>46050.611805555563</v>
      </c>
      <c r="B899">
        <v>496.0901092771839</v>
      </c>
      <c r="C899">
        <v>199941.47731281319</v>
      </c>
      <c r="D899">
        <v>100331.4578137881</v>
      </c>
      <c r="E899">
        <v>99610.01949902506</v>
      </c>
      <c r="F899">
        <v>0</v>
      </c>
      <c r="G899">
        <v>806.89725038566473</v>
      </c>
      <c r="H899">
        <v>1302.987359662849</v>
      </c>
      <c r="I899">
        <v>39988.295462562637</v>
      </c>
      <c r="J899">
        <v>38685.308102899791</v>
      </c>
    </row>
    <row r="900" spans="1:10">
      <c r="A900" s="1">
        <v>46050.612500000003</v>
      </c>
      <c r="B900">
        <v>529.77494802471392</v>
      </c>
      <c r="C900">
        <v>199888.49981801069</v>
      </c>
      <c r="D900">
        <v>100321.8114857606</v>
      </c>
      <c r="E900">
        <v>99566.688332250051</v>
      </c>
      <c r="F900">
        <v>0</v>
      </c>
      <c r="G900">
        <v>806.89725038566473</v>
      </c>
      <c r="H900">
        <v>1336.672198410379</v>
      </c>
      <c r="I900">
        <v>39977.699963602143</v>
      </c>
      <c r="J900">
        <v>38641.027765191757</v>
      </c>
    </row>
    <row r="901" spans="1:10">
      <c r="A901" s="1">
        <v>46050.613194444442</v>
      </c>
      <c r="B901">
        <v>503.76061657256639</v>
      </c>
      <c r="C901">
        <v>199605.83165258361</v>
      </c>
      <c r="D901">
        <v>100167.470237321</v>
      </c>
      <c r="E901">
        <v>99438.361415262567</v>
      </c>
      <c r="F901">
        <v>0</v>
      </c>
      <c r="G901">
        <v>806.89725038566473</v>
      </c>
      <c r="H901">
        <v>1310.6578669582309</v>
      </c>
      <c r="I901">
        <v>39921.166330516717</v>
      </c>
      <c r="J901">
        <v>38610.508463558494</v>
      </c>
    </row>
    <row r="902" spans="1:10">
      <c r="A902" s="1">
        <v>46050.613888888889</v>
      </c>
      <c r="B902">
        <v>0</v>
      </c>
      <c r="C902">
        <v>0</v>
      </c>
      <c r="D902">
        <v>0</v>
      </c>
      <c r="E902">
        <v>0</v>
      </c>
      <c r="F902">
        <v>332.56672245309352</v>
      </c>
      <c r="G902">
        <v>1139.4639728387581</v>
      </c>
      <c r="H902">
        <v>1139.4639728387581</v>
      </c>
      <c r="I902">
        <v>0</v>
      </c>
      <c r="J902">
        <v>-1139.4639728387581</v>
      </c>
    </row>
    <row r="903" spans="1:10">
      <c r="A903" s="3">
        <v>46050.857638888891</v>
      </c>
      <c r="B903" s="4">
        <v>0</v>
      </c>
      <c r="C903" s="4">
        <v>204902.93461668491</v>
      </c>
      <c r="D903" s="4">
        <v>100000</v>
      </c>
      <c r="E903" s="4">
        <v>104902.9346166849</v>
      </c>
      <c r="F903" s="4">
        <v>0</v>
      </c>
      <c r="G903" s="4">
        <v>1139.4639728387581</v>
      </c>
      <c r="H903" s="4">
        <v>1139.4639728387581</v>
      </c>
      <c r="I903" s="4">
        <v>40980.586923336989</v>
      </c>
      <c r="J903" s="4">
        <v>39841.122950498233</v>
      </c>
    </row>
    <row r="904" spans="1:10">
      <c r="A904" s="3">
        <v>46050.85833333333</v>
      </c>
      <c r="B904" s="4">
        <v>-3.6952531253703711</v>
      </c>
      <c r="C904" s="4">
        <v>204939.86792073099</v>
      </c>
      <c r="D904" s="4">
        <v>100016.6190254603</v>
      </c>
      <c r="E904" s="4">
        <v>104923.2488952706</v>
      </c>
      <c r="F904" s="4">
        <v>0</v>
      </c>
      <c r="G904" s="4">
        <v>1139.4639728387581</v>
      </c>
      <c r="H904" s="4">
        <v>1135.768719713388</v>
      </c>
      <c r="I904" s="4">
        <v>40987.973584146202</v>
      </c>
      <c r="J904" s="4">
        <v>39852.20486443281</v>
      </c>
    </row>
    <row r="905" spans="1:10">
      <c r="A905" s="3">
        <v>46050.859027777777</v>
      </c>
      <c r="B905" s="4">
        <v>11.819041838900979</v>
      </c>
      <c r="C905" s="4">
        <v>204894.43937993809</v>
      </c>
      <c r="D905" s="4">
        <v>100001.66190254599</v>
      </c>
      <c r="E905" s="4">
        <v>104892.7774773921</v>
      </c>
      <c r="F905" s="4">
        <v>0</v>
      </c>
      <c r="G905" s="4">
        <v>1139.4639728387581</v>
      </c>
      <c r="H905" s="4">
        <v>1151.2830146776589</v>
      </c>
      <c r="I905" s="4">
        <v>40978.887875987617</v>
      </c>
      <c r="J905" s="4">
        <v>39827.604861309963</v>
      </c>
    </row>
    <row r="906" spans="1:10">
      <c r="A906" s="3">
        <v>46050.859722222223</v>
      </c>
      <c r="B906" s="4">
        <v>58.176202715065287</v>
      </c>
      <c r="C906" s="4">
        <v>204778.28231212849</v>
      </c>
      <c r="D906" s="4">
        <v>99966.7619490793</v>
      </c>
      <c r="E906" s="4">
        <v>104811.5203630491</v>
      </c>
      <c r="F906" s="4">
        <v>0</v>
      </c>
      <c r="G906" s="4">
        <v>1139.4639728387581</v>
      </c>
      <c r="H906" s="4">
        <v>1197.6401755538241</v>
      </c>
      <c r="I906" s="4">
        <v>40955.656462425693</v>
      </c>
      <c r="J906" s="4">
        <v>39758.016286871869</v>
      </c>
    </row>
    <row r="907" spans="1:10">
      <c r="A907" s="1">
        <v>46050.86041666667</v>
      </c>
      <c r="B907">
        <v>-6.4618861674829891</v>
      </c>
      <c r="C907">
        <v>204876.1584519317</v>
      </c>
      <c r="D907">
        <v>99983.380974539643</v>
      </c>
      <c r="E907">
        <v>104892.7774773921</v>
      </c>
      <c r="F907">
        <v>0</v>
      </c>
      <c r="G907">
        <v>1139.4639728387581</v>
      </c>
      <c r="H907">
        <v>1133.002086671275</v>
      </c>
      <c r="I907">
        <v>40975.231690386339</v>
      </c>
      <c r="J907">
        <v>39842.229603715074</v>
      </c>
    </row>
    <row r="908" spans="1:10">
      <c r="A908" s="1">
        <v>46050.861111111109</v>
      </c>
      <c r="B908">
        <v>-59.457043623947477</v>
      </c>
      <c r="C908">
        <v>204802.84901588949</v>
      </c>
      <c r="D908">
        <v>99920.228677790321</v>
      </c>
      <c r="E908">
        <v>104882.62033809919</v>
      </c>
      <c r="F908">
        <v>0</v>
      </c>
      <c r="G908">
        <v>1139.4639728387581</v>
      </c>
      <c r="H908">
        <v>1080.006929214811</v>
      </c>
      <c r="I908">
        <v>40960.569803177903</v>
      </c>
      <c r="J908">
        <v>39880.562873963092</v>
      </c>
    </row>
    <row r="909" spans="1:10">
      <c r="A909" s="1">
        <v>46050.861805555563</v>
      </c>
      <c r="B909">
        <v>-92.695094544649052</v>
      </c>
      <c r="C909">
        <v>204769.6109649688</v>
      </c>
      <c r="D909">
        <v>99886.990626869621</v>
      </c>
      <c r="E909">
        <v>104882.62033809919</v>
      </c>
      <c r="F909">
        <v>0</v>
      </c>
      <c r="G909">
        <v>1139.4639728387581</v>
      </c>
      <c r="H909">
        <v>1046.7688782941091</v>
      </c>
      <c r="I909">
        <v>40953.922192993763</v>
      </c>
      <c r="J909">
        <v>39907.153314699652</v>
      </c>
    </row>
    <row r="910" spans="1:10">
      <c r="A910" s="3">
        <v>46050.862500000003</v>
      </c>
      <c r="B910" s="4">
        <v>-121.5046098772048</v>
      </c>
      <c r="C910" s="4">
        <v>204801.74428539339</v>
      </c>
      <c r="D910" s="4">
        <v>99888.65252941566</v>
      </c>
      <c r="E910" s="4">
        <v>104913.0917559778</v>
      </c>
      <c r="F910" s="4">
        <v>0</v>
      </c>
      <c r="G910" s="4">
        <v>1139.4639728387581</v>
      </c>
      <c r="H910" s="4">
        <v>1017.959362961554</v>
      </c>
      <c r="I910" s="4">
        <v>40960.348857078687</v>
      </c>
      <c r="J910" s="4">
        <v>39942.389494117138</v>
      </c>
    </row>
    <row r="911" spans="1:10">
      <c r="A911" s="1">
        <v>46050.863194444442</v>
      </c>
      <c r="B911">
        <v>-146.61887208435689</v>
      </c>
      <c r="C911">
        <v>204796.94430177199</v>
      </c>
      <c r="D911">
        <v>99873.695406501356</v>
      </c>
      <c r="E911">
        <v>104923.2488952706</v>
      </c>
      <c r="F911">
        <v>0</v>
      </c>
      <c r="G911">
        <v>1139.4639728387581</v>
      </c>
      <c r="H911">
        <v>992.84510075440141</v>
      </c>
      <c r="I911">
        <v>40959.388860354396</v>
      </c>
      <c r="J911">
        <v>39966.543759599997</v>
      </c>
    </row>
    <row r="912" spans="1:10">
      <c r="A912" s="3">
        <v>46050.863888888889</v>
      </c>
      <c r="B912" s="4">
        <v>-119.8427073311716</v>
      </c>
      <c r="C912" s="4">
        <v>204803.40618793949</v>
      </c>
      <c r="D912" s="4">
        <v>99890.314431961699</v>
      </c>
      <c r="E912" s="4">
        <v>104913.0917559778</v>
      </c>
      <c r="F912" s="4">
        <v>0</v>
      </c>
      <c r="G912" s="4">
        <v>1139.4639728387581</v>
      </c>
      <c r="H912" s="4">
        <v>1019.6212655075871</v>
      </c>
      <c r="I912" s="4">
        <v>40960.681237587902</v>
      </c>
      <c r="J912" s="4">
        <v>39941.059972080307</v>
      </c>
    </row>
    <row r="913" spans="1:10">
      <c r="A913" s="1">
        <v>46050.864583333343</v>
      </c>
      <c r="B913">
        <v>-106.1760389295688</v>
      </c>
      <c r="C913">
        <v>204776.44429916961</v>
      </c>
      <c r="D913">
        <v>99883.666821777559</v>
      </c>
      <c r="E913">
        <v>104892.7774773921</v>
      </c>
      <c r="F913">
        <v>0</v>
      </c>
      <c r="G913">
        <v>1139.4639728387581</v>
      </c>
      <c r="H913">
        <v>1033.2879339091901</v>
      </c>
      <c r="I913">
        <v>40955.288859833927</v>
      </c>
      <c r="J913">
        <v>39922.000925924738</v>
      </c>
    </row>
    <row r="914" spans="1:10">
      <c r="A914" s="3">
        <v>46050.865277777782</v>
      </c>
      <c r="B914" s="4">
        <v>-125.1998630025752</v>
      </c>
      <c r="C914" s="4">
        <v>204838.6775894395</v>
      </c>
      <c r="D914" s="4">
        <v>99905.271554876002</v>
      </c>
      <c r="E914" s="4">
        <v>104933.40603456349</v>
      </c>
      <c r="F914" s="4">
        <v>0</v>
      </c>
      <c r="G914" s="4">
        <v>1139.4639728387581</v>
      </c>
      <c r="H914" s="4">
        <v>1014.264109836183</v>
      </c>
      <c r="I914" s="4">
        <v>40967.735517887901</v>
      </c>
      <c r="J914" s="4">
        <v>39953.471408051722</v>
      </c>
    </row>
    <row r="915" spans="1:10">
      <c r="A915" s="3">
        <v>46050.865972222222</v>
      </c>
      <c r="B915" s="4">
        <v>-228.42354487336269</v>
      </c>
      <c r="C915" s="4">
        <v>204755.7681861544</v>
      </c>
      <c r="D915" s="4">
        <v>99812.205012298073</v>
      </c>
      <c r="E915" s="4">
        <v>104943.5631738564</v>
      </c>
      <c r="F915" s="4">
        <v>0</v>
      </c>
      <c r="G915" s="4">
        <v>1139.4639728387581</v>
      </c>
      <c r="H915" s="4">
        <v>911.04042796539557</v>
      </c>
      <c r="I915" s="4">
        <v>40951.153637230891</v>
      </c>
      <c r="J915" s="4">
        <v>40040.113209265503</v>
      </c>
    </row>
    <row r="916" spans="1:10">
      <c r="A916" s="1">
        <v>46050.866666666669</v>
      </c>
      <c r="B916">
        <v>-124.45696693595281</v>
      </c>
      <c r="C916">
        <v>204758.16337116319</v>
      </c>
      <c r="D916">
        <v>99865.385893771178</v>
      </c>
      <c r="E916">
        <v>104892.7774773921</v>
      </c>
      <c r="F916">
        <v>0</v>
      </c>
      <c r="G916">
        <v>1139.4639728387581</v>
      </c>
      <c r="H916">
        <v>1015.007005902806</v>
      </c>
      <c r="I916">
        <v>40951.632674232649</v>
      </c>
      <c r="J916">
        <v>39936.625668329842</v>
      </c>
    </row>
    <row r="917" spans="1:10">
      <c r="A917" s="3">
        <v>46050.867361111108</v>
      </c>
      <c r="B917" s="4">
        <v>-116.70462625574061</v>
      </c>
      <c r="C917" s="4">
        <v>204826.8585476006</v>
      </c>
      <c r="D917" s="4">
        <v>99903.609652329978</v>
      </c>
      <c r="E917" s="4">
        <v>104923.2488952706</v>
      </c>
      <c r="F917" s="4">
        <v>0</v>
      </c>
      <c r="G917" s="4">
        <v>1139.4639728387581</v>
      </c>
      <c r="H917" s="4">
        <v>1022.759346583018</v>
      </c>
      <c r="I917" s="4">
        <v>40965.371709520128</v>
      </c>
      <c r="J917" s="4">
        <v>39942.612362937107</v>
      </c>
    </row>
    <row r="918" spans="1:10">
      <c r="A918" s="3">
        <v>46050.868055555547</v>
      </c>
      <c r="B918" s="4">
        <v>-303.59983468594868</v>
      </c>
      <c r="C918" s="4">
        <v>205086.87746805631</v>
      </c>
      <c r="D918" s="4">
        <v>99940.171508342741</v>
      </c>
      <c r="E918" s="4">
        <v>105146.7059597136</v>
      </c>
      <c r="F918" s="4">
        <v>0</v>
      </c>
      <c r="G918" s="4">
        <v>1139.4639728387581</v>
      </c>
      <c r="H918" s="4">
        <v>835.86413815280957</v>
      </c>
      <c r="I918" s="4">
        <v>41017.375493611267</v>
      </c>
      <c r="J918" s="4">
        <v>40181.51135545846</v>
      </c>
    </row>
    <row r="919" spans="1:10">
      <c r="A919" s="1">
        <v>46050.868750000001</v>
      </c>
      <c r="B919">
        <v>-273.87131287398211</v>
      </c>
      <c r="C919">
        <v>205136.92026845409</v>
      </c>
      <c r="D919">
        <v>99980.05716944758</v>
      </c>
      <c r="E919">
        <v>105156.8630990065</v>
      </c>
      <c r="F919">
        <v>0</v>
      </c>
      <c r="G919">
        <v>1139.4639728387581</v>
      </c>
      <c r="H919">
        <v>865.5926599647762</v>
      </c>
      <c r="I919">
        <v>41027.384053690817</v>
      </c>
      <c r="J919">
        <v>40161.791393726038</v>
      </c>
    </row>
    <row r="920" spans="1:10">
      <c r="A920" s="3">
        <v>46050.869444444441</v>
      </c>
      <c r="B920" s="4">
        <v>-287.1665332422665</v>
      </c>
      <c r="C920" s="4">
        <v>205123.62504808581</v>
      </c>
      <c r="D920" s="4">
        <v>99966.7619490793</v>
      </c>
      <c r="E920" s="4">
        <v>105156.8630990065</v>
      </c>
      <c r="F920" s="4">
        <v>0</v>
      </c>
      <c r="G920" s="4">
        <v>1139.4639728387581</v>
      </c>
      <c r="H920" s="4">
        <v>852.29743959649181</v>
      </c>
      <c r="I920" s="4">
        <v>41024.725009617163</v>
      </c>
      <c r="J920" s="4">
        <v>40172.427570020671</v>
      </c>
    </row>
    <row r="921" spans="1:10">
      <c r="A921" s="1">
        <v>46050.870138888888</v>
      </c>
      <c r="B921">
        <v>-303.97128271926698</v>
      </c>
      <c r="C921">
        <v>205127.13457719449</v>
      </c>
      <c r="D921">
        <v>99960.11433889516</v>
      </c>
      <c r="E921">
        <v>105167.0202382993</v>
      </c>
      <c r="F921">
        <v>0</v>
      </c>
      <c r="G921">
        <v>1139.4639728387581</v>
      </c>
      <c r="H921">
        <v>835.49269011949127</v>
      </c>
      <c r="I921">
        <v>41025.426915438897</v>
      </c>
      <c r="J921">
        <v>40189.934225319412</v>
      </c>
    </row>
    <row r="922" spans="1:10">
      <c r="A922" s="3">
        <v>46050.870833333327</v>
      </c>
      <c r="B922" s="4">
        <v>-292.89513694697411</v>
      </c>
      <c r="C922" s="4">
        <v>205199.15355872389</v>
      </c>
      <c r="D922" s="4">
        <v>100001.66190254599</v>
      </c>
      <c r="E922" s="4">
        <v>105197.4916561779</v>
      </c>
      <c r="F922" s="4">
        <v>0</v>
      </c>
      <c r="G922" s="4">
        <v>1139.4639728387581</v>
      </c>
      <c r="H922" s="4">
        <v>846.56883589178415</v>
      </c>
      <c r="I922" s="4">
        <v>41039.830711744791</v>
      </c>
      <c r="J922" s="4">
        <v>40193.261875853008</v>
      </c>
    </row>
    <row r="923" spans="1:10">
      <c r="A923" s="1">
        <v>46050.871527777781</v>
      </c>
      <c r="B923">
        <v>-239.89036588667699</v>
      </c>
      <c r="C923">
        <v>205089.6441010985</v>
      </c>
      <c r="D923">
        <v>99973.409559263426</v>
      </c>
      <c r="E923">
        <v>105116.234541835</v>
      </c>
      <c r="F923">
        <v>0</v>
      </c>
      <c r="G923">
        <v>1139.4639728387581</v>
      </c>
      <c r="H923">
        <v>899.57360695208126</v>
      </c>
      <c r="I923">
        <v>41017.928820219699</v>
      </c>
      <c r="J923">
        <v>40118.35521326762</v>
      </c>
    </row>
    <row r="924" spans="1:10">
      <c r="A924" s="1">
        <v>46050.87222222222</v>
      </c>
      <c r="B924">
        <v>-272.94269279072438</v>
      </c>
      <c r="C924">
        <v>205036.27749560869</v>
      </c>
      <c r="D924">
        <v>99930.200093066524</v>
      </c>
      <c r="E924">
        <v>105106.0774025422</v>
      </c>
      <c r="F924">
        <v>0</v>
      </c>
      <c r="G924">
        <v>1139.4639728387581</v>
      </c>
      <c r="H924">
        <v>866.52128004803399</v>
      </c>
      <c r="I924">
        <v>41007.25549912174</v>
      </c>
      <c r="J924">
        <v>40140.734219073704</v>
      </c>
    </row>
    <row r="925" spans="1:10">
      <c r="A925" s="3">
        <v>46050.872916666667</v>
      </c>
      <c r="B925" s="4">
        <v>-305.07601321534651</v>
      </c>
      <c r="C925" s="4">
        <v>205065.08701094129</v>
      </c>
      <c r="D925" s="4">
        <v>99928.538190520499</v>
      </c>
      <c r="E925" s="4">
        <v>105136.54882042079</v>
      </c>
      <c r="F925" s="4">
        <v>0</v>
      </c>
      <c r="G925" s="4">
        <v>1139.4639728387581</v>
      </c>
      <c r="H925" s="4">
        <v>834.3879596234118</v>
      </c>
      <c r="I925" s="4">
        <v>41013.017402188263</v>
      </c>
      <c r="J925" s="4">
        <v>40178.629442564838</v>
      </c>
    </row>
    <row r="926" spans="1:10">
      <c r="A926" s="3">
        <v>46050.873611111107</v>
      </c>
      <c r="B926" s="4">
        <v>-370.82844619782122</v>
      </c>
      <c r="C926" s="4">
        <v>205283.73447815891</v>
      </c>
      <c r="D926" s="4">
        <v>100004.9857076381</v>
      </c>
      <c r="E926" s="4">
        <v>105278.7487705208</v>
      </c>
      <c r="F926" s="4">
        <v>0</v>
      </c>
      <c r="G926" s="4">
        <v>1139.4639728387581</v>
      </c>
      <c r="H926" s="4">
        <v>768.63552664093709</v>
      </c>
      <c r="I926" s="4">
        <v>41056.74689563179</v>
      </c>
      <c r="J926" s="4">
        <v>40288.111368990852</v>
      </c>
    </row>
    <row r="927" spans="1:10">
      <c r="A927" s="1">
        <v>46050.874305555553</v>
      </c>
      <c r="B927">
        <v>-391.13311117967652</v>
      </c>
      <c r="C927">
        <v>205121.22986307699</v>
      </c>
      <c r="D927">
        <v>99913.581067606196</v>
      </c>
      <c r="E927">
        <v>105207.6487954708</v>
      </c>
      <c r="F927">
        <v>0</v>
      </c>
      <c r="G927">
        <v>1139.4639728387581</v>
      </c>
      <c r="H927">
        <v>748.33086165908185</v>
      </c>
      <c r="I927">
        <v>41024.245972615397</v>
      </c>
      <c r="J927">
        <v>40275.915110956317</v>
      </c>
    </row>
    <row r="928" spans="1:10">
      <c r="A928" s="1">
        <v>46051.604166666657</v>
      </c>
      <c r="B928">
        <v>-313.1198275546144</v>
      </c>
      <c r="C928">
        <v>207027.52821941729</v>
      </c>
      <c r="D928">
        <v>100905.73688758889</v>
      </c>
      <c r="E928">
        <v>106121.7913318284</v>
      </c>
      <c r="F928">
        <v>0</v>
      </c>
      <c r="G928">
        <v>1139.4639728387581</v>
      </c>
      <c r="H928">
        <v>826.34414528414391</v>
      </c>
      <c r="I928">
        <v>41405.505643883473</v>
      </c>
      <c r="J928">
        <v>40579.161498599322</v>
      </c>
    </row>
    <row r="929" spans="1:10">
      <c r="A929" s="3">
        <v>46051.604861111111</v>
      </c>
      <c r="B929" s="4">
        <v>-323.10085643466488</v>
      </c>
      <c r="C929" s="4">
        <v>207200.37569780881</v>
      </c>
      <c r="D929" s="4">
        <v>100987.1701123446</v>
      </c>
      <c r="E929" s="4">
        <v>106213.20558546419</v>
      </c>
      <c r="F929" s="4">
        <v>0</v>
      </c>
      <c r="G929" s="4">
        <v>1139.4639728387581</v>
      </c>
      <c r="H929" s="4">
        <v>816.36311640409338</v>
      </c>
      <c r="I929" s="4">
        <v>41440.075139561763</v>
      </c>
      <c r="J929" s="4">
        <v>40623.712023157663</v>
      </c>
    </row>
    <row r="930" spans="1:10">
      <c r="A930" s="1">
        <v>46051.605555555558</v>
      </c>
      <c r="B930">
        <v>-51.106010934930048</v>
      </c>
      <c r="C930">
        <v>207533.31337906569</v>
      </c>
      <c r="D930">
        <v>101289.6363757229</v>
      </c>
      <c r="E930">
        <v>106243.6770033428</v>
      </c>
      <c r="F930">
        <v>0</v>
      </c>
      <c r="G930">
        <v>1139.4639728387581</v>
      </c>
      <c r="H930">
        <v>1088.357961903828</v>
      </c>
      <c r="I930">
        <v>41506.662675813153</v>
      </c>
      <c r="J930">
        <v>40418.304713909318</v>
      </c>
    </row>
    <row r="931" spans="1:10">
      <c r="A931" s="3">
        <v>46051.606249999997</v>
      </c>
      <c r="B931" s="4">
        <v>-270.10569897821478</v>
      </c>
      <c r="C931" s="4">
        <v>207273.68513385099</v>
      </c>
      <c r="D931" s="4">
        <v>101050.3224090939</v>
      </c>
      <c r="E931" s="4">
        <v>106223.3627247571</v>
      </c>
      <c r="F931" s="4">
        <v>0</v>
      </c>
      <c r="G931" s="4">
        <v>1139.4639728387581</v>
      </c>
      <c r="H931" s="4">
        <v>869.35827386054348</v>
      </c>
      <c r="I931" s="4">
        <v>41454.737026770192</v>
      </c>
      <c r="J931" s="4">
        <v>40585.378752909652</v>
      </c>
    </row>
    <row r="932" spans="1:10">
      <c r="A932" s="3">
        <v>46051.606944444437</v>
      </c>
      <c r="B932" s="4">
        <v>0</v>
      </c>
      <c r="C932" s="4">
        <v>0</v>
      </c>
      <c r="D932" s="4">
        <v>0</v>
      </c>
      <c r="E932" s="4">
        <v>0</v>
      </c>
      <c r="F932" s="4">
        <v>-225.34263613601641</v>
      </c>
      <c r="G932" s="4">
        <v>914.12133670274193</v>
      </c>
      <c r="H932" s="4">
        <v>914.12133670274193</v>
      </c>
      <c r="I932" s="4">
        <v>0</v>
      </c>
      <c r="J932" s="4">
        <v>-914.12133670274193</v>
      </c>
    </row>
    <row r="933" spans="1:10">
      <c r="A933" s="1">
        <v>46051.813194444447</v>
      </c>
      <c r="B933">
        <v>0</v>
      </c>
      <c r="C933">
        <v>204902.93461668491</v>
      </c>
      <c r="D933">
        <v>100000</v>
      </c>
      <c r="E933">
        <v>104902.9346166849</v>
      </c>
      <c r="F933">
        <v>0</v>
      </c>
      <c r="G933">
        <v>914.12133670274193</v>
      </c>
      <c r="H933">
        <v>914.12133670274193</v>
      </c>
      <c r="I933">
        <v>40980.586923336989</v>
      </c>
      <c r="J933">
        <v>40066.465586634236</v>
      </c>
    </row>
    <row r="934" spans="1:10">
      <c r="A934" s="3">
        <v>46051.813888888893</v>
      </c>
      <c r="B934" s="4">
        <v>174.0259742359674</v>
      </c>
      <c r="C934" s="4">
        <v>205037.27724134011</v>
      </c>
      <c r="D934" s="4">
        <v>100154.18429944559</v>
      </c>
      <c r="E934" s="4">
        <v>104883.0929418945</v>
      </c>
      <c r="F934" s="4">
        <v>0</v>
      </c>
      <c r="G934" s="4">
        <v>914.12133670274193</v>
      </c>
      <c r="H934" s="4">
        <v>1088.1473109387091</v>
      </c>
      <c r="I934" s="4">
        <v>41007.455448268032</v>
      </c>
      <c r="J934" s="4">
        <v>39919.308137329317</v>
      </c>
    </row>
    <row r="935" spans="1:10">
      <c r="A935" s="1">
        <v>46051.814583333333</v>
      </c>
      <c r="B935">
        <v>101.6960272939023</v>
      </c>
      <c r="C935">
        <v>205004.6306439788</v>
      </c>
      <c r="D935">
        <v>100101.6960272939</v>
      </c>
      <c r="E935">
        <v>104902.9346166849</v>
      </c>
      <c r="F935">
        <v>0</v>
      </c>
      <c r="G935">
        <v>914.12133670274193</v>
      </c>
      <c r="H935">
        <v>1015.817363996644</v>
      </c>
      <c r="I935">
        <v>41000.926128795771</v>
      </c>
      <c r="J935">
        <v>39985.10876479913</v>
      </c>
    </row>
    <row r="936" spans="1:10">
      <c r="A936" s="1">
        <v>46051.81527777778</v>
      </c>
      <c r="B936">
        <v>96.616679046190697</v>
      </c>
      <c r="C936">
        <v>205039.2346453119</v>
      </c>
      <c r="D936">
        <v>100116.4583538366</v>
      </c>
      <c r="E936">
        <v>104922.7762914753</v>
      </c>
      <c r="F936">
        <v>0</v>
      </c>
      <c r="G936">
        <v>914.12133670274193</v>
      </c>
      <c r="H936">
        <v>1010.738015748933</v>
      </c>
      <c r="I936">
        <v>41007.846929062383</v>
      </c>
      <c r="J936">
        <v>39997.108913313437</v>
      </c>
    </row>
    <row r="937" spans="1:10">
      <c r="A937" s="3">
        <v>46051.815972222219</v>
      </c>
      <c r="B937" s="4">
        <v>99.34219148846887</v>
      </c>
      <c r="C937" s="4">
        <v>205180.85188128671</v>
      </c>
      <c r="D937" s="4">
        <v>100188.6297280451</v>
      </c>
      <c r="E937" s="4">
        <v>104992.2221532416</v>
      </c>
      <c r="F937" s="4">
        <v>0</v>
      </c>
      <c r="G937" s="4">
        <v>914.12133670274193</v>
      </c>
      <c r="H937" s="4">
        <v>1013.463528191211</v>
      </c>
      <c r="I937" s="4">
        <v>41036.170376257352</v>
      </c>
      <c r="J937" s="4">
        <v>40022.706848066133</v>
      </c>
    </row>
    <row r="938" spans="1:10">
      <c r="A938" s="3">
        <v>46051.816666666673</v>
      </c>
      <c r="B938" s="4">
        <v>169.95259355905239</v>
      </c>
      <c r="C938" s="4">
        <v>205231.62060856691</v>
      </c>
      <c r="D938" s="4">
        <v>100249.31929272049</v>
      </c>
      <c r="E938" s="4">
        <v>104982.3013158464</v>
      </c>
      <c r="F938" s="4">
        <v>0</v>
      </c>
      <c r="G938" s="4">
        <v>914.12133670274193</v>
      </c>
      <c r="H938" s="4">
        <v>1084.073930261794</v>
      </c>
      <c r="I938" s="4">
        <v>41046.324121713376</v>
      </c>
      <c r="J938" s="4">
        <v>39962.250191451589</v>
      </c>
    </row>
    <row r="939" spans="1:10">
      <c r="A939" s="3">
        <v>46051.817361111112</v>
      </c>
      <c r="B939" s="4">
        <v>150.11091876867249</v>
      </c>
      <c r="C939" s="4">
        <v>205251.46228335731</v>
      </c>
      <c r="D939" s="4">
        <v>100249.31929272049</v>
      </c>
      <c r="E939" s="4">
        <v>105002.1429906368</v>
      </c>
      <c r="F939" s="4">
        <v>0</v>
      </c>
      <c r="G939" s="4">
        <v>914.12133670274193</v>
      </c>
      <c r="H939" s="4">
        <v>1064.232255471414</v>
      </c>
      <c r="I939" s="4">
        <v>41050.292456671457</v>
      </c>
      <c r="J939" s="4">
        <v>39986.060201200053</v>
      </c>
    </row>
    <row r="940" spans="1:10">
      <c r="A940" s="1">
        <v>46051.818055555559</v>
      </c>
      <c r="B940">
        <v>156.75123915438479</v>
      </c>
      <c r="C940">
        <v>205238.2609289526</v>
      </c>
      <c r="D940">
        <v>100246.038775711</v>
      </c>
      <c r="E940">
        <v>104992.2221532416</v>
      </c>
      <c r="F940">
        <v>0</v>
      </c>
      <c r="G940">
        <v>914.12133670274193</v>
      </c>
      <c r="H940">
        <v>1070.872575857127</v>
      </c>
      <c r="I940">
        <v>41047.652185790532</v>
      </c>
      <c r="J940">
        <v>39976.779609933408</v>
      </c>
    </row>
    <row r="941" spans="1:10">
      <c r="A941" s="3">
        <v>46051.818749999999</v>
      </c>
      <c r="B941" s="4">
        <v>176.4343412112697</v>
      </c>
      <c r="C941" s="4">
        <v>205257.94403100951</v>
      </c>
      <c r="D941" s="4">
        <v>100265.72187776789</v>
      </c>
      <c r="E941" s="4">
        <v>104992.2221532416</v>
      </c>
      <c r="F941" s="4">
        <v>0</v>
      </c>
      <c r="G941" s="4">
        <v>914.12133670274193</v>
      </c>
      <c r="H941" s="4">
        <v>1090.555677914012</v>
      </c>
      <c r="I941" s="4">
        <v>41051.588806201908</v>
      </c>
      <c r="J941" s="4">
        <v>39961.033128287898</v>
      </c>
    </row>
    <row r="942" spans="1:10">
      <c r="A942" s="1">
        <v>46051.819444444453</v>
      </c>
      <c r="B942">
        <v>0</v>
      </c>
      <c r="C942">
        <v>0</v>
      </c>
      <c r="D942">
        <v>0</v>
      </c>
      <c r="E942">
        <v>0</v>
      </c>
      <c r="F942">
        <v>204.6289279979984</v>
      </c>
      <c r="G942">
        <v>1118.75026470074</v>
      </c>
      <c r="H942">
        <v>1118.75026470074</v>
      </c>
      <c r="I942">
        <v>0</v>
      </c>
      <c r="J942">
        <v>-1118.75026470074</v>
      </c>
    </row>
    <row r="943" spans="1:10">
      <c r="A943" s="3">
        <v>46052.722916666673</v>
      </c>
      <c r="B943" s="4">
        <v>0</v>
      </c>
      <c r="C943" s="4">
        <v>204902.93461668491</v>
      </c>
      <c r="D943" s="4">
        <v>100000</v>
      </c>
      <c r="E943" s="4">
        <v>104902.9346166849</v>
      </c>
      <c r="F943" s="4">
        <v>0</v>
      </c>
      <c r="G943" s="4">
        <v>1118.75026470074</v>
      </c>
      <c r="H943" s="4">
        <v>1118.75026470074</v>
      </c>
      <c r="I943" s="4">
        <v>40980.586923336989</v>
      </c>
      <c r="J943" s="4">
        <v>39861.836658636254</v>
      </c>
    </row>
    <row r="944" spans="1:10">
      <c r="A944" s="1">
        <v>46052.723611111112</v>
      </c>
      <c r="B944">
        <v>72.430368077951684</v>
      </c>
      <c r="C944">
        <v>204975.36498476291</v>
      </c>
      <c r="D944">
        <v>100072.430368078</v>
      </c>
      <c r="E944">
        <v>104902.9346166849</v>
      </c>
      <c r="F944">
        <v>0</v>
      </c>
      <c r="G944">
        <v>1118.75026470074</v>
      </c>
      <c r="H944">
        <v>1191.1806327786919</v>
      </c>
      <c r="I944">
        <v>40995.072996952571</v>
      </c>
      <c r="J944">
        <v>39803.89236417388</v>
      </c>
    </row>
    <row r="945" spans="1:10">
      <c r="A945" s="1">
        <v>46052.724305555559</v>
      </c>
      <c r="B945">
        <v>66.017809230616592</v>
      </c>
      <c r="C945">
        <v>204810.57849178961</v>
      </c>
      <c r="D945">
        <v>99986.830842167634</v>
      </c>
      <c r="E945">
        <v>104823.7476496219</v>
      </c>
      <c r="F945">
        <v>0</v>
      </c>
      <c r="G945">
        <v>1118.75026470074</v>
      </c>
      <c r="H945">
        <v>1184.7680739313571</v>
      </c>
      <c r="I945">
        <v>40962.11569835792</v>
      </c>
      <c r="J945">
        <v>39777.347624426562</v>
      </c>
    </row>
    <row r="946" spans="1:10">
      <c r="A946" s="3">
        <v>46052.724999999999</v>
      </c>
      <c r="B946" s="4">
        <v>52.913158924078303</v>
      </c>
      <c r="C946" s="4">
        <v>204738.08361618579</v>
      </c>
      <c r="D946" s="4">
        <v>99944.03107921248</v>
      </c>
      <c r="E946" s="4">
        <v>104794.05253697329</v>
      </c>
      <c r="F946" s="4">
        <v>0</v>
      </c>
      <c r="G946" s="4">
        <v>1118.75026470074</v>
      </c>
      <c r="H946" s="4">
        <v>1171.663423624819</v>
      </c>
      <c r="I946" s="4">
        <v>40947.616723237174</v>
      </c>
      <c r="J946" s="4">
        <v>39775.953299612353</v>
      </c>
    </row>
    <row r="947" spans="1:10">
      <c r="A947" s="1">
        <v>46052.725694444453</v>
      </c>
      <c r="B947">
        <v>39.571981022877722</v>
      </c>
      <c r="C947">
        <v>204883.11637241059</v>
      </c>
      <c r="D947">
        <v>100009.8768683743</v>
      </c>
      <c r="E947">
        <v>104873.2395040363</v>
      </c>
      <c r="F947">
        <v>0</v>
      </c>
      <c r="G947">
        <v>1118.75026470074</v>
      </c>
      <c r="H947">
        <v>1158.3222457236179</v>
      </c>
      <c r="I947">
        <v>40976.623274482117</v>
      </c>
      <c r="J947">
        <v>39818.301028758498</v>
      </c>
    </row>
    <row r="948" spans="1:10">
      <c r="A948" s="3">
        <v>46052.726388888892</v>
      </c>
      <c r="B948" s="4">
        <v>32.987402106705403</v>
      </c>
      <c r="C948" s="4">
        <v>204876.53179349439</v>
      </c>
      <c r="D948" s="4">
        <v>100003.2922894581</v>
      </c>
      <c r="E948" s="4">
        <v>104873.2395040363</v>
      </c>
      <c r="F948" s="4">
        <v>0</v>
      </c>
      <c r="G948" s="4">
        <v>1118.75026470074</v>
      </c>
      <c r="H948" s="4">
        <v>1151.737666807446</v>
      </c>
      <c r="I948" s="4">
        <v>40975.306358698879</v>
      </c>
      <c r="J948" s="4">
        <v>39823.568691891443</v>
      </c>
    </row>
    <row r="949" spans="1:10">
      <c r="A949" s="1">
        <v>46052.727083333331</v>
      </c>
      <c r="B949">
        <v>-92.20560733509258</v>
      </c>
      <c r="C949">
        <v>204830.52575111561</v>
      </c>
      <c r="D949">
        <v>99917.692763547777</v>
      </c>
      <c r="E949">
        <v>104912.8329875678</v>
      </c>
      <c r="F949">
        <v>0</v>
      </c>
      <c r="G949">
        <v>1118.75026470074</v>
      </c>
      <c r="H949">
        <v>1026.5446573656479</v>
      </c>
      <c r="I949">
        <v>40966.10515022312</v>
      </c>
      <c r="J949">
        <v>39939.560492857483</v>
      </c>
    </row>
    <row r="950" spans="1:10">
      <c r="A950" s="3">
        <v>46052.727777777778</v>
      </c>
      <c r="B950" s="4">
        <v>-92.248612352312435</v>
      </c>
      <c r="C950" s="4">
        <v>204870.07622962989</v>
      </c>
      <c r="D950" s="4">
        <v>99937.446500296312</v>
      </c>
      <c r="E950" s="4">
        <v>104932.62972933349</v>
      </c>
      <c r="F950" s="4">
        <v>0</v>
      </c>
      <c r="G950" s="4">
        <v>1118.75026470074</v>
      </c>
      <c r="H950" s="4">
        <v>1026.501652348428</v>
      </c>
      <c r="I950" s="4">
        <v>40974.015245925977</v>
      </c>
      <c r="J950" s="4">
        <v>39947.513593577547</v>
      </c>
    </row>
    <row r="951" spans="1:10">
      <c r="A951" s="3">
        <v>46052.728472222218</v>
      </c>
      <c r="B951" s="4">
        <v>-102.254495778207</v>
      </c>
      <c r="C951" s="4">
        <v>204978.85079679839</v>
      </c>
      <c r="D951" s="4">
        <v>99986.830842167634</v>
      </c>
      <c r="E951" s="4">
        <v>104992.0199546308</v>
      </c>
      <c r="F951" s="4">
        <v>0</v>
      </c>
      <c r="G951" s="4">
        <v>1118.75026470074</v>
      </c>
      <c r="H951" s="4">
        <v>1016.495768922533</v>
      </c>
      <c r="I951" s="4">
        <v>40995.770159359679</v>
      </c>
      <c r="J951" s="4">
        <v>39979.274390437153</v>
      </c>
    </row>
    <row r="952" spans="1:10">
      <c r="A952" s="3">
        <v>46052.729166666657</v>
      </c>
      <c r="B952" s="4">
        <v>-10.02738593449514</v>
      </c>
      <c r="C952" s="4">
        <v>205031.48442311061</v>
      </c>
      <c r="D952" s="4">
        <v>100059.2612102456</v>
      </c>
      <c r="E952" s="4">
        <v>104972.22321286501</v>
      </c>
      <c r="F952" s="4">
        <v>0</v>
      </c>
      <c r="G952" s="4">
        <v>1118.75026470074</v>
      </c>
      <c r="H952" s="4">
        <v>1108.722878766245</v>
      </c>
      <c r="I952" s="4">
        <v>41006.296884622127</v>
      </c>
      <c r="J952" s="4">
        <v>39897.57400585588</v>
      </c>
    </row>
    <row r="953" spans="1:10">
      <c r="A953" s="3">
        <v>46052.729861111111</v>
      </c>
      <c r="B953" s="4">
        <v>47.673689616480402</v>
      </c>
      <c r="C953" s="4">
        <v>205009.99853159871</v>
      </c>
      <c r="D953" s="4">
        <v>100077.3688022651</v>
      </c>
      <c r="E953" s="4">
        <v>104932.62972933349</v>
      </c>
      <c r="F953" s="4">
        <v>0</v>
      </c>
      <c r="G953" s="4">
        <v>1118.75026470074</v>
      </c>
      <c r="H953" s="4">
        <v>1166.4239543172209</v>
      </c>
      <c r="I953" s="4">
        <v>41001.999706319737</v>
      </c>
      <c r="J953" s="4">
        <v>39835.575752002507</v>
      </c>
    </row>
    <row r="954" spans="1:10">
      <c r="A954" s="1">
        <v>46052.730555555558</v>
      </c>
      <c r="B954">
        <v>16.4399447818443</v>
      </c>
      <c r="C954">
        <v>204939.17130323249</v>
      </c>
      <c r="D954">
        <v>100026.3383156647</v>
      </c>
      <c r="E954">
        <v>104912.8329875678</v>
      </c>
      <c r="F954">
        <v>0</v>
      </c>
      <c r="G954">
        <v>1118.75026470074</v>
      </c>
      <c r="H954">
        <v>1135.190209482585</v>
      </c>
      <c r="I954">
        <v>40987.834260646501</v>
      </c>
      <c r="J954">
        <v>39852.644051163923</v>
      </c>
    </row>
    <row r="955" spans="1:10">
      <c r="A955" s="3">
        <v>46052.731249999997</v>
      </c>
      <c r="B955" s="4">
        <v>46.285574990700198</v>
      </c>
      <c r="C955" s="4">
        <v>204771.0495157839</v>
      </c>
      <c r="D955" s="4">
        <v>99957.200237044846</v>
      </c>
      <c r="E955" s="4">
        <v>104813.8492787391</v>
      </c>
      <c r="F955" s="4">
        <v>0</v>
      </c>
      <c r="G955" s="4">
        <v>1118.75026470074</v>
      </c>
      <c r="H955" s="4">
        <v>1165.035839691441</v>
      </c>
      <c r="I955" s="4">
        <v>40954.209903156792</v>
      </c>
      <c r="J955" s="4">
        <v>39789.174063465347</v>
      </c>
    </row>
    <row r="956" spans="1:10">
      <c r="A956" s="3">
        <v>46052.731944444437</v>
      </c>
      <c r="B956" s="4">
        <v>20.07627437762363</v>
      </c>
      <c r="C956" s="4">
        <v>204626.05976457629</v>
      </c>
      <c r="D956" s="4">
        <v>99871.600711134524</v>
      </c>
      <c r="E956" s="4">
        <v>104754.45905344179</v>
      </c>
      <c r="F956" s="4">
        <v>0</v>
      </c>
      <c r="G956" s="4">
        <v>1118.75026470074</v>
      </c>
      <c r="H956" s="4">
        <v>1138.826539078364</v>
      </c>
      <c r="I956" s="4">
        <v>40925.21195291527</v>
      </c>
      <c r="J956" s="4">
        <v>39786.385413836913</v>
      </c>
    </row>
    <row r="957" spans="1:10">
      <c r="A957" s="1">
        <v>46052.732638888891</v>
      </c>
      <c r="B957">
        <v>7.0576341054969021</v>
      </c>
      <c r="C957">
        <v>204474.46393194399</v>
      </c>
      <c r="D957">
        <v>99789.293474682301</v>
      </c>
      <c r="E957">
        <v>104685.1704572617</v>
      </c>
      <c r="F957">
        <v>0</v>
      </c>
      <c r="G957">
        <v>1118.75026470074</v>
      </c>
      <c r="H957">
        <v>1125.8078988062371</v>
      </c>
      <c r="I957">
        <v>40894.892786388809</v>
      </c>
      <c r="J957">
        <v>39769.084887582569</v>
      </c>
    </row>
    <row r="958" spans="1:10">
      <c r="A958" s="1">
        <v>46052.73333333333</v>
      </c>
      <c r="B958">
        <v>-16.09590464415578</v>
      </c>
      <c r="C958">
        <v>204550.29410202309</v>
      </c>
      <c r="D958">
        <v>99815.631790347004</v>
      </c>
      <c r="E958">
        <v>104734.6623116761</v>
      </c>
      <c r="F958">
        <v>0</v>
      </c>
      <c r="G958">
        <v>1118.75026470074</v>
      </c>
      <c r="H958">
        <v>1102.6543600565849</v>
      </c>
      <c r="I958">
        <v>40910.058820404607</v>
      </c>
      <c r="J958">
        <v>39807.404460348029</v>
      </c>
    </row>
    <row r="959" spans="1:10">
      <c r="A959" s="1">
        <v>46052.734027777777</v>
      </c>
      <c r="B959">
        <v>24.950201038927791</v>
      </c>
      <c r="C959">
        <v>204690.32391653489</v>
      </c>
      <c r="D959">
        <v>99906.169750444446</v>
      </c>
      <c r="E959">
        <v>104784.1541660904</v>
      </c>
      <c r="F959">
        <v>0</v>
      </c>
      <c r="G959">
        <v>1118.75026470074</v>
      </c>
      <c r="H959">
        <v>1143.7004657396681</v>
      </c>
      <c r="I959">
        <v>40938.064783306982</v>
      </c>
      <c r="J959">
        <v>39794.364317567313</v>
      </c>
    </row>
    <row r="960" spans="1:10">
      <c r="A960" s="3">
        <v>46052.734722222223</v>
      </c>
      <c r="B960" s="4">
        <v>-36.086168987353759</v>
      </c>
      <c r="C960" s="4">
        <v>204748.06799710309</v>
      </c>
      <c r="D960" s="4">
        <v>99904.523605715411</v>
      </c>
      <c r="E960" s="4">
        <v>104843.5443913877</v>
      </c>
      <c r="F960" s="4">
        <v>0</v>
      </c>
      <c r="G960" s="4">
        <v>1118.75026470074</v>
      </c>
      <c r="H960" s="4">
        <v>1082.664095713387</v>
      </c>
      <c r="I960" s="4">
        <v>40949.61359942062</v>
      </c>
      <c r="J960" s="4">
        <v>39866.949503707227</v>
      </c>
    </row>
    <row r="961" spans="1:10">
      <c r="A961" s="3">
        <v>46052.73541666667</v>
      </c>
      <c r="B961" s="4">
        <v>-11.286485508657981</v>
      </c>
      <c r="C961" s="4">
        <v>204673.88397175309</v>
      </c>
      <c r="D961" s="4">
        <v>99879.831434779742</v>
      </c>
      <c r="E961" s="4">
        <v>104794.05253697329</v>
      </c>
      <c r="F961" s="4">
        <v>0</v>
      </c>
      <c r="G961" s="4">
        <v>1118.75026470074</v>
      </c>
      <c r="H961" s="4">
        <v>1107.463779192082</v>
      </c>
      <c r="I961" s="4">
        <v>40934.776794350619</v>
      </c>
      <c r="J961" s="4">
        <v>39827.313015158543</v>
      </c>
    </row>
    <row r="962" spans="1:10">
      <c r="A962" s="3">
        <v>46052.736111111109</v>
      </c>
      <c r="B962" s="4">
        <v>0</v>
      </c>
      <c r="C962" s="4">
        <v>0</v>
      </c>
      <c r="D962" s="4">
        <v>0</v>
      </c>
      <c r="E962" s="4">
        <v>0</v>
      </c>
      <c r="F962" s="4">
        <v>-1.1936533380131029</v>
      </c>
      <c r="G962" s="4">
        <v>1117.5566113627269</v>
      </c>
      <c r="H962" s="4">
        <v>1117.5566113627269</v>
      </c>
      <c r="I962" s="4">
        <v>0</v>
      </c>
      <c r="J962" s="4">
        <v>-1117.5566113627269</v>
      </c>
    </row>
    <row r="963" spans="1:10">
      <c r="A963" s="1">
        <v>46056.604861111111</v>
      </c>
      <c r="B963">
        <v>0</v>
      </c>
      <c r="C963">
        <v>204902.93461668491</v>
      </c>
      <c r="D963">
        <v>104902.9346166849</v>
      </c>
      <c r="E963">
        <v>100000</v>
      </c>
      <c r="F963">
        <v>0</v>
      </c>
      <c r="G963">
        <v>1117.5566113627269</v>
      </c>
      <c r="H963">
        <v>1117.5566113627269</v>
      </c>
      <c r="I963">
        <v>40980.586923336989</v>
      </c>
      <c r="J963">
        <v>39863.03031197426</v>
      </c>
    </row>
    <row r="964" spans="1:10">
      <c r="A964" s="1">
        <v>46056.605555555558</v>
      </c>
      <c r="B964">
        <v>0</v>
      </c>
      <c r="C964">
        <v>0</v>
      </c>
      <c r="D964">
        <v>0</v>
      </c>
      <c r="E964">
        <v>0</v>
      </c>
      <c r="F964">
        <v>364.37419022470732</v>
      </c>
      <c r="G964">
        <v>1481.9308015874351</v>
      </c>
      <c r="H964">
        <v>1481.9308015874351</v>
      </c>
      <c r="I964">
        <v>0</v>
      </c>
      <c r="J964">
        <v>-1481.9308015874351</v>
      </c>
    </row>
    <row r="965" spans="1:10">
      <c r="A965" s="3">
        <v>46057.604166666657</v>
      </c>
      <c r="B965" s="4">
        <v>0</v>
      </c>
      <c r="C965" s="4">
        <v>204902.93461668491</v>
      </c>
      <c r="D965" s="4">
        <v>100000</v>
      </c>
      <c r="E965" s="4">
        <v>104902.9346166849</v>
      </c>
      <c r="F965" s="4">
        <v>0</v>
      </c>
      <c r="G965" s="4">
        <v>1481.9308015874351</v>
      </c>
      <c r="H965" s="4">
        <v>1481.9308015874351</v>
      </c>
      <c r="I965" s="4">
        <v>40980.586923336989</v>
      </c>
      <c r="J965" s="4">
        <v>39498.656121749547</v>
      </c>
    </row>
    <row r="966" spans="1:10">
      <c r="A966" s="1">
        <v>46057.604861111111</v>
      </c>
      <c r="B966">
        <v>-143.33375827351611</v>
      </c>
      <c r="C966">
        <v>205255.01023086329</v>
      </c>
      <c r="D966">
        <v>100104.3709279524</v>
      </c>
      <c r="E966">
        <v>105150.6393029109</v>
      </c>
      <c r="F966">
        <v>0</v>
      </c>
      <c r="G966">
        <v>1481.9308015874351</v>
      </c>
      <c r="H966">
        <v>1338.597043313918</v>
      </c>
      <c r="I966">
        <v>41051.00204617266</v>
      </c>
      <c r="J966">
        <v>39712.405002858737</v>
      </c>
    </row>
    <row r="967" spans="1:10">
      <c r="A967" s="3">
        <v>46057.605555555558</v>
      </c>
      <c r="B967" s="4">
        <v>-31.638498923155112</v>
      </c>
      <c r="C967" s="4">
        <v>205652.51858970511</v>
      </c>
      <c r="D967" s="4">
        <v>100358.97273704851</v>
      </c>
      <c r="E967" s="4">
        <v>105293.54585265661</v>
      </c>
      <c r="F967" s="4">
        <v>0</v>
      </c>
      <c r="G967" s="4">
        <v>1481.9308015874351</v>
      </c>
      <c r="H967" s="4">
        <v>1450.29230266428</v>
      </c>
      <c r="I967" s="4">
        <v>41130.503717941021</v>
      </c>
      <c r="J967" s="4">
        <v>39680.211415276739</v>
      </c>
    </row>
    <row r="968" spans="1:10">
      <c r="A968" s="1">
        <v>46057.606249999997</v>
      </c>
      <c r="B968">
        <v>-270.08794180494363</v>
      </c>
      <c r="C968">
        <v>206023.8037590718</v>
      </c>
      <c r="D968">
        <v>100425.39060029099</v>
      </c>
      <c r="E968">
        <v>105598.41315878079</v>
      </c>
      <c r="F968">
        <v>0</v>
      </c>
      <c r="G968">
        <v>1481.9308015874351</v>
      </c>
      <c r="H968">
        <v>1211.8428597824909</v>
      </c>
      <c r="I968">
        <v>41204.760751814363</v>
      </c>
      <c r="J968">
        <v>39992.917892031874</v>
      </c>
    </row>
    <row r="969" spans="1:10">
      <c r="A969" s="3">
        <v>46057.606944444437</v>
      </c>
      <c r="B969" s="4">
        <v>20.857662164170279</v>
      </c>
      <c r="C969" s="4">
        <v>205552.58109773029</v>
      </c>
      <c r="D969" s="4">
        <v>100335.2520716048</v>
      </c>
      <c r="E969" s="4">
        <v>105217.3290261255</v>
      </c>
      <c r="F969" s="4">
        <v>0</v>
      </c>
      <c r="G969" s="4">
        <v>1481.9308015874351</v>
      </c>
      <c r="H969" s="4">
        <v>1502.7884637516049</v>
      </c>
      <c r="I969" s="4">
        <v>41110.516219546058</v>
      </c>
      <c r="J969" s="4">
        <v>39607.727755794447</v>
      </c>
    </row>
    <row r="970" spans="1:10">
      <c r="A970" s="3">
        <v>46057.607638888891</v>
      </c>
      <c r="B970" s="4">
        <v>-38.496784654410057</v>
      </c>
      <c r="C970" s="4">
        <v>205131.19672488919</v>
      </c>
      <c r="D970" s="4">
        <v>100094.8826617749</v>
      </c>
      <c r="E970" s="4">
        <v>105036.3140631143</v>
      </c>
      <c r="F970" s="4">
        <v>0</v>
      </c>
      <c r="G970" s="4">
        <v>1481.9308015874351</v>
      </c>
      <c r="H970" s="4">
        <v>1443.4340169330251</v>
      </c>
      <c r="I970" s="4">
        <v>41026.239344977846</v>
      </c>
      <c r="J970" s="4">
        <v>39582.805328044822</v>
      </c>
    </row>
    <row r="971" spans="1:10">
      <c r="A971" s="3">
        <v>46057.60833333333</v>
      </c>
      <c r="B971" s="4">
        <v>-168.7523128301689</v>
      </c>
      <c r="C971" s="4">
        <v>205286.75429620489</v>
      </c>
      <c r="D971" s="4">
        <v>100107.5336833449</v>
      </c>
      <c r="E971" s="4">
        <v>105179.22061285999</v>
      </c>
      <c r="F971" s="4">
        <v>0</v>
      </c>
      <c r="G971" s="4">
        <v>1481.9308015874351</v>
      </c>
      <c r="H971" s="4">
        <v>1313.178488757266</v>
      </c>
      <c r="I971" s="4">
        <v>41057.350859240993</v>
      </c>
      <c r="J971" s="4">
        <v>39744.172370483728</v>
      </c>
    </row>
    <row r="972" spans="1:10">
      <c r="A972" s="1">
        <v>46057.609027777777</v>
      </c>
      <c r="B972">
        <v>-414.21538999874349</v>
      </c>
      <c r="C972">
        <v>205212.7790787312</v>
      </c>
      <c r="D972">
        <v>99947.814536023769</v>
      </c>
      <c r="E972">
        <v>105264.9645427074</v>
      </c>
      <c r="F972">
        <v>0</v>
      </c>
      <c r="G972">
        <v>1481.9308015874351</v>
      </c>
      <c r="H972">
        <v>1067.715411588691</v>
      </c>
      <c r="I972">
        <v>41042.555815746236</v>
      </c>
      <c r="J972">
        <v>39974.840404157563</v>
      </c>
    </row>
    <row r="973" spans="1:10">
      <c r="A973" s="1">
        <v>46057.609722222223</v>
      </c>
      <c r="B973">
        <v>-73.714302499668804</v>
      </c>
      <c r="C973">
        <v>205305.57548000439</v>
      </c>
      <c r="D973">
        <v>100164.46328040989</v>
      </c>
      <c r="E973">
        <v>105141.1121995945</v>
      </c>
      <c r="F973">
        <v>0</v>
      </c>
      <c r="G973">
        <v>1481.9308015874351</v>
      </c>
      <c r="H973">
        <v>1408.2164990877659</v>
      </c>
      <c r="I973">
        <v>41061.115096000867</v>
      </c>
      <c r="J973">
        <v>39652.89859691311</v>
      </c>
    </row>
    <row r="974" spans="1:10">
      <c r="A974" s="1">
        <v>46057.61041666667</v>
      </c>
      <c r="B974">
        <v>-339.55204902323283</v>
      </c>
      <c r="C974">
        <v>205897.17703195519</v>
      </c>
      <c r="D974">
        <v>100327.3451831235</v>
      </c>
      <c r="E974">
        <v>105569.8318488317</v>
      </c>
      <c r="F974">
        <v>0</v>
      </c>
      <c r="G974">
        <v>1481.9308015874351</v>
      </c>
      <c r="H974">
        <v>1142.3787525642019</v>
      </c>
      <c r="I974">
        <v>41179.435406391043</v>
      </c>
      <c r="J974">
        <v>40037.056653826839</v>
      </c>
    </row>
    <row r="975" spans="1:10">
      <c r="A975" s="3">
        <v>46057.611111111109</v>
      </c>
      <c r="B975" s="4">
        <v>-464.63623558244052</v>
      </c>
      <c r="C975" s="4">
        <v>205848.30967192701</v>
      </c>
      <c r="D975" s="4">
        <v>100240.3694098298</v>
      </c>
      <c r="E975" s="4">
        <v>105607.9402620972</v>
      </c>
      <c r="F975" s="4">
        <v>0</v>
      </c>
      <c r="G975" s="4">
        <v>1481.9308015874351</v>
      </c>
      <c r="H975" s="4">
        <v>1017.294566004994</v>
      </c>
      <c r="I975" s="4">
        <v>41169.661934385411</v>
      </c>
      <c r="J975" s="4">
        <v>40152.367368380423</v>
      </c>
    </row>
    <row r="976" spans="1:10">
      <c r="A976" s="3">
        <v>46057.611805555563</v>
      </c>
      <c r="B976" s="4">
        <v>-388.06987480139293</v>
      </c>
      <c r="C976" s="4">
        <v>205600.9545199511</v>
      </c>
      <c r="D976" s="4">
        <v>100154.9750142324</v>
      </c>
      <c r="E976" s="4">
        <v>105445.9795057187</v>
      </c>
      <c r="F976" s="4">
        <v>0</v>
      </c>
      <c r="G976" s="4">
        <v>1481.9308015874351</v>
      </c>
      <c r="H976" s="4">
        <v>1093.860926786042</v>
      </c>
      <c r="I976" s="4">
        <v>41120.190903990217</v>
      </c>
      <c r="J976" s="4">
        <v>40026.329977204179</v>
      </c>
    </row>
    <row r="977" spans="1:10">
      <c r="A977" s="3">
        <v>46057.612500000003</v>
      </c>
      <c r="B977" s="4">
        <v>-727.33911885422481</v>
      </c>
      <c r="C977" s="4">
        <v>205680.8778218191</v>
      </c>
      <c r="D977" s="4">
        <v>100025.30204313999</v>
      </c>
      <c r="E977" s="4">
        <v>105655.57577867909</v>
      </c>
      <c r="F977" s="4">
        <v>0</v>
      </c>
      <c r="G977" s="4">
        <v>1481.9308015874351</v>
      </c>
      <c r="H977" s="4">
        <v>754.59168273320984</v>
      </c>
      <c r="I977" s="4">
        <v>41136.175564363817</v>
      </c>
      <c r="J977" s="4">
        <v>40381.583881630613</v>
      </c>
    </row>
    <row r="978" spans="1:10">
      <c r="A978" s="3">
        <v>46057.613194444442</v>
      </c>
      <c r="B978" s="4">
        <v>-575.21616290320139</v>
      </c>
      <c r="C978" s="4">
        <v>205680.567124708</v>
      </c>
      <c r="D978" s="4">
        <v>100101.2081725599</v>
      </c>
      <c r="E978" s="4">
        <v>105579.358952148</v>
      </c>
      <c r="F978" s="4">
        <v>0</v>
      </c>
      <c r="G978" s="4">
        <v>1481.9308015874351</v>
      </c>
      <c r="H978" s="4">
        <v>906.71463868423325</v>
      </c>
      <c r="I978" s="4">
        <v>41136.113424941599</v>
      </c>
      <c r="J978" s="4">
        <v>40229.398786257363</v>
      </c>
    </row>
    <row r="979" spans="1:10">
      <c r="A979" s="1">
        <v>46057.613888888889</v>
      </c>
      <c r="B979">
        <v>-556.51149052044548</v>
      </c>
      <c r="C979">
        <v>205832.65124352009</v>
      </c>
      <c r="D979">
        <v>100186.6025681574</v>
      </c>
      <c r="E979">
        <v>105646.0486753627</v>
      </c>
      <c r="F979">
        <v>0</v>
      </c>
      <c r="G979">
        <v>1481.9308015874351</v>
      </c>
      <c r="H979">
        <v>925.41931106698917</v>
      </c>
      <c r="I979">
        <v>41166.530248704017</v>
      </c>
      <c r="J979">
        <v>40241.11093763703</v>
      </c>
    </row>
    <row r="980" spans="1:10">
      <c r="A980" s="3">
        <v>46057.614583333343</v>
      </c>
      <c r="B980" s="4">
        <v>-483.72927935408518</v>
      </c>
      <c r="C980" s="4">
        <v>205886.37924805371</v>
      </c>
      <c r="D980" s="4">
        <v>100249.8576760073</v>
      </c>
      <c r="E980" s="4">
        <v>105636.5215720463</v>
      </c>
      <c r="F980" s="4">
        <v>0</v>
      </c>
      <c r="G980" s="4">
        <v>1481.9308015874351</v>
      </c>
      <c r="H980" s="4">
        <v>998.20152223334946</v>
      </c>
      <c r="I980" s="4">
        <v>41177.275849610742</v>
      </c>
      <c r="J980" s="4">
        <v>40179.074327377391</v>
      </c>
    </row>
    <row r="981" spans="1:10">
      <c r="A981" s="1">
        <v>46057.615277777782</v>
      </c>
      <c r="B981">
        <v>-525.89370220657111</v>
      </c>
      <c r="C981">
        <v>206358.67840428589</v>
      </c>
      <c r="D981">
        <v>100464.9250426972</v>
      </c>
      <c r="E981">
        <v>105893.75336158869</v>
      </c>
      <c r="F981">
        <v>0</v>
      </c>
      <c r="G981">
        <v>1481.9308015874351</v>
      </c>
      <c r="H981">
        <v>956.03709938086354</v>
      </c>
      <c r="I981">
        <v>41271.735680857179</v>
      </c>
      <c r="J981">
        <v>40315.698581476317</v>
      </c>
    </row>
    <row r="982" spans="1:10">
      <c r="A982" s="3">
        <v>46057.615972222222</v>
      </c>
      <c r="B982" s="4">
        <v>-544.67604886709944</v>
      </c>
      <c r="C982" s="4">
        <v>206244.62502446151</v>
      </c>
      <c r="D982" s="4">
        <v>100398.5071794547</v>
      </c>
      <c r="E982" s="4">
        <v>105846.1178450068</v>
      </c>
      <c r="F982" s="4">
        <v>0</v>
      </c>
      <c r="G982" s="4">
        <v>1481.9308015874351</v>
      </c>
      <c r="H982" s="4">
        <v>937.2547527203352</v>
      </c>
      <c r="I982" s="4">
        <v>41248.925004892299</v>
      </c>
      <c r="J982" s="4">
        <v>40311.670252171964</v>
      </c>
    </row>
    <row r="983" spans="1:10">
      <c r="A983" s="3">
        <v>46057.616666666669</v>
      </c>
      <c r="B983" s="4">
        <v>-516.09473891795153</v>
      </c>
      <c r="C983" s="4">
        <v>206216.04371451231</v>
      </c>
      <c r="D983" s="4">
        <v>100398.5071794547</v>
      </c>
      <c r="E983" s="4">
        <v>105817.5365350576</v>
      </c>
      <c r="F983" s="4">
        <v>0</v>
      </c>
      <c r="G983" s="4">
        <v>1481.9308015874351</v>
      </c>
      <c r="H983" s="4">
        <v>965.83606266948311</v>
      </c>
      <c r="I983" s="4">
        <v>41243.208742902469</v>
      </c>
      <c r="J983" s="4">
        <v>40277.372680232977</v>
      </c>
    </row>
    <row r="984" spans="1:10">
      <c r="A984" s="1">
        <v>46057.617361111108</v>
      </c>
      <c r="B984">
        <v>-581.96888221598215</v>
      </c>
      <c r="C984">
        <v>205883.41067835561</v>
      </c>
      <c r="D984">
        <v>100199.25358972741</v>
      </c>
      <c r="E984">
        <v>105684.1570886283</v>
      </c>
      <c r="F984">
        <v>0</v>
      </c>
      <c r="G984">
        <v>1481.9308015874351</v>
      </c>
      <c r="H984">
        <v>899.9619193714525</v>
      </c>
      <c r="I984">
        <v>41176.682135671123</v>
      </c>
      <c r="J984">
        <v>40276.720216299669</v>
      </c>
    </row>
    <row r="985" spans="1:10">
      <c r="A985" s="3">
        <v>46057.618055555547</v>
      </c>
      <c r="B985" s="4">
        <v>-660.84358133397075</v>
      </c>
      <c r="C985" s="4">
        <v>205709.26494607379</v>
      </c>
      <c r="D985" s="4">
        <v>100072.7433740275</v>
      </c>
      <c r="E985" s="4">
        <v>105636.5215720463</v>
      </c>
      <c r="F985" s="4">
        <v>0</v>
      </c>
      <c r="G985" s="4">
        <v>1481.9308015874351</v>
      </c>
      <c r="H985" s="4">
        <v>821.0872202534639</v>
      </c>
      <c r="I985" s="4">
        <v>41141.852989214764</v>
      </c>
      <c r="J985" s="4">
        <v>40320.765768961297</v>
      </c>
    </row>
    <row r="986" spans="1:10">
      <c r="A986" s="3">
        <v>46057.618750000001</v>
      </c>
      <c r="B986" s="4">
        <v>-679.39290516120002</v>
      </c>
      <c r="C986" s="4">
        <v>205481.11934928619</v>
      </c>
      <c r="D986" s="4">
        <v>99949.395913720029</v>
      </c>
      <c r="E986" s="4">
        <v>105531.72343556611</v>
      </c>
      <c r="F986" s="4">
        <v>0</v>
      </c>
      <c r="G986" s="4">
        <v>1481.9308015874351</v>
      </c>
      <c r="H986" s="4">
        <v>802.53789642623462</v>
      </c>
      <c r="I986" s="4">
        <v>41096.223869857233</v>
      </c>
      <c r="J986" s="4">
        <v>40293.685973430998</v>
      </c>
    </row>
    <row r="987" spans="1:10">
      <c r="A987" s="1">
        <v>46057.619444444441</v>
      </c>
      <c r="B987">
        <v>-727.33911885422481</v>
      </c>
      <c r="C987">
        <v>205680.8778218191</v>
      </c>
      <c r="D987">
        <v>100025.30204313999</v>
      </c>
      <c r="E987">
        <v>105655.57577867909</v>
      </c>
      <c r="F987">
        <v>0</v>
      </c>
      <c r="G987">
        <v>1481.9308015874351</v>
      </c>
      <c r="H987">
        <v>754.59168273320984</v>
      </c>
      <c r="I987">
        <v>41136.175564363817</v>
      </c>
      <c r="J987">
        <v>40381.583881630613</v>
      </c>
    </row>
    <row r="988" spans="1:10">
      <c r="A988" s="3">
        <v>46057.620138888888</v>
      </c>
      <c r="B988" s="4">
        <v>-778.29273938417305</v>
      </c>
      <c r="C988" s="4">
        <v>205801.412060984</v>
      </c>
      <c r="D988" s="4">
        <v>100060.0923524575</v>
      </c>
      <c r="E988" s="4">
        <v>105741.3197085265</v>
      </c>
      <c r="F988" s="4">
        <v>0</v>
      </c>
      <c r="G988" s="4">
        <v>1481.9308015874351</v>
      </c>
      <c r="H988" s="4">
        <v>703.6380622032616</v>
      </c>
      <c r="I988" s="4">
        <v>41160.282412196801</v>
      </c>
      <c r="J988" s="4">
        <v>40456.644349993541</v>
      </c>
    </row>
    <row r="989" spans="1:10">
      <c r="A989" s="1">
        <v>46057.620833333327</v>
      </c>
      <c r="B989">
        <v>-873.36958685355717</v>
      </c>
      <c r="C989">
        <v>205801.60624667839</v>
      </c>
      <c r="D989">
        <v>100012.65102157</v>
      </c>
      <c r="E989">
        <v>105788.9552251085</v>
      </c>
      <c r="F989">
        <v>0</v>
      </c>
      <c r="G989">
        <v>1481.9308015874351</v>
      </c>
      <c r="H989">
        <v>608.56121473387748</v>
      </c>
      <c r="I989">
        <v>41160.321249335691</v>
      </c>
      <c r="J989">
        <v>40551.760034601823</v>
      </c>
    </row>
    <row r="990" spans="1:10">
      <c r="A990" s="1">
        <v>46057.621527777781</v>
      </c>
      <c r="B990">
        <v>-877.64767427563868</v>
      </c>
      <c r="C990">
        <v>205568.6776796632</v>
      </c>
      <c r="D990">
        <v>99894.04769435132</v>
      </c>
      <c r="E990">
        <v>105674.6299853119</v>
      </c>
      <c r="F990">
        <v>0</v>
      </c>
      <c r="G990">
        <v>1481.9308015874351</v>
      </c>
      <c r="H990">
        <v>604.28312731179597</v>
      </c>
      <c r="I990">
        <v>41113.735535932639</v>
      </c>
      <c r="J990">
        <v>40509.45240862084</v>
      </c>
    </row>
    <row r="991" spans="1:10">
      <c r="A991" s="1">
        <v>46057.62222222222</v>
      </c>
      <c r="B991">
        <v>-765.2533464252997</v>
      </c>
      <c r="C991">
        <v>205623.90938761519</v>
      </c>
      <c r="D991">
        <v>99977.860712252514</v>
      </c>
      <c r="E991">
        <v>105646.0486753627</v>
      </c>
      <c r="F991">
        <v>0</v>
      </c>
      <c r="G991">
        <v>1481.9308015874351</v>
      </c>
      <c r="H991">
        <v>716.67745516213495</v>
      </c>
      <c r="I991">
        <v>41124.781877523063</v>
      </c>
      <c r="J991">
        <v>40408.104422360921</v>
      </c>
    </row>
    <row r="992" spans="1:10">
      <c r="A992" s="1">
        <v>46057.622916666667</v>
      </c>
      <c r="B992">
        <v>-733.62579250033104</v>
      </c>
      <c r="C992">
        <v>205655.53694154019</v>
      </c>
      <c r="D992">
        <v>100009.4882661775</v>
      </c>
      <c r="E992">
        <v>105646.0486753627</v>
      </c>
      <c r="F992">
        <v>0</v>
      </c>
      <c r="G992">
        <v>1481.9308015874351</v>
      </c>
      <c r="H992">
        <v>748.3050090871036</v>
      </c>
      <c r="I992">
        <v>41131.107388308039</v>
      </c>
      <c r="J992">
        <v>40382.802379220942</v>
      </c>
    </row>
    <row r="993" spans="1:10">
      <c r="A993" s="1">
        <v>46057.623611111107</v>
      </c>
      <c r="B993">
        <v>-734.85763594657385</v>
      </c>
      <c r="C993">
        <v>205482.81723839909</v>
      </c>
      <c r="D993">
        <v>99922.51249288379</v>
      </c>
      <c r="E993">
        <v>105560.3047455153</v>
      </c>
      <c r="F993">
        <v>0</v>
      </c>
      <c r="G993">
        <v>1481.9308015874351</v>
      </c>
      <c r="H993">
        <v>747.07316564086079</v>
      </c>
      <c r="I993">
        <v>41096.563447679808</v>
      </c>
      <c r="J993">
        <v>40349.490282038947</v>
      </c>
    </row>
    <row r="994" spans="1:10">
      <c r="A994" s="1">
        <v>46057.624305555553</v>
      </c>
      <c r="B994">
        <v>-790.71073812085444</v>
      </c>
      <c r="C994">
        <v>205674.66882245071</v>
      </c>
      <c r="D994">
        <v>99990.511733822495</v>
      </c>
      <c r="E994">
        <v>105684.1570886283</v>
      </c>
      <c r="F994">
        <v>0</v>
      </c>
      <c r="G994">
        <v>1481.9308015874351</v>
      </c>
      <c r="H994">
        <v>691.2200634665802</v>
      </c>
      <c r="I994">
        <v>41134.933764490153</v>
      </c>
      <c r="J994">
        <v>40443.713701023567</v>
      </c>
    </row>
    <row r="995" spans="1:10">
      <c r="A995" s="1">
        <v>46057.625</v>
      </c>
      <c r="B995">
        <v>-657.05943171927004</v>
      </c>
      <c r="C995">
        <v>205408.18178956429</v>
      </c>
      <c r="D995">
        <v>99924.093870580051</v>
      </c>
      <c r="E995">
        <v>105484.08791898419</v>
      </c>
      <c r="F995">
        <v>0</v>
      </c>
      <c r="G995">
        <v>1481.9308015874351</v>
      </c>
      <c r="H995">
        <v>824.87136986816461</v>
      </c>
      <c r="I995">
        <v>41081.636357912852</v>
      </c>
      <c r="J995">
        <v>40256.764988044677</v>
      </c>
    </row>
    <row r="996" spans="1:10">
      <c r="A996" s="3">
        <v>46057.625694444447</v>
      </c>
      <c r="B996" s="4">
        <v>0</v>
      </c>
      <c r="C996" s="4">
        <v>0</v>
      </c>
      <c r="D996" s="4">
        <v>0</v>
      </c>
      <c r="E996" s="4">
        <v>0</v>
      </c>
      <c r="F996" s="4">
        <v>-627.53756542155236</v>
      </c>
      <c r="G996" s="4">
        <v>854.39323616588229</v>
      </c>
      <c r="H996" s="4">
        <v>854.39323616588229</v>
      </c>
      <c r="I996" s="4">
        <v>0</v>
      </c>
      <c r="J996" s="4">
        <v>-854.39323616588229</v>
      </c>
    </row>
    <row r="997" spans="1:10">
      <c r="A997" s="1">
        <v>46058.606249999997</v>
      </c>
      <c r="B997">
        <v>0</v>
      </c>
      <c r="C997">
        <v>204902.93461668491</v>
      </c>
      <c r="D997">
        <v>100000</v>
      </c>
      <c r="E997">
        <v>104902.9346166849</v>
      </c>
      <c r="F997">
        <v>0</v>
      </c>
      <c r="G997">
        <v>854.39323616588229</v>
      </c>
      <c r="H997">
        <v>854.39323616588229</v>
      </c>
      <c r="I997">
        <v>40980.586923336989</v>
      </c>
      <c r="J997">
        <v>40126.193687171108</v>
      </c>
    </row>
    <row r="998" spans="1:10">
      <c r="A998" s="1">
        <v>46058.606944444437</v>
      </c>
      <c r="B998">
        <v>162.8320135215094</v>
      </c>
      <c r="C998">
        <v>204031.4853686945</v>
      </c>
      <c r="D998">
        <v>99645.691382765523</v>
      </c>
      <c r="E998">
        <v>104385.7939859289</v>
      </c>
      <c r="F998">
        <v>0</v>
      </c>
      <c r="G998">
        <v>854.39323616588229</v>
      </c>
      <c r="H998">
        <v>1017.225249687392</v>
      </c>
      <c r="I998">
        <v>40806.297073738897</v>
      </c>
      <c r="J998">
        <v>39789.071824051513</v>
      </c>
    </row>
    <row r="999" spans="1:10">
      <c r="A999" s="1">
        <v>46058.607638888891</v>
      </c>
      <c r="B999">
        <v>0</v>
      </c>
      <c r="C999">
        <v>0</v>
      </c>
      <c r="D999">
        <v>0</v>
      </c>
      <c r="E999">
        <v>0</v>
      </c>
      <c r="F999">
        <v>326.76430117552252</v>
      </c>
      <c r="G999">
        <v>1181.157537341405</v>
      </c>
      <c r="H999">
        <v>1181.157537341405</v>
      </c>
      <c r="I999">
        <v>0</v>
      </c>
      <c r="J999">
        <v>-1181.157537341405</v>
      </c>
    </row>
    <row r="1000" spans="1:10">
      <c r="A1000" s="3">
        <v>46059.604166666657</v>
      </c>
      <c r="B1000" s="4">
        <v>0</v>
      </c>
      <c r="C1000" s="4">
        <v>204902.93461668491</v>
      </c>
      <c r="D1000" s="4">
        <v>104902.9346166849</v>
      </c>
      <c r="E1000" s="4">
        <v>100000</v>
      </c>
      <c r="F1000" s="4">
        <v>0</v>
      </c>
      <c r="G1000" s="4">
        <v>1181.157537341405</v>
      </c>
      <c r="H1000" s="4">
        <v>1181.157537341405</v>
      </c>
      <c r="I1000" s="4">
        <v>40980.586923336989</v>
      </c>
      <c r="J1000" s="4">
        <v>39799.429385995587</v>
      </c>
    </row>
    <row r="1001" spans="1:10">
      <c r="A1001" s="1">
        <v>46059.604861111111</v>
      </c>
      <c r="B1001">
        <v>-79.486359885695009</v>
      </c>
      <c r="C1001">
        <v>205076.58878143301</v>
      </c>
      <c r="D1001">
        <v>104950.0185191161</v>
      </c>
      <c r="E1001">
        <v>100126.57026231691</v>
      </c>
      <c r="F1001">
        <v>0</v>
      </c>
      <c r="G1001">
        <v>1181.157537341405</v>
      </c>
      <c r="H1001">
        <v>1101.67117745571</v>
      </c>
      <c r="I1001">
        <v>41015.317756286597</v>
      </c>
      <c r="J1001">
        <v>39913.646578830892</v>
      </c>
    </row>
    <row r="1002" spans="1:10">
      <c r="A1002" s="1">
        <v>46059.605555555558</v>
      </c>
      <c r="B1002">
        <v>-262.02538080730261</v>
      </c>
      <c r="C1002">
        <v>205014.29150971241</v>
      </c>
      <c r="D1002">
        <v>104827.600372795</v>
      </c>
      <c r="E1002">
        <v>100186.6911369174</v>
      </c>
      <c r="F1002">
        <v>0</v>
      </c>
      <c r="G1002">
        <v>1181.157537341405</v>
      </c>
      <c r="H1002">
        <v>919.13215653410225</v>
      </c>
      <c r="I1002">
        <v>41002.858301942477</v>
      </c>
      <c r="J1002">
        <v>40083.726145408378</v>
      </c>
    </row>
    <row r="1003" spans="1:10">
      <c r="A1003" s="1">
        <v>46059.606249999997</v>
      </c>
      <c r="B1003">
        <v>-457.02074971623892</v>
      </c>
      <c r="C1003">
        <v>205698.95946390569</v>
      </c>
      <c r="D1003">
        <v>105072.4366654372</v>
      </c>
      <c r="E1003">
        <v>100626.5227984685</v>
      </c>
      <c r="F1003">
        <v>0</v>
      </c>
      <c r="G1003">
        <v>1181.157537341405</v>
      </c>
      <c r="H1003">
        <v>724.13678762516588</v>
      </c>
      <c r="I1003">
        <v>41139.791892781141</v>
      </c>
      <c r="J1003">
        <v>40415.655105155973</v>
      </c>
    </row>
    <row r="1004" spans="1:10">
      <c r="A1004" s="1">
        <v>46059.606944444437</v>
      </c>
      <c r="B1004">
        <v>-954.7832440886973</v>
      </c>
      <c r="C1004">
        <v>206046.05347049839</v>
      </c>
      <c r="D1004">
        <v>104997.1024215473</v>
      </c>
      <c r="E1004">
        <v>101048.9510489511</v>
      </c>
      <c r="F1004">
        <v>0</v>
      </c>
      <c r="G1004">
        <v>1181.157537341405</v>
      </c>
      <c r="H1004">
        <v>226.3742932527075</v>
      </c>
      <c r="I1004">
        <v>41209.210694099667</v>
      </c>
      <c r="J1004">
        <v>40982.836400846973</v>
      </c>
    </row>
    <row r="1005" spans="1:10">
      <c r="A1005" s="3">
        <v>46059.607638888891</v>
      </c>
      <c r="B1005" s="4">
        <v>-978.45282374468843</v>
      </c>
      <c r="C1005" s="4">
        <v>206446.3942696038</v>
      </c>
      <c r="D1005" s="4">
        <v>105185.438031272</v>
      </c>
      <c r="E1005" s="4">
        <v>101260.9562383318</v>
      </c>
      <c r="F1005" s="4">
        <v>0</v>
      </c>
      <c r="G1005" s="4">
        <v>1181.157537341405</v>
      </c>
      <c r="H1005" s="4">
        <v>202.7047135967164</v>
      </c>
      <c r="I1005" s="4">
        <v>41289.278853920769</v>
      </c>
      <c r="J1005" s="4">
        <v>41086.574140324054</v>
      </c>
    </row>
    <row r="1006" spans="1:10">
      <c r="A1006" s="1">
        <v>46059.60833333333</v>
      </c>
      <c r="B1006">
        <v>-959.40493986875686</v>
      </c>
      <c r="C1006">
        <v>206804.01760517739</v>
      </c>
      <c r="D1006">
        <v>105373.77364099681</v>
      </c>
      <c r="E1006">
        <v>101430.2439641806</v>
      </c>
      <c r="F1006">
        <v>0</v>
      </c>
      <c r="G1006">
        <v>1181.157537341405</v>
      </c>
      <c r="H1006">
        <v>221.75259747264789</v>
      </c>
      <c r="I1006">
        <v>41360.803521035486</v>
      </c>
      <c r="J1006">
        <v>41139.050923562841</v>
      </c>
    </row>
    <row r="1007" spans="1:10">
      <c r="A1007" s="1">
        <v>46059.609027777777</v>
      </c>
      <c r="B1007">
        <v>-779.49825119240097</v>
      </c>
      <c r="C1007">
        <v>206737.1122823359</v>
      </c>
      <c r="D1007">
        <v>105430.2743239142</v>
      </c>
      <c r="E1007">
        <v>101306.8379584217</v>
      </c>
      <c r="F1007">
        <v>0</v>
      </c>
      <c r="G1007">
        <v>1181.157537341405</v>
      </c>
      <c r="H1007">
        <v>401.65928614900378</v>
      </c>
      <c r="I1007">
        <v>41347.422456467168</v>
      </c>
      <c r="J1007">
        <v>40945.763170318169</v>
      </c>
    </row>
    <row r="1008" spans="1:10">
      <c r="A1008" s="3">
        <v>46059.609722222223</v>
      </c>
      <c r="B1008" s="4">
        <v>-987.27533538983153</v>
      </c>
      <c r="C1008" s="4">
        <v>206681.2195129187</v>
      </c>
      <c r="D1008" s="4">
        <v>105298.43939710689</v>
      </c>
      <c r="E1008" s="4">
        <v>101382.78011581179</v>
      </c>
      <c r="F1008" s="4">
        <v>0</v>
      </c>
      <c r="G1008" s="4">
        <v>1181.157537341405</v>
      </c>
      <c r="H1008" s="4">
        <v>193.88220195157331</v>
      </c>
      <c r="I1008" s="4">
        <v>41336.243902583738</v>
      </c>
      <c r="J1008" s="4">
        <v>41142.361700632173</v>
      </c>
    </row>
    <row r="1009" spans="1:10">
      <c r="A1009" s="1">
        <v>46059.61041666667</v>
      </c>
      <c r="B1009">
        <v>-1022.828404743134</v>
      </c>
      <c r="C1009">
        <v>206509.6034115747</v>
      </c>
      <c r="D1009">
        <v>105194.8548117583</v>
      </c>
      <c r="E1009">
        <v>101314.74859981651</v>
      </c>
      <c r="F1009">
        <v>0</v>
      </c>
      <c r="G1009">
        <v>1181.157537341405</v>
      </c>
      <c r="H1009">
        <v>158.32913259827109</v>
      </c>
      <c r="I1009">
        <v>41301.920682314951</v>
      </c>
      <c r="J1009">
        <v>41143.591549716679</v>
      </c>
    </row>
    <row r="1010" spans="1:10">
      <c r="A1010" s="3">
        <v>46059.611111111109</v>
      </c>
      <c r="B1010" s="4">
        <v>-960.82144511354238</v>
      </c>
      <c r="C1010" s="4">
        <v>206372.2622080553</v>
      </c>
      <c r="D1010" s="4">
        <v>105157.18768981331</v>
      </c>
      <c r="E1010" s="4">
        <v>101215.07451824191</v>
      </c>
      <c r="F1010" s="4">
        <v>0</v>
      </c>
      <c r="G1010" s="4">
        <v>1181.157537341405</v>
      </c>
      <c r="H1010" s="4">
        <v>220.33609222786239</v>
      </c>
      <c r="I1010" s="4">
        <v>41274.452441611058</v>
      </c>
      <c r="J1010" s="4">
        <v>41054.116349383199</v>
      </c>
    </row>
    <row r="1011" spans="1:10">
      <c r="A1011" s="1">
        <v>46059.611805555563</v>
      </c>
      <c r="B1011">
        <v>-920.96428138941462</v>
      </c>
      <c r="C1011">
        <v>206257.0708004412</v>
      </c>
      <c r="D1011">
        <v>105119.5205678684</v>
      </c>
      <c r="E1011">
        <v>101137.5502325729</v>
      </c>
      <c r="F1011">
        <v>0</v>
      </c>
      <c r="G1011">
        <v>1181.157537341405</v>
      </c>
      <c r="H1011">
        <v>260.19325595199018</v>
      </c>
      <c r="I1011">
        <v>41251.41416008825</v>
      </c>
      <c r="J1011">
        <v>40991.220904136258</v>
      </c>
    </row>
    <row r="1012" spans="1:10">
      <c r="A1012" s="1">
        <v>46059.612500000003</v>
      </c>
      <c r="B1012">
        <v>-821.60780122411484</v>
      </c>
      <c r="C1012">
        <v>206628.5533445878</v>
      </c>
      <c r="D1012">
        <v>105354.9400800243</v>
      </c>
      <c r="E1012">
        <v>101273.61326456349</v>
      </c>
      <c r="F1012">
        <v>0</v>
      </c>
      <c r="G1012">
        <v>1181.157537341405</v>
      </c>
      <c r="H1012">
        <v>359.54973611729002</v>
      </c>
      <c r="I1012">
        <v>41325.710668917563</v>
      </c>
      <c r="J1012">
        <v>40966.160932800267</v>
      </c>
    </row>
    <row r="1013" spans="1:10">
      <c r="A1013" s="3">
        <v>46059.613194444442</v>
      </c>
      <c r="B1013" s="4">
        <v>-776.85227428804887</v>
      </c>
      <c r="C1013" s="4">
        <v>206470.79645181689</v>
      </c>
      <c r="D1013" s="4">
        <v>105298.43939710689</v>
      </c>
      <c r="E1013" s="4">
        <v>101172.35705471</v>
      </c>
      <c r="F1013" s="4">
        <v>0</v>
      </c>
      <c r="G1013" s="4">
        <v>1181.157537341405</v>
      </c>
      <c r="H1013" s="4">
        <v>404.30526305335587</v>
      </c>
      <c r="I1013" s="4">
        <v>41294.159290363379</v>
      </c>
      <c r="J1013" s="4">
        <v>40889.854027310023</v>
      </c>
    </row>
    <row r="1014" spans="1:10">
      <c r="A1014" s="3">
        <v>46059.613888888889</v>
      </c>
      <c r="B1014" s="4">
        <v>-798.63576891496052</v>
      </c>
      <c r="C1014" s="4">
        <v>206793.91692200341</v>
      </c>
      <c r="D1014" s="4">
        <v>105449.1078848867</v>
      </c>
      <c r="E1014" s="4">
        <v>101344.80903711671</v>
      </c>
      <c r="F1014" s="4">
        <v>0</v>
      </c>
      <c r="G1014" s="4">
        <v>1181.157537341405</v>
      </c>
      <c r="H1014" s="4">
        <v>382.52176842644428</v>
      </c>
      <c r="I1014" s="4">
        <v>41358.783384400689</v>
      </c>
      <c r="J1014" s="4">
        <v>40976.261615974247</v>
      </c>
    </row>
    <row r="1015" spans="1:10">
      <c r="A1015" s="1">
        <v>46059.614583333343</v>
      </c>
      <c r="B1015">
        <v>-867.36483225715529</v>
      </c>
      <c r="C1015">
        <v>207427.65281451991</v>
      </c>
      <c r="D1015">
        <v>105731.61129947381</v>
      </c>
      <c r="E1015">
        <v>101696.041515046</v>
      </c>
      <c r="F1015">
        <v>0</v>
      </c>
      <c r="G1015">
        <v>1181.157537341405</v>
      </c>
      <c r="H1015">
        <v>313.79270508424952</v>
      </c>
      <c r="I1015">
        <v>41485.530562903972</v>
      </c>
      <c r="J1015">
        <v>41171.737857819717</v>
      </c>
    </row>
    <row r="1016" spans="1:10">
      <c r="A1016" s="3">
        <v>46059.615277777782</v>
      </c>
      <c r="B1016" s="4">
        <v>-1001.313811656151</v>
      </c>
      <c r="C1016" s="4">
        <v>207429.7668671115</v>
      </c>
      <c r="D1016" s="4">
        <v>105665.6938360701</v>
      </c>
      <c r="E1016" s="4">
        <v>101764.07303104139</v>
      </c>
      <c r="F1016" s="4">
        <v>0</v>
      </c>
      <c r="G1016" s="4">
        <v>1181.157537341405</v>
      </c>
      <c r="H1016" s="4">
        <v>179.8437256852535</v>
      </c>
      <c r="I1016" s="4">
        <v>41485.953373422301</v>
      </c>
      <c r="J1016" s="4">
        <v>41306.109647737037</v>
      </c>
    </row>
    <row r="1017" spans="1:10">
      <c r="A1017" s="1">
        <v>46059.615972222222</v>
      </c>
      <c r="B1017">
        <v>-1079.5843445413759</v>
      </c>
      <c r="C1017">
        <v>207300.86822929949</v>
      </c>
      <c r="D1017">
        <v>105562.10925072151</v>
      </c>
      <c r="E1017">
        <v>101738.758978578</v>
      </c>
      <c r="F1017">
        <v>0</v>
      </c>
      <c r="G1017">
        <v>1181.157537341405</v>
      </c>
      <c r="H1017">
        <v>101.5731928000291</v>
      </c>
      <c r="I1017">
        <v>41460.173645859897</v>
      </c>
      <c r="J1017">
        <v>41358.600453059873</v>
      </c>
    </row>
    <row r="1018" spans="1:10">
      <c r="A1018" s="3">
        <v>46059.616666666669</v>
      </c>
      <c r="B1018" s="4">
        <v>-1172.6259562499511</v>
      </c>
      <c r="C1018" s="4">
        <v>207318.57559711821</v>
      </c>
      <c r="D1018" s="4">
        <v>105524.4421287766</v>
      </c>
      <c r="E1018" s="4">
        <v>101794.13346834161</v>
      </c>
      <c r="F1018" s="4">
        <v>0</v>
      </c>
      <c r="G1018" s="4">
        <v>1181.157537341405</v>
      </c>
      <c r="H1018" s="4">
        <v>8.5315810914535177</v>
      </c>
      <c r="I1018" s="4">
        <v>41463.715119423643</v>
      </c>
      <c r="J1018" s="4">
        <v>41455.183538332189</v>
      </c>
    </row>
    <row r="1019" spans="1:10">
      <c r="A1019" s="1">
        <v>46059.617361111108</v>
      </c>
      <c r="B1019">
        <v>-1200.420362583498</v>
      </c>
      <c r="C1019">
        <v>207176.8679546995</v>
      </c>
      <c r="D1019">
        <v>105439.6911044005</v>
      </c>
      <c r="E1019">
        <v>101737.176850299</v>
      </c>
      <c r="F1019">
        <v>0</v>
      </c>
      <c r="G1019">
        <v>1181.157537341405</v>
      </c>
      <c r="H1019">
        <v>-19.262825242093641</v>
      </c>
      <c r="I1019">
        <v>41435.373590939897</v>
      </c>
      <c r="J1019">
        <v>41454.636416181987</v>
      </c>
    </row>
    <row r="1020" spans="1:10">
      <c r="A1020" s="1">
        <v>46059.618055555547</v>
      </c>
      <c r="B1020">
        <v>-1162.829229826089</v>
      </c>
      <c r="C1020">
        <v>207233.44462680441</v>
      </c>
      <c r="D1020">
        <v>105486.77500683159</v>
      </c>
      <c r="E1020">
        <v>101746.6696199728</v>
      </c>
      <c r="F1020">
        <v>0</v>
      </c>
      <c r="G1020">
        <v>1181.157537341405</v>
      </c>
      <c r="H1020">
        <v>18.328307515316279</v>
      </c>
      <c r="I1020">
        <v>41446.68892536089</v>
      </c>
      <c r="J1020">
        <v>41428.360617845567</v>
      </c>
    </row>
    <row r="1021" spans="1:10">
      <c r="A1021" s="1">
        <v>46059.618750000001</v>
      </c>
      <c r="B1021">
        <v>-1141.591304170953</v>
      </c>
      <c r="C1021">
        <v>207438.20943281901</v>
      </c>
      <c r="D1021">
        <v>105599.7763726665</v>
      </c>
      <c r="E1021">
        <v>101838.4330601525</v>
      </c>
      <c r="F1021">
        <v>0</v>
      </c>
      <c r="G1021">
        <v>1181.157537341405</v>
      </c>
      <c r="H1021">
        <v>39.566233170451369</v>
      </c>
      <c r="I1021">
        <v>41487.641886563797</v>
      </c>
      <c r="J1021">
        <v>41448.075653393353</v>
      </c>
    </row>
    <row r="1022" spans="1:10">
      <c r="A1022" s="1">
        <v>46059.619444444441</v>
      </c>
      <c r="B1022">
        <v>-1045.3854359044451</v>
      </c>
      <c r="C1022">
        <v>207417.33780844239</v>
      </c>
      <c r="D1022">
        <v>105637.44349461141</v>
      </c>
      <c r="E1022">
        <v>101779.894313831</v>
      </c>
      <c r="F1022">
        <v>0</v>
      </c>
      <c r="G1022">
        <v>1181.157537341405</v>
      </c>
      <c r="H1022">
        <v>135.7721014369595</v>
      </c>
      <c r="I1022">
        <v>41483.467561688492</v>
      </c>
      <c r="J1022">
        <v>41347.695460251532</v>
      </c>
    </row>
    <row r="1023" spans="1:10">
      <c r="A1023" s="3">
        <v>46059.620138888888</v>
      </c>
      <c r="B1023" s="4">
        <v>-1060.15651472781</v>
      </c>
      <c r="C1023" s="4">
        <v>207563.94381407311</v>
      </c>
      <c r="D1023" s="4">
        <v>105703.3609580151</v>
      </c>
      <c r="E1023" s="4">
        <v>101860.582856058</v>
      </c>
      <c r="F1023" s="4">
        <v>0</v>
      </c>
      <c r="G1023" s="4">
        <v>1181.157537341405</v>
      </c>
      <c r="H1023" s="4">
        <v>121.0010226135946</v>
      </c>
      <c r="I1023" s="4">
        <v>41512.78876281462</v>
      </c>
      <c r="J1023" s="4">
        <v>41391.787740201027</v>
      </c>
    </row>
    <row r="1024" spans="1:10">
      <c r="A1024" s="3">
        <v>46059.620833333327</v>
      </c>
      <c r="B1024" s="4">
        <v>-1023.463607561601</v>
      </c>
      <c r="C1024" s="4">
        <v>207451.91666301689</v>
      </c>
      <c r="D1024" s="4">
        <v>105665.6938360701</v>
      </c>
      <c r="E1024" s="4">
        <v>101786.2228269468</v>
      </c>
      <c r="F1024" s="4">
        <v>0</v>
      </c>
      <c r="G1024" s="4">
        <v>1181.157537341405</v>
      </c>
      <c r="H1024" s="4">
        <v>157.69392977980371</v>
      </c>
      <c r="I1024" s="4">
        <v>41490.383332603393</v>
      </c>
      <c r="J1024" s="4">
        <v>41332.689402823591</v>
      </c>
    </row>
    <row r="1025" spans="1:10">
      <c r="A1025" s="3">
        <v>46059.621527777781</v>
      </c>
      <c r="B1025" s="4">
        <v>-1015.476976979258</v>
      </c>
      <c r="C1025" s="4">
        <v>207425.0964714622</v>
      </c>
      <c r="D1025" s="4">
        <v>105656.27705558389</v>
      </c>
      <c r="E1025" s="4">
        <v>101768.8194158782</v>
      </c>
      <c r="F1025" s="4">
        <v>0</v>
      </c>
      <c r="G1025" s="4">
        <v>1181.157537341405</v>
      </c>
      <c r="H1025" s="4">
        <v>165.68056036214651</v>
      </c>
      <c r="I1025" s="4">
        <v>41485.019294292433</v>
      </c>
      <c r="J1025" s="4">
        <v>41319.338733930294</v>
      </c>
    </row>
    <row r="1026" spans="1:10">
      <c r="A1026" s="3">
        <v>46059.62222222222</v>
      </c>
      <c r="B1026" s="4">
        <v>-1043.6513292504389</v>
      </c>
      <c r="C1026" s="4">
        <v>207377.9365798434</v>
      </c>
      <c r="D1026" s="4">
        <v>105618.609933639</v>
      </c>
      <c r="E1026" s="4">
        <v>101759.3266462045</v>
      </c>
      <c r="F1026" s="4">
        <v>0</v>
      </c>
      <c r="G1026" s="4">
        <v>1181.157537341405</v>
      </c>
      <c r="H1026" s="4">
        <v>137.5062080909654</v>
      </c>
      <c r="I1026" s="4">
        <v>41475.587315968689</v>
      </c>
      <c r="J1026" s="4">
        <v>41338.081107877733</v>
      </c>
    </row>
    <row r="1027" spans="1:10">
      <c r="A1027" s="3">
        <v>46059.622916666667</v>
      </c>
      <c r="B1027" s="4">
        <v>0</v>
      </c>
      <c r="C1027" s="4">
        <v>0</v>
      </c>
      <c r="D1027" s="4">
        <v>0</v>
      </c>
      <c r="E1027" s="4">
        <v>0</v>
      </c>
      <c r="F1027" s="4">
        <v>-933.91604179934382</v>
      </c>
      <c r="G1027" s="4">
        <v>247.24149554206099</v>
      </c>
      <c r="H1027" s="4">
        <v>247.24149554206099</v>
      </c>
      <c r="I1027" s="4">
        <v>0</v>
      </c>
      <c r="J1027" s="4">
        <v>-247.24149554206099</v>
      </c>
    </row>
    <row r="1028" spans="1:10">
      <c r="A1028" s="1">
        <v>46062.604166666657</v>
      </c>
      <c r="B1028">
        <v>0</v>
      </c>
      <c r="C1028">
        <v>204902.93461668491</v>
      </c>
      <c r="D1028">
        <v>100000</v>
      </c>
      <c r="E1028">
        <v>104902.9346166849</v>
      </c>
      <c r="F1028">
        <v>0</v>
      </c>
      <c r="G1028">
        <v>247.24149554206099</v>
      </c>
      <c r="H1028">
        <v>247.24149554206099</v>
      </c>
      <c r="I1028">
        <v>40980.586923336989</v>
      </c>
      <c r="J1028">
        <v>40733.345427794928</v>
      </c>
    </row>
    <row r="1029" spans="1:10">
      <c r="A1029" s="1">
        <v>46062.604861111111</v>
      </c>
      <c r="B1029">
        <v>0</v>
      </c>
      <c r="C1029">
        <v>0</v>
      </c>
      <c r="D1029">
        <v>0</v>
      </c>
      <c r="E1029">
        <v>0</v>
      </c>
      <c r="F1029">
        <v>300.77211083256083</v>
      </c>
      <c r="G1029">
        <v>548.01360637462176</v>
      </c>
      <c r="H1029">
        <v>548.01360637462176</v>
      </c>
      <c r="I1029">
        <v>0</v>
      </c>
      <c r="J1029">
        <v>-548.01360637462176</v>
      </c>
    </row>
    <row r="1030" spans="1:10">
      <c r="A1030" s="3">
        <v>46063.604861111111</v>
      </c>
      <c r="B1030" s="4">
        <v>0</v>
      </c>
      <c r="C1030" s="4">
        <v>204902.93461668491</v>
      </c>
      <c r="D1030" s="4">
        <v>104902.9346166849</v>
      </c>
      <c r="E1030" s="4">
        <v>100000</v>
      </c>
      <c r="F1030" s="4">
        <v>0</v>
      </c>
      <c r="G1030" s="4">
        <v>548.01360637462176</v>
      </c>
      <c r="H1030" s="4">
        <v>548.01360637462176</v>
      </c>
      <c r="I1030" s="4">
        <v>40980.586923336989</v>
      </c>
      <c r="J1030" s="4">
        <v>40432.573316962364</v>
      </c>
    </row>
    <row r="1031" spans="1:10">
      <c r="A1031" s="3">
        <v>46063.605555555558</v>
      </c>
      <c r="B1031" s="4">
        <v>-71.258752007512285</v>
      </c>
      <c r="C1031" s="4">
        <v>204585.93788280059</v>
      </c>
      <c r="D1031" s="4">
        <v>104708.806873739</v>
      </c>
      <c r="E1031" s="4">
        <v>99877.131009061573</v>
      </c>
      <c r="F1031" s="4">
        <v>0</v>
      </c>
      <c r="G1031" s="4">
        <v>548.01360637462176</v>
      </c>
      <c r="H1031" s="4">
        <v>476.75485436710949</v>
      </c>
      <c r="I1031" s="4">
        <v>40917.187576560107</v>
      </c>
      <c r="J1031" s="4">
        <v>40440.432722193007</v>
      </c>
    </row>
    <row r="1032" spans="1:10">
      <c r="A1032" s="1">
        <v>46063.606249999997</v>
      </c>
      <c r="B1032">
        <v>78.965722740641866</v>
      </c>
      <c r="C1032">
        <v>204250.82984334201</v>
      </c>
      <c r="D1032">
        <v>104616.36509138381</v>
      </c>
      <c r="E1032">
        <v>99634.464751958221</v>
      </c>
      <c r="F1032">
        <v>0</v>
      </c>
      <c r="G1032">
        <v>548.01360637462176</v>
      </c>
      <c r="H1032">
        <v>626.97932911526368</v>
      </c>
      <c r="I1032">
        <v>40850.165968668407</v>
      </c>
      <c r="J1032">
        <v>40223.18663955314</v>
      </c>
    </row>
    <row r="1033" spans="1:10">
      <c r="A1033" s="1">
        <v>46063.606944444437</v>
      </c>
      <c r="B1033">
        <v>-16.257745236628072</v>
      </c>
      <c r="C1033">
        <v>204346.05331131929</v>
      </c>
      <c r="D1033">
        <v>104616.36509138381</v>
      </c>
      <c r="E1033">
        <v>99729.688219935488</v>
      </c>
      <c r="F1033">
        <v>0</v>
      </c>
      <c r="G1033">
        <v>548.01360637462176</v>
      </c>
      <c r="H1033">
        <v>531.75586113799363</v>
      </c>
      <c r="I1033">
        <v>40869.210662263853</v>
      </c>
      <c r="J1033">
        <v>40337.454801125859</v>
      </c>
    </row>
    <row r="1034" spans="1:10">
      <c r="A1034" s="1">
        <v>46063.607638888891</v>
      </c>
      <c r="B1034">
        <v>-240.89970851118341</v>
      </c>
      <c r="C1034">
        <v>204311.85828399929</v>
      </c>
      <c r="D1034">
        <v>104486.94659608651</v>
      </c>
      <c r="E1034">
        <v>99824.911687912769</v>
      </c>
      <c r="F1034">
        <v>0</v>
      </c>
      <c r="G1034">
        <v>548.01360637462176</v>
      </c>
      <c r="H1034">
        <v>307.1138978634383</v>
      </c>
      <c r="I1034">
        <v>40862.371656799864</v>
      </c>
      <c r="J1034">
        <v>40555.257758936423</v>
      </c>
    </row>
    <row r="1035" spans="1:10">
      <c r="A1035" s="3">
        <v>46063.60833333333</v>
      </c>
      <c r="B1035" s="4">
        <v>-126.6948175055014</v>
      </c>
      <c r="C1035" s="4">
        <v>204548.93216594329</v>
      </c>
      <c r="D1035" s="4">
        <v>104662.5859825614</v>
      </c>
      <c r="E1035" s="4">
        <v>99886.34618338196</v>
      </c>
      <c r="F1035" s="4">
        <v>0</v>
      </c>
      <c r="G1035" s="4">
        <v>548.01360637462176</v>
      </c>
      <c r="H1035" s="4">
        <v>421.31878886912028</v>
      </c>
      <c r="I1035" s="4">
        <v>40909.786433188667</v>
      </c>
      <c r="J1035" s="4">
        <v>40488.467644319557</v>
      </c>
    </row>
    <row r="1036" spans="1:10">
      <c r="A1036" s="3">
        <v>46063.609027777777</v>
      </c>
      <c r="B1036" s="4">
        <v>11.76482862131979</v>
      </c>
      <c r="C1036" s="4">
        <v>204558.37937158489</v>
      </c>
      <c r="D1036" s="4">
        <v>104736.5394084455</v>
      </c>
      <c r="E1036" s="4">
        <v>99821.839963139311</v>
      </c>
      <c r="F1036" s="4">
        <v>0</v>
      </c>
      <c r="G1036" s="4">
        <v>548.01360637462176</v>
      </c>
      <c r="H1036" s="4">
        <v>559.77843499594155</v>
      </c>
      <c r="I1036" s="4">
        <v>40911.675874316978</v>
      </c>
      <c r="J1036" s="4">
        <v>40351.897439321037</v>
      </c>
    </row>
    <row r="1037" spans="1:10">
      <c r="A1037" s="3">
        <v>46063.609722222223</v>
      </c>
      <c r="B1037" s="4">
        <v>51.204184118944617</v>
      </c>
      <c r="C1037" s="4">
        <v>204204.6379560795</v>
      </c>
      <c r="D1037" s="4">
        <v>104579.3883784417</v>
      </c>
      <c r="E1037" s="4">
        <v>99625.249577637835</v>
      </c>
      <c r="F1037" s="4">
        <v>0</v>
      </c>
      <c r="G1037" s="4">
        <v>548.01360637462176</v>
      </c>
      <c r="H1037" s="4">
        <v>599.21779049356633</v>
      </c>
      <c r="I1037" s="4">
        <v>40840.927591215906</v>
      </c>
      <c r="J1037" s="4">
        <v>40241.709800722339</v>
      </c>
    </row>
    <row r="1038" spans="1:10">
      <c r="A1038" s="3">
        <v>46063.61041666667</v>
      </c>
      <c r="B1038" s="4">
        <v>-47.120012546922233</v>
      </c>
      <c r="C1038" s="4">
        <v>204284.4737962744</v>
      </c>
      <c r="D1038" s="4">
        <v>104570.1442002062</v>
      </c>
      <c r="E1038" s="4">
        <v>99714.329596068186</v>
      </c>
      <c r="F1038" s="4">
        <v>0</v>
      </c>
      <c r="G1038" s="4">
        <v>548.01360637462176</v>
      </c>
      <c r="H1038" s="4">
        <v>500.89359382769948</v>
      </c>
      <c r="I1038" s="4">
        <v>40856.894759254879</v>
      </c>
      <c r="J1038" s="4">
        <v>40356.00116542718</v>
      </c>
    </row>
    <row r="1039" spans="1:10">
      <c r="A1039" s="3">
        <v>46063.611111111109</v>
      </c>
      <c r="B1039" s="4">
        <v>-56.103155546183473</v>
      </c>
      <c r="C1039" s="4">
        <v>204441.36379104189</v>
      </c>
      <c r="D1039" s="4">
        <v>104644.0976260904</v>
      </c>
      <c r="E1039" s="4">
        <v>99797.266164951609</v>
      </c>
      <c r="F1039" s="4">
        <v>0</v>
      </c>
      <c r="G1039" s="4">
        <v>548.01360637462176</v>
      </c>
      <c r="H1039" s="4">
        <v>491.91045082843829</v>
      </c>
      <c r="I1039" s="4">
        <v>40888.27275820839</v>
      </c>
      <c r="J1039" s="4">
        <v>40396.362307379954</v>
      </c>
    </row>
    <row r="1040" spans="1:10">
      <c r="A1040" s="3">
        <v>46063.611805555563</v>
      </c>
      <c r="B1040" s="4">
        <v>-6.6365161042901093</v>
      </c>
      <c r="C1040" s="4">
        <v>204595.26907278149</v>
      </c>
      <c r="D1040" s="4">
        <v>104745.78358668109</v>
      </c>
      <c r="E1040" s="4">
        <v>99849.485486100442</v>
      </c>
      <c r="F1040" s="4">
        <v>0</v>
      </c>
      <c r="G1040" s="4">
        <v>548.01360637462176</v>
      </c>
      <c r="H1040" s="4">
        <v>541.37709027033168</v>
      </c>
      <c r="I1040" s="4">
        <v>40919.053814556297</v>
      </c>
      <c r="J1040" s="4">
        <v>40377.676724285971</v>
      </c>
    </row>
    <row r="1041" spans="1:10">
      <c r="A1041" s="1">
        <v>46063.612500000003</v>
      </c>
      <c r="B1041">
        <v>12.72061270526382</v>
      </c>
      <c r="C1041">
        <v>204187.65645808011</v>
      </c>
      <c r="D1041">
        <v>104551.65584373511</v>
      </c>
      <c r="E1041">
        <v>99636.000614344957</v>
      </c>
      <c r="F1041">
        <v>0</v>
      </c>
      <c r="G1041">
        <v>548.01360637462176</v>
      </c>
      <c r="H1041">
        <v>560.73421907988563</v>
      </c>
      <c r="I1041">
        <v>40837.531291616033</v>
      </c>
      <c r="J1041">
        <v>40276.797072536137</v>
      </c>
    </row>
    <row r="1042" spans="1:10">
      <c r="A1042" s="3">
        <v>46063.613194444442</v>
      </c>
      <c r="B1042" s="4">
        <v>-290.45335969850379</v>
      </c>
      <c r="C1042" s="4">
        <v>204102.57494459199</v>
      </c>
      <c r="D1042" s="4">
        <v>104357.5281007892</v>
      </c>
      <c r="E1042" s="4">
        <v>99745.046843802804</v>
      </c>
      <c r="F1042" s="4">
        <v>0</v>
      </c>
      <c r="G1042" s="4">
        <v>548.01360637462176</v>
      </c>
      <c r="H1042" s="4">
        <v>257.56024667611791</v>
      </c>
      <c r="I1042" s="4">
        <v>40820.51498891841</v>
      </c>
      <c r="J1042" s="4">
        <v>40562.954742242291</v>
      </c>
    </row>
    <row r="1043" spans="1:10">
      <c r="A1043" s="1">
        <v>46063.613888888889</v>
      </c>
      <c r="B1043">
        <v>-342.61467301704181</v>
      </c>
      <c r="C1043">
        <v>204191.71297085259</v>
      </c>
      <c r="D1043">
        <v>104376.0164572603</v>
      </c>
      <c r="E1043">
        <v>99815.696513592367</v>
      </c>
      <c r="F1043">
        <v>0</v>
      </c>
      <c r="G1043">
        <v>548.01360637462176</v>
      </c>
      <c r="H1043">
        <v>205.39893335757989</v>
      </c>
      <c r="I1043">
        <v>40838.342594170528</v>
      </c>
      <c r="J1043">
        <v>40632.943660812947</v>
      </c>
    </row>
    <row r="1044" spans="1:10">
      <c r="A1044" s="1">
        <v>46063.614583333343</v>
      </c>
      <c r="B1044">
        <v>-302.47922355607011</v>
      </c>
      <c r="C1044">
        <v>204280.99601668899</v>
      </c>
      <c r="D1044">
        <v>104440.72570490889</v>
      </c>
      <c r="E1044">
        <v>99840.270311780056</v>
      </c>
      <c r="F1044">
        <v>0</v>
      </c>
      <c r="G1044">
        <v>548.01360637462176</v>
      </c>
      <c r="H1044">
        <v>245.53438281855159</v>
      </c>
      <c r="I1044">
        <v>40856.199203337797</v>
      </c>
      <c r="J1044">
        <v>40610.664820519247</v>
      </c>
    </row>
    <row r="1045" spans="1:10">
      <c r="A1045" s="3">
        <v>46063.615277777782</v>
      </c>
      <c r="B1045" s="4">
        <v>-196.15667189003861</v>
      </c>
      <c r="C1045" s="4">
        <v>204396.53374267541</v>
      </c>
      <c r="D1045" s="4">
        <v>104551.65584373511</v>
      </c>
      <c r="E1045" s="4">
        <v>99844.877898940249</v>
      </c>
      <c r="F1045" s="4">
        <v>0</v>
      </c>
      <c r="G1045" s="4">
        <v>548.01360637462176</v>
      </c>
      <c r="H1045" s="4">
        <v>351.85693448458318</v>
      </c>
      <c r="I1045" s="4">
        <v>40879.306748535077</v>
      </c>
      <c r="J1045" s="4">
        <v>40527.449814050487</v>
      </c>
    </row>
    <row r="1046" spans="1:10">
      <c r="A1046" s="1">
        <v>46063.615972222222</v>
      </c>
      <c r="B1046">
        <v>-274.42764578298699</v>
      </c>
      <c r="C1046">
        <v>204511.78142951039</v>
      </c>
      <c r="D1046">
        <v>104570.1442002062</v>
      </c>
      <c r="E1046">
        <v>99941.637229304251</v>
      </c>
      <c r="F1046">
        <v>0</v>
      </c>
      <c r="G1046">
        <v>548.01360637462176</v>
      </c>
      <c r="H1046">
        <v>273.58596059163472</v>
      </c>
      <c r="I1046">
        <v>40902.356285902089</v>
      </c>
      <c r="J1046">
        <v>40628.770325310463</v>
      </c>
    </row>
    <row r="1047" spans="1:10">
      <c r="A1047" s="1">
        <v>46063.616666666669</v>
      </c>
      <c r="B1047">
        <v>-385.06774545784958</v>
      </c>
      <c r="C1047">
        <v>204585.44481624319</v>
      </c>
      <c r="D1047">
        <v>104551.65584373511</v>
      </c>
      <c r="E1047">
        <v>100033.7889725081</v>
      </c>
      <c r="F1047">
        <v>0</v>
      </c>
      <c r="G1047">
        <v>548.01360637462176</v>
      </c>
      <c r="H1047">
        <v>162.94586091677209</v>
      </c>
      <c r="I1047">
        <v>40917.088963248643</v>
      </c>
      <c r="J1047">
        <v>40754.143102331873</v>
      </c>
    </row>
    <row r="1048" spans="1:10">
      <c r="A1048" s="1">
        <v>46063.617361111108</v>
      </c>
      <c r="B1048">
        <v>-335.77512950676243</v>
      </c>
      <c r="C1048">
        <v>204628.59398264729</v>
      </c>
      <c r="D1048">
        <v>104597.8767349127</v>
      </c>
      <c r="E1048">
        <v>100030.7172477346</v>
      </c>
      <c r="F1048">
        <v>0</v>
      </c>
      <c r="G1048">
        <v>548.01360637462176</v>
      </c>
      <c r="H1048">
        <v>212.2384768678593</v>
      </c>
      <c r="I1048">
        <v>40925.718796529472</v>
      </c>
      <c r="J1048">
        <v>40713.480319661612</v>
      </c>
    </row>
    <row r="1049" spans="1:10">
      <c r="A1049" s="3">
        <v>46063.618055555547</v>
      </c>
      <c r="B1049" s="4">
        <v>-179.32019346627931</v>
      </c>
      <c r="C1049" s="4">
        <v>204342.72055130961</v>
      </c>
      <c r="D1049" s="4">
        <v>104533.1674872641</v>
      </c>
      <c r="E1049" s="4">
        <v>99809.553064045453</v>
      </c>
      <c r="F1049" s="4">
        <v>0</v>
      </c>
      <c r="G1049" s="4">
        <v>548.01360637462176</v>
      </c>
      <c r="H1049" s="4">
        <v>368.69341290834251</v>
      </c>
      <c r="I1049" s="4">
        <v>40868.544110261922</v>
      </c>
      <c r="J1049" s="4">
        <v>40499.85069735357</v>
      </c>
    </row>
    <row r="1050" spans="1:10">
      <c r="A1050" s="3">
        <v>46063.618750000001</v>
      </c>
      <c r="B1050" s="4">
        <v>-259.06902191568207</v>
      </c>
      <c r="C1050" s="4">
        <v>204496.42280564309</v>
      </c>
      <c r="D1050" s="4">
        <v>104570.1442002062</v>
      </c>
      <c r="E1050" s="4">
        <v>99926.27860543695</v>
      </c>
      <c r="F1050" s="4">
        <v>0</v>
      </c>
      <c r="G1050" s="4">
        <v>548.01360637462176</v>
      </c>
      <c r="H1050" s="4">
        <v>288.94458445893969</v>
      </c>
      <c r="I1050" s="4">
        <v>40899.284561128617</v>
      </c>
      <c r="J1050" s="4">
        <v>40610.339976669682</v>
      </c>
    </row>
    <row r="1051" spans="1:10">
      <c r="A1051" s="1">
        <v>46063.619444444441</v>
      </c>
      <c r="B1051">
        <v>-434.15733400291703</v>
      </c>
      <c r="C1051">
        <v>204671.51111773029</v>
      </c>
      <c r="D1051">
        <v>104570.1442002062</v>
      </c>
      <c r="E1051">
        <v>100101.3669175242</v>
      </c>
      <c r="F1051">
        <v>0</v>
      </c>
      <c r="G1051">
        <v>548.01360637462176</v>
      </c>
      <c r="H1051">
        <v>113.8562723717048</v>
      </c>
      <c r="I1051">
        <v>40934.302223546067</v>
      </c>
      <c r="J1051">
        <v>40820.44595117437</v>
      </c>
    </row>
    <row r="1052" spans="1:10">
      <c r="A1052" s="1">
        <v>46063.620138888888</v>
      </c>
      <c r="B1052">
        <v>-235.7990547936221</v>
      </c>
      <c r="C1052">
        <v>204621.0596902894</v>
      </c>
      <c r="D1052">
        <v>104644.0976260904</v>
      </c>
      <c r="E1052">
        <v>99976.962064199048</v>
      </c>
      <c r="F1052">
        <v>0</v>
      </c>
      <c r="G1052">
        <v>548.01360637462176</v>
      </c>
      <c r="H1052">
        <v>312.21455158099968</v>
      </c>
      <c r="I1052">
        <v>40924.211938057881</v>
      </c>
      <c r="J1052">
        <v>40611.997386476884</v>
      </c>
    </row>
    <row r="1053" spans="1:10">
      <c r="A1053" s="3">
        <v>46063.620833333327</v>
      </c>
      <c r="B1053" s="4">
        <v>-208.26954749303181</v>
      </c>
      <c r="C1053" s="4">
        <v>204519.5767571046</v>
      </c>
      <c r="D1053" s="4">
        <v>104607.1209131483</v>
      </c>
      <c r="E1053" s="4">
        <v>99912.45584395637</v>
      </c>
      <c r="F1053" s="4">
        <v>0</v>
      </c>
      <c r="G1053" s="4">
        <v>548.01360637462176</v>
      </c>
      <c r="H1053" s="4">
        <v>339.74405888158992</v>
      </c>
      <c r="I1053" s="4">
        <v>40903.915351420932</v>
      </c>
      <c r="J1053" s="4">
        <v>40564.171292539337</v>
      </c>
    </row>
    <row r="1054" spans="1:10">
      <c r="A1054" s="1">
        <v>46063.621527777781</v>
      </c>
      <c r="B1054">
        <v>-292.79998659347501</v>
      </c>
      <c r="C1054">
        <v>204567.130483263</v>
      </c>
      <c r="D1054">
        <v>104588.6325566772</v>
      </c>
      <c r="E1054">
        <v>99978.497926585784</v>
      </c>
      <c r="F1054">
        <v>0</v>
      </c>
      <c r="G1054">
        <v>548.01360637462176</v>
      </c>
      <c r="H1054">
        <v>255.21361978114669</v>
      </c>
      <c r="I1054">
        <v>40913.426096652613</v>
      </c>
      <c r="J1054">
        <v>40658.212476871457</v>
      </c>
    </row>
    <row r="1055" spans="1:10">
      <c r="A1055" s="3">
        <v>46063.62222222222</v>
      </c>
      <c r="B1055" s="4">
        <v>0</v>
      </c>
      <c r="C1055" s="4">
        <v>0</v>
      </c>
      <c r="D1055" s="4">
        <v>0</v>
      </c>
      <c r="E1055" s="4">
        <v>0</v>
      </c>
      <c r="F1055" s="4">
        <v>-229.32660658463621</v>
      </c>
      <c r="G1055" s="4">
        <v>318.68699978998552</v>
      </c>
      <c r="H1055" s="4">
        <v>318.68699978998552</v>
      </c>
      <c r="I1055" s="4">
        <v>0</v>
      </c>
      <c r="J1055" s="4">
        <v>-318.68699978998552</v>
      </c>
    </row>
    <row r="1056" spans="1:10">
      <c r="A1056" s="1">
        <v>46064.604166666657</v>
      </c>
      <c r="B1056">
        <v>0</v>
      </c>
      <c r="C1056">
        <v>204902.93461668491</v>
      </c>
      <c r="D1056">
        <v>104902.9346166849</v>
      </c>
      <c r="E1056">
        <v>100000</v>
      </c>
      <c r="F1056">
        <v>0</v>
      </c>
      <c r="G1056">
        <v>318.68699978998552</v>
      </c>
      <c r="H1056">
        <v>318.68699978998552</v>
      </c>
      <c r="I1056">
        <v>40980.586923336989</v>
      </c>
      <c r="J1056">
        <v>40661.899923546996</v>
      </c>
    </row>
    <row r="1057" spans="1:10">
      <c r="A1057" s="1">
        <v>46064.604861111111</v>
      </c>
      <c r="B1057">
        <v>-246.02824781919739</v>
      </c>
      <c r="C1057">
        <v>205373.99597415741</v>
      </c>
      <c r="D1057">
        <v>105015.45117151149</v>
      </c>
      <c r="E1057">
        <v>100358.5448026458</v>
      </c>
      <c r="F1057">
        <v>0</v>
      </c>
      <c r="G1057">
        <v>318.68699978998552</v>
      </c>
      <c r="H1057">
        <v>72.65875197078816</v>
      </c>
      <c r="I1057">
        <v>41074.799194831467</v>
      </c>
      <c r="J1057">
        <v>41002.140442860677</v>
      </c>
    </row>
    <row r="1058" spans="1:10">
      <c r="A1058" s="3">
        <v>46064.605555555558</v>
      </c>
      <c r="B1058" s="4">
        <v>-28.420974975704979</v>
      </c>
      <c r="C1058" s="4">
        <v>205381.42181096709</v>
      </c>
      <c r="D1058" s="4">
        <v>105127.9677263382</v>
      </c>
      <c r="E1058" s="4">
        <v>100253.4540846289</v>
      </c>
      <c r="F1058" s="4">
        <v>0</v>
      </c>
      <c r="G1058" s="4">
        <v>318.68699978998552</v>
      </c>
      <c r="H1058" s="4">
        <v>290.26602481428051</v>
      </c>
      <c r="I1058" s="4">
        <v>41076.284362193423</v>
      </c>
      <c r="J1058" s="4">
        <v>40786.018337379137</v>
      </c>
    </row>
    <row r="1059" spans="1:10">
      <c r="A1059" s="1">
        <v>46064.606249999997</v>
      </c>
      <c r="B1059">
        <v>-209.76675941122571</v>
      </c>
      <c r="C1059">
        <v>205187.7124126472</v>
      </c>
      <c r="D1059">
        <v>104940.4401349605</v>
      </c>
      <c r="E1059">
        <v>100247.2722776868</v>
      </c>
      <c r="F1059">
        <v>0</v>
      </c>
      <c r="G1059">
        <v>318.68699978998552</v>
      </c>
      <c r="H1059">
        <v>108.9202403787598</v>
      </c>
      <c r="I1059">
        <v>41037.542482529447</v>
      </c>
      <c r="J1059">
        <v>40928.62224215069</v>
      </c>
    </row>
    <row r="1060" spans="1:10">
      <c r="A1060" s="3">
        <v>46064.606944444437</v>
      </c>
      <c r="B1060" s="4">
        <v>-301.66451029872218</v>
      </c>
      <c r="C1060" s="4">
        <v>205429.63223663691</v>
      </c>
      <c r="D1060" s="4">
        <v>105015.45117151149</v>
      </c>
      <c r="E1060" s="4">
        <v>100414.1810651253</v>
      </c>
      <c r="F1060" s="4">
        <v>0</v>
      </c>
      <c r="G1060" s="4">
        <v>318.68699978998552</v>
      </c>
      <c r="H1060" s="4">
        <v>17.02248949126329</v>
      </c>
      <c r="I1060" s="4">
        <v>41085.92644732738</v>
      </c>
      <c r="J1060" s="4">
        <v>41068.903957836119</v>
      </c>
    </row>
    <row r="1061" spans="1:10">
      <c r="A1061" s="1">
        <v>46064.607638888891</v>
      </c>
      <c r="B1061">
        <v>-439.21930036092022</v>
      </c>
      <c r="C1061">
        <v>205285.89563963251</v>
      </c>
      <c r="D1061">
        <v>104874.8054779783</v>
      </c>
      <c r="E1061">
        <v>100411.0901616543</v>
      </c>
      <c r="F1061">
        <v>0</v>
      </c>
      <c r="G1061">
        <v>318.68699978998552</v>
      </c>
      <c r="H1061">
        <v>-120.53230057093459</v>
      </c>
      <c r="I1061">
        <v>41057.179127926502</v>
      </c>
      <c r="J1061">
        <v>41177.711428497438</v>
      </c>
    </row>
    <row r="1062" spans="1:10">
      <c r="A1062" s="1">
        <v>46064.60833333333</v>
      </c>
      <c r="B1062">
        <v>-639.2333459764202</v>
      </c>
      <c r="C1062">
        <v>204529.5189692218</v>
      </c>
      <c r="D1062">
        <v>104396.6101199651</v>
      </c>
      <c r="E1062">
        <v>100132.90884925659</v>
      </c>
      <c r="F1062">
        <v>0</v>
      </c>
      <c r="G1062">
        <v>318.68699978998552</v>
      </c>
      <c r="H1062">
        <v>-320.54634618643468</v>
      </c>
      <c r="I1062">
        <v>40905.903793844358</v>
      </c>
      <c r="J1062">
        <v>41226.450140030793</v>
      </c>
    </row>
    <row r="1063" spans="1:10">
      <c r="A1063" s="3">
        <v>46064.609027777777</v>
      </c>
      <c r="B1063" s="4">
        <v>-544.76303739601531</v>
      </c>
      <c r="C1063" s="4">
        <v>204191.26279185031</v>
      </c>
      <c r="D1063" s="4">
        <v>104274.71718556961</v>
      </c>
      <c r="E1063" s="4">
        <v>99916.545606280721</v>
      </c>
      <c r="F1063" s="4">
        <v>0</v>
      </c>
      <c r="G1063" s="4">
        <v>318.68699978998552</v>
      </c>
      <c r="H1063" s="4">
        <v>-226.07603760602979</v>
      </c>
      <c r="I1063" s="4">
        <v>40838.25255837007</v>
      </c>
      <c r="J1063" s="4">
        <v>41064.328595976098</v>
      </c>
    </row>
    <row r="1064" spans="1:10">
      <c r="A1064" s="3">
        <v>46064.609722222223</v>
      </c>
      <c r="B1064" s="4">
        <v>-632.43910969940498</v>
      </c>
      <c r="C1064" s="4">
        <v>204353.94990070481</v>
      </c>
      <c r="D1064" s="4">
        <v>104312.2227038452</v>
      </c>
      <c r="E1064" s="4">
        <v>100041.7271968596</v>
      </c>
      <c r="F1064" s="4">
        <v>0</v>
      </c>
      <c r="G1064" s="4">
        <v>318.68699978998552</v>
      </c>
      <c r="H1064" s="4">
        <v>-313.75210990941952</v>
      </c>
      <c r="I1064" s="4">
        <v>40870.789980140973</v>
      </c>
      <c r="J1064" s="4">
        <v>41184.542090050389</v>
      </c>
    </row>
    <row r="1065" spans="1:10">
      <c r="A1065" s="1">
        <v>46064.61041666667</v>
      </c>
      <c r="B1065">
        <v>-853.16604281074126</v>
      </c>
      <c r="C1065">
        <v>203505.76956296331</v>
      </c>
      <c r="D1065">
        <v>103777.7690684187</v>
      </c>
      <c r="E1065">
        <v>99728.000494544554</v>
      </c>
      <c r="F1065">
        <v>0</v>
      </c>
      <c r="G1065">
        <v>318.68699978998552</v>
      </c>
      <c r="H1065">
        <v>-534.47904302075574</v>
      </c>
      <c r="I1065">
        <v>40701.153912592657</v>
      </c>
      <c r="J1065">
        <v>41235.632955613422</v>
      </c>
    </row>
    <row r="1066" spans="1:10">
      <c r="A1066" s="3">
        <v>46064.611111111109</v>
      </c>
      <c r="B1066" s="4">
        <v>-968.25515533030398</v>
      </c>
      <c r="C1066" s="4">
        <v>203489.58936151839</v>
      </c>
      <c r="D1066" s="4">
        <v>103712.13441143651</v>
      </c>
      <c r="E1066" s="4">
        <v>99777.454950081912</v>
      </c>
      <c r="F1066" s="4">
        <v>0</v>
      </c>
      <c r="G1066" s="4">
        <v>318.68699978998552</v>
      </c>
      <c r="H1066" s="4">
        <v>-649.56815554031846</v>
      </c>
      <c r="I1066" s="4">
        <v>40697.917872303689</v>
      </c>
      <c r="J1066" s="4">
        <v>41347.48602784401</v>
      </c>
    </row>
    <row r="1067" spans="1:10">
      <c r="A1067" s="1">
        <v>46064.611805555563</v>
      </c>
      <c r="B1067">
        <v>-838.12620207786142</v>
      </c>
      <c r="C1067">
        <v>203415.71868567931</v>
      </c>
      <c r="D1067">
        <v>103740.26355014319</v>
      </c>
      <c r="E1067">
        <v>99675.455135536118</v>
      </c>
      <c r="F1067">
        <v>0</v>
      </c>
      <c r="G1067">
        <v>318.68699978998552</v>
      </c>
      <c r="H1067">
        <v>-519.4392022878759</v>
      </c>
      <c r="I1067">
        <v>40683.143737135862</v>
      </c>
      <c r="J1067">
        <v>41202.582939423737</v>
      </c>
    </row>
    <row r="1068" spans="1:10">
      <c r="A1068" s="1">
        <v>46064.612500000003</v>
      </c>
      <c r="B1068">
        <v>-625.16487003990949</v>
      </c>
      <c r="C1068">
        <v>203146.49907622801</v>
      </c>
      <c r="D1068">
        <v>103712.13441143651</v>
      </c>
      <c r="E1068">
        <v>99434.364664791516</v>
      </c>
      <c r="F1068">
        <v>0</v>
      </c>
      <c r="G1068">
        <v>318.68699978998552</v>
      </c>
      <c r="H1068">
        <v>-306.47787024992402</v>
      </c>
      <c r="I1068">
        <v>40629.299815245613</v>
      </c>
      <c r="J1068">
        <v>40935.777685495537</v>
      </c>
    </row>
    <row r="1069" spans="1:10">
      <c r="A1069" s="3">
        <v>46064.613194444442</v>
      </c>
      <c r="B1069" s="4">
        <v>-662.35938084857059</v>
      </c>
      <c r="C1069" s="4">
        <v>203164.94082789891</v>
      </c>
      <c r="D1069" s="4">
        <v>103702.7580318676</v>
      </c>
      <c r="E1069" s="4">
        <v>99462.182796031295</v>
      </c>
      <c r="F1069" s="4">
        <v>0</v>
      </c>
      <c r="G1069" s="4">
        <v>318.68699978998552</v>
      </c>
      <c r="H1069" s="4">
        <v>-343.67238105858507</v>
      </c>
      <c r="I1069" s="4">
        <v>40632.988165579787</v>
      </c>
      <c r="J1069" s="4">
        <v>40976.66054663837</v>
      </c>
    </row>
    <row r="1070" spans="1:10">
      <c r="A1070" s="1">
        <v>46064.613888888889</v>
      </c>
      <c r="B1070">
        <v>-618.36104816395891</v>
      </c>
      <c r="C1070">
        <v>203252.2118091787</v>
      </c>
      <c r="D1070">
        <v>103768.3926888498</v>
      </c>
      <c r="E1070">
        <v>99483.819120328873</v>
      </c>
      <c r="F1070">
        <v>0</v>
      </c>
      <c r="G1070">
        <v>318.68699978998552</v>
      </c>
      <c r="H1070">
        <v>-299.67404837397339</v>
      </c>
      <c r="I1070">
        <v>40650.44236183574</v>
      </c>
      <c r="J1070">
        <v>40950.11641020971</v>
      </c>
    </row>
    <row r="1071" spans="1:10">
      <c r="A1071" s="1">
        <v>46064.614583333343</v>
      </c>
      <c r="B1071">
        <v>-716.63835870595483</v>
      </c>
      <c r="C1071">
        <v>203744.29706161391</v>
      </c>
      <c r="D1071">
        <v>103965.2966597964</v>
      </c>
      <c r="E1071">
        <v>99779.000401817451</v>
      </c>
      <c r="F1071">
        <v>0</v>
      </c>
      <c r="G1071">
        <v>318.68699978998552</v>
      </c>
      <c r="H1071">
        <v>-397.95135891596931</v>
      </c>
      <c r="I1071">
        <v>40748.859412322781</v>
      </c>
      <c r="J1071">
        <v>41146.81077123875</v>
      </c>
    </row>
    <row r="1072" spans="1:10">
      <c r="A1072" s="3">
        <v>46064.615277777782</v>
      </c>
      <c r="B1072" s="4">
        <v>-595.77253026783956</v>
      </c>
      <c r="C1072" s="4">
        <v>203960.98089765559</v>
      </c>
      <c r="D1072" s="4">
        <v>104134.0714920364</v>
      </c>
      <c r="E1072" s="4">
        <v>99826.90940561927</v>
      </c>
      <c r="F1072" s="4">
        <v>0</v>
      </c>
      <c r="G1072" s="4">
        <v>318.68699978998552</v>
      </c>
      <c r="H1072" s="4">
        <v>-277.08553047785398</v>
      </c>
      <c r="I1072" s="4">
        <v>40792.196179531129</v>
      </c>
      <c r="J1072" s="4">
        <v>41069.281710008981</v>
      </c>
    </row>
    <row r="1073" spans="1:10">
      <c r="A1073" s="3">
        <v>46064.615972222222</v>
      </c>
      <c r="B1073" s="4">
        <v>-575.38023583782342</v>
      </c>
      <c r="C1073" s="4">
        <v>203715.55549357241</v>
      </c>
      <c r="D1073" s="4">
        <v>104021.5549372097</v>
      </c>
      <c r="E1073" s="4">
        <v>99694.000556362633</v>
      </c>
      <c r="F1073" s="4">
        <v>0</v>
      </c>
      <c r="G1073" s="4">
        <v>318.68699978998552</v>
      </c>
      <c r="H1073" s="4">
        <v>-256.6932360478379</v>
      </c>
      <c r="I1073" s="4">
        <v>40743.111098714478</v>
      </c>
      <c r="J1073" s="4">
        <v>40999.804334762317</v>
      </c>
    </row>
    <row r="1074" spans="1:10">
      <c r="A1074" s="3">
        <v>46064.616666666669</v>
      </c>
      <c r="B1074" s="4">
        <v>-599.19361240366368</v>
      </c>
      <c r="C1074" s="4">
        <v>203345.56092824499</v>
      </c>
      <c r="D1074" s="4">
        <v>103824.6509662632</v>
      </c>
      <c r="E1074" s="4">
        <v>99520.909961981888</v>
      </c>
      <c r="F1074" s="4">
        <v>0</v>
      </c>
      <c r="G1074" s="4">
        <v>318.68699978998552</v>
      </c>
      <c r="H1074" s="4">
        <v>-280.50661261367821</v>
      </c>
      <c r="I1074" s="4">
        <v>40669.112185649014</v>
      </c>
      <c r="J1074" s="4">
        <v>40949.618798262687</v>
      </c>
    </row>
    <row r="1075" spans="1:10">
      <c r="A1075" s="1">
        <v>46064.617361111108</v>
      </c>
      <c r="B1075">
        <v>-635.37060285384416</v>
      </c>
      <c r="C1075">
        <v>202987.929976802</v>
      </c>
      <c r="D1075">
        <v>103627.7469953166</v>
      </c>
      <c r="E1075">
        <v>99360.182981485486</v>
      </c>
      <c r="F1075">
        <v>0</v>
      </c>
      <c r="G1075">
        <v>318.68699978998552</v>
      </c>
      <c r="H1075">
        <v>-316.68360306385858</v>
      </c>
      <c r="I1075">
        <v>40597.585995360409</v>
      </c>
      <c r="J1075">
        <v>40914.269598424267</v>
      </c>
    </row>
    <row r="1076" spans="1:10">
      <c r="A1076" s="3">
        <v>46064.618055555547</v>
      </c>
      <c r="B1076" s="4">
        <v>-579.11232544053235</v>
      </c>
      <c r="C1076" s="4">
        <v>203044.18825421529</v>
      </c>
      <c r="D1076" s="4">
        <v>103684.0052727299</v>
      </c>
      <c r="E1076" s="4">
        <v>99360.182981485486</v>
      </c>
      <c r="F1076" s="4">
        <v>0</v>
      </c>
      <c r="G1076" s="4">
        <v>318.68699978998552</v>
      </c>
      <c r="H1076" s="4">
        <v>-260.42532565054682</v>
      </c>
      <c r="I1076" s="4">
        <v>40608.837650843067</v>
      </c>
      <c r="J1076" s="4">
        <v>40869.262976493621</v>
      </c>
    </row>
    <row r="1077" spans="1:10">
      <c r="A1077" s="1">
        <v>46064.618750000001</v>
      </c>
      <c r="B1077">
        <v>0</v>
      </c>
      <c r="C1077">
        <v>0</v>
      </c>
      <c r="D1077">
        <v>0</v>
      </c>
      <c r="E1077">
        <v>0</v>
      </c>
      <c r="F1077">
        <v>-428.98459741206761</v>
      </c>
      <c r="G1077">
        <v>-110.29759762208209</v>
      </c>
      <c r="H1077">
        <v>-110.29759762208209</v>
      </c>
      <c r="I1077">
        <v>0</v>
      </c>
      <c r="J1077">
        <v>110.29759762208209</v>
      </c>
    </row>
    <row r="1078" spans="1:10">
      <c r="A1078" s="1">
        <v>46065.604861111111</v>
      </c>
      <c r="B1078">
        <v>0</v>
      </c>
      <c r="C1078">
        <v>201014.6982915971</v>
      </c>
      <c r="D1078">
        <v>101014.6982915971</v>
      </c>
      <c r="E1078">
        <v>100000</v>
      </c>
      <c r="F1078">
        <v>0</v>
      </c>
      <c r="G1078">
        <v>-110.29759762208209</v>
      </c>
      <c r="H1078">
        <v>-110.29759762208209</v>
      </c>
      <c r="I1078">
        <v>40202.939658319432</v>
      </c>
      <c r="J1078">
        <v>40313.237255941523</v>
      </c>
    </row>
    <row r="1079" spans="1:10">
      <c r="A1079" s="3">
        <v>46065.605555555558</v>
      </c>
      <c r="B1079" s="4">
        <v>2.8565251261128419</v>
      </c>
      <c r="C1079" s="4">
        <v>201578.0676537558</v>
      </c>
      <c r="D1079" s="4">
        <v>101297.8112352395</v>
      </c>
      <c r="E1079" s="4">
        <v>100280.25641851631</v>
      </c>
      <c r="F1079" s="4">
        <v>0</v>
      </c>
      <c r="G1079" s="4">
        <v>-110.29759762208209</v>
      </c>
      <c r="H1079" s="4">
        <v>-107.44107249596929</v>
      </c>
      <c r="I1079" s="4">
        <v>40315.613530751158</v>
      </c>
      <c r="J1079" s="4">
        <v>40423.054603247117</v>
      </c>
    </row>
    <row r="1080" spans="1:10">
      <c r="A1080" s="1">
        <v>46065.606249999997</v>
      </c>
      <c r="B1080">
        <v>-48.413459064227993</v>
      </c>
      <c r="C1080">
        <v>201874.7021891028</v>
      </c>
      <c r="D1080">
        <v>101420.49351081791</v>
      </c>
      <c r="E1080">
        <v>100454.20867828499</v>
      </c>
      <c r="F1080">
        <v>0</v>
      </c>
      <c r="G1080">
        <v>-110.29759762208209</v>
      </c>
      <c r="H1080">
        <v>-158.71105668631009</v>
      </c>
      <c r="I1080">
        <v>40374.940437820573</v>
      </c>
      <c r="J1080">
        <v>40533.651494506877</v>
      </c>
    </row>
    <row r="1081" spans="1:10">
      <c r="A1081" s="3">
        <v>46065.606944444437</v>
      </c>
      <c r="B1081" s="4">
        <v>-338.78772463245508</v>
      </c>
      <c r="C1081" s="4">
        <v>202202.82484715671</v>
      </c>
      <c r="D1081" s="4">
        <v>101439.36770706069</v>
      </c>
      <c r="E1081" s="4">
        <v>100763.457140096</v>
      </c>
      <c r="F1081" s="4">
        <v>0</v>
      </c>
      <c r="G1081" s="4">
        <v>-110.29759762208209</v>
      </c>
      <c r="H1081" s="4">
        <v>-449.08532225453718</v>
      </c>
      <c r="I1081" s="4">
        <v>40440.564969431347</v>
      </c>
      <c r="J1081" s="4">
        <v>40889.650291685881</v>
      </c>
    </row>
    <row r="1082" spans="1:10">
      <c r="A1082" s="1">
        <v>46065.607638888891</v>
      </c>
      <c r="B1082">
        <v>-366.60067657500412</v>
      </c>
      <c r="C1082">
        <v>202400.50556528469</v>
      </c>
      <c r="D1082">
        <v>101524.30159015339</v>
      </c>
      <c r="E1082">
        <v>100876.2039751313</v>
      </c>
      <c r="F1082">
        <v>0</v>
      </c>
      <c r="G1082">
        <v>-110.29759762208209</v>
      </c>
      <c r="H1082">
        <v>-476.89827419708621</v>
      </c>
      <c r="I1082">
        <v>40480.101113056939</v>
      </c>
      <c r="J1082">
        <v>40956.999387254022</v>
      </c>
    </row>
    <row r="1083" spans="1:10">
      <c r="A1083" s="1">
        <v>46065.60833333333</v>
      </c>
      <c r="B1083">
        <v>-310.52094006951842</v>
      </c>
      <c r="C1083">
        <v>201966.94190392271</v>
      </c>
      <c r="D1083">
        <v>101335.5596277251</v>
      </c>
      <c r="E1083">
        <v>100631.3822761975</v>
      </c>
      <c r="F1083">
        <v>0</v>
      </c>
      <c r="G1083">
        <v>-110.29759762208209</v>
      </c>
      <c r="H1083">
        <v>-420.81853769160051</v>
      </c>
      <c r="I1083">
        <v>40393.388380784541</v>
      </c>
      <c r="J1083">
        <v>40814.206918476142</v>
      </c>
    </row>
    <row r="1084" spans="1:10">
      <c r="A1084" s="3">
        <v>46065.609027777777</v>
      </c>
      <c r="B1084" s="4">
        <v>-239.3089427873841</v>
      </c>
      <c r="C1084" s="4">
        <v>201197.38464565601</v>
      </c>
      <c r="D1084" s="4">
        <v>100986.3869972329</v>
      </c>
      <c r="E1084" s="4">
        <v>100210.9976484232</v>
      </c>
      <c r="F1084" s="4">
        <v>0</v>
      </c>
      <c r="G1084" s="4">
        <v>-110.29759762208209</v>
      </c>
      <c r="H1084" s="4">
        <v>-349.60654040946622</v>
      </c>
      <c r="I1084" s="4">
        <v>40239.476929131211</v>
      </c>
      <c r="J1084" s="4">
        <v>40589.083469540681</v>
      </c>
    </row>
    <row r="1085" spans="1:10">
      <c r="A1085" s="3">
        <v>46065.609722222223</v>
      </c>
      <c r="B1085" s="4">
        <v>-277.9872554144315</v>
      </c>
      <c r="C1085" s="4">
        <v>201103.94358458329</v>
      </c>
      <c r="D1085" s="4">
        <v>100920.327310383</v>
      </c>
      <c r="E1085" s="4">
        <v>100183.61627420031</v>
      </c>
      <c r="F1085" s="4">
        <v>0</v>
      </c>
      <c r="G1085" s="4">
        <v>-110.29759762208209</v>
      </c>
      <c r="H1085" s="4">
        <v>-388.2848530365136</v>
      </c>
      <c r="I1085" s="4">
        <v>40220.788716916657</v>
      </c>
      <c r="J1085" s="4">
        <v>40609.07356995318</v>
      </c>
    </row>
    <row r="1086" spans="1:10">
      <c r="A1086" s="1">
        <v>46065.61041666667</v>
      </c>
      <c r="B1086">
        <v>-16.28909722820978</v>
      </c>
      <c r="C1086">
        <v>201314.1003324677</v>
      </c>
      <c r="D1086">
        <v>101156.2547634183</v>
      </c>
      <c r="E1086">
        <v>100157.8455690494</v>
      </c>
      <c r="F1086">
        <v>0</v>
      </c>
      <c r="G1086">
        <v>-110.29759762208209</v>
      </c>
      <c r="H1086">
        <v>-126.58669485029191</v>
      </c>
      <c r="I1086">
        <v>40262.820066493543</v>
      </c>
      <c r="J1086">
        <v>40389.406761343838</v>
      </c>
    </row>
    <row r="1087" spans="1:10">
      <c r="A1087" s="3">
        <v>46065.611111111109</v>
      </c>
      <c r="B1087" s="4">
        <v>-133.801174777298</v>
      </c>
      <c r="C1087" s="4">
        <v>201827.97053111609</v>
      </c>
      <c r="D1087" s="4">
        <v>101354.43382396799</v>
      </c>
      <c r="E1087" s="4">
        <v>100473.5367071481</v>
      </c>
      <c r="F1087" s="4">
        <v>0</v>
      </c>
      <c r="G1087" s="4">
        <v>-110.29759762208209</v>
      </c>
      <c r="H1087" s="4">
        <v>-244.0987723993801</v>
      </c>
      <c r="I1087" s="4">
        <v>40365.59410622323</v>
      </c>
      <c r="J1087" s="4">
        <v>40609.692878622613</v>
      </c>
    </row>
    <row r="1088" spans="1:10">
      <c r="A1088" s="1">
        <v>46065.611805555563</v>
      </c>
      <c r="B1088">
        <v>58.820619824684677</v>
      </c>
      <c r="C1088">
        <v>201824.0906989424</v>
      </c>
      <c r="D1088">
        <v>101448.8048051821</v>
      </c>
      <c r="E1088">
        <v>100375.2858937603</v>
      </c>
      <c r="F1088">
        <v>0</v>
      </c>
      <c r="G1088">
        <v>-110.29759762208209</v>
      </c>
      <c r="H1088">
        <v>-51.47697779739741</v>
      </c>
      <c r="I1088">
        <v>40364.818139788476</v>
      </c>
      <c r="J1088">
        <v>40416.295117585883</v>
      </c>
    </row>
    <row r="1089" spans="1:10">
      <c r="A1089" s="3">
        <v>46065.612500000003</v>
      </c>
      <c r="B1089" s="4">
        <v>-49.387889006939702</v>
      </c>
      <c r="C1089" s="4">
        <v>201554.81528291749</v>
      </c>
      <c r="D1089" s="4">
        <v>101260.0628427538</v>
      </c>
      <c r="E1089" s="4">
        <v>100294.75244016371</v>
      </c>
      <c r="F1089" s="4">
        <v>0</v>
      </c>
      <c r="G1089" s="4">
        <v>-110.29759762208209</v>
      </c>
      <c r="H1089" s="4">
        <v>-159.6854866290218</v>
      </c>
      <c r="I1089" s="4">
        <v>40310.96305658351</v>
      </c>
      <c r="J1089" s="4">
        <v>40470.648543212526</v>
      </c>
    </row>
    <row r="1090" spans="1:10">
      <c r="A1090" s="1">
        <v>46065.613194444442</v>
      </c>
      <c r="B1090">
        <v>-83.665772137879003</v>
      </c>
      <c r="C1090">
        <v>201626.8415585341</v>
      </c>
      <c r="D1090">
        <v>101278.93703899669</v>
      </c>
      <c r="E1090">
        <v>100347.90451953741</v>
      </c>
      <c r="F1090">
        <v>0</v>
      </c>
      <c r="G1090">
        <v>-110.29759762208209</v>
      </c>
      <c r="H1090">
        <v>-193.9633697599611</v>
      </c>
      <c r="I1090">
        <v>40325.368311706807</v>
      </c>
      <c r="J1090">
        <v>40519.331681466778</v>
      </c>
    </row>
    <row r="1091" spans="1:10">
      <c r="A1091" s="3">
        <v>46065.613888888889</v>
      </c>
      <c r="B1091" s="4">
        <v>29.76181182795403</v>
      </c>
      <c r="C1091" s="4">
        <v>201456.79138583981</v>
      </c>
      <c r="D1091" s="4">
        <v>101250.6257446324</v>
      </c>
      <c r="E1091" s="4">
        <v>100206.16564120739</v>
      </c>
      <c r="F1091" s="4">
        <v>0</v>
      </c>
      <c r="G1091" s="4">
        <v>-110.29759762208209</v>
      </c>
      <c r="H1091" s="4">
        <v>-80.53578579412806</v>
      </c>
      <c r="I1091" s="4">
        <v>40291.358277167958</v>
      </c>
      <c r="J1091" s="4">
        <v>40371.894062962092</v>
      </c>
    </row>
    <row r="1092" spans="1:10">
      <c r="A1092" s="3">
        <v>46065.614583333343</v>
      </c>
      <c r="B1092" s="4">
        <v>0</v>
      </c>
      <c r="C1092" s="4">
        <v>0</v>
      </c>
      <c r="D1092" s="4">
        <v>0</v>
      </c>
      <c r="E1092" s="4">
        <v>0</v>
      </c>
      <c r="F1092" s="4">
        <v>113.5379730762552</v>
      </c>
      <c r="G1092" s="4">
        <v>3.24037545417309</v>
      </c>
      <c r="H1092" s="4">
        <v>3.24037545417309</v>
      </c>
      <c r="I1092" s="4">
        <v>0</v>
      </c>
      <c r="J1092" s="4">
        <v>-3.24037545417309</v>
      </c>
    </row>
    <row r="1093" spans="1:10">
      <c r="A1093" s="3">
        <v>46070.604166666657</v>
      </c>
      <c r="B1093" s="4">
        <v>0</v>
      </c>
      <c r="C1093" s="4">
        <v>201014.6982915971</v>
      </c>
      <c r="D1093" s="4">
        <v>100000</v>
      </c>
      <c r="E1093" s="4">
        <v>101014.6982915971</v>
      </c>
      <c r="F1093" s="4">
        <v>0</v>
      </c>
      <c r="G1093" s="4">
        <v>3.24037545417309</v>
      </c>
      <c r="H1093" s="4">
        <v>3.24037545417309</v>
      </c>
      <c r="I1093" s="4">
        <v>40202.939658319432</v>
      </c>
      <c r="J1093" s="4">
        <v>40199.699282865258</v>
      </c>
    </row>
    <row r="1094" spans="1:10">
      <c r="A1094" s="3">
        <v>46070.604861111111</v>
      </c>
      <c r="B1094" s="4">
        <v>246.1011499979179</v>
      </c>
      <c r="C1094" s="4">
        <v>200824.40987346831</v>
      </c>
      <c r="D1094" s="4">
        <v>100027.9063659345</v>
      </c>
      <c r="E1094" s="4">
        <v>100796.50350753379</v>
      </c>
      <c r="F1094" s="4">
        <v>0</v>
      </c>
      <c r="G1094" s="4">
        <v>3.24037545417309</v>
      </c>
      <c r="H1094" s="4">
        <v>249.34152545209099</v>
      </c>
      <c r="I1094" s="4">
        <v>40164.881974693657</v>
      </c>
      <c r="J1094" s="4">
        <v>39915.540449241569</v>
      </c>
    </row>
    <row r="1095" spans="1:10">
      <c r="A1095" s="1">
        <v>46070.605555555558</v>
      </c>
      <c r="B1095">
        <v>538.31713577791311</v>
      </c>
      <c r="C1095">
        <v>200945.86472389431</v>
      </c>
      <c r="D1095">
        <v>100234.7417840376</v>
      </c>
      <c r="E1095">
        <v>100711.1229398568</v>
      </c>
      <c r="F1095">
        <v>0</v>
      </c>
      <c r="G1095">
        <v>3.24037545417309</v>
      </c>
      <c r="H1095">
        <v>541.5575112320862</v>
      </c>
      <c r="I1095">
        <v>40189.172944778868</v>
      </c>
      <c r="J1095">
        <v>39647.61543354678</v>
      </c>
    </row>
    <row r="1096" spans="1:10">
      <c r="A1096" s="1">
        <v>46070.606249999997</v>
      </c>
      <c r="B1096">
        <v>471.2047947566125</v>
      </c>
      <c r="C1096">
        <v>200802.858544938</v>
      </c>
      <c r="D1096">
        <v>100129.68252404869</v>
      </c>
      <c r="E1096">
        <v>100673.1760208893</v>
      </c>
      <c r="F1096">
        <v>0</v>
      </c>
      <c r="G1096">
        <v>3.24037545417309</v>
      </c>
      <c r="H1096">
        <v>474.44517021078559</v>
      </c>
      <c r="I1096">
        <v>40160.571708987598</v>
      </c>
      <c r="J1096">
        <v>39686.126538776807</v>
      </c>
    </row>
    <row r="1097" spans="1:10">
      <c r="A1097" s="3">
        <v>46070.606944444437</v>
      </c>
      <c r="B1097" s="4">
        <v>551.83203809462429</v>
      </c>
      <c r="C1097" s="4">
        <v>200807.59195034089</v>
      </c>
      <c r="D1097" s="4">
        <v>100172.3628484192</v>
      </c>
      <c r="E1097" s="4">
        <v>100635.22910192169</v>
      </c>
      <c r="F1097" s="4">
        <v>0</v>
      </c>
      <c r="G1097" s="4">
        <v>3.24037545417309</v>
      </c>
      <c r="H1097" s="4">
        <v>555.07241354879739</v>
      </c>
      <c r="I1097" s="4">
        <v>40161.51839006818</v>
      </c>
      <c r="J1097" s="4">
        <v>39606.445976519382</v>
      </c>
    </row>
    <row r="1098" spans="1:10">
      <c r="A1098" s="3">
        <v>46070.607638888891</v>
      </c>
      <c r="B1098" s="4">
        <v>587.00984060656242</v>
      </c>
      <c r="C1098" s="4">
        <v>201051.47780717429</v>
      </c>
      <c r="D1098" s="4">
        <v>100311.89467809191</v>
      </c>
      <c r="E1098" s="4">
        <v>100739.5831290824</v>
      </c>
      <c r="F1098" s="4">
        <v>0</v>
      </c>
      <c r="G1098" s="4">
        <v>3.24037545417309</v>
      </c>
      <c r="H1098" s="4">
        <v>590.25021606073551</v>
      </c>
      <c r="I1098" s="4">
        <v>40210.295561434868</v>
      </c>
      <c r="J1098" s="4">
        <v>39620.045345374143</v>
      </c>
    </row>
    <row r="1099" spans="1:10">
      <c r="A1099" s="1">
        <v>46070.60833333333</v>
      </c>
      <c r="B1099">
        <v>565.49834994830087</v>
      </c>
      <c r="C1099">
        <v>200935.09901909719</v>
      </c>
      <c r="D1099">
        <v>100242.94953872421</v>
      </c>
      <c r="E1099">
        <v>100692.149480373</v>
      </c>
      <c r="F1099">
        <v>0</v>
      </c>
      <c r="G1099">
        <v>3.24037545417309</v>
      </c>
      <c r="H1099">
        <v>568.73872540247396</v>
      </c>
      <c r="I1099">
        <v>40187.01980381945</v>
      </c>
      <c r="J1099">
        <v>39618.281078416978</v>
      </c>
    </row>
    <row r="1100" spans="1:10">
      <c r="A1100" s="3">
        <v>46070.609027777777</v>
      </c>
      <c r="B1100" s="4">
        <v>481.54816686356332</v>
      </c>
      <c r="C1100" s="4">
        <v>201268.5649446554</v>
      </c>
      <c r="D1100" s="4">
        <v>100367.7074099609</v>
      </c>
      <c r="E1100" s="4">
        <v>100900.8575346945</v>
      </c>
      <c r="F1100" s="4">
        <v>0</v>
      </c>
      <c r="G1100" s="4">
        <v>3.24037545417309</v>
      </c>
      <c r="H1100" s="4">
        <v>484.78854231773641</v>
      </c>
      <c r="I1100" s="4">
        <v>40253.712988931089</v>
      </c>
      <c r="J1100" s="4">
        <v>39768.924446613353</v>
      </c>
    </row>
    <row r="1101" spans="1:10">
      <c r="A1101" s="3">
        <v>46070.609722222223</v>
      </c>
      <c r="B1101" s="4">
        <v>387.78851602695869</v>
      </c>
      <c r="C1101" s="4">
        <v>201250.69913175391</v>
      </c>
      <c r="D1101" s="4">
        <v>100311.89467809191</v>
      </c>
      <c r="E1101" s="4">
        <v>100938.804453662</v>
      </c>
      <c r="F1101" s="4">
        <v>0</v>
      </c>
      <c r="G1101" s="4">
        <v>3.24037545417309</v>
      </c>
      <c r="H1101" s="4">
        <v>391.02889148113178</v>
      </c>
      <c r="I1101" s="4">
        <v>40250.139826350787</v>
      </c>
      <c r="J1101" s="4">
        <v>39859.110934869663</v>
      </c>
    </row>
    <row r="1102" spans="1:10">
      <c r="A1102" s="3">
        <v>46070.61041666667</v>
      </c>
      <c r="B1102" s="4">
        <v>341.59400450071257</v>
      </c>
      <c r="C1102" s="4">
        <v>201621.92072887061</v>
      </c>
      <c r="D1102" s="4">
        <v>100474.4082208871</v>
      </c>
      <c r="E1102" s="4">
        <v>101147.5125079835</v>
      </c>
      <c r="F1102" s="4">
        <v>0</v>
      </c>
      <c r="G1102" s="4">
        <v>3.24037545417309</v>
      </c>
      <c r="H1102" s="4">
        <v>344.83437995488572</v>
      </c>
      <c r="I1102" s="4">
        <v>40324.384145774129</v>
      </c>
      <c r="J1102" s="4">
        <v>39979.54976581924</v>
      </c>
    </row>
    <row r="1103" spans="1:10">
      <c r="A1103" s="3">
        <v>46070.611111111109</v>
      </c>
      <c r="B1103" s="4">
        <v>357.45569058284269</v>
      </c>
      <c r="C1103" s="4">
        <v>201694.70279340411</v>
      </c>
      <c r="D1103" s="4">
        <v>100518.73009619489</v>
      </c>
      <c r="E1103" s="4">
        <v>101175.9726972092</v>
      </c>
      <c r="F1103" s="4">
        <v>0</v>
      </c>
      <c r="G1103" s="4">
        <v>3.24037545417309</v>
      </c>
      <c r="H1103" s="4">
        <v>360.69606603701578</v>
      </c>
      <c r="I1103" s="4">
        <v>40338.940558680821</v>
      </c>
      <c r="J1103" s="4">
        <v>39978.244492643797</v>
      </c>
    </row>
    <row r="1104" spans="1:10">
      <c r="A1104" s="1">
        <v>46070.611805555563</v>
      </c>
      <c r="B1104">
        <v>293.94918944619889</v>
      </c>
      <c r="C1104">
        <v>201915.798184524</v>
      </c>
      <c r="D1104">
        <v>100597.5245411865</v>
      </c>
      <c r="E1104">
        <v>101318.2736433375</v>
      </c>
      <c r="F1104">
        <v>0</v>
      </c>
      <c r="G1104">
        <v>3.24037545417309</v>
      </c>
      <c r="H1104">
        <v>297.18956490037198</v>
      </c>
      <c r="I1104">
        <v>40383.159636904798</v>
      </c>
      <c r="J1104">
        <v>40085.970072004427</v>
      </c>
    </row>
    <row r="1105" spans="1:10">
      <c r="A1105" s="1">
        <v>46070.612500000003</v>
      </c>
      <c r="B1105">
        <v>0</v>
      </c>
      <c r="C1105">
        <v>0</v>
      </c>
      <c r="D1105">
        <v>0</v>
      </c>
      <c r="E1105">
        <v>0</v>
      </c>
      <c r="F1105">
        <v>532.60562331868869</v>
      </c>
      <c r="G1105">
        <v>535.84599877286178</v>
      </c>
      <c r="H1105">
        <v>535.84599877286178</v>
      </c>
      <c r="I1105">
        <v>0</v>
      </c>
      <c r="J1105">
        <v>-535.84599877286178</v>
      </c>
    </row>
    <row r="1106" spans="1:10">
      <c r="A1106" s="1">
        <v>46072.604166666657</v>
      </c>
      <c r="B1106">
        <v>0</v>
      </c>
      <c r="C1106">
        <v>201014.6982915971</v>
      </c>
      <c r="D1106">
        <v>101014.6982915971</v>
      </c>
      <c r="E1106">
        <v>100000</v>
      </c>
      <c r="F1106">
        <v>0</v>
      </c>
      <c r="G1106">
        <v>535.84599877286178</v>
      </c>
      <c r="H1106">
        <v>535.84599877286178</v>
      </c>
      <c r="I1106">
        <v>40202.939658319432</v>
      </c>
      <c r="J1106">
        <v>39667.093659546568</v>
      </c>
    </row>
    <row r="1107" spans="1:10">
      <c r="A1107" s="1">
        <v>46072.604861111111</v>
      </c>
      <c r="B1107">
        <v>-54.198391886029071</v>
      </c>
      <c r="C1107">
        <v>202211.07130962421</v>
      </c>
      <c r="D1107">
        <v>101585.7856046677</v>
      </c>
      <c r="E1107">
        <v>100625.28570495659</v>
      </c>
      <c r="F1107">
        <v>0</v>
      </c>
      <c r="G1107">
        <v>535.84599877286178</v>
      </c>
      <c r="H1107">
        <v>481.6476068868327</v>
      </c>
      <c r="I1107">
        <v>40442.214261924848</v>
      </c>
      <c r="J1107">
        <v>39960.566655038012</v>
      </c>
    </row>
    <row r="1108" spans="1:10">
      <c r="A1108" s="3">
        <v>46072.605555555558</v>
      </c>
      <c r="B1108" s="4">
        <v>-39.040384012135057</v>
      </c>
      <c r="C1108" s="4">
        <v>202118.47773387641</v>
      </c>
      <c r="D1108" s="4">
        <v>101547.06782073071</v>
      </c>
      <c r="E1108" s="4">
        <v>100571.4099131457</v>
      </c>
      <c r="F1108" s="4">
        <v>0</v>
      </c>
      <c r="G1108" s="4">
        <v>535.84599877286178</v>
      </c>
      <c r="H1108" s="4">
        <v>496.80561476072671</v>
      </c>
      <c r="I1108" s="4">
        <v>40423.695546775278</v>
      </c>
      <c r="J1108" s="4">
        <v>39926.88993201455</v>
      </c>
    </row>
    <row r="1109" spans="1:10">
      <c r="A1109" s="3">
        <v>46072.606249999997</v>
      </c>
      <c r="B1109" s="4">
        <v>503.11181487984868</v>
      </c>
      <c r="C1109" s="4">
        <v>202099.01561813371</v>
      </c>
      <c r="D1109" s="4">
        <v>101808.4128623054</v>
      </c>
      <c r="E1109" s="4">
        <v>100290.6027558284</v>
      </c>
      <c r="F1109" s="4">
        <v>0</v>
      </c>
      <c r="G1109" s="4">
        <v>535.84599877286178</v>
      </c>
      <c r="H1109" s="4">
        <v>1038.95781365271</v>
      </c>
      <c r="I1109" s="4">
        <v>40419.803123626749</v>
      </c>
      <c r="J1109" s="4">
        <v>39380.845309974044</v>
      </c>
    </row>
    <row r="1110" spans="1:10">
      <c r="A1110" s="1">
        <v>46072.606944444437</v>
      </c>
      <c r="B1110">
        <v>372.61352288273491</v>
      </c>
      <c r="C1110">
        <v>201939.13053060349</v>
      </c>
      <c r="D1110">
        <v>101663.2211725417</v>
      </c>
      <c r="E1110">
        <v>100275.90935806181</v>
      </c>
      <c r="F1110">
        <v>0</v>
      </c>
      <c r="G1110">
        <v>535.84599877286178</v>
      </c>
      <c r="H1110">
        <v>908.45952165559663</v>
      </c>
      <c r="I1110">
        <v>40387.826106120687</v>
      </c>
      <c r="J1110">
        <v>39479.366584465097</v>
      </c>
    </row>
    <row r="1111" spans="1:10">
      <c r="A1111" s="3">
        <v>46072.607638888891</v>
      </c>
      <c r="B1111" s="4">
        <v>12.14450655282951</v>
      </c>
      <c r="C1111" s="4">
        <v>201699.47389591011</v>
      </c>
      <c r="D1111" s="4">
        <v>101363.15834703</v>
      </c>
      <c r="E1111" s="4">
        <v>100336.31554888</v>
      </c>
      <c r="F1111" s="4">
        <v>0</v>
      </c>
      <c r="G1111" s="4">
        <v>535.84599877286178</v>
      </c>
      <c r="H1111" s="4">
        <v>547.99050532569129</v>
      </c>
      <c r="I1111" s="4">
        <v>40339.89477918201</v>
      </c>
      <c r="J1111" s="4">
        <v>39791.904273856322</v>
      </c>
    </row>
    <row r="1112" spans="1:10">
      <c r="A1112" s="3">
        <v>46072.60833333333</v>
      </c>
      <c r="B1112" s="4">
        <v>69.872724877852932</v>
      </c>
      <c r="C1112" s="4">
        <v>201815.97570530151</v>
      </c>
      <c r="D1112" s="4">
        <v>101450.2733608882</v>
      </c>
      <c r="E1112" s="4">
        <v>100365.70234441329</v>
      </c>
      <c r="F1112" s="4">
        <v>0</v>
      </c>
      <c r="G1112" s="4">
        <v>535.84599877286178</v>
      </c>
      <c r="H1112" s="4">
        <v>605.71872365071476</v>
      </c>
      <c r="I1112" s="4">
        <v>40363.1951410603</v>
      </c>
      <c r="J1112" s="4">
        <v>39757.476417409584</v>
      </c>
    </row>
    <row r="1113" spans="1:10">
      <c r="A1113" s="3">
        <v>46072.609027777777</v>
      </c>
      <c r="B1113" s="4">
        <v>50.629985436172262</v>
      </c>
      <c r="C1113" s="4">
        <v>201777.1417688377</v>
      </c>
      <c r="D1113" s="4">
        <v>101421.23502293551</v>
      </c>
      <c r="E1113" s="4">
        <v>100355.9067459022</v>
      </c>
      <c r="F1113" s="4">
        <v>0</v>
      </c>
      <c r="G1113" s="4">
        <v>535.84599877286178</v>
      </c>
      <c r="H1113" s="4">
        <v>586.4759842090341</v>
      </c>
      <c r="I1113" s="4">
        <v>40355.428353767536</v>
      </c>
      <c r="J1113" s="4">
        <v>39768.952369558509</v>
      </c>
    </row>
    <row r="1114" spans="1:10">
      <c r="A1114" s="3">
        <v>46072.609722222223</v>
      </c>
      <c r="B1114" s="4">
        <v>175.64325116730561</v>
      </c>
      <c r="C1114" s="4">
        <v>201768.2818549175</v>
      </c>
      <c r="D1114" s="4">
        <v>101479.311698841</v>
      </c>
      <c r="E1114" s="4">
        <v>100288.9701560765</v>
      </c>
      <c r="F1114" s="4">
        <v>0</v>
      </c>
      <c r="G1114" s="4">
        <v>535.84599877286178</v>
      </c>
      <c r="H1114" s="4">
        <v>711.48924994016738</v>
      </c>
      <c r="I1114" s="4">
        <v>40353.65637098351</v>
      </c>
      <c r="J1114" s="4">
        <v>39642.167121043341</v>
      </c>
    </row>
    <row r="1115" spans="1:10">
      <c r="A1115" s="3">
        <v>46072.61041666667</v>
      </c>
      <c r="B1115" s="4">
        <v>202.70053178772631</v>
      </c>
      <c r="C1115" s="4">
        <v>201857.37792610799</v>
      </c>
      <c r="D1115" s="4">
        <v>101537.3883747465</v>
      </c>
      <c r="E1115" s="4">
        <v>100319.98955136161</v>
      </c>
      <c r="F1115" s="4">
        <v>0</v>
      </c>
      <c r="G1115" s="4">
        <v>535.84599877286178</v>
      </c>
      <c r="H1115" s="4">
        <v>738.54653056058805</v>
      </c>
      <c r="I1115" s="4">
        <v>40371.475585221611</v>
      </c>
      <c r="J1115" s="4">
        <v>39632.929054661021</v>
      </c>
    </row>
    <row r="1116" spans="1:10">
      <c r="A1116" s="1">
        <v>46072.611111111109</v>
      </c>
      <c r="B1116">
        <v>92.845273930505584</v>
      </c>
      <c r="C1116">
        <v>201773.6442642803</v>
      </c>
      <c r="D1116">
        <v>101440.59391490401</v>
      </c>
      <c r="E1116">
        <v>100333.0503493763</v>
      </c>
      <c r="F1116">
        <v>0</v>
      </c>
      <c r="G1116">
        <v>535.84599877286178</v>
      </c>
      <c r="H1116">
        <v>628.6912727033673</v>
      </c>
      <c r="I1116">
        <v>40354.728852856068</v>
      </c>
      <c r="J1116">
        <v>39726.037580152697</v>
      </c>
    </row>
    <row r="1117" spans="1:10">
      <c r="A1117" s="1">
        <v>46072.611805555563</v>
      </c>
      <c r="B1117">
        <v>-71.473002748056672</v>
      </c>
      <c r="C1117">
        <v>201570.1435935575</v>
      </c>
      <c r="D1117">
        <v>101256.6844412033</v>
      </c>
      <c r="E1117">
        <v>100313.4591523542</v>
      </c>
      <c r="F1117">
        <v>0</v>
      </c>
      <c r="G1117">
        <v>535.84599877286178</v>
      </c>
      <c r="H1117">
        <v>464.3729960248051</v>
      </c>
      <c r="I1117">
        <v>40314.02871871151</v>
      </c>
      <c r="J1117">
        <v>39849.655722686708</v>
      </c>
    </row>
    <row r="1118" spans="1:10">
      <c r="A1118" s="1">
        <v>46072.612500000003</v>
      </c>
      <c r="B1118">
        <v>118.9668699600178</v>
      </c>
      <c r="C1118">
        <v>201747.52266825081</v>
      </c>
      <c r="D1118">
        <v>101440.59391490401</v>
      </c>
      <c r="E1118">
        <v>100306.9287533468</v>
      </c>
      <c r="F1118">
        <v>0</v>
      </c>
      <c r="G1118">
        <v>535.84599877286178</v>
      </c>
      <c r="H1118">
        <v>654.81286873287956</v>
      </c>
      <c r="I1118">
        <v>40349.504533650157</v>
      </c>
      <c r="J1118">
        <v>39694.691664917293</v>
      </c>
    </row>
    <row r="1119" spans="1:10">
      <c r="A1119" s="1">
        <v>46072.613194444442</v>
      </c>
      <c r="B1119">
        <v>161.99522614208979</v>
      </c>
      <c r="C1119">
        <v>201607.6998522263</v>
      </c>
      <c r="D1119">
        <v>101392.1966849827</v>
      </c>
      <c r="E1119">
        <v>100215.5031672435</v>
      </c>
      <c r="F1119">
        <v>0</v>
      </c>
      <c r="G1119">
        <v>535.84599877286178</v>
      </c>
      <c r="H1119">
        <v>697.84122491495157</v>
      </c>
      <c r="I1119">
        <v>40321.539970445257</v>
      </c>
      <c r="J1119">
        <v>39623.698745530302</v>
      </c>
    </row>
    <row r="1120" spans="1:10">
      <c r="A1120" s="1">
        <v>46072.613888888889</v>
      </c>
      <c r="B1120">
        <v>118.6184123795412</v>
      </c>
      <c r="C1120">
        <v>201805.94780173679</v>
      </c>
      <c r="D1120">
        <v>101469.6322528567</v>
      </c>
      <c r="E1120">
        <v>100336.31554888</v>
      </c>
      <c r="F1120">
        <v>0</v>
      </c>
      <c r="G1120">
        <v>535.84599877286178</v>
      </c>
      <c r="H1120">
        <v>654.46441115240293</v>
      </c>
      <c r="I1120">
        <v>40361.189560347353</v>
      </c>
      <c r="J1120">
        <v>39706.72514919495</v>
      </c>
    </row>
    <row r="1121" spans="1:10">
      <c r="A1121" s="3">
        <v>46072.614583333343</v>
      </c>
      <c r="B1121" s="4">
        <v>76.5192764120535</v>
      </c>
      <c r="C1121" s="4">
        <v>201789.97026179879</v>
      </c>
      <c r="D1121" s="4">
        <v>101440.59391490401</v>
      </c>
      <c r="E1121" s="4">
        <v>100349.3763468948</v>
      </c>
      <c r="F1121" s="4">
        <v>0</v>
      </c>
      <c r="G1121" s="4">
        <v>535.84599877286178</v>
      </c>
      <c r="H1121" s="4">
        <v>612.36527518491528</v>
      </c>
      <c r="I1121" s="4">
        <v>40357.994052359747</v>
      </c>
      <c r="J1121" s="4">
        <v>39745.628777174839</v>
      </c>
    </row>
    <row r="1122" spans="1:10">
      <c r="A1122" s="1">
        <v>46072.615277777782</v>
      </c>
      <c r="B1122">
        <v>227.0733755385728</v>
      </c>
      <c r="C1122">
        <v>201852.36397432571</v>
      </c>
      <c r="D1122">
        <v>101547.06782073071</v>
      </c>
      <c r="E1122">
        <v>100305.296153595</v>
      </c>
      <c r="F1122">
        <v>0</v>
      </c>
      <c r="G1122">
        <v>535.84599877286178</v>
      </c>
      <c r="H1122">
        <v>762.91937431143458</v>
      </c>
      <c r="I1122">
        <v>40370.472794865142</v>
      </c>
      <c r="J1122">
        <v>39607.553420553697</v>
      </c>
    </row>
    <row r="1123" spans="1:10">
      <c r="A1123" s="3">
        <v>46072.615972222222</v>
      </c>
      <c r="B1123" s="4">
        <v>218.67807172572029</v>
      </c>
      <c r="C1123" s="4">
        <v>201899.47706207549</v>
      </c>
      <c r="D1123" s="4">
        <v>101566.42671269921</v>
      </c>
      <c r="E1123" s="4">
        <v>100333.0503493763</v>
      </c>
      <c r="F1123" s="4">
        <v>0</v>
      </c>
      <c r="G1123" s="4">
        <v>535.84599877286178</v>
      </c>
      <c r="H1123" s="4">
        <v>754.52407049858198</v>
      </c>
      <c r="I1123" s="4">
        <v>40379.895412415113</v>
      </c>
      <c r="J1123" s="4">
        <v>39625.371341916521</v>
      </c>
    </row>
    <row r="1124" spans="1:10">
      <c r="A1124" s="3">
        <v>46072.616666666669</v>
      </c>
      <c r="B1124" s="4">
        <v>0</v>
      </c>
      <c r="C1124" s="4">
        <v>0</v>
      </c>
      <c r="D1124" s="4">
        <v>0</v>
      </c>
      <c r="E1124" s="4">
        <v>0</v>
      </c>
      <c r="F1124" s="4">
        <v>288.13446670684652</v>
      </c>
      <c r="G1124" s="4">
        <v>823.9804654797083</v>
      </c>
      <c r="H1124" s="4">
        <v>823.9804654797083</v>
      </c>
      <c r="I1124" s="4">
        <v>0</v>
      </c>
      <c r="J1124" s="4">
        <v>-823.9804654797083</v>
      </c>
    </row>
    <row r="1125" spans="1:10">
      <c r="A1125" s="3">
        <v>46072.774305555547</v>
      </c>
      <c r="B1125" s="4">
        <v>0</v>
      </c>
      <c r="C1125" s="4">
        <v>201014.6982915971</v>
      </c>
      <c r="D1125" s="4">
        <v>100000</v>
      </c>
      <c r="E1125" s="4">
        <v>101014.6982915971</v>
      </c>
      <c r="F1125" s="4">
        <v>0</v>
      </c>
      <c r="G1125" s="4">
        <v>823.9804654797083</v>
      </c>
      <c r="H1125" s="4">
        <v>823.9804654797083</v>
      </c>
      <c r="I1125" s="4">
        <v>40202.939658319432</v>
      </c>
      <c r="J1125" s="4">
        <v>39378.95919283972</v>
      </c>
    </row>
    <row r="1126" spans="1:10">
      <c r="A1126" s="1">
        <v>46072.775000000001</v>
      </c>
      <c r="B1126">
        <v>38.67331481302179</v>
      </c>
      <c r="C1126">
        <v>200976.0249767841</v>
      </c>
      <c r="D1126">
        <v>100000</v>
      </c>
      <c r="E1126">
        <v>100976.0249767841</v>
      </c>
      <c r="F1126">
        <v>0</v>
      </c>
      <c r="G1126">
        <v>823.9804654797083</v>
      </c>
      <c r="H1126">
        <v>862.65378029273006</v>
      </c>
      <c r="I1126">
        <v>40195.20499535682</v>
      </c>
      <c r="J1126">
        <v>39332.551215064093</v>
      </c>
    </row>
    <row r="1127" spans="1:10">
      <c r="A1127" s="3">
        <v>46072.775694444441</v>
      </c>
      <c r="B1127" s="4">
        <v>44.071998428035492</v>
      </c>
      <c r="C1127" s="4">
        <v>201039.4336326186</v>
      </c>
      <c r="D1127" s="4">
        <v>100034.40366972479</v>
      </c>
      <c r="E1127" s="4">
        <v>101005.0299628939</v>
      </c>
      <c r="F1127" s="4">
        <v>0</v>
      </c>
      <c r="G1127" s="4">
        <v>823.9804654797083</v>
      </c>
      <c r="H1127" s="4">
        <v>868.0524639077438</v>
      </c>
      <c r="I1127" s="4">
        <v>40207.886726523728</v>
      </c>
      <c r="J1127" s="4">
        <v>39339.834262615987</v>
      </c>
    </row>
    <row r="1128" spans="1:10">
      <c r="A1128" s="3">
        <v>46072.776388888888</v>
      </c>
      <c r="B1128" s="4">
        <v>108.47375937702169</v>
      </c>
      <c r="C1128" s="4">
        <v>200968.4787917221</v>
      </c>
      <c r="D1128" s="4">
        <v>100031.127129751</v>
      </c>
      <c r="E1128" s="4">
        <v>100937.3516619711</v>
      </c>
      <c r="F1128" s="4">
        <v>0</v>
      </c>
      <c r="G1128" s="4">
        <v>823.9804654797083</v>
      </c>
      <c r="H1128" s="4">
        <v>932.45422485672998</v>
      </c>
      <c r="I1128" s="4">
        <v>40193.695758344416</v>
      </c>
      <c r="J1128" s="4">
        <v>39261.241533487693</v>
      </c>
    </row>
    <row r="1129" spans="1:10">
      <c r="A1129" s="1">
        <v>46072.777083333327</v>
      </c>
      <c r="B1129">
        <v>31.127129750991909</v>
      </c>
      <c r="C1129">
        <v>201045.8254213481</v>
      </c>
      <c r="D1129">
        <v>100031.127129751</v>
      </c>
      <c r="E1129">
        <v>101014.6982915971</v>
      </c>
      <c r="F1129">
        <v>0</v>
      </c>
      <c r="G1129">
        <v>823.9804654797083</v>
      </c>
      <c r="H1129">
        <v>855.10759523070021</v>
      </c>
      <c r="I1129">
        <v>40209.165084269633</v>
      </c>
      <c r="J1129">
        <v>39354.057489038933</v>
      </c>
    </row>
    <row r="1130" spans="1:10">
      <c r="A1130" s="3">
        <v>46072.777777777781</v>
      </c>
      <c r="B1130" s="4">
        <v>105.3331528155402</v>
      </c>
      <c r="C1130" s="4">
        <v>201178.04141663219</v>
      </c>
      <c r="D1130" s="4">
        <v>100134.3381389253</v>
      </c>
      <c r="E1130" s="4">
        <v>101043.7032777069</v>
      </c>
      <c r="F1130" s="4">
        <v>0</v>
      </c>
      <c r="G1130" s="4">
        <v>823.9804654797083</v>
      </c>
      <c r="H1130" s="4">
        <v>929.31361829524849</v>
      </c>
      <c r="I1130" s="4">
        <v>40235.608283326437</v>
      </c>
      <c r="J1130" s="4">
        <v>39306.294665031193</v>
      </c>
    </row>
    <row r="1131" spans="1:10">
      <c r="A1131" s="3">
        <v>46072.77847222222</v>
      </c>
      <c r="B1131" s="4">
        <v>56.991509299273261</v>
      </c>
      <c r="C1131" s="4">
        <v>201226.38306014851</v>
      </c>
      <c r="D1131" s="4">
        <v>100134.3381389253</v>
      </c>
      <c r="E1131" s="4">
        <v>101092.04492122321</v>
      </c>
      <c r="F1131" s="4">
        <v>0</v>
      </c>
      <c r="G1131" s="4">
        <v>823.9804654797083</v>
      </c>
      <c r="H1131" s="4">
        <v>880.97197477898158</v>
      </c>
      <c r="I1131" s="4">
        <v>40245.276612029687</v>
      </c>
      <c r="J1131" s="4">
        <v>39364.304637250723</v>
      </c>
    </row>
    <row r="1132" spans="1:10">
      <c r="A1132" s="3">
        <v>46072.779166666667</v>
      </c>
      <c r="B1132" s="4">
        <v>117.768790032455</v>
      </c>
      <c r="C1132" s="4">
        <v>201306.49699828809</v>
      </c>
      <c r="D1132" s="4">
        <v>100204.7837483617</v>
      </c>
      <c r="E1132" s="4">
        <v>101101.7132499264</v>
      </c>
      <c r="F1132" s="4">
        <v>0</v>
      </c>
      <c r="G1132" s="4">
        <v>823.9804654797083</v>
      </c>
      <c r="H1132" s="4">
        <v>941.74925551216336</v>
      </c>
      <c r="I1132" s="4">
        <v>40261.299399657633</v>
      </c>
      <c r="J1132" s="4">
        <v>39319.550144145469</v>
      </c>
    </row>
    <row r="1133" spans="1:10">
      <c r="A1133" s="1">
        <v>46072.779861111107</v>
      </c>
      <c r="B1133">
        <v>59.088295134691577</v>
      </c>
      <c r="C1133">
        <v>201479.8563922685</v>
      </c>
      <c r="D1133">
        <v>100262.123197903</v>
      </c>
      <c r="E1133">
        <v>101217.7331943655</v>
      </c>
      <c r="F1133">
        <v>0</v>
      </c>
      <c r="G1133">
        <v>823.9804654797083</v>
      </c>
      <c r="H1133">
        <v>883.06876061439993</v>
      </c>
      <c r="I1133">
        <v>40295.971278453697</v>
      </c>
      <c r="J1133">
        <v>39412.902517839313</v>
      </c>
    </row>
    <row r="1134" spans="1:10">
      <c r="A1134" s="1">
        <v>46072.780555555553</v>
      </c>
      <c r="B1134">
        <v>56.456920033338719</v>
      </c>
      <c r="C1134">
        <v>201554.57164679319</v>
      </c>
      <c r="D1134">
        <v>100298.16513761471</v>
      </c>
      <c r="E1134">
        <v>101256.4065091785</v>
      </c>
      <c r="F1134">
        <v>0</v>
      </c>
      <c r="G1134">
        <v>823.9804654797083</v>
      </c>
      <c r="H1134">
        <v>880.43738551304705</v>
      </c>
      <c r="I1134">
        <v>40310.914329358638</v>
      </c>
      <c r="J1134">
        <v>39430.476943845591</v>
      </c>
    </row>
    <row r="1135" spans="1:10">
      <c r="A1135" s="3">
        <v>46072.78125</v>
      </c>
      <c r="B1135" s="4">
        <v>79.876573504168277</v>
      </c>
      <c r="C1135" s="4">
        <v>201636.0012724835</v>
      </c>
      <c r="D1135" s="4">
        <v>100350.5897771953</v>
      </c>
      <c r="E1135" s="4">
        <v>101285.41149528819</v>
      </c>
      <c r="F1135" s="4">
        <v>0</v>
      </c>
      <c r="G1135" s="4">
        <v>823.9804654797083</v>
      </c>
      <c r="H1135" s="4">
        <v>903.85703898387658</v>
      </c>
      <c r="I1135" s="4">
        <v>40327.200254496711</v>
      </c>
      <c r="J1135" s="4">
        <v>39423.343215512832</v>
      </c>
    </row>
    <row r="1136" spans="1:10">
      <c r="A1136" s="1">
        <v>46072.781944444447</v>
      </c>
      <c r="B1136">
        <v>0</v>
      </c>
      <c r="C1136">
        <v>0</v>
      </c>
      <c r="D1136">
        <v>0</v>
      </c>
      <c r="E1136">
        <v>0</v>
      </c>
      <c r="F1136">
        <v>67.256880927056898</v>
      </c>
      <c r="G1136">
        <v>891.23734640676525</v>
      </c>
      <c r="H1136">
        <v>891.23734640676525</v>
      </c>
      <c r="I1136">
        <v>0</v>
      </c>
      <c r="J1136">
        <v>-891.23734640676525</v>
      </c>
    </row>
    <row r="1137" spans="1:10">
      <c r="A1137" s="1">
        <v>46073.604166666657</v>
      </c>
      <c r="B1137">
        <v>0</v>
      </c>
      <c r="C1137">
        <v>201014.6982915971</v>
      </c>
      <c r="D1137">
        <v>101014.6982915971</v>
      </c>
      <c r="E1137">
        <v>100000</v>
      </c>
      <c r="F1137">
        <v>0</v>
      </c>
      <c r="G1137">
        <v>891.23734640676525</v>
      </c>
      <c r="H1137">
        <v>891.23734640676525</v>
      </c>
      <c r="I1137">
        <v>40202.939658319432</v>
      </c>
      <c r="J1137">
        <v>39311.702311912668</v>
      </c>
    </row>
    <row r="1138" spans="1:10">
      <c r="A1138" s="3">
        <v>46073.604861111111</v>
      </c>
      <c r="B1138" s="4">
        <v>-75.009244289586647</v>
      </c>
      <c r="C1138" s="4">
        <v>201128.23335521991</v>
      </c>
      <c r="D1138" s="4">
        <v>101033.96120126369</v>
      </c>
      <c r="E1138" s="4">
        <v>100094.2721539562</v>
      </c>
      <c r="F1138" s="4">
        <v>0</v>
      </c>
      <c r="G1138" s="4">
        <v>891.23734640676525</v>
      </c>
      <c r="H1138" s="4">
        <v>816.22810211717865</v>
      </c>
      <c r="I1138" s="4">
        <v>40225.646671043978</v>
      </c>
      <c r="J1138" s="4">
        <v>39409.418568926798</v>
      </c>
    </row>
    <row r="1139" spans="1:10">
      <c r="A1139" s="1">
        <v>46073.605555555558</v>
      </c>
      <c r="B1139">
        <v>-216.71365068057401</v>
      </c>
      <c r="C1139">
        <v>201058.04575527841</v>
      </c>
      <c r="D1139">
        <v>100928.01519809751</v>
      </c>
      <c r="E1139">
        <v>100130.0305571809</v>
      </c>
      <c r="F1139">
        <v>0</v>
      </c>
      <c r="G1139">
        <v>891.23734640676525</v>
      </c>
      <c r="H1139">
        <v>674.52369572619125</v>
      </c>
      <c r="I1139">
        <v>40211.609151055687</v>
      </c>
      <c r="J1139">
        <v>39537.085455329499</v>
      </c>
    </row>
    <row r="1140" spans="1:10">
      <c r="A1140" s="1">
        <v>46073.606249999997</v>
      </c>
      <c r="B1140">
        <v>-233.92233210749669</v>
      </c>
      <c r="C1140">
        <v>200709.2591530401</v>
      </c>
      <c r="D1140">
        <v>100745.01755626489</v>
      </c>
      <c r="E1140">
        <v>99964.241596775231</v>
      </c>
      <c r="F1140">
        <v>0</v>
      </c>
      <c r="G1140">
        <v>891.23734640676525</v>
      </c>
      <c r="H1140">
        <v>657.31501429926857</v>
      </c>
      <c r="I1140">
        <v>40141.851830608022</v>
      </c>
      <c r="J1140">
        <v>39484.536816308762</v>
      </c>
    </row>
    <row r="1141" spans="1:10">
      <c r="A1141" s="1">
        <v>46073.606944444437</v>
      </c>
      <c r="B1141">
        <v>-184.01883902098919</v>
      </c>
      <c r="C1141">
        <v>200736.40729862</v>
      </c>
      <c r="D1141">
        <v>100783.543375598</v>
      </c>
      <c r="E1141">
        <v>99952.863923021912</v>
      </c>
      <c r="F1141">
        <v>0</v>
      </c>
      <c r="G1141">
        <v>891.23734640676525</v>
      </c>
      <c r="H1141">
        <v>707.21850738577598</v>
      </c>
      <c r="I1141">
        <v>40147.281459723999</v>
      </c>
      <c r="J1141">
        <v>39440.062952338223</v>
      </c>
    </row>
    <row r="1142" spans="1:10">
      <c r="A1142" s="3">
        <v>46073.607638888891</v>
      </c>
      <c r="B1142" s="4">
        <v>-164.5142554438479</v>
      </c>
      <c r="C1142" s="4">
        <v>200716.90271504279</v>
      </c>
      <c r="D1142" s="4">
        <v>100783.543375598</v>
      </c>
      <c r="E1142" s="4">
        <v>99933.359339444767</v>
      </c>
      <c r="F1142" s="4">
        <v>0</v>
      </c>
      <c r="G1142" s="4">
        <v>891.23734640676525</v>
      </c>
      <c r="H1142" s="4">
        <v>726.72309096291735</v>
      </c>
      <c r="I1142" s="4">
        <v>40143.380543008563</v>
      </c>
      <c r="J1142" s="4">
        <v>39416.657452045649</v>
      </c>
    </row>
    <row r="1143" spans="1:10">
      <c r="A1143" s="3">
        <v>46073.60833333333</v>
      </c>
      <c r="B1143" s="4">
        <v>-193.4631214898954</v>
      </c>
      <c r="C1143" s="4">
        <v>200437.64502642339</v>
      </c>
      <c r="D1143" s="4">
        <v>100629.4400982653</v>
      </c>
      <c r="E1143" s="4">
        <v>99808.204928158098</v>
      </c>
      <c r="F1143" s="4">
        <v>0</v>
      </c>
      <c r="G1143" s="4">
        <v>891.23734640676525</v>
      </c>
      <c r="H1143" s="4">
        <v>697.7742249168698</v>
      </c>
      <c r="I1143" s="4">
        <v>40087.52900528469</v>
      </c>
      <c r="J1143" s="4">
        <v>39389.754780367817</v>
      </c>
    </row>
    <row r="1144" spans="1:10">
      <c r="A1144" s="3">
        <v>46073.609027777777</v>
      </c>
      <c r="B1144" s="4">
        <v>-251.84420140313819</v>
      </c>
      <c r="C1144" s="4">
        <v>199956.6646356722</v>
      </c>
      <c r="D1144" s="4">
        <v>100359.75936293309</v>
      </c>
      <c r="E1144" s="4">
        <v>99596.905272739081</v>
      </c>
      <c r="F1144" s="4">
        <v>0</v>
      </c>
      <c r="G1144" s="4">
        <v>891.23734640676525</v>
      </c>
      <c r="H1144" s="4">
        <v>639.39314500362707</v>
      </c>
      <c r="I1144" s="4">
        <v>39991.332927134441</v>
      </c>
      <c r="J1144" s="4">
        <v>39351.939782130823</v>
      </c>
    </row>
    <row r="1145" spans="1:10">
      <c r="A1145" s="1">
        <v>46073.609722222223</v>
      </c>
      <c r="B1145">
        <v>-353.04672949328238</v>
      </c>
      <c r="C1145">
        <v>200385.33662809429</v>
      </c>
      <c r="D1145">
        <v>100523.4940950991</v>
      </c>
      <c r="E1145">
        <v>99861.842532995244</v>
      </c>
      <c r="F1145">
        <v>0</v>
      </c>
      <c r="G1145">
        <v>891.23734640676525</v>
      </c>
      <c r="H1145">
        <v>538.19061691348281</v>
      </c>
      <c r="I1145">
        <v>40077.067325618867</v>
      </c>
      <c r="J1145">
        <v>39538.876708705393</v>
      </c>
    </row>
    <row r="1146" spans="1:10">
      <c r="A1146" s="1">
        <v>46073.61041666667</v>
      </c>
      <c r="B1146">
        <v>-428.47298619487992</v>
      </c>
      <c r="C1146">
        <v>200306.6596074632</v>
      </c>
      <c r="D1146">
        <v>100446.44245643271</v>
      </c>
      <c r="E1146">
        <v>99860.217151030491</v>
      </c>
      <c r="F1146">
        <v>0</v>
      </c>
      <c r="G1146">
        <v>891.23734640676525</v>
      </c>
      <c r="H1146">
        <v>462.76436021188528</v>
      </c>
      <c r="I1146">
        <v>40061.331921492652</v>
      </c>
      <c r="J1146">
        <v>39598.567561280761</v>
      </c>
    </row>
    <row r="1147" spans="1:10">
      <c r="A1147" s="1">
        <v>46073.611111111109</v>
      </c>
      <c r="B1147">
        <v>-578.95115486935197</v>
      </c>
      <c r="C1147">
        <v>199571.04393147459</v>
      </c>
      <c r="D1147">
        <v>100003.3955341012</v>
      </c>
      <c r="E1147">
        <v>99567.648397373385</v>
      </c>
      <c r="F1147">
        <v>0</v>
      </c>
      <c r="G1147">
        <v>891.23734640676525</v>
      </c>
      <c r="H1147">
        <v>312.28619153741329</v>
      </c>
      <c r="I1147">
        <v>39914.208786294912</v>
      </c>
      <c r="J1147">
        <v>39601.922594757503</v>
      </c>
    </row>
    <row r="1148" spans="1:10">
      <c r="A1148" s="1">
        <v>46073.611805555563</v>
      </c>
      <c r="B1148">
        <v>-497.07787185487513</v>
      </c>
      <c r="C1148">
        <v>199392.8561001271</v>
      </c>
      <c r="D1148">
        <v>99955.238259934689</v>
      </c>
      <c r="E1148">
        <v>99437.617840192441</v>
      </c>
      <c r="F1148">
        <v>0</v>
      </c>
      <c r="G1148">
        <v>891.23734640676525</v>
      </c>
      <c r="H1148">
        <v>394.15947455189018</v>
      </c>
      <c r="I1148">
        <v>39878.571220025427</v>
      </c>
      <c r="J1148">
        <v>39484.411745473539</v>
      </c>
    </row>
    <row r="1149" spans="1:10">
      <c r="A1149" s="3">
        <v>46073.612500000003</v>
      </c>
      <c r="B1149" s="4">
        <v>-591.35002581106141</v>
      </c>
      <c r="C1149" s="4">
        <v>199487.12825408331</v>
      </c>
      <c r="D1149" s="4">
        <v>99955.238259934689</v>
      </c>
      <c r="E1149" s="4">
        <v>99531.889994148616</v>
      </c>
      <c r="F1149" s="4">
        <v>0</v>
      </c>
      <c r="G1149" s="4">
        <v>891.23734640676525</v>
      </c>
      <c r="H1149" s="4">
        <v>299.88732059570378</v>
      </c>
      <c r="I1149" s="4">
        <v>39897.425650816673</v>
      </c>
      <c r="J1149" s="4">
        <v>39597.538330220959</v>
      </c>
    </row>
    <row r="1150" spans="1:10">
      <c r="A1150" s="3">
        <v>46073.613194444442</v>
      </c>
      <c r="B1150" s="4">
        <v>-584.67315945054656</v>
      </c>
      <c r="C1150" s="4">
        <v>199711.6063037219</v>
      </c>
      <c r="D1150" s="4">
        <v>100070.81571793419</v>
      </c>
      <c r="E1150" s="4">
        <v>99640.790585787647</v>
      </c>
      <c r="F1150" s="4">
        <v>0</v>
      </c>
      <c r="G1150" s="4">
        <v>891.23734640676525</v>
      </c>
      <c r="H1150" s="4">
        <v>306.56418695621869</v>
      </c>
      <c r="I1150" s="4">
        <v>39942.321260744393</v>
      </c>
      <c r="J1150" s="4">
        <v>39635.757073788169</v>
      </c>
    </row>
    <row r="1151" spans="1:10">
      <c r="A1151" s="1">
        <v>46073.613888888889</v>
      </c>
      <c r="B1151">
        <v>-499.73628487094311</v>
      </c>
      <c r="C1151">
        <v>199819.2985258082</v>
      </c>
      <c r="D1151">
        <v>100167.1302662672</v>
      </c>
      <c r="E1151">
        <v>99652.168259540995</v>
      </c>
      <c r="F1151">
        <v>0</v>
      </c>
      <c r="G1151">
        <v>891.23734640676525</v>
      </c>
      <c r="H1151">
        <v>391.5010615358222</v>
      </c>
      <c r="I1151">
        <v>39963.859705161638</v>
      </c>
      <c r="J1151">
        <v>39572.358643625819</v>
      </c>
    </row>
    <row r="1152" spans="1:10">
      <c r="A1152" s="3">
        <v>46073.614583333343</v>
      </c>
      <c r="B1152" s="4">
        <v>-649.93011195156703</v>
      </c>
      <c r="C1152" s="4">
        <v>199815.3890755561</v>
      </c>
      <c r="D1152" s="4">
        <v>100090.0786276008</v>
      </c>
      <c r="E1152" s="4">
        <v>99725.310447955257</v>
      </c>
      <c r="F1152" s="4">
        <v>0</v>
      </c>
      <c r="G1152" s="4">
        <v>891.23734640676525</v>
      </c>
      <c r="H1152" s="4">
        <v>241.3072344551982</v>
      </c>
      <c r="I1152" s="4">
        <v>39963.077815111217</v>
      </c>
      <c r="J1152" s="4">
        <v>39721.770580656019</v>
      </c>
    </row>
    <row r="1153" spans="1:10">
      <c r="A1153" s="3">
        <v>46073.615277777782</v>
      </c>
      <c r="B1153" s="4">
        <v>-649.02975171845912</v>
      </c>
      <c r="C1153" s="4">
        <v>199930.0661733225</v>
      </c>
      <c r="D1153" s="4">
        <v>100147.8673566006</v>
      </c>
      <c r="E1153" s="4">
        <v>99782.198816721924</v>
      </c>
      <c r="F1153" s="4">
        <v>0</v>
      </c>
      <c r="G1153" s="4">
        <v>891.23734640676525</v>
      </c>
      <c r="H1153" s="4">
        <v>242.2075946883061</v>
      </c>
      <c r="I1153" s="4">
        <v>39986.013234664497</v>
      </c>
      <c r="J1153" s="4">
        <v>39743.805639976199</v>
      </c>
    </row>
    <row r="1154" spans="1:10">
      <c r="A1154" s="3">
        <v>46073.615972222222</v>
      </c>
      <c r="B1154" s="4">
        <v>-432.67861190370212</v>
      </c>
      <c r="C1154" s="4">
        <v>199944.8699495068</v>
      </c>
      <c r="D1154" s="4">
        <v>100263.44481460009</v>
      </c>
      <c r="E1154" s="4">
        <v>99681.425134906691</v>
      </c>
      <c r="F1154" s="4">
        <v>0</v>
      </c>
      <c r="G1154" s="4">
        <v>891.23734640676525</v>
      </c>
      <c r="H1154" s="4">
        <v>458.55873450306319</v>
      </c>
      <c r="I1154" s="4">
        <v>39988.973989901373</v>
      </c>
      <c r="J1154" s="4">
        <v>39530.4152553983</v>
      </c>
    </row>
    <row r="1155" spans="1:10">
      <c r="A1155" s="3">
        <v>46073.616666666669</v>
      </c>
      <c r="B1155" s="4">
        <v>0</v>
      </c>
      <c r="C1155" s="4">
        <v>0</v>
      </c>
      <c r="D1155" s="4">
        <v>0</v>
      </c>
      <c r="E1155" s="4">
        <v>0</v>
      </c>
      <c r="F1155" s="4">
        <v>-226.18450681247629</v>
      </c>
      <c r="G1155" s="4">
        <v>665.05283959428903</v>
      </c>
      <c r="H1155" s="4">
        <v>665.05283959428903</v>
      </c>
      <c r="I1155" s="4">
        <v>0</v>
      </c>
      <c r="J1155" s="4">
        <v>-665.05283959428903</v>
      </c>
    </row>
    <row r="1156" spans="1:10">
      <c r="A1156" s="3">
        <v>46073.774305555547</v>
      </c>
      <c r="B1156" s="4">
        <v>0</v>
      </c>
      <c r="C1156" s="4">
        <v>201014.6982915971</v>
      </c>
      <c r="D1156" s="4">
        <v>101014.6982915971</v>
      </c>
      <c r="E1156" s="4">
        <v>100000</v>
      </c>
      <c r="F1156" s="4">
        <v>0</v>
      </c>
      <c r="G1156" s="4">
        <v>665.05283959428903</v>
      </c>
      <c r="H1156" s="4">
        <v>665.05283959428903</v>
      </c>
      <c r="I1156" s="4">
        <v>40202.939658319432</v>
      </c>
      <c r="J1156" s="4">
        <v>39537.886818725143</v>
      </c>
    </row>
    <row r="1157" spans="1:10">
      <c r="A1157" s="1">
        <v>46073.775000000001</v>
      </c>
      <c r="B1157">
        <v>323.45752624461198</v>
      </c>
      <c r="C1157">
        <v>201209.11731597871</v>
      </c>
      <c r="D1157">
        <v>101273.6365669103</v>
      </c>
      <c r="E1157">
        <v>99935.480749068505</v>
      </c>
      <c r="F1157">
        <v>0</v>
      </c>
      <c r="G1157">
        <v>665.05283959428903</v>
      </c>
      <c r="H1157">
        <v>988.51036583890107</v>
      </c>
      <c r="I1157">
        <v>40241.823463195753</v>
      </c>
      <c r="J1157">
        <v>39253.313097356848</v>
      </c>
    </row>
    <row r="1158" spans="1:10">
      <c r="A1158" s="3">
        <v>46073.775694444441</v>
      </c>
      <c r="B1158" s="4">
        <v>315.3050387315501</v>
      </c>
      <c r="C1158" s="4">
        <v>201236.45041647801</v>
      </c>
      <c r="D1158" s="4">
        <v>101283.2268734033</v>
      </c>
      <c r="E1158" s="4">
        <v>99953.223543074651</v>
      </c>
      <c r="F1158" s="4">
        <v>0</v>
      </c>
      <c r="G1158" s="4">
        <v>665.05283959428903</v>
      </c>
      <c r="H1158" s="4">
        <v>980.35787832583912</v>
      </c>
      <c r="I1158" s="4">
        <v>40247.2900832956</v>
      </c>
      <c r="J1158" s="4">
        <v>39266.932204969758</v>
      </c>
    </row>
    <row r="1159" spans="1:10">
      <c r="A1159" s="1">
        <v>46073.776388888888</v>
      </c>
      <c r="B1159">
        <v>302.31360739859372</v>
      </c>
      <c r="C1159">
        <v>201268.62246079711</v>
      </c>
      <c r="D1159">
        <v>101292.8171798964</v>
      </c>
      <c r="E1159">
        <v>99975.805280900691</v>
      </c>
      <c r="F1159">
        <v>0</v>
      </c>
      <c r="G1159">
        <v>665.05283959428903</v>
      </c>
      <c r="H1159">
        <v>967.36644699288263</v>
      </c>
      <c r="I1159">
        <v>40253.724492159417</v>
      </c>
      <c r="J1159">
        <v>39286.35804516654</v>
      </c>
    </row>
    <row r="1160" spans="1:10">
      <c r="A1160" s="1">
        <v>46073.777083333327</v>
      </c>
      <c r="B1160">
        <v>260.72641887970133</v>
      </c>
      <c r="C1160">
        <v>201233.4871973714</v>
      </c>
      <c r="D1160">
        <v>101254.4559539241</v>
      </c>
      <c r="E1160">
        <v>99979.031243447273</v>
      </c>
      <c r="F1160">
        <v>0</v>
      </c>
      <c r="G1160">
        <v>665.05283959428903</v>
      </c>
      <c r="H1160">
        <v>925.77925847399024</v>
      </c>
      <c r="I1160">
        <v>40246.697439474279</v>
      </c>
      <c r="J1160">
        <v>39320.918181000292</v>
      </c>
    </row>
    <row r="1161" spans="1:10">
      <c r="A1161" s="1">
        <v>46073.777777777781</v>
      </c>
      <c r="B1161">
        <v>317.21728407844302</v>
      </c>
      <c r="C1161">
        <v>201522.24736592351</v>
      </c>
      <c r="D1161">
        <v>101427.0814707995</v>
      </c>
      <c r="E1161">
        <v>100095.165895124</v>
      </c>
      <c r="F1161">
        <v>0</v>
      </c>
      <c r="G1161">
        <v>665.05283959428903</v>
      </c>
      <c r="H1161">
        <v>982.27012367273198</v>
      </c>
      <c r="I1161">
        <v>40304.449473184701</v>
      </c>
      <c r="J1161">
        <v>39322.179349511971</v>
      </c>
    </row>
    <row r="1162" spans="1:10">
      <c r="A1162" s="3">
        <v>46073.77847222222</v>
      </c>
      <c r="B1162" s="4">
        <v>304.22585274547282</v>
      </c>
      <c r="C1162" s="4">
        <v>201554.41941024261</v>
      </c>
      <c r="D1162" s="4">
        <v>101436.67177729261</v>
      </c>
      <c r="E1162" s="4">
        <v>100117.74763295001</v>
      </c>
      <c r="F1162" s="4">
        <v>0</v>
      </c>
      <c r="G1162" s="4">
        <v>665.05283959428903</v>
      </c>
      <c r="H1162" s="4">
        <v>969.27869233976185</v>
      </c>
      <c r="I1162" s="4">
        <v>40310.883882048518</v>
      </c>
      <c r="J1162" s="4">
        <v>39341.605189708753</v>
      </c>
    </row>
    <row r="1163" spans="1:10">
      <c r="A1163" s="1">
        <v>46073.779166666667</v>
      </c>
      <c r="B1163">
        <v>304.66375847871598</v>
      </c>
      <c r="C1163">
        <v>201458.07843957859</v>
      </c>
      <c r="D1163">
        <v>101388.7202448272</v>
      </c>
      <c r="E1163">
        <v>100069.3581947514</v>
      </c>
      <c r="F1163">
        <v>0</v>
      </c>
      <c r="G1163">
        <v>665.05283959428903</v>
      </c>
      <c r="H1163">
        <v>969.716598073005</v>
      </c>
      <c r="I1163">
        <v>40291.615687915713</v>
      </c>
      <c r="J1163">
        <v>39321.899089842707</v>
      </c>
    </row>
    <row r="1164" spans="1:10">
      <c r="A1164" s="3">
        <v>46073.779861111107</v>
      </c>
      <c r="B1164" s="4">
        <v>314.25406497179949</v>
      </c>
      <c r="C1164" s="4">
        <v>201467.66874607161</v>
      </c>
      <c r="D1164" s="4">
        <v>101398.3105513203</v>
      </c>
      <c r="E1164" s="4">
        <v>100069.3581947514</v>
      </c>
      <c r="F1164" s="4">
        <v>0</v>
      </c>
      <c r="G1164" s="4">
        <v>665.05283959428903</v>
      </c>
      <c r="H1164" s="4">
        <v>979.30690456608852</v>
      </c>
      <c r="I1164" s="4">
        <v>40293.53374921433</v>
      </c>
      <c r="J1164" s="4">
        <v>39314.226844648241</v>
      </c>
    </row>
    <row r="1165" spans="1:10">
      <c r="A1165" s="3">
        <v>46073.780555555553</v>
      </c>
      <c r="B1165" s="4">
        <v>331.73411553801651</v>
      </c>
      <c r="C1165" s="4">
        <v>201507.73053446389</v>
      </c>
      <c r="D1165" s="4">
        <v>101427.0814707995</v>
      </c>
      <c r="E1165" s="4">
        <v>100080.6490636644</v>
      </c>
      <c r="F1165" s="4">
        <v>0</v>
      </c>
      <c r="G1165" s="4">
        <v>665.05283959428903</v>
      </c>
      <c r="H1165" s="4">
        <v>996.78695513230548</v>
      </c>
      <c r="I1165" s="4">
        <v>40301.546106892783</v>
      </c>
      <c r="J1165" s="4">
        <v>39304.759151760481</v>
      </c>
    </row>
    <row r="1166" spans="1:10">
      <c r="A1166" s="1">
        <v>46073.78125</v>
      </c>
      <c r="B1166">
        <v>348.25077349113332</v>
      </c>
      <c r="C1166">
        <v>201759.74245831699</v>
      </c>
      <c r="D1166">
        <v>101561.3457617026</v>
      </c>
      <c r="E1166">
        <v>100198.39669661441</v>
      </c>
      <c r="F1166">
        <v>0</v>
      </c>
      <c r="G1166">
        <v>665.05283959428903</v>
      </c>
      <c r="H1166">
        <v>1013.3036130854219</v>
      </c>
      <c r="I1166">
        <v>40351.948491663403</v>
      </c>
      <c r="J1166">
        <v>39338.644878577979</v>
      </c>
    </row>
    <row r="1167" spans="1:10">
      <c r="A1167" s="3">
        <v>46073.781944444447</v>
      </c>
      <c r="B1167" s="4">
        <v>327.10685464510141</v>
      </c>
      <c r="C1167" s="4">
        <v>201819.2476031353</v>
      </c>
      <c r="D1167" s="4">
        <v>101580.52637468879</v>
      </c>
      <c r="E1167" s="4">
        <v>100238.72122844651</v>
      </c>
      <c r="F1167" s="4">
        <v>0</v>
      </c>
      <c r="G1167" s="4">
        <v>665.05283959428903</v>
      </c>
      <c r="H1167" s="4">
        <v>992.15969423939043</v>
      </c>
      <c r="I1167" s="4">
        <v>40363.849520627067</v>
      </c>
      <c r="J1167" s="4">
        <v>39371.689826387679</v>
      </c>
    </row>
    <row r="1168" spans="1:10">
      <c r="A1168" s="3">
        <v>46073.782638888893</v>
      </c>
      <c r="B1168" s="4">
        <v>353.82688711782748</v>
      </c>
      <c r="C1168" s="4">
        <v>201945.97247455179</v>
      </c>
      <c r="D1168" s="4">
        <v>101657.2488266334</v>
      </c>
      <c r="E1168" s="4">
        <v>100288.72364791849</v>
      </c>
      <c r="F1168" s="4">
        <v>0</v>
      </c>
      <c r="G1168" s="4">
        <v>665.05283959428903</v>
      </c>
      <c r="H1168" s="4">
        <v>1018.879726712117</v>
      </c>
      <c r="I1168" s="4">
        <v>40389.194494910371</v>
      </c>
      <c r="J1168" s="4">
        <v>39370.314768198252</v>
      </c>
    </row>
    <row r="1169" spans="1:10">
      <c r="A1169" s="1">
        <v>46073.783333333333</v>
      </c>
      <c r="B1169">
        <v>293.93489707924971</v>
      </c>
      <c r="C1169">
        <v>201698.97465681189</v>
      </c>
      <c r="D1169">
        <v>101503.8039227441</v>
      </c>
      <c r="E1169">
        <v>100195.1707340678</v>
      </c>
      <c r="F1169">
        <v>0</v>
      </c>
      <c r="G1169">
        <v>665.05283959428903</v>
      </c>
      <c r="H1169">
        <v>958.98773667353862</v>
      </c>
      <c r="I1169">
        <v>40339.794931362383</v>
      </c>
      <c r="J1169">
        <v>39380.807194688838</v>
      </c>
    </row>
    <row r="1170" spans="1:10">
      <c r="A1170" s="1">
        <v>46073.78402777778</v>
      </c>
      <c r="B1170">
        <v>316.42905375860721</v>
      </c>
      <c r="C1170">
        <v>201695.66111311869</v>
      </c>
      <c r="D1170">
        <v>101513.39422923719</v>
      </c>
      <c r="E1170">
        <v>100182.2668838815</v>
      </c>
      <c r="F1170">
        <v>0</v>
      </c>
      <c r="G1170">
        <v>665.05283959428903</v>
      </c>
      <c r="H1170">
        <v>981.48189335289624</v>
      </c>
      <c r="I1170">
        <v>40339.132222623739</v>
      </c>
      <c r="J1170">
        <v>39357.650329270837</v>
      </c>
    </row>
    <row r="1171" spans="1:10">
      <c r="A1171" s="1">
        <v>46073.784722222219</v>
      </c>
      <c r="B1171">
        <v>308.36414739217741</v>
      </c>
      <c r="C1171">
        <v>201703.72601948521</v>
      </c>
      <c r="D1171">
        <v>101513.39422923719</v>
      </c>
      <c r="E1171">
        <v>100190.3317902479</v>
      </c>
      <c r="F1171">
        <v>0</v>
      </c>
      <c r="G1171">
        <v>665.05283959428903</v>
      </c>
      <c r="H1171">
        <v>973.41698698646644</v>
      </c>
      <c r="I1171">
        <v>40340.745203897037</v>
      </c>
      <c r="J1171">
        <v>39367.328216910573</v>
      </c>
    </row>
    <row r="1172" spans="1:10">
      <c r="A1172" s="1">
        <v>46073.785416666673</v>
      </c>
      <c r="B1172">
        <v>351.82706062428429</v>
      </c>
      <c r="C1172">
        <v>201679.44371923921</v>
      </c>
      <c r="D1172">
        <v>101522.9845357303</v>
      </c>
      <c r="E1172">
        <v>100156.45918350889</v>
      </c>
      <c r="F1172">
        <v>0</v>
      </c>
      <c r="G1172">
        <v>665.05283959428903</v>
      </c>
      <c r="H1172">
        <v>1016.879900218573</v>
      </c>
      <c r="I1172">
        <v>40335.888743847841</v>
      </c>
      <c r="J1172">
        <v>39319.008843629272</v>
      </c>
    </row>
    <row r="1173" spans="1:10">
      <c r="A1173" s="1">
        <v>46073.786111111112</v>
      </c>
      <c r="B1173">
        <v>367.25622418399041</v>
      </c>
      <c r="C1173">
        <v>201817.45945956869</v>
      </c>
      <c r="D1173">
        <v>101599.7069876749</v>
      </c>
      <c r="E1173">
        <v>100217.75247189379</v>
      </c>
      <c r="F1173">
        <v>0</v>
      </c>
      <c r="G1173">
        <v>665.05283959428903</v>
      </c>
      <c r="H1173">
        <v>1032.3090637782791</v>
      </c>
      <c r="I1173">
        <v>40363.491891913749</v>
      </c>
      <c r="J1173">
        <v>39331.182828135468</v>
      </c>
    </row>
    <row r="1174" spans="1:10">
      <c r="A1174" s="1">
        <v>46073.786805555559</v>
      </c>
      <c r="B1174">
        <v>369.04436775057269</v>
      </c>
      <c r="C1174">
        <v>201777.31009002979</v>
      </c>
      <c r="D1174">
        <v>101580.52637468879</v>
      </c>
      <c r="E1174">
        <v>100196.78371534109</v>
      </c>
      <c r="F1174">
        <v>0</v>
      </c>
      <c r="G1174">
        <v>665.05283959428903</v>
      </c>
      <c r="H1174">
        <v>1034.097207344862</v>
      </c>
      <c r="I1174">
        <v>40355.462018005972</v>
      </c>
      <c r="J1174">
        <v>39321.364810661107</v>
      </c>
    </row>
    <row r="1175" spans="1:10">
      <c r="A1175" s="3">
        <v>46073.787499999999</v>
      </c>
      <c r="B1175" s="4">
        <v>348.25077349113332</v>
      </c>
      <c r="C1175" s="4">
        <v>201759.74245831699</v>
      </c>
      <c r="D1175" s="4">
        <v>101561.3457617026</v>
      </c>
      <c r="E1175" s="4">
        <v>100198.39669661441</v>
      </c>
      <c r="F1175" s="4">
        <v>0</v>
      </c>
      <c r="G1175" s="4">
        <v>665.05283959428903</v>
      </c>
      <c r="H1175" s="4">
        <v>1013.3036130854219</v>
      </c>
      <c r="I1175" s="4">
        <v>40351.948491663403</v>
      </c>
      <c r="J1175" s="4">
        <v>39338.644878577979</v>
      </c>
    </row>
    <row r="1176" spans="1:10">
      <c r="A1176" s="3">
        <v>46073.788194444453</v>
      </c>
      <c r="B1176" s="4">
        <v>355.0530231708745</v>
      </c>
      <c r="C1176" s="4">
        <v>201676.21775669261</v>
      </c>
      <c r="D1176" s="4">
        <v>101522.9845357303</v>
      </c>
      <c r="E1176" s="4">
        <v>100153.2332209623</v>
      </c>
      <c r="F1176" s="4">
        <v>0</v>
      </c>
      <c r="G1176" s="4">
        <v>665.05283959428903</v>
      </c>
      <c r="H1176" s="4">
        <v>1020.105862765163</v>
      </c>
      <c r="I1176" s="4">
        <v>40335.243551338528</v>
      </c>
      <c r="J1176" s="4">
        <v>39315.137688573363</v>
      </c>
    </row>
    <row r="1177" spans="1:10">
      <c r="A1177" s="3">
        <v>46073.788888888892</v>
      </c>
      <c r="B1177" s="4">
        <v>409.5440618760544</v>
      </c>
      <c r="C1177" s="4">
        <v>201698.44916993199</v>
      </c>
      <c r="D1177" s="4">
        <v>101561.3457617026</v>
      </c>
      <c r="E1177" s="4">
        <v>100137.10340822941</v>
      </c>
      <c r="F1177" s="4">
        <v>0</v>
      </c>
      <c r="G1177" s="4">
        <v>665.05283959428903</v>
      </c>
      <c r="H1177" s="4">
        <v>1074.596901470343</v>
      </c>
      <c r="I1177" s="4">
        <v>40339.689833986413</v>
      </c>
      <c r="J1177" s="4">
        <v>39265.092932516069</v>
      </c>
    </row>
    <row r="1178" spans="1:10">
      <c r="A1178" s="1">
        <v>46073.789583333331</v>
      </c>
      <c r="B1178">
        <v>419.04678722249218</v>
      </c>
      <c r="C1178">
        <v>201727.3076705579</v>
      </c>
      <c r="D1178">
        <v>101580.52637468879</v>
      </c>
      <c r="E1178">
        <v>100146.78129586919</v>
      </c>
      <c r="F1178">
        <v>0</v>
      </c>
      <c r="G1178">
        <v>665.05283959428903</v>
      </c>
      <c r="H1178">
        <v>1084.099626816781</v>
      </c>
      <c r="I1178">
        <v>40345.461534111593</v>
      </c>
      <c r="J1178">
        <v>39261.361907294813</v>
      </c>
    </row>
    <row r="1179" spans="1:10">
      <c r="A1179" s="3">
        <v>46073.790277777778</v>
      </c>
      <c r="B1179" s="4">
        <v>390.18828659660471</v>
      </c>
      <c r="C1179" s="4">
        <v>201717.80494521151</v>
      </c>
      <c r="D1179" s="4">
        <v>101561.3457617026</v>
      </c>
      <c r="E1179" s="4">
        <v>100156.45918350889</v>
      </c>
      <c r="F1179" s="4">
        <v>0</v>
      </c>
      <c r="G1179" s="4">
        <v>665.05283959428903</v>
      </c>
      <c r="H1179" s="4">
        <v>1055.241126190894</v>
      </c>
      <c r="I1179" s="4">
        <v>40343.560989042307</v>
      </c>
      <c r="J1179" s="4">
        <v>39288.319862851407</v>
      </c>
    </row>
    <row r="1180" spans="1:10">
      <c r="A1180" s="3">
        <v>46073.790972222218</v>
      </c>
      <c r="B1180" s="4">
        <v>409.36889958275822</v>
      </c>
      <c r="C1180" s="4">
        <v>201736.98555819769</v>
      </c>
      <c r="D1180" s="4">
        <v>101580.52637468879</v>
      </c>
      <c r="E1180" s="4">
        <v>100156.45918350889</v>
      </c>
      <c r="F1180" s="4">
        <v>0</v>
      </c>
      <c r="G1180" s="4">
        <v>665.05283959428903</v>
      </c>
      <c r="H1180" s="4">
        <v>1074.4217391770469</v>
      </c>
      <c r="I1180" s="4">
        <v>40347.397111639533</v>
      </c>
      <c r="J1180" s="4">
        <v>39272.97537246249</v>
      </c>
    </row>
    <row r="1181" spans="1:10">
      <c r="A1181" s="3">
        <v>46073.791666666657</v>
      </c>
      <c r="B1181" s="4">
        <v>378.54709309701047</v>
      </c>
      <c r="C1181" s="4">
        <v>201806.1685906557</v>
      </c>
      <c r="D1181" s="4">
        <v>101599.7069876749</v>
      </c>
      <c r="E1181" s="4">
        <v>100206.46160298079</v>
      </c>
      <c r="F1181" s="4">
        <v>0</v>
      </c>
      <c r="G1181" s="4">
        <v>665.05283959428903</v>
      </c>
      <c r="H1181" s="4">
        <v>1043.5999326913</v>
      </c>
      <c r="I1181" s="4">
        <v>40361.233718131138</v>
      </c>
      <c r="J1181" s="4">
        <v>39317.633785439837</v>
      </c>
    </row>
    <row r="1182" spans="1:10">
      <c r="A1182" s="3">
        <v>46073.792361111111</v>
      </c>
      <c r="B1182" s="4">
        <v>416.73315677603472</v>
      </c>
      <c r="C1182" s="4">
        <v>201883.06620489361</v>
      </c>
      <c r="D1182" s="4">
        <v>101657.2488266334</v>
      </c>
      <c r="E1182" s="4">
        <v>100225.8173782602</v>
      </c>
      <c r="F1182" s="4">
        <v>0</v>
      </c>
      <c r="G1182" s="4">
        <v>665.05283959428903</v>
      </c>
      <c r="H1182" s="4">
        <v>1081.785996370324</v>
      </c>
      <c r="I1182" s="4">
        <v>40376.613240978731</v>
      </c>
      <c r="J1182" s="4">
        <v>39294.827244608408</v>
      </c>
    </row>
    <row r="1183" spans="1:10">
      <c r="A1183" s="1">
        <v>46073.793055555558</v>
      </c>
      <c r="B1183">
        <v>440.75271358204589</v>
      </c>
      <c r="C1183">
        <v>201897.40787406001</v>
      </c>
      <c r="D1183">
        <v>101676.42943961961</v>
      </c>
      <c r="E1183">
        <v>100220.9784344404</v>
      </c>
      <c r="F1183">
        <v>0</v>
      </c>
      <c r="G1183">
        <v>665.05283959428903</v>
      </c>
      <c r="H1183">
        <v>1105.805553176335</v>
      </c>
      <c r="I1183">
        <v>40379.481574811987</v>
      </c>
      <c r="J1183">
        <v>39273.676021635663</v>
      </c>
    </row>
    <row r="1184" spans="1:10">
      <c r="A1184" s="3">
        <v>46073.793749999997</v>
      </c>
      <c r="B1184" s="4">
        <v>459.93332656821298</v>
      </c>
      <c r="C1184" s="4">
        <v>201916.5884870461</v>
      </c>
      <c r="D1184" s="4">
        <v>101695.6100526057</v>
      </c>
      <c r="E1184" s="4">
        <v>100220.9784344404</v>
      </c>
      <c r="F1184" s="4">
        <v>0</v>
      </c>
      <c r="G1184" s="4">
        <v>665.05283959428903</v>
      </c>
      <c r="H1184" s="4">
        <v>1124.9861661625021</v>
      </c>
      <c r="I1184" s="4">
        <v>40383.317697409228</v>
      </c>
      <c r="J1184" s="4">
        <v>39258.331531246717</v>
      </c>
    </row>
    <row r="1185" spans="1:10">
      <c r="A1185" s="1">
        <v>46073.794444444437</v>
      </c>
      <c r="B1185">
        <v>0</v>
      </c>
      <c r="C1185">
        <v>0</v>
      </c>
      <c r="D1185">
        <v>0</v>
      </c>
      <c r="E1185">
        <v>0</v>
      </c>
      <c r="F1185">
        <v>314.06627237252479</v>
      </c>
      <c r="G1185">
        <v>979.11911196681388</v>
      </c>
      <c r="H1185">
        <v>979.11911196681388</v>
      </c>
      <c r="I1185">
        <v>0</v>
      </c>
      <c r="J1185">
        <v>-979.11911196681388</v>
      </c>
    </row>
    <row r="1186" spans="1:10">
      <c r="A1186" s="1">
        <v>46076.604166666657</v>
      </c>
      <c r="B1186">
        <v>0</v>
      </c>
      <c r="C1186">
        <v>201014.6982915971</v>
      </c>
      <c r="D1186">
        <v>100000</v>
      </c>
      <c r="E1186">
        <v>101014.6982915971</v>
      </c>
      <c r="F1186">
        <v>0</v>
      </c>
      <c r="G1186">
        <v>979.11911196681388</v>
      </c>
      <c r="H1186">
        <v>979.11911196681388</v>
      </c>
      <c r="I1186">
        <v>40202.939658319432</v>
      </c>
      <c r="J1186">
        <v>39223.820546352617</v>
      </c>
    </row>
    <row r="1187" spans="1:10">
      <c r="A1187" s="1">
        <v>46076.604861111111</v>
      </c>
      <c r="B1187">
        <v>30.066175128161628</v>
      </c>
      <c r="C1187">
        <v>201158.92686826031</v>
      </c>
      <c r="D1187">
        <v>100087.1473758957</v>
      </c>
      <c r="E1187">
        <v>101071.7794923647</v>
      </c>
      <c r="F1187">
        <v>0</v>
      </c>
      <c r="G1187">
        <v>979.11911196681388</v>
      </c>
      <c r="H1187">
        <v>1009.185287094975</v>
      </c>
      <c r="I1187">
        <v>40231.78537365207</v>
      </c>
      <c r="J1187">
        <v>39222.600086557097</v>
      </c>
    </row>
    <row r="1188" spans="1:10">
      <c r="A1188" s="3">
        <v>46076.605555555558</v>
      </c>
      <c r="B1188" s="4">
        <v>-40.264764604139508</v>
      </c>
      <c r="C1188" s="4">
        <v>201164.70419621811</v>
      </c>
      <c r="D1188" s="4">
        <v>100054.8705700084</v>
      </c>
      <c r="E1188" s="4">
        <v>101109.8336262097</v>
      </c>
      <c r="F1188" s="4">
        <v>0</v>
      </c>
      <c r="G1188" s="4">
        <v>979.11911196681388</v>
      </c>
      <c r="H1188" s="4">
        <v>938.85434736267439</v>
      </c>
      <c r="I1188" s="4">
        <v>40232.940839243623</v>
      </c>
      <c r="J1188" s="4">
        <v>39294.086491880938</v>
      </c>
    </row>
    <row r="1189" spans="1:10">
      <c r="A1189" s="1">
        <v>46076.606249999997</v>
      </c>
      <c r="B1189">
        <v>-93.779268173071145</v>
      </c>
      <c r="C1189">
        <v>201263.4062280292</v>
      </c>
      <c r="D1189">
        <v>100077.4643341295</v>
      </c>
      <c r="E1189">
        <v>101185.9418938997</v>
      </c>
      <c r="F1189">
        <v>0</v>
      </c>
      <c r="G1189">
        <v>979.11911196681388</v>
      </c>
      <c r="H1189">
        <v>885.33984379374272</v>
      </c>
      <c r="I1189">
        <v>40252.681245605847</v>
      </c>
      <c r="J1189">
        <v>39367.341401812097</v>
      </c>
    </row>
    <row r="1190" spans="1:10">
      <c r="A1190" s="1">
        <v>46076.606944444437</v>
      </c>
      <c r="B1190">
        <v>-230.3659255242938</v>
      </c>
      <c r="C1190">
        <v>201374.17144067059</v>
      </c>
      <c r="D1190">
        <v>100064.55361177459</v>
      </c>
      <c r="E1190">
        <v>101309.61782889601</v>
      </c>
      <c r="F1190">
        <v>0</v>
      </c>
      <c r="G1190">
        <v>979.11911196681388</v>
      </c>
      <c r="H1190">
        <v>748.75318644252002</v>
      </c>
      <c r="I1190">
        <v>40274.834288134123</v>
      </c>
      <c r="J1190">
        <v>39526.081101691598</v>
      </c>
    </row>
    <row r="1191" spans="1:10">
      <c r="A1191" s="1">
        <v>46076.607638888891</v>
      </c>
      <c r="B1191">
        <v>-21.068189376702431</v>
      </c>
      <c r="C1191">
        <v>201164.87370452299</v>
      </c>
      <c r="D1191">
        <v>100064.55361177459</v>
      </c>
      <c r="E1191">
        <v>101100.3200927484</v>
      </c>
      <c r="F1191">
        <v>0</v>
      </c>
      <c r="G1191">
        <v>979.11911196681388</v>
      </c>
      <c r="H1191">
        <v>958.05092259011144</v>
      </c>
      <c r="I1191">
        <v>40232.974740904603</v>
      </c>
      <c r="J1191">
        <v>39274.923818314492</v>
      </c>
    </row>
    <row r="1192" spans="1:10">
      <c r="A1192" s="1">
        <v>46076.60833333333</v>
      </c>
      <c r="B1192">
        <v>-219.1502862187067</v>
      </c>
      <c r="C1192">
        <v>201195.1164107511</v>
      </c>
      <c r="D1192">
        <v>99980.633916467632</v>
      </c>
      <c r="E1192">
        <v>101214.4824942835</v>
      </c>
      <c r="F1192">
        <v>0</v>
      </c>
      <c r="G1192">
        <v>979.11911196681388</v>
      </c>
      <c r="H1192">
        <v>759.96882574810718</v>
      </c>
      <c r="I1192">
        <v>40239.023282150221</v>
      </c>
      <c r="J1192">
        <v>39479.054456402111</v>
      </c>
    </row>
    <row r="1193" spans="1:10">
      <c r="A1193" s="3">
        <v>46076.609027777777</v>
      </c>
      <c r="B1193" s="4">
        <v>-181.94369389834239</v>
      </c>
      <c r="C1193" s="4">
        <v>201061.07940076891</v>
      </c>
      <c r="D1193" s="4">
        <v>99932.218707636697</v>
      </c>
      <c r="E1193" s="4">
        <v>101128.8606931322</v>
      </c>
      <c r="F1193" s="4">
        <v>0</v>
      </c>
      <c r="G1193" s="4">
        <v>979.11911196681388</v>
      </c>
      <c r="H1193" s="4">
        <v>797.17541806847157</v>
      </c>
      <c r="I1193" s="4">
        <v>40212.215880153781</v>
      </c>
      <c r="J1193" s="4">
        <v>39415.040462085308</v>
      </c>
    </row>
    <row r="1194" spans="1:10">
      <c r="A1194" s="3">
        <v>46076.609722222223</v>
      </c>
      <c r="B1194" s="4">
        <v>-115.51846797450671</v>
      </c>
      <c r="C1194" s="4">
        <v>200975.28809131269</v>
      </c>
      <c r="D1194" s="4">
        <v>99922.535665870513</v>
      </c>
      <c r="E1194" s="4">
        <v>101052.7524254421</v>
      </c>
      <c r="F1194" s="4">
        <v>0</v>
      </c>
      <c r="G1194" s="4">
        <v>979.11911196681388</v>
      </c>
      <c r="H1194" s="4">
        <v>863.60064399230714</v>
      </c>
      <c r="I1194" s="4">
        <v>40195.057618262537</v>
      </c>
      <c r="J1194" s="4">
        <v>39331.45697427023</v>
      </c>
    </row>
    <row r="1195" spans="1:10">
      <c r="A1195" s="1">
        <v>46076.61041666667</v>
      </c>
      <c r="B1195">
        <v>-174.1252434864185</v>
      </c>
      <c r="C1195">
        <v>200859.60011503319</v>
      </c>
      <c r="D1195">
        <v>99835.388289974828</v>
      </c>
      <c r="E1195">
        <v>101024.2118250584</v>
      </c>
      <c r="F1195">
        <v>0</v>
      </c>
      <c r="G1195">
        <v>979.11911196681388</v>
      </c>
      <c r="H1195">
        <v>804.99386848039535</v>
      </c>
      <c r="I1195">
        <v>40171.920023006649</v>
      </c>
      <c r="J1195">
        <v>39366.926154526263</v>
      </c>
    </row>
    <row r="1196" spans="1:10">
      <c r="A1196" s="1">
        <v>46076.611111111109</v>
      </c>
      <c r="B1196">
        <v>-233.7490688279261</v>
      </c>
      <c r="C1196">
        <v>200628.7326873891</v>
      </c>
      <c r="D1196">
        <v>99690.142663482038</v>
      </c>
      <c r="E1196">
        <v>100938.59002390711</v>
      </c>
      <c r="F1196">
        <v>0</v>
      </c>
      <c r="G1196">
        <v>979.11911196681388</v>
      </c>
      <c r="H1196">
        <v>745.37004313888781</v>
      </c>
      <c r="I1196">
        <v>40125.746537477833</v>
      </c>
      <c r="J1196">
        <v>39380.37649433894</v>
      </c>
    </row>
    <row r="1197" spans="1:10">
      <c r="A1197" s="3">
        <v>46076.611805555563</v>
      </c>
      <c r="B1197" s="4">
        <v>-223.7270104518918</v>
      </c>
      <c r="C1197" s="4">
        <v>200676.80887961021</v>
      </c>
      <c r="D1197" s="4">
        <v>99719.19178878059</v>
      </c>
      <c r="E1197" s="4">
        <v>100957.6170908296</v>
      </c>
      <c r="F1197" s="4">
        <v>0</v>
      </c>
      <c r="G1197" s="4">
        <v>979.11911196681388</v>
      </c>
      <c r="H1197" s="4">
        <v>755.39210151492205</v>
      </c>
      <c r="I1197" s="4">
        <v>40135.361775922043</v>
      </c>
      <c r="J1197" s="4">
        <v>39379.969674407119</v>
      </c>
    </row>
    <row r="1198" spans="1:10">
      <c r="A1198" s="1">
        <v>46076.612500000003</v>
      </c>
      <c r="B1198">
        <v>-259.39398243782722</v>
      </c>
      <c r="C1198">
        <v>200260.6005691741</v>
      </c>
      <c r="D1198">
        <v>99493.254147569562</v>
      </c>
      <c r="E1198">
        <v>100767.3464216045</v>
      </c>
      <c r="F1198">
        <v>0</v>
      </c>
      <c r="G1198">
        <v>979.11911196681388</v>
      </c>
      <c r="H1198">
        <v>719.72512952898671</v>
      </c>
      <c r="I1198">
        <v>40052.120113834833</v>
      </c>
      <c r="J1198">
        <v>39332.394984305844</v>
      </c>
    </row>
    <row r="1199" spans="1:10">
      <c r="A1199" s="1">
        <v>46076.613194444442</v>
      </c>
      <c r="B1199">
        <v>-274.33880445192273</v>
      </c>
      <c r="C1199">
        <v>200017.33094408989</v>
      </c>
      <c r="D1199">
        <v>99364.146924020417</v>
      </c>
      <c r="E1199">
        <v>100653.1840200695</v>
      </c>
      <c r="F1199">
        <v>0</v>
      </c>
      <c r="G1199">
        <v>979.11911196681388</v>
      </c>
      <c r="H1199">
        <v>704.78030751489121</v>
      </c>
      <c r="I1199">
        <v>40003.466188817983</v>
      </c>
      <c r="J1199">
        <v>39298.685881303092</v>
      </c>
    </row>
    <row r="1200" spans="1:10">
      <c r="A1200" s="3">
        <v>46076.613888888889</v>
      </c>
      <c r="B1200" s="4">
        <v>-464.43294257707061</v>
      </c>
      <c r="C1200" s="4">
        <v>199865.29093980981</v>
      </c>
      <c r="D1200" s="4">
        <v>99193.079852817769</v>
      </c>
      <c r="E1200" s="4">
        <v>100672.211086992</v>
      </c>
      <c r="F1200" s="4">
        <v>0</v>
      </c>
      <c r="G1200" s="4">
        <v>979.11911196681388</v>
      </c>
      <c r="H1200" s="4">
        <v>514.68616938974333</v>
      </c>
      <c r="I1200" s="4">
        <v>39973.058187961957</v>
      </c>
      <c r="J1200" s="4">
        <v>39458.372018572212</v>
      </c>
    </row>
    <row r="1201" spans="1:10">
      <c r="A1201" s="3">
        <v>46076.614583333343</v>
      </c>
      <c r="B1201" s="4">
        <v>-410.91843900813888</v>
      </c>
      <c r="C1201" s="4">
        <v>199766.58890799861</v>
      </c>
      <c r="D1201" s="4">
        <v>99170.486088696664</v>
      </c>
      <c r="E1201" s="4">
        <v>100596.1028193019</v>
      </c>
      <c r="F1201" s="4">
        <v>0</v>
      </c>
      <c r="G1201" s="4">
        <v>979.11911196681388</v>
      </c>
      <c r="H1201" s="4">
        <v>568.20067295867489</v>
      </c>
      <c r="I1201" s="4">
        <v>39953.317781599733</v>
      </c>
      <c r="J1201" s="4">
        <v>39385.117108641047</v>
      </c>
    </row>
    <row r="1202" spans="1:10">
      <c r="A1202" s="1">
        <v>46076.615277777782</v>
      </c>
      <c r="B1202">
        <v>-582.6635434305033</v>
      </c>
      <c r="C1202">
        <v>199518.7355358862</v>
      </c>
      <c r="D1202">
        <v>98960.686850429294</v>
      </c>
      <c r="E1202">
        <v>100558.0486854569</v>
      </c>
      <c r="F1202">
        <v>0</v>
      </c>
      <c r="G1202">
        <v>979.11911196681388</v>
      </c>
      <c r="H1202">
        <v>396.45556853631058</v>
      </c>
      <c r="I1202">
        <v>39903.747107177252</v>
      </c>
      <c r="J1202">
        <v>39507.291538640937</v>
      </c>
    </row>
    <row r="1203" spans="1:10">
      <c r="A1203" s="3">
        <v>46076.615972222222</v>
      </c>
      <c r="B1203" s="4">
        <v>-580.62242097631042</v>
      </c>
      <c r="C1203" s="4">
        <v>199387.58718988279</v>
      </c>
      <c r="D1203" s="4">
        <v>98896.1332386547</v>
      </c>
      <c r="E1203" s="4">
        <v>100491.4539512281</v>
      </c>
      <c r="F1203" s="4">
        <v>0</v>
      </c>
      <c r="G1203" s="4">
        <v>979.11911196681388</v>
      </c>
      <c r="H1203" s="4">
        <v>398.49669099050351</v>
      </c>
      <c r="I1203" s="4">
        <v>39877.517437976567</v>
      </c>
      <c r="J1203" s="4">
        <v>39479.020746986069</v>
      </c>
    </row>
    <row r="1204" spans="1:10">
      <c r="A1204" s="3">
        <v>46076.616666666669</v>
      </c>
      <c r="B1204" s="4">
        <v>-523.37171190384572</v>
      </c>
      <c r="C1204" s="4">
        <v>199349.70256434279</v>
      </c>
      <c r="D1204" s="4">
        <v>98905.816280420899</v>
      </c>
      <c r="E1204" s="4">
        <v>100443.88628392189</v>
      </c>
      <c r="F1204" s="4">
        <v>0</v>
      </c>
      <c r="G1204" s="4">
        <v>979.11911196681388</v>
      </c>
      <c r="H1204" s="4">
        <v>455.74740006296821</v>
      </c>
      <c r="I1204" s="4">
        <v>39869.940512868547</v>
      </c>
      <c r="J1204" s="4">
        <v>39414.193112805588</v>
      </c>
    </row>
    <row r="1205" spans="1:10">
      <c r="A1205" s="3">
        <v>46076.617361111108</v>
      </c>
      <c r="B1205" s="4">
        <v>-419.40789984479591</v>
      </c>
      <c r="C1205" s="4">
        <v>199529.7746440919</v>
      </c>
      <c r="D1205" s="4">
        <v>99047.834226324965</v>
      </c>
      <c r="E1205" s="4">
        <v>100481.94041776691</v>
      </c>
      <c r="F1205" s="4">
        <v>0</v>
      </c>
      <c r="G1205" s="4">
        <v>979.11911196681388</v>
      </c>
      <c r="H1205" s="4">
        <v>559.71121212201797</v>
      </c>
      <c r="I1205" s="4">
        <v>39905.954928818377</v>
      </c>
      <c r="J1205" s="4">
        <v>39346.243716696357</v>
      </c>
    </row>
    <row r="1206" spans="1:10">
      <c r="A1206" s="1">
        <v>46076.618055555547</v>
      </c>
      <c r="B1206">
        <v>-398.50921877301721</v>
      </c>
      <c r="C1206">
        <v>199360.40265593861</v>
      </c>
      <c r="D1206">
        <v>98973.597572784201</v>
      </c>
      <c r="E1206">
        <v>100386.8050831544</v>
      </c>
      <c r="F1206">
        <v>0</v>
      </c>
      <c r="G1206">
        <v>979.11911196681388</v>
      </c>
      <c r="H1206">
        <v>580.60989319379667</v>
      </c>
      <c r="I1206">
        <v>39872.080531187712</v>
      </c>
      <c r="J1206">
        <v>39291.470637993923</v>
      </c>
    </row>
    <row r="1207" spans="1:10">
      <c r="A1207" s="1">
        <v>46076.618750000001</v>
      </c>
      <c r="B1207">
        <v>-372.17222635337748</v>
      </c>
      <c r="C1207">
        <v>199082.30657759809</v>
      </c>
      <c r="D1207">
        <v>98847.71802982378</v>
      </c>
      <c r="E1207">
        <v>100234.5885477743</v>
      </c>
      <c r="F1207">
        <v>0</v>
      </c>
      <c r="G1207">
        <v>979.11911196681388</v>
      </c>
      <c r="H1207">
        <v>606.94688561343639</v>
      </c>
      <c r="I1207">
        <v>39816.461315519613</v>
      </c>
      <c r="J1207">
        <v>39209.514429906179</v>
      </c>
    </row>
    <row r="1208" spans="1:10">
      <c r="A1208" s="3">
        <v>46076.619444444441</v>
      </c>
      <c r="B1208" s="4">
        <v>0</v>
      </c>
      <c r="C1208" s="4">
        <v>0</v>
      </c>
      <c r="D1208" s="4">
        <v>0</v>
      </c>
      <c r="E1208" s="4">
        <v>0</v>
      </c>
      <c r="F1208" s="4">
        <v>-266.40330550939581</v>
      </c>
      <c r="G1208" s="4">
        <v>712.71580645741801</v>
      </c>
      <c r="H1208" s="4">
        <v>712.71580645741801</v>
      </c>
      <c r="I1208" s="4">
        <v>0</v>
      </c>
      <c r="J1208" s="4">
        <v>-712.71580645741801</v>
      </c>
    </row>
    <row r="1209" spans="1:10">
      <c r="A1209" s="3">
        <v>46077.604166666657</v>
      </c>
      <c r="B1209" s="4">
        <v>0</v>
      </c>
      <c r="C1209" s="4">
        <v>201014.6982915971</v>
      </c>
      <c r="D1209" s="4">
        <v>101014.6982915971</v>
      </c>
      <c r="E1209" s="4">
        <v>100000</v>
      </c>
      <c r="F1209" s="4">
        <v>0</v>
      </c>
      <c r="G1209" s="4">
        <v>712.71580645741801</v>
      </c>
      <c r="H1209" s="4">
        <v>712.71580645741801</v>
      </c>
      <c r="I1209" s="4">
        <v>40202.939658319432</v>
      </c>
      <c r="J1209" s="4">
        <v>39490.223851862007</v>
      </c>
    </row>
    <row r="1210" spans="1:10">
      <c r="A1210" s="3">
        <v>46077.604861111111</v>
      </c>
      <c r="B1210" s="4">
        <v>-208.7280104298888</v>
      </c>
      <c r="C1210" s="4">
        <v>200941.99231673701</v>
      </c>
      <c r="D1210" s="4">
        <v>100873.9812989521</v>
      </c>
      <c r="E1210" s="4">
        <v>100068.0110177849</v>
      </c>
      <c r="F1210" s="4">
        <v>0</v>
      </c>
      <c r="G1210" s="4">
        <v>712.71580645741801</v>
      </c>
      <c r="H1210" s="4">
        <v>503.98779602752933</v>
      </c>
      <c r="I1210" s="4">
        <v>40188.398463347403</v>
      </c>
      <c r="J1210" s="4">
        <v>39684.410667319877</v>
      </c>
    </row>
    <row r="1211" spans="1:10">
      <c r="A1211" s="3">
        <v>46077.605555555558</v>
      </c>
      <c r="B1211" s="4">
        <v>-435.45230367726441</v>
      </c>
      <c r="C1211" s="4">
        <v>200565.64378436291</v>
      </c>
      <c r="D1211" s="4">
        <v>100572.4448861414</v>
      </c>
      <c r="E1211" s="4">
        <v>99993.198898221526</v>
      </c>
      <c r="F1211" s="4">
        <v>0</v>
      </c>
      <c r="G1211" s="4">
        <v>712.71580645741801</v>
      </c>
      <c r="H1211" s="4">
        <v>277.26350278015371</v>
      </c>
      <c r="I1211" s="4">
        <v>40113.128756872582</v>
      </c>
      <c r="J1211" s="4">
        <v>39835.86525409243</v>
      </c>
    </row>
    <row r="1212" spans="1:10">
      <c r="A1212" s="1">
        <v>46077.606249999997</v>
      </c>
      <c r="B1212">
        <v>-433.76612474949741</v>
      </c>
      <c r="C1212">
        <v>201247.44014113949</v>
      </c>
      <c r="D1212">
        <v>100914.18615399351</v>
      </c>
      <c r="E1212">
        <v>100333.2539871459</v>
      </c>
      <c r="F1212">
        <v>0</v>
      </c>
      <c r="G1212">
        <v>712.71580645741801</v>
      </c>
      <c r="H1212">
        <v>278.94968170792072</v>
      </c>
      <c r="I1212">
        <v>40249.488028227897</v>
      </c>
      <c r="J1212">
        <v>39970.538346519977</v>
      </c>
    </row>
    <row r="1213" spans="1:10">
      <c r="A1213" s="3">
        <v>46077.606944444437</v>
      </c>
      <c r="B1213" s="4">
        <v>-767.6532184715636</v>
      </c>
      <c r="C1213" s="4">
        <v>200757.1277065122</v>
      </c>
      <c r="D1213" s="4">
        <v>100502.0863898189</v>
      </c>
      <c r="E1213" s="4">
        <v>100255.0413166933</v>
      </c>
      <c r="F1213" s="4">
        <v>0</v>
      </c>
      <c r="G1213" s="4">
        <v>712.71580645741801</v>
      </c>
      <c r="H1213" s="4">
        <v>-54.937412014145593</v>
      </c>
      <c r="I1213" s="4">
        <v>40151.425541302437</v>
      </c>
      <c r="J1213" s="4">
        <v>40206.36295331658</v>
      </c>
    </row>
    <row r="1214" spans="1:10">
      <c r="A1214" s="1">
        <v>46077.607638888891</v>
      </c>
      <c r="B1214">
        <v>-679.14800042420393</v>
      </c>
      <c r="C1214">
        <v>201110.87589392051</v>
      </c>
      <c r="D1214">
        <v>100723.21309254671</v>
      </c>
      <c r="E1214">
        <v>100387.66280137379</v>
      </c>
      <c r="F1214">
        <v>0</v>
      </c>
      <c r="G1214">
        <v>712.71580645741801</v>
      </c>
      <c r="H1214">
        <v>33.567806033214083</v>
      </c>
      <c r="I1214">
        <v>40222.175178784113</v>
      </c>
      <c r="J1214">
        <v>40188.607372750899</v>
      </c>
    </row>
    <row r="1215" spans="1:10">
      <c r="A1215" s="1">
        <v>46077.60833333333</v>
      </c>
      <c r="B1215">
        <v>-682.24767349871104</v>
      </c>
      <c r="C1215">
        <v>201073.77071195361</v>
      </c>
      <c r="D1215">
        <v>100703.110665026</v>
      </c>
      <c r="E1215">
        <v>100370.6600469276</v>
      </c>
      <c r="F1215">
        <v>0</v>
      </c>
      <c r="G1215">
        <v>712.71580645741801</v>
      </c>
      <c r="H1215">
        <v>30.46813295870697</v>
      </c>
      <c r="I1215">
        <v>40214.754142390731</v>
      </c>
      <c r="J1215">
        <v>40184.286009432028</v>
      </c>
    </row>
    <row r="1216" spans="1:10">
      <c r="A1216" s="1">
        <v>46077.609027777777</v>
      </c>
      <c r="B1216">
        <v>-510.48850264523247</v>
      </c>
      <c r="C1216">
        <v>201806.62077953239</v>
      </c>
      <c r="D1216">
        <v>101155.4152842421</v>
      </c>
      <c r="E1216">
        <v>100651.2054952902</v>
      </c>
      <c r="F1216">
        <v>0</v>
      </c>
      <c r="G1216">
        <v>712.71580645741801</v>
      </c>
      <c r="H1216">
        <v>202.22730381218551</v>
      </c>
      <c r="I1216">
        <v>40361.324155906477</v>
      </c>
      <c r="J1216">
        <v>40159.096852094292</v>
      </c>
    </row>
    <row r="1217" spans="1:10">
      <c r="A1217" s="3">
        <v>46077.609722222223</v>
      </c>
      <c r="B1217" s="4">
        <v>-648.4207965473629</v>
      </c>
      <c r="C1217" s="4">
        <v>202427.0113339317</v>
      </c>
      <c r="D1217" s="4">
        <v>101396.6444144907</v>
      </c>
      <c r="E1217" s="4">
        <v>101030.366919441</v>
      </c>
      <c r="F1217" s="4">
        <v>0</v>
      </c>
      <c r="G1217" s="4">
        <v>712.71580645741801</v>
      </c>
      <c r="H1217" s="4">
        <v>64.295009910055114</v>
      </c>
      <c r="I1217" s="4">
        <v>40485.402266786346</v>
      </c>
      <c r="J1217" s="4">
        <v>40421.10725687629</v>
      </c>
    </row>
    <row r="1218" spans="1:10">
      <c r="A1218" s="3">
        <v>46077.61041666667</v>
      </c>
      <c r="B1218" s="4">
        <v>-564.61053557524087</v>
      </c>
      <c r="C1218" s="4">
        <v>202504.02049312531</v>
      </c>
      <c r="D1218" s="4">
        <v>101477.05412457359</v>
      </c>
      <c r="E1218" s="4">
        <v>101026.9663685517</v>
      </c>
      <c r="F1218" s="4">
        <v>0</v>
      </c>
      <c r="G1218" s="4">
        <v>712.71580645741801</v>
      </c>
      <c r="H1218" s="4">
        <v>148.10527088217711</v>
      </c>
      <c r="I1218" s="4">
        <v>40500.804098625063</v>
      </c>
      <c r="J1218" s="4">
        <v>40352.698827742883</v>
      </c>
    </row>
    <row r="1219" spans="1:10">
      <c r="A1219" s="1">
        <v>46077.611111111109</v>
      </c>
      <c r="B1219">
        <v>-550.21069001790215</v>
      </c>
      <c r="C1219">
        <v>202610.23521269221</v>
      </c>
      <c r="D1219">
        <v>101537.3614071357</v>
      </c>
      <c r="E1219">
        <v>101072.8738055565</v>
      </c>
      <c r="F1219">
        <v>0</v>
      </c>
      <c r="G1219">
        <v>712.71580645741801</v>
      </c>
      <c r="H1219">
        <v>162.50511643951589</v>
      </c>
      <c r="I1219">
        <v>40522.047042538448</v>
      </c>
      <c r="J1219">
        <v>40359.541926098929</v>
      </c>
    </row>
    <row r="1220" spans="1:10">
      <c r="A1220" s="3">
        <v>46077.611805555563</v>
      </c>
      <c r="B1220" s="4">
        <v>-590.37009759581747</v>
      </c>
      <c r="C1220" s="4">
        <v>202791.11161291521</v>
      </c>
      <c r="D1220" s="4">
        <v>101607.7199034582</v>
      </c>
      <c r="E1220" s="4">
        <v>101183.3917094569</v>
      </c>
      <c r="F1220" s="4">
        <v>0</v>
      </c>
      <c r="G1220" s="4">
        <v>712.71580645741801</v>
      </c>
      <c r="H1220" s="4">
        <v>122.3457088616005</v>
      </c>
      <c r="I1220" s="4">
        <v>40558.222322583038</v>
      </c>
      <c r="J1220" s="4">
        <v>40435.876613721441</v>
      </c>
    </row>
    <row r="1221" spans="1:10">
      <c r="A1221" s="1">
        <v>46077.612500000003</v>
      </c>
      <c r="B1221">
        <v>-498.90154886447652</v>
      </c>
      <c r="C1221">
        <v>202518.72121649739</v>
      </c>
      <c r="D1221">
        <v>101517.258979615</v>
      </c>
      <c r="E1221">
        <v>101001.46223688241</v>
      </c>
      <c r="F1221">
        <v>0</v>
      </c>
      <c r="G1221">
        <v>712.71580645741801</v>
      </c>
      <c r="H1221">
        <v>213.81425759294149</v>
      </c>
      <c r="I1221">
        <v>40503.744243299487</v>
      </c>
      <c r="J1221">
        <v>40289.929985706542</v>
      </c>
    </row>
    <row r="1222" spans="1:10">
      <c r="A1222" s="1">
        <v>46077.613194444442</v>
      </c>
      <c r="B1222">
        <v>-597.02076046693946</v>
      </c>
      <c r="C1222">
        <v>202777.65984826561</v>
      </c>
      <c r="D1222">
        <v>101597.66868969789</v>
      </c>
      <c r="E1222">
        <v>101179.9911585677</v>
      </c>
      <c r="F1222">
        <v>0</v>
      </c>
      <c r="G1222">
        <v>712.71580645741801</v>
      </c>
      <c r="H1222">
        <v>115.6950459904785</v>
      </c>
      <c r="I1222">
        <v>40555.531969653122</v>
      </c>
      <c r="J1222">
        <v>40439.836923662653</v>
      </c>
    </row>
    <row r="1223" spans="1:10">
      <c r="A1223" s="3">
        <v>46077.613888888889</v>
      </c>
      <c r="B1223" s="4">
        <v>-670.93024658605304</v>
      </c>
      <c r="C1223" s="4">
        <v>202730.9547692604</v>
      </c>
      <c r="D1223" s="4">
        <v>101537.3614071357</v>
      </c>
      <c r="E1223" s="4">
        <v>101193.59336212469</v>
      </c>
      <c r="F1223" s="4">
        <v>0</v>
      </c>
      <c r="G1223" s="4">
        <v>712.71580645741801</v>
      </c>
      <c r="H1223" s="4">
        <v>41.785559871364967</v>
      </c>
      <c r="I1223" s="4">
        <v>40546.190953852078</v>
      </c>
      <c r="J1223" s="4">
        <v>40504.40539398072</v>
      </c>
    </row>
    <row r="1224" spans="1:10">
      <c r="A1224" s="3">
        <v>46077.614583333343</v>
      </c>
      <c r="B1224" s="4">
        <v>-796.34476022948024</v>
      </c>
      <c r="C1224" s="4">
        <v>202574.93529761379</v>
      </c>
      <c r="D1224" s="4">
        <v>101396.6444144907</v>
      </c>
      <c r="E1224" s="4">
        <v>101178.2908831231</v>
      </c>
      <c r="F1224" s="4">
        <v>0</v>
      </c>
      <c r="G1224" s="4">
        <v>712.71580645741801</v>
      </c>
      <c r="H1224" s="4">
        <v>-83.628953772062232</v>
      </c>
      <c r="I1224" s="4">
        <v>40514.987059522762</v>
      </c>
      <c r="J1224" s="4">
        <v>40598.616013294828</v>
      </c>
    </row>
    <row r="1225" spans="1:10">
      <c r="A1225" s="1">
        <v>46077.615277777782</v>
      </c>
      <c r="B1225">
        <v>-697.72878444139565</v>
      </c>
      <c r="C1225">
        <v>202476.31932182569</v>
      </c>
      <c r="D1225">
        <v>101396.6444144907</v>
      </c>
      <c r="E1225">
        <v>101079.67490733499</v>
      </c>
      <c r="F1225">
        <v>0</v>
      </c>
      <c r="G1225">
        <v>712.71580645741801</v>
      </c>
      <c r="H1225">
        <v>14.987022016022371</v>
      </c>
      <c r="I1225">
        <v>40495.263864365137</v>
      </c>
      <c r="J1225">
        <v>40480.276842349122</v>
      </c>
    </row>
    <row r="1226" spans="1:10">
      <c r="A1226" s="3">
        <v>46077.615972222222</v>
      </c>
      <c r="B1226" s="4">
        <v>-809.84197234257863</v>
      </c>
      <c r="C1226" s="4">
        <v>202347.20337947831</v>
      </c>
      <c r="D1226" s="4">
        <v>101276.0298493664</v>
      </c>
      <c r="E1226" s="4">
        <v>101071.1735301119</v>
      </c>
      <c r="F1226" s="4">
        <v>0</v>
      </c>
      <c r="G1226" s="4">
        <v>712.71580645741801</v>
      </c>
      <c r="H1226" s="4">
        <v>-97.126165885160617</v>
      </c>
      <c r="I1226" s="4">
        <v>40469.440675895668</v>
      </c>
      <c r="J1226" s="4">
        <v>40566.566841780827</v>
      </c>
    </row>
    <row r="1227" spans="1:10">
      <c r="A1227" s="1">
        <v>46077.616666666669</v>
      </c>
      <c r="B1227">
        <v>-835.24111256803462</v>
      </c>
      <c r="C1227">
        <v>202131.3733894552</v>
      </c>
      <c r="D1227">
        <v>101155.4152842421</v>
      </c>
      <c r="E1227">
        <v>100975.9581052131</v>
      </c>
      <c r="F1227">
        <v>0</v>
      </c>
      <c r="G1227">
        <v>712.71580645741801</v>
      </c>
      <c r="H1227">
        <v>-122.5253061106166</v>
      </c>
      <c r="I1227">
        <v>40426.274677891037</v>
      </c>
      <c r="J1227">
        <v>40548.799984001656</v>
      </c>
    </row>
    <row r="1228" spans="1:10">
      <c r="A1228" s="1">
        <v>46077.617361111108</v>
      </c>
      <c r="B1228">
        <v>-811.4372563433285</v>
      </c>
      <c r="C1228">
        <v>202107.5695332305</v>
      </c>
      <c r="D1228">
        <v>101155.4152842421</v>
      </c>
      <c r="E1228">
        <v>100952.1542489883</v>
      </c>
      <c r="F1228">
        <v>0</v>
      </c>
      <c r="G1228">
        <v>712.71580645741801</v>
      </c>
      <c r="H1228">
        <v>-98.721449885910488</v>
      </c>
      <c r="I1228">
        <v>40421.513906646098</v>
      </c>
      <c r="J1228">
        <v>40520.235356532008</v>
      </c>
    </row>
    <row r="1229" spans="1:10">
      <c r="A1229" s="1">
        <v>46077.618055555547</v>
      </c>
      <c r="B1229">
        <v>-583.49535532011998</v>
      </c>
      <c r="C1229">
        <v>201638.3985019587</v>
      </c>
      <c r="D1229">
        <v>101034.8007191178</v>
      </c>
      <c r="E1229">
        <v>100603.59778284081</v>
      </c>
      <c r="F1229">
        <v>0</v>
      </c>
      <c r="G1229">
        <v>712.71580645741801</v>
      </c>
      <c r="H1229">
        <v>129.220451137298</v>
      </c>
      <c r="I1229">
        <v>40327.679700391738</v>
      </c>
      <c r="J1229">
        <v>40198.45924925444</v>
      </c>
    </row>
    <row r="1230" spans="1:10">
      <c r="A1230" s="3">
        <v>46077.618750000001</v>
      </c>
      <c r="B1230" s="4">
        <v>-684.20337929457617</v>
      </c>
      <c r="C1230" s="4">
        <v>201337.05797551881</v>
      </c>
      <c r="D1230" s="4">
        <v>100833.7764439107</v>
      </c>
      <c r="E1230" s="4">
        <v>100503.2815316081</v>
      </c>
      <c r="F1230" s="4">
        <v>0</v>
      </c>
      <c r="G1230" s="4">
        <v>712.71580645741801</v>
      </c>
      <c r="H1230" s="4">
        <v>28.512427162841849</v>
      </c>
      <c r="I1230" s="4">
        <v>40267.411595103767</v>
      </c>
      <c r="J1230" s="4">
        <v>40238.899167940923</v>
      </c>
    </row>
    <row r="1231" spans="1:10">
      <c r="A1231" s="1">
        <v>46077.619444444441</v>
      </c>
      <c r="B1231">
        <v>-637.58919521640746</v>
      </c>
      <c r="C1231">
        <v>200968.8049511092</v>
      </c>
      <c r="D1231">
        <v>100672.957023745</v>
      </c>
      <c r="E1231">
        <v>100295.8479273642</v>
      </c>
      <c r="F1231">
        <v>0</v>
      </c>
      <c r="G1231">
        <v>712.71580645741801</v>
      </c>
      <c r="H1231">
        <v>75.126611241010551</v>
      </c>
      <c r="I1231">
        <v>40193.760990221839</v>
      </c>
      <c r="J1231">
        <v>40118.634378980831</v>
      </c>
    </row>
    <row r="1232" spans="1:10">
      <c r="A1232" s="3">
        <v>46077.620138888888</v>
      </c>
      <c r="B1232" s="4">
        <v>-721.03903439339467</v>
      </c>
      <c r="C1232" s="4">
        <v>200388.87468210261</v>
      </c>
      <c r="D1232" s="4">
        <v>100341.26696965309</v>
      </c>
      <c r="E1232" s="4">
        <v>100047.6077124494</v>
      </c>
      <c r="F1232" s="4">
        <v>0</v>
      </c>
      <c r="G1232" s="4">
        <v>712.71580645741801</v>
      </c>
      <c r="H1232" s="4">
        <v>-8.3232279359766608</v>
      </c>
      <c r="I1232" s="4">
        <v>40077.774936420523</v>
      </c>
      <c r="J1232" s="4">
        <v>40086.098164356503</v>
      </c>
    </row>
    <row r="1233" spans="1:10">
      <c r="A1233" s="3">
        <v>46077.620833333327</v>
      </c>
      <c r="B1233" s="4">
        <v>-822.49925290472231</v>
      </c>
      <c r="C1233" s="4">
        <v>200188.7984878032</v>
      </c>
      <c r="D1233" s="4">
        <v>100190.4987632478</v>
      </c>
      <c r="E1233" s="4">
        <v>99998.299724555385</v>
      </c>
      <c r="F1233" s="4">
        <v>0</v>
      </c>
      <c r="G1233" s="4">
        <v>712.71580645741801</v>
      </c>
      <c r="H1233" s="4">
        <v>-109.7834464473043</v>
      </c>
      <c r="I1233" s="4">
        <v>40037.759697560643</v>
      </c>
      <c r="J1233" s="4">
        <v>40147.543144007941</v>
      </c>
    </row>
    <row r="1234" spans="1:10">
      <c r="A1234" s="3">
        <v>46077.621527777781</v>
      </c>
      <c r="B1234" s="4">
        <v>-740.97692648989323</v>
      </c>
      <c r="C1234" s="4">
        <v>199665.02275593259</v>
      </c>
      <c r="D1234" s="4">
        <v>99969.372060519891</v>
      </c>
      <c r="E1234" s="4">
        <v>99695.650695412667</v>
      </c>
      <c r="F1234" s="4">
        <v>0</v>
      </c>
      <c r="G1234" s="4">
        <v>712.71580645741801</v>
      </c>
      <c r="H1234" s="4">
        <v>-28.261120032475219</v>
      </c>
      <c r="I1234" s="4">
        <v>39933.004551186517</v>
      </c>
      <c r="J1234" s="4">
        <v>39961.265671218993</v>
      </c>
    </row>
    <row r="1235" spans="1:10">
      <c r="A1235" s="1">
        <v>46077.62222222222</v>
      </c>
      <c r="B1235">
        <v>0</v>
      </c>
      <c r="C1235">
        <v>0</v>
      </c>
      <c r="D1235">
        <v>0</v>
      </c>
      <c r="E1235">
        <v>0</v>
      </c>
      <c r="F1235">
        <v>-687.82699620116273</v>
      </c>
      <c r="G1235">
        <v>24.88881025625528</v>
      </c>
      <c r="H1235">
        <v>24.88881025625528</v>
      </c>
      <c r="I1235">
        <v>0</v>
      </c>
      <c r="J1235">
        <v>-24.88881025625528</v>
      </c>
    </row>
    <row r="1236" spans="1:10">
      <c r="A1236" s="3">
        <v>46080.604166666657</v>
      </c>
      <c r="B1236" s="4">
        <v>0</v>
      </c>
      <c r="C1236" s="4">
        <v>196877.792326347</v>
      </c>
      <c r="D1236" s="4">
        <v>96877.792326346957</v>
      </c>
      <c r="E1236" s="4">
        <v>100000</v>
      </c>
      <c r="F1236" s="4">
        <v>0</v>
      </c>
      <c r="G1236" s="4">
        <v>24.88881025625528</v>
      </c>
      <c r="H1236" s="4">
        <v>24.88881025625528</v>
      </c>
      <c r="I1236" s="4">
        <v>39375.558465269387</v>
      </c>
      <c r="J1236" s="4">
        <v>39350.669655013138</v>
      </c>
    </row>
    <row r="1237" spans="1:10">
      <c r="A1237" s="1">
        <v>46080.604861111111</v>
      </c>
      <c r="B1237">
        <v>376.58930237405718</v>
      </c>
      <c r="C1237">
        <v>195973.15587872511</v>
      </c>
      <c r="D1237">
        <v>96613.768753723067</v>
      </c>
      <c r="E1237">
        <v>99359.38712500206</v>
      </c>
      <c r="F1237">
        <v>0</v>
      </c>
      <c r="G1237">
        <v>24.88881025625528</v>
      </c>
      <c r="H1237">
        <v>401.47811263031252</v>
      </c>
      <c r="I1237">
        <v>39194.631175745017</v>
      </c>
      <c r="J1237">
        <v>38793.153063114711</v>
      </c>
    </row>
    <row r="1238" spans="1:10">
      <c r="A1238" s="1">
        <v>46080.605555555558</v>
      </c>
      <c r="B1238">
        <v>277.01169071195989</v>
      </c>
      <c r="C1238">
        <v>195374.95690559561</v>
      </c>
      <c r="D1238">
        <v>96264.880461327237</v>
      </c>
      <c r="E1238">
        <v>99110.076444268328</v>
      </c>
      <c r="F1238">
        <v>0</v>
      </c>
      <c r="G1238">
        <v>24.88881025625528</v>
      </c>
      <c r="H1238">
        <v>301.90050096821523</v>
      </c>
      <c r="I1238">
        <v>39074.991381119107</v>
      </c>
      <c r="J1238">
        <v>38773.090880150899</v>
      </c>
    </row>
    <row r="1239" spans="1:10">
      <c r="A1239" s="3">
        <v>46080.606249999997</v>
      </c>
      <c r="B1239" s="4">
        <v>-213.42781513424461</v>
      </c>
      <c r="C1239" s="4">
        <v>195280.772786346</v>
      </c>
      <c r="D1239" s="4">
        <v>95972.568648779372</v>
      </c>
      <c r="E1239" s="4">
        <v>99308.204137566674</v>
      </c>
      <c r="F1239" s="4">
        <v>0</v>
      </c>
      <c r="G1239" s="4">
        <v>24.88881025625528</v>
      </c>
      <c r="H1239" s="4">
        <v>-188.5390048779893</v>
      </c>
      <c r="I1239" s="4">
        <v>39056.154557269198</v>
      </c>
      <c r="J1239" s="4">
        <v>39244.693562147193</v>
      </c>
    </row>
    <row r="1240" spans="1:10">
      <c r="A1240" s="1">
        <v>46080.606944444437</v>
      </c>
      <c r="B1240">
        <v>-92.349698754685278</v>
      </c>
      <c r="C1240">
        <v>195725.45946844621</v>
      </c>
      <c r="D1240">
        <v>96255.45104801924</v>
      </c>
      <c r="E1240">
        <v>99470.008420426981</v>
      </c>
      <c r="F1240">
        <v>0</v>
      </c>
      <c r="G1240">
        <v>24.88881025625528</v>
      </c>
      <c r="H1240">
        <v>-67.460888498429995</v>
      </c>
      <c r="I1240">
        <v>39145.091893689241</v>
      </c>
      <c r="J1240">
        <v>39212.552782187668</v>
      </c>
    </row>
    <row r="1241" spans="1:10">
      <c r="A1241" s="1">
        <v>46080.607638888891</v>
      </c>
      <c r="B1241">
        <v>153.69540265501519</v>
      </c>
      <c r="C1241">
        <v>194498.75538300499</v>
      </c>
      <c r="D1241">
        <v>95765.121556003476</v>
      </c>
      <c r="E1241">
        <v>98733.633827001511</v>
      </c>
      <c r="F1241">
        <v>0</v>
      </c>
      <c r="G1241">
        <v>24.88881025625528</v>
      </c>
      <c r="H1241">
        <v>178.5842129112705</v>
      </c>
      <c r="I1241">
        <v>38899.751076601002</v>
      </c>
      <c r="J1241">
        <v>38721.16686368973</v>
      </c>
    </row>
    <row r="1242" spans="1:10">
      <c r="A1242" s="1">
        <v>46080.60833333333</v>
      </c>
      <c r="B1242">
        <v>112.82230630862411</v>
      </c>
      <c r="C1242">
        <v>193936.14602763971</v>
      </c>
      <c r="D1242">
        <v>95463.380330147615</v>
      </c>
      <c r="E1242">
        <v>98472.765697492039</v>
      </c>
      <c r="F1242">
        <v>0</v>
      </c>
      <c r="G1242">
        <v>24.88881025625528</v>
      </c>
      <c r="H1242">
        <v>137.7111165648794</v>
      </c>
      <c r="I1242">
        <v>38787.229205527932</v>
      </c>
      <c r="J1242">
        <v>38649.51808896305</v>
      </c>
    </row>
    <row r="1243" spans="1:10">
      <c r="A1243" s="1">
        <v>46080.609027777777</v>
      </c>
      <c r="B1243">
        <v>335.64261871562422</v>
      </c>
      <c r="C1243">
        <v>193977.34928785649</v>
      </c>
      <c r="D1243">
        <v>95595.392116459552</v>
      </c>
      <c r="E1243">
        <v>98381.957171396978</v>
      </c>
      <c r="F1243">
        <v>0</v>
      </c>
      <c r="G1243">
        <v>24.88881025625528</v>
      </c>
      <c r="H1243">
        <v>360.53142897187939</v>
      </c>
      <c r="I1243">
        <v>38795.469857571312</v>
      </c>
      <c r="J1243">
        <v>38434.938428599431</v>
      </c>
    </row>
    <row r="1244" spans="1:10">
      <c r="A1244" s="3">
        <v>46080.609722222223</v>
      </c>
      <c r="B1244" s="4">
        <v>44.43155636804272</v>
      </c>
      <c r="C1244" s="4">
        <v>193966.81912434829</v>
      </c>
      <c r="D1244" s="4">
        <v>95444.521503531621</v>
      </c>
      <c r="E1244" s="4">
        <v>98522.297620816636</v>
      </c>
      <c r="F1244" s="4">
        <v>0</v>
      </c>
      <c r="G1244" s="4">
        <v>24.88881025625528</v>
      </c>
      <c r="H1244" s="4">
        <v>69.320366624298003</v>
      </c>
      <c r="I1244" s="4">
        <v>38793.363824869652</v>
      </c>
      <c r="J1244" s="4">
        <v>38724.043458245353</v>
      </c>
    </row>
    <row r="1245" spans="1:10">
      <c r="A1245" s="3">
        <v>46080.61041666667</v>
      </c>
      <c r="B1245" s="4">
        <v>143.97237437413759</v>
      </c>
      <c r="C1245" s="4">
        <v>193848.4194797262</v>
      </c>
      <c r="D1245" s="4">
        <v>95435.092090223625</v>
      </c>
      <c r="E1245" s="4">
        <v>98413.327389502534</v>
      </c>
      <c r="F1245" s="4">
        <v>0</v>
      </c>
      <c r="G1245" s="4">
        <v>24.88881025625528</v>
      </c>
      <c r="H1245" s="4">
        <v>168.8611846303929</v>
      </c>
      <c r="I1245" s="4">
        <v>38769.683895945243</v>
      </c>
      <c r="J1245" s="4">
        <v>38600.822711314853</v>
      </c>
    </row>
    <row r="1246" spans="1:10">
      <c r="A1246" s="1">
        <v>46080.611111111109</v>
      </c>
      <c r="B1246">
        <v>34.561720600740053</v>
      </c>
      <c r="C1246">
        <v>192996.02997608401</v>
      </c>
      <c r="D1246">
        <v>94954.192011515857</v>
      </c>
      <c r="E1246">
        <v>98041.837964568171</v>
      </c>
      <c r="F1246">
        <v>0</v>
      </c>
      <c r="G1246">
        <v>24.88881025625528</v>
      </c>
      <c r="H1246">
        <v>59.450530856995329</v>
      </c>
      <c r="I1246">
        <v>38599.205995216813</v>
      </c>
      <c r="J1246">
        <v>38539.755464359812</v>
      </c>
    </row>
    <row r="1247" spans="1:10">
      <c r="A1247" s="3">
        <v>46080.611805555563</v>
      </c>
      <c r="B1247" s="4">
        <v>-39.222521752405328</v>
      </c>
      <c r="C1247" s="4">
        <v>192918.94360550921</v>
      </c>
      <c r="D1247" s="4">
        <v>94878.756705051885</v>
      </c>
      <c r="E1247" s="4">
        <v>98040.186900457353</v>
      </c>
      <c r="F1247" s="4">
        <v>0</v>
      </c>
      <c r="G1247" s="4">
        <v>24.88881025625528</v>
      </c>
      <c r="H1247" s="4">
        <v>-14.333711496150039</v>
      </c>
      <c r="I1247" s="4">
        <v>38583.788721101853</v>
      </c>
      <c r="J1247" s="4">
        <v>38598.122432597993</v>
      </c>
    </row>
    <row r="1248" spans="1:10">
      <c r="A1248" s="1">
        <v>46080.612500000003</v>
      </c>
      <c r="B1248">
        <v>-146.68849644212099</v>
      </c>
      <c r="C1248">
        <v>192705.80952772711</v>
      </c>
      <c r="D1248">
        <v>94718.456678815957</v>
      </c>
      <c r="E1248">
        <v>97987.352848911134</v>
      </c>
      <c r="F1248">
        <v>0</v>
      </c>
      <c r="G1248">
        <v>24.88881025625528</v>
      </c>
      <c r="H1248">
        <v>-121.7996861858658</v>
      </c>
      <c r="I1248">
        <v>38541.161905545407</v>
      </c>
      <c r="J1248">
        <v>38662.961591731277</v>
      </c>
    </row>
    <row r="1249" spans="1:10">
      <c r="A1249" s="1">
        <v>46080.613194444442</v>
      </c>
      <c r="B1249">
        <v>-66.483476408939623</v>
      </c>
      <c r="C1249">
        <v>192587.88685446189</v>
      </c>
      <c r="D1249">
        <v>94699.597852199979</v>
      </c>
      <c r="E1249">
        <v>97888.289002261969</v>
      </c>
      <c r="F1249">
        <v>0</v>
      </c>
      <c r="G1249">
        <v>24.88881025625528</v>
      </c>
      <c r="H1249">
        <v>-41.59466615268434</v>
      </c>
      <c r="I1249">
        <v>38517.577370892388</v>
      </c>
      <c r="J1249">
        <v>38559.172037045071</v>
      </c>
    </row>
    <row r="1250" spans="1:10">
      <c r="A1250" s="3">
        <v>46080.613888888889</v>
      </c>
      <c r="B1250" s="4">
        <v>-198.27511268082799</v>
      </c>
      <c r="C1250" s="4">
        <v>192512.23139795789</v>
      </c>
      <c r="D1250" s="4">
        <v>94595.874305812016</v>
      </c>
      <c r="E1250" s="4">
        <v>97916.357092145889</v>
      </c>
      <c r="F1250" s="4">
        <v>0</v>
      </c>
      <c r="G1250" s="4">
        <v>24.88881025625528</v>
      </c>
      <c r="H1250" s="4">
        <v>-173.3863024245727</v>
      </c>
      <c r="I1250" s="4">
        <v>38502.446279591582</v>
      </c>
      <c r="J1250" s="4">
        <v>38675.832582016163</v>
      </c>
    </row>
    <row r="1251" spans="1:10">
      <c r="A1251" s="3">
        <v>46080.614583333343</v>
      </c>
      <c r="B1251" s="4">
        <v>-236.76322986340031</v>
      </c>
      <c r="C1251" s="4">
        <v>192701.5901280684</v>
      </c>
      <c r="D1251" s="4">
        <v>94671.309612275989</v>
      </c>
      <c r="E1251" s="4">
        <v>98030.280515792445</v>
      </c>
      <c r="F1251" s="4">
        <v>0</v>
      </c>
      <c r="G1251" s="4">
        <v>24.88881025625528</v>
      </c>
      <c r="H1251" s="4">
        <v>-211.874419607145</v>
      </c>
      <c r="I1251" s="4">
        <v>38540.318025613691</v>
      </c>
      <c r="J1251" s="4">
        <v>38752.192445220833</v>
      </c>
    </row>
    <row r="1252" spans="1:10">
      <c r="A1252" s="1">
        <v>46080.615277777782</v>
      </c>
      <c r="B1252">
        <v>-332.92857709424669</v>
      </c>
      <c r="C1252">
        <v>192552.59072929141</v>
      </c>
      <c r="D1252">
        <v>94548.727239272033</v>
      </c>
      <c r="E1252">
        <v>98003.863490019328</v>
      </c>
      <c r="F1252">
        <v>0</v>
      </c>
      <c r="G1252">
        <v>24.88881025625528</v>
      </c>
      <c r="H1252">
        <v>-308.03976683799152</v>
      </c>
      <c r="I1252">
        <v>38510.518145858267</v>
      </c>
      <c r="J1252">
        <v>38818.557912696262</v>
      </c>
    </row>
    <row r="1253" spans="1:10">
      <c r="A1253" s="3">
        <v>46080.615972222222</v>
      </c>
      <c r="B1253" s="4">
        <v>-427.25938145100781</v>
      </c>
      <c r="C1253" s="4">
        <v>192590.34505380009</v>
      </c>
      <c r="D1253" s="4">
        <v>94520.438999348044</v>
      </c>
      <c r="E1253" s="4">
        <v>98069.906054452105</v>
      </c>
      <c r="F1253" s="4">
        <v>0</v>
      </c>
      <c r="G1253" s="4">
        <v>24.88881025625528</v>
      </c>
      <c r="H1253" s="4">
        <v>-402.37057119475247</v>
      </c>
      <c r="I1253" s="4">
        <v>38518.069010760031</v>
      </c>
      <c r="J1253" s="4">
        <v>38920.439581954794</v>
      </c>
    </row>
    <row r="1254" spans="1:10">
      <c r="A1254" s="3">
        <v>46080.616666666669</v>
      </c>
      <c r="B1254" s="4">
        <v>-392.00004993645052</v>
      </c>
      <c r="C1254" s="4">
        <v>192140.19153673379</v>
      </c>
      <c r="D1254" s="4">
        <v>94312.991906572148</v>
      </c>
      <c r="E1254" s="4">
        <v>97827.199630161645</v>
      </c>
      <c r="F1254" s="4">
        <v>0</v>
      </c>
      <c r="G1254" s="4">
        <v>24.88881025625528</v>
      </c>
      <c r="H1254" s="4">
        <v>-367.11123968019518</v>
      </c>
      <c r="I1254" s="4">
        <v>38428.03830734676</v>
      </c>
      <c r="J1254" s="4">
        <v>38795.149547026958</v>
      </c>
    </row>
    <row r="1255" spans="1:10">
      <c r="A1255" s="1">
        <v>46080.617361111108</v>
      </c>
      <c r="B1255">
        <v>-400.18202793693308</v>
      </c>
      <c r="C1255">
        <v>191884.34994211039</v>
      </c>
      <c r="D1255">
        <v>94180.98012026021</v>
      </c>
      <c r="E1255">
        <v>97703.369821850196</v>
      </c>
      <c r="F1255">
        <v>0</v>
      </c>
      <c r="G1255">
        <v>24.88881025625528</v>
      </c>
      <c r="H1255">
        <v>-375.2932176806778</v>
      </c>
      <c r="I1255">
        <v>38376.869988422077</v>
      </c>
      <c r="J1255">
        <v>38752.163206102763</v>
      </c>
    </row>
    <row r="1256" spans="1:10">
      <c r="A1256" s="1">
        <v>46080.618055555547</v>
      </c>
      <c r="B1256">
        <v>-309.55698060510758</v>
      </c>
      <c r="C1256">
        <v>191605.1366286187</v>
      </c>
      <c r="D1256">
        <v>94086.685987180259</v>
      </c>
      <c r="E1256">
        <v>97518.450641438409</v>
      </c>
      <c r="F1256">
        <v>0</v>
      </c>
      <c r="G1256">
        <v>24.88881025625528</v>
      </c>
      <c r="H1256">
        <v>-284.6681703488523</v>
      </c>
      <c r="I1256">
        <v>38321.027325723728</v>
      </c>
      <c r="J1256">
        <v>38605.695496072593</v>
      </c>
    </row>
    <row r="1257" spans="1:10">
      <c r="A1257" s="3">
        <v>46080.618750000001</v>
      </c>
      <c r="B1257" s="4">
        <v>-451.36501537234471</v>
      </c>
      <c r="C1257" s="4">
        <v>191935.53292954579</v>
      </c>
      <c r="D1257" s="4">
        <v>94180.98012026021</v>
      </c>
      <c r="E1257" s="4">
        <v>97754.552809285597</v>
      </c>
      <c r="F1257" s="4">
        <v>0</v>
      </c>
      <c r="G1257" s="4">
        <v>24.88881025625528</v>
      </c>
      <c r="H1257" s="4">
        <v>-426.47620511608937</v>
      </c>
      <c r="I1257" s="4">
        <v>38387.106585909161</v>
      </c>
      <c r="J1257" s="4">
        <v>38813.582791025248</v>
      </c>
    </row>
    <row r="1258" spans="1:10">
      <c r="A1258" s="3">
        <v>46080.619444444441</v>
      </c>
      <c r="B1258" s="4">
        <v>-479.87340533637831</v>
      </c>
      <c r="C1258" s="4">
        <v>191850.88835981389</v>
      </c>
      <c r="D1258" s="4">
        <v>94124.403640412231</v>
      </c>
      <c r="E1258" s="4">
        <v>97726.484719401662</v>
      </c>
      <c r="F1258" s="4">
        <v>0</v>
      </c>
      <c r="G1258" s="4">
        <v>24.88881025625528</v>
      </c>
      <c r="H1258" s="4">
        <v>-454.98459508012297</v>
      </c>
      <c r="I1258" s="4">
        <v>38370.177671962781</v>
      </c>
      <c r="J1258" s="4">
        <v>38825.162267042913</v>
      </c>
    </row>
    <row r="1259" spans="1:10">
      <c r="A1259" s="3">
        <v>46080.620138888888</v>
      </c>
      <c r="B1259" s="4">
        <v>-537.99081308553059</v>
      </c>
      <c r="C1259" s="4">
        <v>192248.46464665089</v>
      </c>
      <c r="D1259" s="4">
        <v>94294.133079956155</v>
      </c>
      <c r="E1259" s="4">
        <v>97954.331566694746</v>
      </c>
      <c r="F1259" s="4">
        <v>0</v>
      </c>
      <c r="G1259" s="4">
        <v>24.88881025625528</v>
      </c>
      <c r="H1259" s="4">
        <v>-513.10200282927531</v>
      </c>
      <c r="I1259" s="4">
        <v>38449.69292933018</v>
      </c>
      <c r="J1259" s="4">
        <v>38962.794932159457</v>
      </c>
    </row>
    <row r="1260" spans="1:10">
      <c r="A1260" s="3">
        <v>46080.620833333327</v>
      </c>
      <c r="B1260" s="4">
        <v>-680.34928414250635</v>
      </c>
      <c r="C1260" s="4">
        <v>192013.64658538811</v>
      </c>
      <c r="D1260" s="4">
        <v>94105.544813796238</v>
      </c>
      <c r="E1260" s="4">
        <v>97908.101771591799</v>
      </c>
      <c r="F1260" s="4">
        <v>0</v>
      </c>
      <c r="G1260" s="4">
        <v>24.88881025625528</v>
      </c>
      <c r="H1260" s="4">
        <v>-655.46047388625107</v>
      </c>
      <c r="I1260" s="4">
        <v>38402.72931707761</v>
      </c>
      <c r="J1260" s="4">
        <v>39058.189790963857</v>
      </c>
    </row>
    <row r="1261" spans="1:10">
      <c r="A1261" s="1">
        <v>46080.621527777781</v>
      </c>
      <c r="B1261">
        <v>-612.50884811245783</v>
      </c>
      <c r="C1261">
        <v>192266.40620182981</v>
      </c>
      <c r="D1261">
        <v>94265.844840032165</v>
      </c>
      <c r="E1261">
        <v>98000.561361797678</v>
      </c>
      <c r="F1261">
        <v>0</v>
      </c>
      <c r="G1261">
        <v>24.88881025625528</v>
      </c>
      <c r="H1261">
        <v>-587.62003785620254</v>
      </c>
      <c r="I1261">
        <v>38453.28124036597</v>
      </c>
      <c r="J1261">
        <v>39040.901278222169</v>
      </c>
    </row>
    <row r="1262" spans="1:10">
      <c r="A1262" s="3">
        <v>46080.62222222222</v>
      </c>
      <c r="B1262" s="4">
        <v>-623.40584676802769</v>
      </c>
      <c r="C1262" s="4">
        <v>192447.0326400293</v>
      </c>
      <c r="D1262" s="4">
        <v>94350.709559804134</v>
      </c>
      <c r="E1262" s="4">
        <v>98096.323080225207</v>
      </c>
      <c r="F1262" s="4">
        <v>0</v>
      </c>
      <c r="G1262" s="4">
        <v>24.88881025625528</v>
      </c>
      <c r="H1262" s="4">
        <v>-598.5170365117724</v>
      </c>
      <c r="I1262" s="4">
        <v>38489.406528005857</v>
      </c>
      <c r="J1262" s="4">
        <v>39087.923564517638</v>
      </c>
    </row>
    <row r="1263" spans="1:10">
      <c r="A1263" s="3">
        <v>46080.622916666667</v>
      </c>
      <c r="B1263" s="4">
        <v>-698.58433191512927</v>
      </c>
      <c r="C1263" s="4">
        <v>192295.90520578451</v>
      </c>
      <c r="D1263" s="4">
        <v>94237.556600108175</v>
      </c>
      <c r="E1263" s="4">
        <v>98058.348605676365</v>
      </c>
      <c r="F1263" s="4">
        <v>0</v>
      </c>
      <c r="G1263" s="4">
        <v>24.88881025625528</v>
      </c>
      <c r="H1263" s="4">
        <v>-673.69552165887399</v>
      </c>
      <c r="I1263" s="4">
        <v>38459.181041156909</v>
      </c>
      <c r="J1263" s="4">
        <v>39132.876562815793</v>
      </c>
    </row>
    <row r="1264" spans="1:10">
      <c r="A1264" s="1">
        <v>46080.623611111107</v>
      </c>
      <c r="B1264">
        <v>-587.00909377638845</v>
      </c>
      <c r="C1264">
        <v>192146.6123144138</v>
      </c>
      <c r="D1264">
        <v>94218.697773492197</v>
      </c>
      <c r="E1264">
        <v>97927.914540921629</v>
      </c>
      <c r="F1264">
        <v>0</v>
      </c>
      <c r="G1264">
        <v>24.88881025625528</v>
      </c>
      <c r="H1264">
        <v>-562.12028352013317</v>
      </c>
      <c r="I1264">
        <v>38429.322462882767</v>
      </c>
      <c r="J1264">
        <v>38991.4427464029</v>
      </c>
    </row>
    <row r="1265" spans="1:10">
      <c r="A1265" s="1">
        <v>46080.624305555553</v>
      </c>
      <c r="B1265">
        <v>-631.80797480857427</v>
      </c>
      <c r="C1265">
        <v>192134.834715598</v>
      </c>
      <c r="D1265">
        <v>94190.409533568207</v>
      </c>
      <c r="E1265">
        <v>97944.425182029838</v>
      </c>
      <c r="F1265">
        <v>0</v>
      </c>
      <c r="G1265">
        <v>24.88881025625528</v>
      </c>
      <c r="H1265">
        <v>-606.91916455231899</v>
      </c>
      <c r="I1265">
        <v>38426.966943119609</v>
      </c>
      <c r="J1265">
        <v>39033.886107671933</v>
      </c>
    </row>
    <row r="1266" spans="1:10">
      <c r="A1266" s="1">
        <v>46080.625</v>
      </c>
      <c r="B1266">
        <v>-679.87231278558602</v>
      </c>
      <c r="C1266">
        <v>191994.3107874151</v>
      </c>
      <c r="D1266">
        <v>94096.115400488256</v>
      </c>
      <c r="E1266">
        <v>97898.195386926891</v>
      </c>
      <c r="F1266">
        <v>0</v>
      </c>
      <c r="G1266">
        <v>24.88881025625528</v>
      </c>
      <c r="H1266">
        <v>-654.98350252933074</v>
      </c>
      <c r="I1266">
        <v>38398.862157483018</v>
      </c>
      <c r="J1266">
        <v>39053.845660012354</v>
      </c>
    </row>
    <row r="1267" spans="1:10">
      <c r="A1267" s="1">
        <v>46080.625694444447</v>
      </c>
      <c r="B1267">
        <v>-620.54401862650161</v>
      </c>
      <c r="C1267">
        <v>192331.0178521919</v>
      </c>
      <c r="D1267">
        <v>94294.133079956155</v>
      </c>
      <c r="E1267">
        <v>98036.884772235717</v>
      </c>
      <c r="F1267">
        <v>0</v>
      </c>
      <c r="G1267">
        <v>24.88881025625528</v>
      </c>
      <c r="H1267">
        <v>-595.65520837024633</v>
      </c>
      <c r="I1267">
        <v>38466.203570438367</v>
      </c>
      <c r="J1267">
        <v>39061.858778808622</v>
      </c>
    </row>
    <row r="1268" spans="1:10">
      <c r="A1268" s="1">
        <v>46080.626388888893</v>
      </c>
      <c r="B1268">
        <v>-512.34425126300425</v>
      </c>
      <c r="C1268">
        <v>192449.1240042203</v>
      </c>
      <c r="D1268">
        <v>94407.286039652114</v>
      </c>
      <c r="E1268">
        <v>98041.837964568171</v>
      </c>
      <c r="F1268">
        <v>0</v>
      </c>
      <c r="G1268">
        <v>24.88881025625528</v>
      </c>
      <c r="H1268">
        <v>-487.45544100674903</v>
      </c>
      <c r="I1268">
        <v>38489.824800844057</v>
      </c>
      <c r="J1268">
        <v>38977.280241850807</v>
      </c>
    </row>
    <row r="1269" spans="1:10">
      <c r="A1269" s="1">
        <v>46080.627083333333</v>
      </c>
      <c r="B1269">
        <v>-528.67141360796677</v>
      </c>
      <c r="C1269">
        <v>192654.03943272511</v>
      </c>
      <c r="D1269">
        <v>94501.580172732065</v>
      </c>
      <c r="E1269">
        <v>98152.459259993077</v>
      </c>
      <c r="F1269">
        <v>0</v>
      </c>
      <c r="G1269">
        <v>24.88881025625528</v>
      </c>
      <c r="H1269">
        <v>-503.78260335171149</v>
      </c>
      <c r="I1269">
        <v>38530.80788654503</v>
      </c>
      <c r="J1269">
        <v>39034.590489896742</v>
      </c>
    </row>
    <row r="1270" spans="1:10">
      <c r="A1270" s="3">
        <v>46080.62777777778</v>
      </c>
      <c r="B1270" s="4">
        <v>-484.31283265589099</v>
      </c>
      <c r="C1270" s="4">
        <v>192553.10437192509</v>
      </c>
      <c r="D1270" s="4">
        <v>94473.291932808075</v>
      </c>
      <c r="E1270" s="4">
        <v>98079.812439117013</v>
      </c>
      <c r="F1270" s="4">
        <v>0</v>
      </c>
      <c r="G1270" s="4">
        <v>24.88881025625528</v>
      </c>
      <c r="H1270" s="4">
        <v>-459.42402239963582</v>
      </c>
      <c r="I1270" s="4">
        <v>38510.620874385022</v>
      </c>
      <c r="J1270" s="4">
        <v>38970.044896784661</v>
      </c>
    </row>
    <row r="1271" spans="1:10">
      <c r="A1271" s="3">
        <v>46080.628472222219</v>
      </c>
      <c r="B1271" s="4">
        <v>0</v>
      </c>
      <c r="C1271" s="4">
        <v>0</v>
      </c>
      <c r="D1271" s="4">
        <v>0</v>
      </c>
      <c r="E1271" s="4">
        <v>0</v>
      </c>
      <c r="F1271" s="4">
        <v>-424.86213438869902</v>
      </c>
      <c r="G1271" s="4">
        <v>-399.97332413244368</v>
      </c>
      <c r="H1271" s="4">
        <v>-399.97332413244368</v>
      </c>
      <c r="I1271" s="4">
        <v>0</v>
      </c>
      <c r="J1271" s="4">
        <v>399.97332413244368</v>
      </c>
    </row>
    <row r="1272" spans="1:10">
      <c r="A1272" s="1">
        <v>46084.870138888888</v>
      </c>
      <c r="B1272">
        <v>0</v>
      </c>
      <c r="C1272">
        <v>196877.792326347</v>
      </c>
      <c r="D1272">
        <v>96877.792326346957</v>
      </c>
      <c r="E1272">
        <v>100000</v>
      </c>
      <c r="F1272">
        <v>0</v>
      </c>
      <c r="G1272">
        <v>-399.97332413244368</v>
      </c>
      <c r="H1272">
        <v>-399.97332413244368</v>
      </c>
      <c r="I1272">
        <v>39375.558465269387</v>
      </c>
      <c r="J1272">
        <v>39775.531789401837</v>
      </c>
    </row>
    <row r="1273" spans="1:10">
      <c r="A1273" s="1">
        <v>46084.870833333327</v>
      </c>
      <c r="B1273">
        <v>91.258164925332352</v>
      </c>
      <c r="C1273">
        <v>196922.48936316269</v>
      </c>
      <c r="D1273">
        <v>96945.76992721748</v>
      </c>
      <c r="E1273">
        <v>99976.719435945197</v>
      </c>
      <c r="F1273">
        <v>0</v>
      </c>
      <c r="G1273">
        <v>-399.97332413244368</v>
      </c>
      <c r="H1273">
        <v>-308.71515920711141</v>
      </c>
      <c r="I1273">
        <v>39384.497872632543</v>
      </c>
      <c r="J1273">
        <v>39693.213031839638</v>
      </c>
    </row>
    <row r="1274" spans="1:10">
      <c r="A1274" s="1">
        <v>46084.871527777781</v>
      </c>
      <c r="B1274">
        <v>242.64693617646549</v>
      </c>
      <c r="C1274">
        <v>196887.63362197531</v>
      </c>
      <c r="D1274">
        <v>97004.036442249373</v>
      </c>
      <c r="E1274">
        <v>99883.597179725955</v>
      </c>
      <c r="F1274">
        <v>0</v>
      </c>
      <c r="G1274">
        <v>-399.97332413244368</v>
      </c>
      <c r="H1274">
        <v>-157.32638795597819</v>
      </c>
      <c r="I1274">
        <v>39377.526724395073</v>
      </c>
      <c r="J1274">
        <v>39534.853112351047</v>
      </c>
    </row>
    <row r="1275" spans="1:10">
      <c r="A1275" s="1">
        <v>46084.87222222222</v>
      </c>
      <c r="B1275">
        <v>112.2781291402617</v>
      </c>
      <c r="C1275">
        <v>196823.7807122386</v>
      </c>
      <c r="D1275">
        <v>96906.925583862903</v>
      </c>
      <c r="E1275">
        <v>99916.855128375682</v>
      </c>
      <c r="F1275">
        <v>0</v>
      </c>
      <c r="G1275">
        <v>-399.97332413244368</v>
      </c>
      <c r="H1275">
        <v>-287.695194992182</v>
      </c>
      <c r="I1275">
        <v>39364.756142447717</v>
      </c>
      <c r="J1275">
        <v>39652.451337439903</v>
      </c>
    </row>
    <row r="1276" spans="1:10">
      <c r="A1276" s="1">
        <v>46084.872916666667</v>
      </c>
      <c r="B1276">
        <v>100.6378471128677</v>
      </c>
      <c r="C1276">
        <v>196835.42099426599</v>
      </c>
      <c r="D1276">
        <v>96906.925583862903</v>
      </c>
      <c r="E1276">
        <v>99928.495410403077</v>
      </c>
      <c r="F1276">
        <v>0</v>
      </c>
      <c r="G1276">
        <v>-399.97332413244368</v>
      </c>
      <c r="H1276">
        <v>-299.33547701957599</v>
      </c>
      <c r="I1276">
        <v>39367.084198853197</v>
      </c>
      <c r="J1276">
        <v>39666.419675872778</v>
      </c>
    </row>
    <row r="1277" spans="1:10">
      <c r="A1277" s="3">
        <v>46084.873611111107</v>
      </c>
      <c r="B1277" s="4">
        <v>198.61270666299981</v>
      </c>
      <c r="C1277" s="4">
        <v>196989.9343665207</v>
      </c>
      <c r="D1277" s="4">
        <v>97033.169699765305</v>
      </c>
      <c r="E1277" s="4">
        <v>99956.764666755364</v>
      </c>
      <c r="F1277" s="4">
        <v>0</v>
      </c>
      <c r="G1277" s="4">
        <v>-399.97332413244368</v>
      </c>
      <c r="H1277" s="4">
        <v>-201.36061746944389</v>
      </c>
      <c r="I1277" s="4">
        <v>39397.986873304137</v>
      </c>
      <c r="J1277" s="4">
        <v>39599.34749077358</v>
      </c>
    </row>
    <row r="1278" spans="1:10">
      <c r="A1278" s="3">
        <v>46084.874305555553</v>
      </c>
      <c r="B1278" s="4">
        <v>347.2082805616767</v>
      </c>
      <c r="C1278" s="4">
        <v>196919.02747933121</v>
      </c>
      <c r="D1278" s="4">
        <v>97072.014043119896</v>
      </c>
      <c r="E1278" s="4">
        <v>99847.013436211259</v>
      </c>
      <c r="F1278" s="4">
        <v>0</v>
      </c>
      <c r="G1278" s="4">
        <v>-399.97332413244368</v>
      </c>
      <c r="H1278" s="4">
        <v>-52.765043570766977</v>
      </c>
      <c r="I1278" s="4">
        <v>39383.805495866232</v>
      </c>
      <c r="J1278" s="4">
        <v>39436.570539437002</v>
      </c>
    </row>
    <row r="1279" spans="1:10">
      <c r="A1279" s="1">
        <v>46084.875</v>
      </c>
      <c r="B1279">
        <v>347.2082805616767</v>
      </c>
      <c r="C1279">
        <v>196919.02747933121</v>
      </c>
      <c r="D1279">
        <v>97072.014043119896</v>
      </c>
      <c r="E1279">
        <v>99847.013436211259</v>
      </c>
      <c r="F1279">
        <v>0</v>
      </c>
      <c r="G1279">
        <v>-399.97332413244368</v>
      </c>
      <c r="H1279">
        <v>-52.765043570766977</v>
      </c>
      <c r="I1279">
        <v>39383.805495866232</v>
      </c>
      <c r="J1279">
        <v>39436.570539437002</v>
      </c>
    </row>
    <row r="1280" spans="1:10">
      <c r="A1280" s="1">
        <v>46085.576388888891</v>
      </c>
      <c r="B1280">
        <v>-178.26730810400909</v>
      </c>
      <c r="C1280">
        <v>197444.50306799679</v>
      </c>
      <c r="D1280">
        <v>97072.014043119896</v>
      </c>
      <c r="E1280">
        <v>100372.489024877</v>
      </c>
      <c r="F1280">
        <v>0</v>
      </c>
      <c r="G1280">
        <v>-399.97332413244368</v>
      </c>
      <c r="H1280">
        <v>-578.24063223645283</v>
      </c>
      <c r="I1280">
        <v>39488.90061359937</v>
      </c>
      <c r="J1280">
        <v>40067.141245835817</v>
      </c>
    </row>
    <row r="1281" spans="1:10">
      <c r="A1281" s="3">
        <v>46085.577777777777</v>
      </c>
      <c r="B1281" s="4">
        <v>-178.26730810400909</v>
      </c>
      <c r="C1281" s="4">
        <v>197444.50306799679</v>
      </c>
      <c r="D1281" s="4">
        <v>97072.014043119896</v>
      </c>
      <c r="E1281" s="4">
        <v>100372.489024877</v>
      </c>
      <c r="F1281" s="4">
        <v>0</v>
      </c>
      <c r="G1281" s="4">
        <v>-399.97332413244368</v>
      </c>
      <c r="H1281" s="4">
        <v>-578.24063223645283</v>
      </c>
      <c r="I1281" s="4">
        <v>39488.90061359937</v>
      </c>
      <c r="J1281" s="4">
        <v>40067.141245835817</v>
      </c>
    </row>
    <row r="1282" spans="1:10">
      <c r="A1282" s="3">
        <v>46085.591666666667</v>
      </c>
      <c r="B1282" s="4">
        <v>-111.7514108045584</v>
      </c>
      <c r="C1282" s="4">
        <v>197377.98717069739</v>
      </c>
      <c r="D1282" s="4">
        <v>97072.014043119896</v>
      </c>
      <c r="E1282" s="4">
        <v>100305.9731275775</v>
      </c>
      <c r="F1282" s="4">
        <v>0</v>
      </c>
      <c r="G1282" s="4">
        <v>-399.97332413244368</v>
      </c>
      <c r="H1282" s="4">
        <v>-511.72473493700198</v>
      </c>
      <c r="I1282" s="4">
        <v>39475.597434139483</v>
      </c>
      <c r="J1282" s="4">
        <v>39987.322169076477</v>
      </c>
    </row>
    <row r="1283" spans="1:10">
      <c r="A1283" s="1">
        <v>46085.592361111107</v>
      </c>
      <c r="B1283">
        <v>-111.7514108045584</v>
      </c>
      <c r="C1283">
        <v>197377.98717069739</v>
      </c>
      <c r="D1283">
        <v>97072.014043119896</v>
      </c>
      <c r="E1283">
        <v>100305.9731275775</v>
      </c>
      <c r="F1283">
        <v>0</v>
      </c>
      <c r="G1283">
        <v>-399.97332413244368</v>
      </c>
      <c r="H1283">
        <v>-511.72473493700198</v>
      </c>
      <c r="I1283">
        <v>39475.597434139483</v>
      </c>
      <c r="J1283">
        <v>39987.322169076477</v>
      </c>
    </row>
    <row r="1284" spans="1:10">
      <c r="A1284" s="1">
        <v>46085.604166666657</v>
      </c>
      <c r="B1284">
        <v>545.02797013271652</v>
      </c>
      <c r="C1284">
        <v>196604.67475969641</v>
      </c>
      <c r="D1284">
        <v>97013.747528088017</v>
      </c>
      <c r="E1284">
        <v>99590.927231608352</v>
      </c>
      <c r="F1284">
        <v>0</v>
      </c>
      <c r="G1284">
        <v>-399.97332413244368</v>
      </c>
      <c r="H1284">
        <v>145.05464600027281</v>
      </c>
      <c r="I1284">
        <v>39320.934951939271</v>
      </c>
      <c r="J1284">
        <v>39175.880305938997</v>
      </c>
    </row>
    <row r="1285" spans="1:10">
      <c r="A1285" s="1">
        <v>46085.604861111111</v>
      </c>
      <c r="B1285">
        <v>539.4415754278366</v>
      </c>
      <c r="C1285">
        <v>196532.57246769211</v>
      </c>
      <c r="D1285">
        <v>96974.903184733426</v>
      </c>
      <c r="E1285">
        <v>99557.669282958639</v>
      </c>
      <c r="F1285">
        <v>0</v>
      </c>
      <c r="G1285">
        <v>-399.97332413244368</v>
      </c>
      <c r="H1285">
        <v>139.46825129539289</v>
      </c>
      <c r="I1285">
        <v>39306.514493538423</v>
      </c>
      <c r="J1285">
        <v>39167.046242243021</v>
      </c>
    </row>
    <row r="1286" spans="1:10">
      <c r="A1286" s="1">
        <v>46085.605555555558</v>
      </c>
      <c r="B1286">
        <v>0</v>
      </c>
      <c r="C1286">
        <v>0</v>
      </c>
      <c r="D1286">
        <v>0</v>
      </c>
      <c r="E1286">
        <v>0</v>
      </c>
      <c r="F1286">
        <v>207.18588178899861</v>
      </c>
      <c r="G1286">
        <v>-192.78744234344501</v>
      </c>
      <c r="H1286">
        <v>-192.78744234344501</v>
      </c>
      <c r="I1286">
        <v>0</v>
      </c>
      <c r="J1286">
        <v>192.78744234344501</v>
      </c>
    </row>
    <row r="1287" spans="1:10">
      <c r="A1287" s="3">
        <v>46086.604861111111</v>
      </c>
      <c r="B1287" s="4">
        <v>0</v>
      </c>
      <c r="C1287" s="4">
        <v>196877.792326347</v>
      </c>
      <c r="D1287" s="4">
        <v>96877.792326346957</v>
      </c>
      <c r="E1287" s="4">
        <v>100000</v>
      </c>
      <c r="F1287" s="4">
        <v>0</v>
      </c>
      <c r="G1287" s="4">
        <v>-192.78744234344501</v>
      </c>
      <c r="H1287" s="4">
        <v>-192.78744234344501</v>
      </c>
      <c r="I1287" s="4">
        <v>39375.558465269387</v>
      </c>
      <c r="J1287" s="4">
        <v>39568.345907612842</v>
      </c>
    </row>
    <row r="1288" spans="1:10">
      <c r="A1288" s="1">
        <v>46086.605555555558</v>
      </c>
      <c r="B1288">
        <v>-325.16969408074749</v>
      </c>
      <c r="C1288">
        <v>197241.63193054701</v>
      </c>
      <c r="D1288">
        <v>96897.127281406603</v>
      </c>
      <c r="E1288">
        <v>100344.50464914041</v>
      </c>
      <c r="F1288">
        <v>0</v>
      </c>
      <c r="G1288">
        <v>-192.78744234344501</v>
      </c>
      <c r="H1288">
        <v>-517.95713642419264</v>
      </c>
      <c r="I1288">
        <v>39448.326386109402</v>
      </c>
      <c r="J1288">
        <v>39966.283522533588</v>
      </c>
    </row>
    <row r="1289" spans="1:10">
      <c r="A1289" s="3">
        <v>46086.606249999997</v>
      </c>
      <c r="B1289" s="4">
        <v>-83.894353450177761</v>
      </c>
      <c r="C1289" s="4">
        <v>197329.0508259304</v>
      </c>
      <c r="D1289" s="4">
        <v>97061.474399413579</v>
      </c>
      <c r="E1289" s="4">
        <v>100267.5764265168</v>
      </c>
      <c r="F1289" s="4">
        <v>0</v>
      </c>
      <c r="G1289" s="4">
        <v>-192.78744234344501</v>
      </c>
      <c r="H1289" s="4">
        <v>-276.68179579362283</v>
      </c>
      <c r="I1289" s="4">
        <v>39465.810165186078</v>
      </c>
      <c r="J1289" s="4">
        <v>39742.4919609797</v>
      </c>
    </row>
    <row r="1290" spans="1:10">
      <c r="A1290" s="3">
        <v>46086.606944444437</v>
      </c>
      <c r="B1290" s="4">
        <v>-220.70559272593181</v>
      </c>
      <c r="C1290" s="4">
        <v>197272.5125146097</v>
      </c>
      <c r="D1290" s="4">
        <v>96964.79962411536</v>
      </c>
      <c r="E1290" s="4">
        <v>100307.71289049429</v>
      </c>
      <c r="F1290" s="4">
        <v>0</v>
      </c>
      <c r="G1290" s="4">
        <v>-192.78744234344501</v>
      </c>
      <c r="H1290" s="4">
        <v>-413.49303506937679</v>
      </c>
      <c r="I1290" s="4">
        <v>39454.50250292194</v>
      </c>
      <c r="J1290" s="4">
        <v>39867.995537991323</v>
      </c>
    </row>
    <row r="1291" spans="1:10">
      <c r="A1291" s="1">
        <v>46086.607638888891</v>
      </c>
      <c r="B1291">
        <v>-257.81903068612621</v>
      </c>
      <c r="C1291">
        <v>197502.97550316629</v>
      </c>
      <c r="D1291">
        <v>97061.474399413579</v>
      </c>
      <c r="E1291">
        <v>100441.5011037528</v>
      </c>
      <c r="F1291">
        <v>0</v>
      </c>
      <c r="G1291">
        <v>-192.78744234344501</v>
      </c>
      <c r="H1291">
        <v>-450.60647302957119</v>
      </c>
      <c r="I1291">
        <v>39500.595100633269</v>
      </c>
      <c r="J1291">
        <v>39951.201573662838</v>
      </c>
    </row>
    <row r="1292" spans="1:10">
      <c r="A1292" s="1">
        <v>46086.60833333333</v>
      </c>
      <c r="B1292">
        <v>-266.06491350814588</v>
      </c>
      <c r="C1292">
        <v>197240.53201515341</v>
      </c>
      <c r="D1292">
        <v>96926.129713996081</v>
      </c>
      <c r="E1292">
        <v>100314.4023011573</v>
      </c>
      <c r="F1292">
        <v>0</v>
      </c>
      <c r="G1292">
        <v>-192.78744234344501</v>
      </c>
      <c r="H1292">
        <v>-458.85235585159103</v>
      </c>
      <c r="I1292">
        <v>39448.106403030673</v>
      </c>
      <c r="J1292">
        <v>39906.958758882261</v>
      </c>
    </row>
    <row r="1293" spans="1:10">
      <c r="A1293" s="3">
        <v>46086.609027777777</v>
      </c>
      <c r="B1293" s="4">
        <v>-57.458390112640977</v>
      </c>
      <c r="C1293" s="4">
        <v>197495.9644131893</v>
      </c>
      <c r="D1293" s="4">
        <v>97158.149174711798</v>
      </c>
      <c r="E1293" s="4">
        <v>100337.8152384775</v>
      </c>
      <c r="F1293" s="4">
        <v>0</v>
      </c>
      <c r="G1293" s="4">
        <v>-192.78744234344501</v>
      </c>
      <c r="H1293" s="4">
        <v>-250.24583245608599</v>
      </c>
      <c r="I1293" s="4">
        <v>39499.192882637857</v>
      </c>
      <c r="J1293" s="4">
        <v>39749.438715093936</v>
      </c>
    </row>
    <row r="1294" spans="1:10">
      <c r="A1294" s="3">
        <v>46086.609722222223</v>
      </c>
      <c r="B1294" s="4">
        <v>-251.40634018689579</v>
      </c>
      <c r="C1294" s="4">
        <v>197863.92695880041</v>
      </c>
      <c r="D1294" s="4">
        <v>97245.156472480201</v>
      </c>
      <c r="E1294" s="4">
        <v>100618.77048632019</v>
      </c>
      <c r="F1294" s="4">
        <v>0</v>
      </c>
      <c r="G1294" s="4">
        <v>-192.78744234344501</v>
      </c>
      <c r="H1294" s="4">
        <v>-444.1937825303408</v>
      </c>
      <c r="I1294" s="4">
        <v>39572.785391760073</v>
      </c>
      <c r="J1294" s="4">
        <v>40016.979174290413</v>
      </c>
    </row>
    <row r="1295" spans="1:10">
      <c r="A1295" s="3">
        <v>46086.61041666667</v>
      </c>
      <c r="B1295" s="4">
        <v>-111.9387133583832</v>
      </c>
      <c r="C1295" s="4">
        <v>198130.49338822431</v>
      </c>
      <c r="D1295" s="4">
        <v>97448.173500606455</v>
      </c>
      <c r="E1295" s="4">
        <v>100682.31988761789</v>
      </c>
      <c r="F1295" s="4">
        <v>0</v>
      </c>
      <c r="G1295" s="4">
        <v>-192.78744234344501</v>
      </c>
      <c r="H1295" s="4">
        <v>-304.72615570182819</v>
      </c>
      <c r="I1295" s="4">
        <v>39626.09867764487</v>
      </c>
      <c r="J1295" s="4">
        <v>39930.824833346698</v>
      </c>
    </row>
    <row r="1296" spans="1:10">
      <c r="A1296" s="1">
        <v>46086.611111111109</v>
      </c>
      <c r="B1296">
        <v>-233.17130052094149</v>
      </c>
      <c r="C1296">
        <v>197942.3666944326</v>
      </c>
      <c r="D1296">
        <v>97293.493860129311</v>
      </c>
      <c r="E1296">
        <v>100648.8728343033</v>
      </c>
      <c r="F1296">
        <v>0</v>
      </c>
      <c r="G1296">
        <v>-192.78744234344501</v>
      </c>
      <c r="H1296">
        <v>-425.95874286438652</v>
      </c>
      <c r="I1296">
        <v>39588.473338886528</v>
      </c>
      <c r="J1296">
        <v>40014.432081750907</v>
      </c>
    </row>
    <row r="1297" spans="1:10">
      <c r="A1297" s="3">
        <v>46086.611805555563</v>
      </c>
      <c r="B1297" s="4">
        <v>-80.093091353315117</v>
      </c>
      <c r="C1297" s="4">
        <v>197653.94379984739</v>
      </c>
      <c r="D1297" s="4">
        <v>97225.821517420554</v>
      </c>
      <c r="E1297" s="4">
        <v>100428.12228242691</v>
      </c>
      <c r="F1297" s="4">
        <v>0</v>
      </c>
      <c r="G1297" s="4">
        <v>-192.78744234344501</v>
      </c>
      <c r="H1297" s="4">
        <v>-272.88053369676021</v>
      </c>
      <c r="I1297" s="4">
        <v>39530.788759969502</v>
      </c>
      <c r="J1297" s="4">
        <v>39803.669293666258</v>
      </c>
    </row>
    <row r="1298" spans="1:10">
      <c r="A1298" s="1">
        <v>46086.612500000003</v>
      </c>
      <c r="B1298">
        <v>-77.204942787263263</v>
      </c>
      <c r="C1298">
        <v>197322.36141526751</v>
      </c>
      <c r="D1298">
        <v>97061.474399413579</v>
      </c>
      <c r="E1298">
        <v>100260.88701585391</v>
      </c>
      <c r="F1298">
        <v>0</v>
      </c>
      <c r="G1298">
        <v>-192.78744234344501</v>
      </c>
      <c r="H1298">
        <v>-269.99238513070833</v>
      </c>
      <c r="I1298">
        <v>39464.472283053503</v>
      </c>
      <c r="J1298">
        <v>39734.464668184213</v>
      </c>
    </row>
    <row r="1299" spans="1:10">
      <c r="A1299" s="3">
        <v>46086.613194444442</v>
      </c>
      <c r="B1299" s="4">
        <v>0</v>
      </c>
      <c r="C1299" s="4">
        <v>0</v>
      </c>
      <c r="D1299" s="4">
        <v>0</v>
      </c>
      <c r="E1299" s="4">
        <v>0</v>
      </c>
      <c r="F1299" s="4">
        <v>-28.91830508675115</v>
      </c>
      <c r="G1299" s="4">
        <v>-221.7057474301962</v>
      </c>
      <c r="H1299" s="4">
        <v>-221.7057474301962</v>
      </c>
      <c r="I1299" s="4">
        <v>0</v>
      </c>
      <c r="J1299" s="4">
        <v>221.7057474301962</v>
      </c>
    </row>
    <row r="1300" spans="1:10">
      <c r="A1300" s="1">
        <v>46090.5625</v>
      </c>
      <c r="B1300">
        <v>0</v>
      </c>
      <c r="C1300">
        <v>196877.792326347</v>
      </c>
      <c r="D1300">
        <v>96877.792326346957</v>
      </c>
      <c r="E1300">
        <v>100000</v>
      </c>
      <c r="F1300">
        <v>0</v>
      </c>
      <c r="G1300">
        <v>-221.7057474301962</v>
      </c>
      <c r="H1300">
        <v>-221.7057474301962</v>
      </c>
      <c r="I1300">
        <v>39375.558465269387</v>
      </c>
      <c r="J1300">
        <v>39597.264212699592</v>
      </c>
    </row>
    <row r="1301" spans="1:10">
      <c r="A1301" s="1">
        <v>46090.563194444447</v>
      </c>
      <c r="B1301">
        <v>110.4279404310635</v>
      </c>
      <c r="C1301">
        <v>196523.33972010651</v>
      </c>
      <c r="D1301">
        <v>96755.779993442236</v>
      </c>
      <c r="E1301">
        <v>99767.559726664214</v>
      </c>
      <c r="F1301">
        <v>0</v>
      </c>
      <c r="G1301">
        <v>-221.7057474301962</v>
      </c>
      <c r="H1301">
        <v>-111.27780699913269</v>
      </c>
      <c r="I1301">
        <v>39304.66794402129</v>
      </c>
      <c r="J1301">
        <v>39415.945751020423</v>
      </c>
    </row>
    <row r="1302" spans="1:10">
      <c r="A1302" s="1">
        <v>46090.563888888893</v>
      </c>
      <c r="B1302">
        <v>73.252505252339176</v>
      </c>
      <c r="C1302">
        <v>196479.17360001529</v>
      </c>
      <c r="D1302">
        <v>96715.10921580733</v>
      </c>
      <c r="E1302">
        <v>99764.064384208032</v>
      </c>
      <c r="F1302">
        <v>0</v>
      </c>
      <c r="G1302">
        <v>-221.7057474301962</v>
      </c>
      <c r="H1302">
        <v>-148.45324217785699</v>
      </c>
      <c r="I1302">
        <v>39295.834720003069</v>
      </c>
      <c r="J1302">
        <v>39444.287962180933</v>
      </c>
    </row>
    <row r="1303" spans="1:10">
      <c r="A1303" s="3">
        <v>46090.564583333333</v>
      </c>
      <c r="B1303" s="4">
        <v>1.4356583699711789</v>
      </c>
      <c r="C1303" s="4">
        <v>196673.00277980251</v>
      </c>
      <c r="D1303" s="4">
        <v>96776.115382259697</v>
      </c>
      <c r="E1303" s="4">
        <v>99896.88739754277</v>
      </c>
      <c r="F1303" s="4">
        <v>0</v>
      </c>
      <c r="G1303" s="4">
        <v>-221.7057474301962</v>
      </c>
      <c r="H1303" s="4">
        <v>-220.27008906022499</v>
      </c>
      <c r="I1303" s="4">
        <v>39334.600555960496</v>
      </c>
      <c r="J1303" s="4">
        <v>39554.870645020717</v>
      </c>
    </row>
    <row r="1304" spans="1:10">
      <c r="A1304" s="1">
        <v>46090.56527777778</v>
      </c>
      <c r="B1304">
        <v>-90.073591308571594</v>
      </c>
      <c r="C1304">
        <v>196581.4935301239</v>
      </c>
      <c r="D1304">
        <v>96684.606132581161</v>
      </c>
      <c r="E1304">
        <v>99896.88739754277</v>
      </c>
      <c r="F1304">
        <v>0</v>
      </c>
      <c r="G1304">
        <v>-221.7057474301962</v>
      </c>
      <c r="H1304">
        <v>-311.77933873876782</v>
      </c>
      <c r="I1304">
        <v>39316.298706024791</v>
      </c>
      <c r="J1304">
        <v>39628.078044763563</v>
      </c>
    </row>
    <row r="1305" spans="1:10">
      <c r="A1305" s="1">
        <v>46090.565972222219</v>
      </c>
      <c r="B1305">
        <v>-176.48951363022709</v>
      </c>
      <c r="C1305">
        <v>196159.52473200919</v>
      </c>
      <c r="D1305">
        <v>96430.413772362983</v>
      </c>
      <c r="E1305">
        <v>99729.110959646263</v>
      </c>
      <c r="F1305">
        <v>0</v>
      </c>
      <c r="G1305">
        <v>-221.7057474301962</v>
      </c>
      <c r="H1305">
        <v>-398.19526106042332</v>
      </c>
      <c r="I1305">
        <v>39231.904946401854</v>
      </c>
      <c r="J1305">
        <v>39630.100207462267</v>
      </c>
    </row>
    <row r="1306" spans="1:10">
      <c r="A1306" s="3">
        <v>46090.566666666673</v>
      </c>
      <c r="B1306" s="4">
        <v>-145.34344438277179</v>
      </c>
      <c r="C1306" s="4">
        <v>195925.02477458719</v>
      </c>
      <c r="D1306" s="4">
        <v>96328.736828275709</v>
      </c>
      <c r="E1306" s="4">
        <v>99596.287946311524</v>
      </c>
      <c r="F1306" s="4">
        <v>0</v>
      </c>
      <c r="G1306" s="4">
        <v>-221.7057474301962</v>
      </c>
      <c r="H1306" s="4">
        <v>-367.04919181296799</v>
      </c>
      <c r="I1306" s="4">
        <v>39185.004954917451</v>
      </c>
      <c r="J1306" s="4">
        <v>39552.054146730421</v>
      </c>
    </row>
    <row r="1307" spans="1:10">
      <c r="A1307" s="1">
        <v>46090.567361111112</v>
      </c>
      <c r="B1307">
        <v>-177.7565253677819</v>
      </c>
      <c r="C1307">
        <v>196018.4440220246</v>
      </c>
      <c r="D1307">
        <v>96359.239911501892</v>
      </c>
      <c r="E1307">
        <v>99659.204110522725</v>
      </c>
      <c r="F1307">
        <v>0</v>
      </c>
      <c r="G1307">
        <v>-221.7057474301962</v>
      </c>
      <c r="H1307">
        <v>-399.46227279797807</v>
      </c>
      <c r="I1307">
        <v>39203.688804404926</v>
      </c>
      <c r="J1307">
        <v>39603.151077202907</v>
      </c>
    </row>
    <row r="1308" spans="1:10">
      <c r="A1308" s="1">
        <v>46090.568055555559</v>
      </c>
      <c r="B1308">
        <v>-107.849676244243</v>
      </c>
      <c r="C1308">
        <v>195948.53717290109</v>
      </c>
      <c r="D1308">
        <v>96359.239911501892</v>
      </c>
      <c r="E1308">
        <v>99589.297261399188</v>
      </c>
      <c r="F1308">
        <v>0</v>
      </c>
      <c r="G1308">
        <v>-221.7057474301962</v>
      </c>
      <c r="H1308">
        <v>-329.55542367443923</v>
      </c>
      <c r="I1308">
        <v>39189.707434580218</v>
      </c>
      <c r="J1308">
        <v>39519.262858254653</v>
      </c>
    </row>
    <row r="1309" spans="1:10">
      <c r="A1309" s="3">
        <v>46090.568749999999</v>
      </c>
      <c r="B1309" s="4">
        <v>-41.931469270758839</v>
      </c>
      <c r="C1309" s="4">
        <v>196472.3452416338</v>
      </c>
      <c r="D1309" s="4">
        <v>96654.103049354977</v>
      </c>
      <c r="E1309" s="4">
        <v>99818.242192278776</v>
      </c>
      <c r="F1309" s="4">
        <v>0</v>
      </c>
      <c r="G1309" s="4">
        <v>-221.7057474301962</v>
      </c>
      <c r="H1309" s="4">
        <v>-263.63721670095498</v>
      </c>
      <c r="I1309" s="4">
        <v>39294.469048326762</v>
      </c>
      <c r="J1309" s="4">
        <v>39558.106265027709</v>
      </c>
    </row>
    <row r="1310" spans="1:10">
      <c r="A1310" s="1">
        <v>46090.569444444453</v>
      </c>
      <c r="B1310">
        <v>179.07409791875631</v>
      </c>
      <c r="C1310">
        <v>196088.6565639046</v>
      </c>
      <c r="D1310">
        <v>96572.761494085164</v>
      </c>
      <c r="E1310">
        <v>99515.895069819453</v>
      </c>
      <c r="F1310">
        <v>0</v>
      </c>
      <c r="G1310">
        <v>-221.7057474301962</v>
      </c>
      <c r="H1310">
        <v>-42.631649511439953</v>
      </c>
      <c r="I1310">
        <v>39217.731312780918</v>
      </c>
      <c r="J1310">
        <v>39260.362962292362</v>
      </c>
    </row>
    <row r="1311" spans="1:10">
      <c r="A1311" s="3">
        <v>46090.570138888892</v>
      </c>
      <c r="B1311" s="4">
        <v>250.7286182703821</v>
      </c>
      <c r="C1311" s="4">
        <v>196017.00204355299</v>
      </c>
      <c r="D1311" s="4">
        <v>96572.761494085164</v>
      </c>
      <c r="E1311" s="4">
        <v>99444.240549467824</v>
      </c>
      <c r="F1311" s="4">
        <v>0</v>
      </c>
      <c r="G1311" s="4">
        <v>-221.7057474301962</v>
      </c>
      <c r="H1311" s="4">
        <v>29.022870840185931</v>
      </c>
      <c r="I1311" s="4">
        <v>39203.4004087106</v>
      </c>
      <c r="J1311" s="4">
        <v>39174.377537870423</v>
      </c>
    </row>
    <row r="1312" spans="1:10">
      <c r="A1312" s="1">
        <v>46090.570833333331</v>
      </c>
      <c r="B1312">
        <v>234.3629112979649</v>
      </c>
      <c r="C1312">
        <v>196074.03852816031</v>
      </c>
      <c r="D1312">
        <v>96593.09688290261</v>
      </c>
      <c r="E1312">
        <v>99480.941645257684</v>
      </c>
      <c r="F1312">
        <v>0</v>
      </c>
      <c r="G1312">
        <v>-221.7057474301962</v>
      </c>
      <c r="H1312">
        <v>12.6571638677687</v>
      </c>
      <c r="I1312">
        <v>39214.807705632062</v>
      </c>
      <c r="J1312">
        <v>39202.150541764291</v>
      </c>
    </row>
    <row r="1313" spans="1:10">
      <c r="A1313" s="1">
        <v>46090.571527777778</v>
      </c>
      <c r="B1313">
        <v>0</v>
      </c>
      <c r="C1313">
        <v>0</v>
      </c>
      <c r="D1313">
        <v>0</v>
      </c>
      <c r="E1313">
        <v>0</v>
      </c>
      <c r="F1313">
        <v>250.03592105868819</v>
      </c>
      <c r="G1313">
        <v>28.330173628491959</v>
      </c>
      <c r="H1313">
        <v>28.330173628491959</v>
      </c>
      <c r="I1313">
        <v>0</v>
      </c>
      <c r="J1313">
        <v>-28.330173628491959</v>
      </c>
    </row>
    <row r="1314" spans="1:10">
      <c r="A1314" s="3">
        <v>46091.5625</v>
      </c>
      <c r="B1314" s="4">
        <v>0</v>
      </c>
      <c r="C1314" s="4">
        <v>196877.792326347</v>
      </c>
      <c r="D1314" s="4">
        <v>100000</v>
      </c>
      <c r="E1314" s="4">
        <v>96877.792326346957</v>
      </c>
      <c r="F1314" s="4">
        <v>0</v>
      </c>
      <c r="G1314" s="4">
        <v>28.330173628491959</v>
      </c>
      <c r="H1314" s="4">
        <v>28.330173628491959</v>
      </c>
      <c r="I1314" s="4">
        <v>39375.558465269387</v>
      </c>
      <c r="J1314" s="4">
        <v>39347.228291640902</v>
      </c>
    </row>
    <row r="1315" spans="1:10">
      <c r="A1315" s="3">
        <v>46091.563194444447</v>
      </c>
      <c r="B1315" s="4">
        <v>441.91982123894212</v>
      </c>
      <c r="C1315" s="4">
        <v>197038.7906288268</v>
      </c>
      <c r="D1315" s="4">
        <v>100301.45906185939</v>
      </c>
      <c r="E1315" s="4">
        <v>96737.331566967419</v>
      </c>
      <c r="F1315" s="4">
        <v>0</v>
      </c>
      <c r="G1315" s="4">
        <v>28.330173628491959</v>
      </c>
      <c r="H1315" s="4">
        <v>470.249994867434</v>
      </c>
      <c r="I1315" s="4">
        <v>39407.758125765373</v>
      </c>
      <c r="J1315" s="4">
        <v>38937.508130897928</v>
      </c>
    </row>
    <row r="1316" spans="1:10">
      <c r="A1316" s="1">
        <v>46091.563888888893</v>
      </c>
      <c r="B1316">
        <v>93.115997440114839</v>
      </c>
      <c r="C1316">
        <v>197091.3032603981</v>
      </c>
      <c r="D1316">
        <v>100153.3134657456</v>
      </c>
      <c r="E1316">
        <v>96937.989794652487</v>
      </c>
      <c r="F1316">
        <v>0</v>
      </c>
      <c r="G1316">
        <v>28.330173628491959</v>
      </c>
      <c r="H1316">
        <v>121.4461710686068</v>
      </c>
      <c r="I1316">
        <v>39418.260652079633</v>
      </c>
      <c r="J1316">
        <v>39296.814481011017</v>
      </c>
    </row>
    <row r="1317" spans="1:10">
      <c r="A1317" s="3">
        <v>46091.564583333333</v>
      </c>
      <c r="B1317" s="4">
        <v>17.320576172618861</v>
      </c>
      <c r="C1317" s="4">
        <v>197015.50783913059</v>
      </c>
      <c r="D1317" s="4">
        <v>100077.5180444781</v>
      </c>
      <c r="E1317" s="4">
        <v>96937.989794652487</v>
      </c>
      <c r="F1317" s="4">
        <v>0</v>
      </c>
      <c r="G1317" s="4">
        <v>28.330173628491959</v>
      </c>
      <c r="H1317" s="4">
        <v>45.65074980111082</v>
      </c>
      <c r="I1317" s="4">
        <v>39403.101567826117</v>
      </c>
      <c r="J1317" s="4">
        <v>39357.450818025012</v>
      </c>
    </row>
    <row r="1318" spans="1:10">
      <c r="A1318" s="1">
        <v>46091.56527777778</v>
      </c>
      <c r="B1318">
        <v>54.573039686546338</v>
      </c>
      <c r="C1318">
        <v>197694.86663123671</v>
      </c>
      <c r="D1318">
        <v>100435.8236722882</v>
      </c>
      <c r="E1318">
        <v>97259.042958948572</v>
      </c>
      <c r="F1318">
        <v>0</v>
      </c>
      <c r="G1318">
        <v>28.330173628491959</v>
      </c>
      <c r="H1318">
        <v>82.9032133150383</v>
      </c>
      <c r="I1318">
        <v>39538.973326247353</v>
      </c>
      <c r="J1318">
        <v>39456.070112932313</v>
      </c>
    </row>
    <row r="1319" spans="1:10">
      <c r="A1319" s="1">
        <v>46091.565972222219</v>
      </c>
      <c r="B1319">
        <v>176.40756730912511</v>
      </c>
      <c r="C1319">
        <v>197214.72647580411</v>
      </c>
      <c r="D1319">
        <v>100256.67085838311</v>
      </c>
      <c r="E1319">
        <v>96958.055617420978</v>
      </c>
      <c r="F1319">
        <v>0</v>
      </c>
      <c r="G1319">
        <v>28.330173628491959</v>
      </c>
      <c r="H1319">
        <v>204.7377409376171</v>
      </c>
      <c r="I1319">
        <v>39442.945295160833</v>
      </c>
      <c r="J1319">
        <v>39238.207554223212</v>
      </c>
    </row>
    <row r="1320" spans="1:10">
      <c r="A1320" s="1">
        <v>46091.566666666673</v>
      </c>
      <c r="B1320">
        <v>-21.411069713676739</v>
      </c>
      <c r="C1320">
        <v>197378.0926486144</v>
      </c>
      <c r="D1320">
        <v>100239.44462627691</v>
      </c>
      <c r="E1320">
        <v>97138.648022337526</v>
      </c>
      <c r="F1320">
        <v>0</v>
      </c>
      <c r="G1320">
        <v>28.330173628491959</v>
      </c>
      <c r="H1320">
        <v>6.9191039148152242</v>
      </c>
      <c r="I1320">
        <v>39475.618529722888</v>
      </c>
      <c r="J1320">
        <v>39468.699425808067</v>
      </c>
    </row>
    <row r="1321" spans="1:10">
      <c r="A1321" s="1">
        <v>46091.567361111112</v>
      </c>
      <c r="B1321">
        <v>-14.10360924490374</v>
      </c>
      <c r="C1321">
        <v>197184.74188139811</v>
      </c>
      <c r="D1321">
        <v>100146.42297290311</v>
      </c>
      <c r="E1321">
        <v>97038.318908494999</v>
      </c>
      <c r="F1321">
        <v>0</v>
      </c>
      <c r="G1321">
        <v>28.330173628491959</v>
      </c>
      <c r="H1321">
        <v>14.226564383588229</v>
      </c>
      <c r="I1321">
        <v>39436.94837627963</v>
      </c>
      <c r="J1321">
        <v>39422.721811896037</v>
      </c>
    </row>
    <row r="1322" spans="1:10">
      <c r="A1322" s="1">
        <v>46091.568055555559</v>
      </c>
      <c r="B1322">
        <v>302.78451312417621</v>
      </c>
      <c r="C1322">
        <v>197040.1160800916</v>
      </c>
      <c r="D1322">
        <v>100232.5541334344</v>
      </c>
      <c r="E1322">
        <v>96807.561946657181</v>
      </c>
      <c r="F1322">
        <v>0</v>
      </c>
      <c r="G1322">
        <v>28.330173628491959</v>
      </c>
      <c r="H1322">
        <v>331.11468675266809</v>
      </c>
      <c r="I1322">
        <v>39408.023216018308</v>
      </c>
      <c r="J1322">
        <v>39076.908529265653</v>
      </c>
    </row>
    <row r="1323" spans="1:10">
      <c r="A1323" s="1">
        <v>46091.568749999999</v>
      </c>
      <c r="B1323">
        <v>251.10581680541031</v>
      </c>
      <c r="C1323">
        <v>196988.43738377281</v>
      </c>
      <c r="D1323">
        <v>100180.8754371156</v>
      </c>
      <c r="E1323">
        <v>96807.561946657181</v>
      </c>
      <c r="F1323">
        <v>0</v>
      </c>
      <c r="G1323">
        <v>28.330173628491959</v>
      </c>
      <c r="H1323">
        <v>279.43599043390219</v>
      </c>
      <c r="I1323">
        <v>39397.687476754567</v>
      </c>
      <c r="J1323">
        <v>39118.251486320667</v>
      </c>
    </row>
    <row r="1324" spans="1:10">
      <c r="A1324" s="3">
        <v>46091.569444444453</v>
      </c>
      <c r="B1324" s="4">
        <v>181.48109287463231</v>
      </c>
      <c r="C1324" s="4">
        <v>197099.40506475861</v>
      </c>
      <c r="D1324" s="4">
        <v>100201.54691564311</v>
      </c>
      <c r="E1324" s="4">
        <v>96897.858149115462</v>
      </c>
      <c r="F1324" s="4">
        <v>0</v>
      </c>
      <c r="G1324" s="4">
        <v>28.330173628491959</v>
      </c>
      <c r="H1324" s="4">
        <v>209.8112665031243</v>
      </c>
      <c r="I1324" s="4">
        <v>39419.881012951722</v>
      </c>
      <c r="J1324" s="4">
        <v>39210.0697464486</v>
      </c>
    </row>
    <row r="1325" spans="1:10">
      <c r="A1325" s="3">
        <v>46091.570138888892</v>
      </c>
      <c r="B1325" s="4">
        <v>114.31858334066651</v>
      </c>
      <c r="C1325" s="4">
        <v>196691.12356815999</v>
      </c>
      <c r="D1325" s="4">
        <v>99963.824912576863</v>
      </c>
      <c r="E1325" s="4">
        <v>96727.298655583159</v>
      </c>
      <c r="F1325" s="4">
        <v>0</v>
      </c>
      <c r="G1325" s="4">
        <v>28.330173628491959</v>
      </c>
      <c r="H1325" s="4">
        <v>142.6487569691584</v>
      </c>
      <c r="I1325" s="4">
        <v>39338.224713632007</v>
      </c>
      <c r="J1325" s="4">
        <v>39195.575956662848</v>
      </c>
    </row>
    <row r="1326" spans="1:10">
      <c r="A1326" s="1">
        <v>46091.570833333331</v>
      </c>
      <c r="B1326">
        <v>184.85179090994779</v>
      </c>
      <c r="C1326">
        <v>196641.26183911829</v>
      </c>
      <c r="D1326">
        <v>99974.160651840619</v>
      </c>
      <c r="E1326">
        <v>96667.101187277643</v>
      </c>
      <c r="F1326">
        <v>0</v>
      </c>
      <c r="G1326">
        <v>28.330173628491959</v>
      </c>
      <c r="H1326">
        <v>213.18196453843979</v>
      </c>
      <c r="I1326">
        <v>39328.252367823647</v>
      </c>
      <c r="J1326">
        <v>39115.070403285223</v>
      </c>
    </row>
    <row r="1327" spans="1:10">
      <c r="A1327" s="3">
        <v>46091.571527777778</v>
      </c>
      <c r="B1327" s="4">
        <v>275.98192862076598</v>
      </c>
      <c r="C1327" s="4">
        <v>196150.4831165424</v>
      </c>
      <c r="D1327" s="4">
        <v>99774.336359408117</v>
      </c>
      <c r="E1327" s="4">
        <v>96376.146757134309</v>
      </c>
      <c r="F1327" s="4">
        <v>0</v>
      </c>
      <c r="G1327" s="4">
        <v>28.330173628491959</v>
      </c>
      <c r="H1327" s="4">
        <v>304.31210224925792</v>
      </c>
      <c r="I1327" s="4">
        <v>39230.096623308476</v>
      </c>
      <c r="J1327" s="4">
        <v>38925.784521059228</v>
      </c>
    </row>
    <row r="1328" spans="1:10">
      <c r="A1328" s="3">
        <v>46091.572222222218</v>
      </c>
      <c r="B1328" s="4">
        <v>0</v>
      </c>
      <c r="C1328" s="4">
        <v>0</v>
      </c>
      <c r="D1328" s="4">
        <v>0</v>
      </c>
      <c r="E1328" s="4">
        <v>0</v>
      </c>
      <c r="F1328" s="4">
        <v>241.930411117342</v>
      </c>
      <c r="G1328" s="4">
        <v>270.26058474583402</v>
      </c>
      <c r="H1328" s="4">
        <v>270.26058474583402</v>
      </c>
      <c r="I1328" s="4">
        <v>0</v>
      </c>
      <c r="J1328" s="4">
        <v>-270.26058474583402</v>
      </c>
    </row>
    <row r="1329" spans="1:10">
      <c r="A1329" s="1">
        <v>46091.742361111108</v>
      </c>
      <c r="B1329">
        <v>0</v>
      </c>
      <c r="C1329">
        <v>196877.792326347</v>
      </c>
      <c r="D1329">
        <v>100000</v>
      </c>
      <c r="E1329">
        <v>96877.792326346957</v>
      </c>
      <c r="F1329">
        <v>0</v>
      </c>
      <c r="G1329">
        <v>270.26058474583402</v>
      </c>
      <c r="H1329">
        <v>270.26058474583402</v>
      </c>
      <c r="I1329">
        <v>39375.558465269387</v>
      </c>
      <c r="J1329">
        <v>39105.297880523562</v>
      </c>
    </row>
    <row r="1330" spans="1:10">
      <c r="A1330" s="1">
        <v>46091.743055555547</v>
      </c>
      <c r="B1330">
        <v>267.13126753969988</v>
      </c>
      <c r="C1330">
        <v>196572.96594375151</v>
      </c>
      <c r="D1330">
        <v>99981.152442472114</v>
      </c>
      <c r="E1330">
        <v>96591.813501279379</v>
      </c>
      <c r="F1330">
        <v>0</v>
      </c>
      <c r="G1330">
        <v>270.26058474583402</v>
      </c>
      <c r="H1330">
        <v>537.39185228553379</v>
      </c>
      <c r="I1330">
        <v>39314.593188750303</v>
      </c>
      <c r="J1330">
        <v>38777.201336464772</v>
      </c>
    </row>
    <row r="1331" spans="1:10">
      <c r="A1331" s="1">
        <v>46091.743750000001</v>
      </c>
      <c r="B1331">
        <v>255.10054148943519</v>
      </c>
      <c r="C1331">
        <v>196639.8259280647</v>
      </c>
      <c r="D1331">
        <v>100008.5670716036</v>
      </c>
      <c r="E1331">
        <v>96631.258856461107</v>
      </c>
      <c r="F1331">
        <v>0</v>
      </c>
      <c r="G1331">
        <v>270.26058474583402</v>
      </c>
      <c r="H1331">
        <v>525.36112623526913</v>
      </c>
      <c r="I1331">
        <v>39327.965185612942</v>
      </c>
      <c r="J1331">
        <v>38802.604059377671</v>
      </c>
    </row>
    <row r="1332" spans="1:10">
      <c r="A1332" s="1">
        <v>46091.744444444441</v>
      </c>
      <c r="B1332">
        <v>243.4889625680286</v>
      </c>
      <c r="C1332">
        <v>196726.8277370976</v>
      </c>
      <c r="D1332">
        <v>100046.2621866594</v>
      </c>
      <c r="E1332">
        <v>96680.565550438288</v>
      </c>
      <c r="F1332">
        <v>0</v>
      </c>
      <c r="G1332">
        <v>270.26058474583402</v>
      </c>
      <c r="H1332">
        <v>513.74954731386254</v>
      </c>
      <c r="I1332">
        <v>39345.365547419533</v>
      </c>
      <c r="J1332">
        <v>38831.616000105663</v>
      </c>
    </row>
    <row r="1333" spans="1:10">
      <c r="A1333" s="3">
        <v>46091.745138888888</v>
      </c>
      <c r="B1333" s="4">
        <v>217.33177482316921</v>
      </c>
      <c r="C1333" s="4">
        <v>196759.83858212541</v>
      </c>
      <c r="D1333" s="4">
        <v>100049.6890153008</v>
      </c>
      <c r="E1333" s="4">
        <v>96710.149566824577</v>
      </c>
      <c r="F1333" s="4">
        <v>0</v>
      </c>
      <c r="G1333" s="4">
        <v>270.26058474583402</v>
      </c>
      <c r="H1333" s="4">
        <v>487.59235956900312</v>
      </c>
      <c r="I1333" s="4">
        <v>39351.967716425082</v>
      </c>
      <c r="J1333" s="4">
        <v>38864.375356856071</v>
      </c>
    </row>
    <row r="1334" spans="1:10">
      <c r="A1334" s="1">
        <v>46091.745833333327</v>
      </c>
      <c r="B1334">
        <v>292.3765094163449</v>
      </c>
      <c r="C1334">
        <v>196657.37921840069</v>
      </c>
      <c r="D1334">
        <v>100035.98170073509</v>
      </c>
      <c r="E1334">
        <v>96621.397517665682</v>
      </c>
      <c r="F1334">
        <v>0</v>
      </c>
      <c r="G1334">
        <v>270.26058474583402</v>
      </c>
      <c r="H1334">
        <v>562.63709416217887</v>
      </c>
      <c r="I1334">
        <v>39331.475843680149</v>
      </c>
      <c r="J1334">
        <v>38768.83874951797</v>
      </c>
    </row>
    <row r="1335" spans="1:10">
      <c r="A1335" s="1">
        <v>46091.746527777781</v>
      </c>
      <c r="B1335">
        <v>254.1885956212067</v>
      </c>
      <c r="C1335">
        <v>196757.25004774169</v>
      </c>
      <c r="D1335">
        <v>100066.82315850801</v>
      </c>
      <c r="E1335">
        <v>96690.426889233713</v>
      </c>
      <c r="F1335">
        <v>0</v>
      </c>
      <c r="G1335">
        <v>270.26058474583402</v>
      </c>
      <c r="H1335">
        <v>524.44918036704075</v>
      </c>
      <c r="I1335">
        <v>39351.450009548338</v>
      </c>
      <c r="J1335">
        <v>38827.000829181299</v>
      </c>
    </row>
    <row r="1336" spans="1:10">
      <c r="A1336" s="3">
        <v>46091.74722222222</v>
      </c>
      <c r="B1336" s="4">
        <v>246.98944281998249</v>
      </c>
      <c r="C1336" s="4">
        <v>196572.5467966226</v>
      </c>
      <c r="D1336" s="4">
        <v>99970.871956547824</v>
      </c>
      <c r="E1336" s="4">
        <v>96601.674840074804</v>
      </c>
      <c r="F1336" s="4">
        <v>0</v>
      </c>
      <c r="G1336" s="4">
        <v>270.26058474583402</v>
      </c>
      <c r="H1336" s="4">
        <v>517.25002756581648</v>
      </c>
      <c r="I1336" s="4">
        <v>39314.509359324533</v>
      </c>
      <c r="J1336" s="4">
        <v>38797.259331758709</v>
      </c>
    </row>
    <row r="1337" spans="1:10">
      <c r="A1337" s="1">
        <v>46091.747916666667</v>
      </c>
      <c r="B1337">
        <v>244.40090843625711</v>
      </c>
      <c r="C1337">
        <v>196609.40361742061</v>
      </c>
      <c r="D1337">
        <v>99988.006099754974</v>
      </c>
      <c r="E1337">
        <v>96621.397517665682</v>
      </c>
      <c r="F1337">
        <v>0</v>
      </c>
      <c r="G1337">
        <v>270.26058474583402</v>
      </c>
      <c r="H1337">
        <v>514.66149318209102</v>
      </c>
      <c r="I1337">
        <v>39321.88072348413</v>
      </c>
      <c r="J1337">
        <v>38807.219230302042</v>
      </c>
    </row>
    <row r="1338" spans="1:10">
      <c r="A1338" s="3">
        <v>46091.748611111107</v>
      </c>
      <c r="B1338" s="4">
        <v>273.98492482256131</v>
      </c>
      <c r="C1338" s="4">
        <v>196579.81960103431</v>
      </c>
      <c r="D1338" s="4">
        <v>99988.006099754974</v>
      </c>
      <c r="E1338" s="4">
        <v>96591.813501279379</v>
      </c>
      <c r="F1338" s="4">
        <v>0</v>
      </c>
      <c r="G1338" s="4">
        <v>270.26058474583402</v>
      </c>
      <c r="H1338" s="4">
        <v>544.24550956839516</v>
      </c>
      <c r="I1338" s="4">
        <v>39315.963920206872</v>
      </c>
      <c r="J1338" s="4">
        <v>38771.718410638467</v>
      </c>
    </row>
    <row r="1339" spans="1:10">
      <c r="A1339" s="1">
        <v>46091.749305555553</v>
      </c>
      <c r="B1339">
        <v>256.43163448653581</v>
      </c>
      <c r="C1339">
        <v>196542.54363310739</v>
      </c>
      <c r="D1339">
        <v>99960.59147062352</v>
      </c>
      <c r="E1339">
        <v>96581.952162483925</v>
      </c>
      <c r="F1339">
        <v>0</v>
      </c>
      <c r="G1339">
        <v>270.26058474583402</v>
      </c>
      <c r="H1339">
        <v>526.69221923236978</v>
      </c>
      <c r="I1339">
        <v>39308.50872662149</v>
      </c>
      <c r="J1339">
        <v>38781.816507389121</v>
      </c>
    </row>
    <row r="1340" spans="1:10">
      <c r="A1340" s="3">
        <v>46091.75</v>
      </c>
      <c r="B1340" s="4">
        <v>202.44067048134491</v>
      </c>
      <c r="C1340" s="4">
        <v>196527.998024284</v>
      </c>
      <c r="D1340" s="4">
        <v>99926.323184209192</v>
      </c>
      <c r="E1340" s="4">
        <v>96601.674840074804</v>
      </c>
      <c r="F1340" s="4">
        <v>0</v>
      </c>
      <c r="G1340" s="4">
        <v>270.26058474583402</v>
      </c>
      <c r="H1340" s="4">
        <v>472.70125522717888</v>
      </c>
      <c r="I1340" s="4">
        <v>39305.599604856798</v>
      </c>
      <c r="J1340" s="4">
        <v>38832.89834962962</v>
      </c>
    </row>
    <row r="1341" spans="1:10">
      <c r="A1341" s="3">
        <v>46091.750694444447</v>
      </c>
      <c r="B1341" s="4">
        <v>173.69494835276541</v>
      </c>
      <c r="C1341" s="4">
        <v>196597.86569010979</v>
      </c>
      <c r="D1341" s="4">
        <v>99946.884156057786</v>
      </c>
      <c r="E1341" s="4">
        <v>96650.981534051985</v>
      </c>
      <c r="F1341" s="4">
        <v>0</v>
      </c>
      <c r="G1341" s="4">
        <v>270.26058474583402</v>
      </c>
      <c r="H1341" s="4">
        <v>443.9555330985994</v>
      </c>
      <c r="I1341" s="4">
        <v>39319.573138021959</v>
      </c>
      <c r="J1341" s="4">
        <v>38875.617604923362</v>
      </c>
    </row>
    <row r="1342" spans="1:10">
      <c r="A1342" s="3">
        <v>46091.751388888893</v>
      </c>
      <c r="B1342" s="4">
        <v>157.81824653218399</v>
      </c>
      <c r="C1342" s="4">
        <v>196641.15702106181</v>
      </c>
      <c r="D1342" s="4">
        <v>99960.59147062352</v>
      </c>
      <c r="E1342" s="4">
        <v>96680.565550438288</v>
      </c>
      <c r="F1342" s="4">
        <v>0</v>
      </c>
      <c r="G1342" s="4">
        <v>270.26058474583402</v>
      </c>
      <c r="H1342" s="4">
        <v>428.0788312780179</v>
      </c>
      <c r="I1342" s="4">
        <v>39328.231404212362</v>
      </c>
      <c r="J1342" s="4">
        <v>38900.152572934341</v>
      </c>
    </row>
    <row r="1343" spans="1:10">
      <c r="A1343" s="3">
        <v>46091.752083333333</v>
      </c>
      <c r="B1343" s="4">
        <v>120.8877741236566</v>
      </c>
      <c r="C1343" s="4">
        <v>196801.45332456191</v>
      </c>
      <c r="D1343" s="4">
        <v>100022.2743861693</v>
      </c>
      <c r="E1343" s="4">
        <v>96779.178938392623</v>
      </c>
      <c r="F1343" s="4">
        <v>0</v>
      </c>
      <c r="G1343" s="4">
        <v>270.26058474583402</v>
      </c>
      <c r="H1343" s="4">
        <v>391.14835886949061</v>
      </c>
      <c r="I1343" s="4">
        <v>39360.290664912391</v>
      </c>
      <c r="J1343" s="4">
        <v>38969.142306042901</v>
      </c>
    </row>
    <row r="1344" spans="1:10">
      <c r="A1344" s="3">
        <v>46091.75277777778</v>
      </c>
      <c r="B1344" s="4">
        <v>159.03886211353739</v>
      </c>
      <c r="C1344" s="4">
        <v>196780.43637977919</v>
      </c>
      <c r="D1344" s="4">
        <v>100030.8414577729</v>
      </c>
      <c r="E1344" s="4">
        <v>96749.594922006319</v>
      </c>
      <c r="F1344" s="4">
        <v>0</v>
      </c>
      <c r="G1344" s="4">
        <v>270.26058474583402</v>
      </c>
      <c r="H1344" s="4">
        <v>429.29944685937141</v>
      </c>
      <c r="I1344" s="4">
        <v>39356.087275955848</v>
      </c>
      <c r="J1344" s="4">
        <v>38926.78782909648</v>
      </c>
    </row>
    <row r="1345" spans="1:10">
      <c r="A1345" s="3">
        <v>46091.753472222219</v>
      </c>
      <c r="B1345" s="4">
        <v>58.712059838484308</v>
      </c>
      <c r="C1345" s="4">
        <v>196877.3363534128</v>
      </c>
      <c r="D1345" s="4">
        <v>100029.12804345221</v>
      </c>
      <c r="E1345" s="4">
        <v>96848.208309960653</v>
      </c>
      <c r="F1345" s="4">
        <v>0</v>
      </c>
      <c r="G1345" s="4">
        <v>270.26058474583402</v>
      </c>
      <c r="H1345" s="4">
        <v>328.97264458431829</v>
      </c>
      <c r="I1345" s="4">
        <v>39375.467270682573</v>
      </c>
      <c r="J1345" s="4">
        <v>39046.494626098247</v>
      </c>
    </row>
    <row r="1346" spans="1:10">
      <c r="A1346" s="1">
        <v>46091.754166666673</v>
      </c>
      <c r="B1346">
        <v>177.88641964142559</v>
      </c>
      <c r="C1346">
        <v>196799.2839373071</v>
      </c>
      <c r="D1346">
        <v>100049.6890153008</v>
      </c>
      <c r="E1346">
        <v>96749.594922006319</v>
      </c>
      <c r="F1346">
        <v>0</v>
      </c>
      <c r="G1346">
        <v>270.26058474583402</v>
      </c>
      <c r="H1346">
        <v>448.14700438725959</v>
      </c>
      <c r="I1346">
        <v>39359.856787461416</v>
      </c>
      <c r="J1346">
        <v>38911.709783074162</v>
      </c>
    </row>
    <row r="1347" spans="1:10">
      <c r="A1347" s="3">
        <v>46091.754861111112</v>
      </c>
      <c r="B1347" s="4">
        <v>124.7337498939594</v>
      </c>
      <c r="C1347" s="4">
        <v>196825.02197792311</v>
      </c>
      <c r="D1347" s="4">
        <v>100035.98170073509</v>
      </c>
      <c r="E1347" s="4">
        <v>96789.040277188062</v>
      </c>
      <c r="F1347" s="4">
        <v>0</v>
      </c>
      <c r="G1347" s="4">
        <v>270.26058474583402</v>
      </c>
      <c r="H1347" s="4">
        <v>394.99433463979341</v>
      </c>
      <c r="I1347" s="4">
        <v>39365.004395584627</v>
      </c>
      <c r="J1347" s="4">
        <v>38970.010060944827</v>
      </c>
    </row>
    <row r="1348" spans="1:10">
      <c r="A1348" s="3">
        <v>46091.755555555559</v>
      </c>
      <c r="B1348" s="4">
        <v>161.590570692011</v>
      </c>
      <c r="C1348" s="4">
        <v>196822.4334435394</v>
      </c>
      <c r="D1348" s="4">
        <v>100053.1158439422</v>
      </c>
      <c r="E1348" s="4">
        <v>96769.317599597183</v>
      </c>
      <c r="F1348" s="4">
        <v>0</v>
      </c>
      <c r="G1348" s="4">
        <v>270.26058474583402</v>
      </c>
      <c r="H1348" s="4">
        <v>431.85115543784502</v>
      </c>
      <c r="I1348" s="4">
        <v>39364.48668870789</v>
      </c>
      <c r="J1348" s="4">
        <v>38932.635533270048</v>
      </c>
    </row>
    <row r="1349" spans="1:10">
      <c r="A1349" s="1">
        <v>46091.756249999999</v>
      </c>
      <c r="B1349">
        <v>81.935217681288975</v>
      </c>
      <c r="C1349">
        <v>196703.33273534701</v>
      </c>
      <c r="D1349">
        <v>99953.73781334066</v>
      </c>
      <c r="E1349">
        <v>96749.594922006319</v>
      </c>
      <c r="F1349">
        <v>0</v>
      </c>
      <c r="G1349">
        <v>270.26058474583402</v>
      </c>
      <c r="H1349">
        <v>352.19580242712289</v>
      </c>
      <c r="I1349">
        <v>39340.666547069399</v>
      </c>
      <c r="J1349">
        <v>38988.470744642284</v>
      </c>
    </row>
    <row r="1350" spans="1:10">
      <c r="A1350" s="3">
        <v>46091.756944444453</v>
      </c>
      <c r="B1350" s="4">
        <v>143.69178483758921</v>
      </c>
      <c r="C1350" s="4">
        <v>196607.3078817763</v>
      </c>
      <c r="D1350" s="4">
        <v>99936.603670133482</v>
      </c>
      <c r="E1350" s="4">
        <v>96670.704211642849</v>
      </c>
      <c r="F1350" s="4">
        <v>0</v>
      </c>
      <c r="G1350" s="4">
        <v>270.26058474583402</v>
      </c>
      <c r="H1350" s="4">
        <v>413.95236958342309</v>
      </c>
      <c r="I1350" s="4">
        <v>39321.461576355257</v>
      </c>
      <c r="J1350" s="4">
        <v>38907.509206771843</v>
      </c>
    </row>
    <row r="1351" spans="1:10">
      <c r="A1351" s="1">
        <v>46091.757638888892</v>
      </c>
      <c r="B1351">
        <v>170.26811971131531</v>
      </c>
      <c r="C1351">
        <v>196594.43886146831</v>
      </c>
      <c r="D1351">
        <v>99943.457327416341</v>
      </c>
      <c r="E1351">
        <v>96650.981534051985</v>
      </c>
      <c r="F1351">
        <v>0</v>
      </c>
      <c r="G1351">
        <v>270.26058474583402</v>
      </c>
      <c r="H1351">
        <v>440.52870445714927</v>
      </c>
      <c r="I1351">
        <v>39318.887772293667</v>
      </c>
      <c r="J1351">
        <v>38878.359067836507</v>
      </c>
    </row>
    <row r="1352" spans="1:10">
      <c r="A1352" s="1">
        <v>46091.758333333331</v>
      </c>
      <c r="B1352">
        <v>0</v>
      </c>
      <c r="C1352">
        <v>0</v>
      </c>
      <c r="D1352">
        <v>0</v>
      </c>
      <c r="E1352">
        <v>0</v>
      </c>
      <c r="F1352">
        <v>144.53904762432529</v>
      </c>
      <c r="G1352">
        <v>414.79963237015932</v>
      </c>
      <c r="H1352">
        <v>414.79963237015932</v>
      </c>
      <c r="I1352">
        <v>0</v>
      </c>
      <c r="J1352">
        <v>-414.79963237015932</v>
      </c>
    </row>
    <row r="1353" spans="1:10">
      <c r="A1353" s="3">
        <v>46092.5625</v>
      </c>
      <c r="B1353" s="4">
        <v>0</v>
      </c>
      <c r="C1353" s="4">
        <v>196877.792326347</v>
      </c>
      <c r="D1353" s="4">
        <v>96877.792326346957</v>
      </c>
      <c r="E1353" s="4">
        <v>100000</v>
      </c>
      <c r="F1353" s="4">
        <v>0</v>
      </c>
      <c r="G1353" s="4">
        <v>414.79963237015932</v>
      </c>
      <c r="H1353" s="4">
        <v>414.79963237015932</v>
      </c>
      <c r="I1353" s="4">
        <v>39375.558465269387</v>
      </c>
      <c r="J1353" s="4">
        <v>38960.758832899242</v>
      </c>
    </row>
    <row r="1354" spans="1:10">
      <c r="A1354" s="3">
        <v>46092.563194444447</v>
      </c>
      <c r="B1354" s="4">
        <v>-400.59194424872021</v>
      </c>
      <c r="C1354" s="4">
        <v>196297.3940197193</v>
      </c>
      <c r="D1354" s="4">
        <v>96387.297200908753</v>
      </c>
      <c r="E1354" s="4">
        <v>99910.096818810518</v>
      </c>
      <c r="F1354" s="4">
        <v>0</v>
      </c>
      <c r="G1354" s="4">
        <v>414.79963237015932</v>
      </c>
      <c r="H1354" s="4">
        <v>14.20768812143911</v>
      </c>
      <c r="I1354" s="4">
        <v>39259.478803943857</v>
      </c>
      <c r="J1354" s="4">
        <v>39245.271115822419</v>
      </c>
    </row>
    <row r="1355" spans="1:10">
      <c r="A1355" s="1">
        <v>46092.563888888893</v>
      </c>
      <c r="B1355">
        <v>-280.80966631711817</v>
      </c>
      <c r="C1355">
        <v>197198.64241106721</v>
      </c>
      <c r="D1355">
        <v>96897.81253554851</v>
      </c>
      <c r="E1355">
        <v>100300.8298755187</v>
      </c>
      <c r="F1355">
        <v>0</v>
      </c>
      <c r="G1355">
        <v>414.79963237015932</v>
      </c>
      <c r="H1355">
        <v>133.98996605304109</v>
      </c>
      <c r="I1355">
        <v>39439.728482213439</v>
      </c>
      <c r="J1355">
        <v>39305.738516160403</v>
      </c>
    </row>
    <row r="1356" spans="1:10">
      <c r="A1356" s="1">
        <v>46092.564583333333</v>
      </c>
      <c r="B1356">
        <v>-475.37390737583559</v>
      </c>
      <c r="C1356">
        <v>196872.68121288539</v>
      </c>
      <c r="D1356">
        <v>96637.549815928243</v>
      </c>
      <c r="E1356">
        <v>100235.13139695711</v>
      </c>
      <c r="F1356">
        <v>0</v>
      </c>
      <c r="G1356">
        <v>414.79963237015932</v>
      </c>
      <c r="H1356">
        <v>-60.574275005676327</v>
      </c>
      <c r="I1356">
        <v>39374.536242577073</v>
      </c>
      <c r="J1356">
        <v>39435.110517582747</v>
      </c>
    </row>
    <row r="1357" spans="1:10">
      <c r="A1357" s="3">
        <v>46092.56527777778</v>
      </c>
      <c r="B1357" s="4">
        <v>-510.15199525715292</v>
      </c>
      <c r="C1357" s="4">
        <v>196346.893443123</v>
      </c>
      <c r="D1357" s="4">
        <v>96357.266887106409</v>
      </c>
      <c r="E1357" s="4">
        <v>99989.626556016607</v>
      </c>
      <c r="F1357" s="4">
        <v>0</v>
      </c>
      <c r="G1357" s="4">
        <v>414.79963237015932</v>
      </c>
      <c r="H1357" s="4">
        <v>-95.352362886993546</v>
      </c>
      <c r="I1357" s="4">
        <v>39269.378688624609</v>
      </c>
      <c r="J1357" s="4">
        <v>39364.731051511597</v>
      </c>
    </row>
    <row r="1358" spans="1:10">
      <c r="A1358" s="3">
        <v>46092.565972222219</v>
      </c>
      <c r="B1358" s="4">
        <v>-252.06931193262321</v>
      </c>
      <c r="C1358" s="4">
        <v>196729.45745424839</v>
      </c>
      <c r="D1358" s="4">
        <v>96677.59023433135</v>
      </c>
      <c r="E1358" s="4">
        <v>100051.867219917</v>
      </c>
      <c r="F1358" s="4">
        <v>0</v>
      </c>
      <c r="G1358" s="4">
        <v>414.79963237015932</v>
      </c>
      <c r="H1358" s="4">
        <v>162.73032043753611</v>
      </c>
      <c r="I1358" s="4">
        <v>39345.891490849681</v>
      </c>
      <c r="J1358" s="4">
        <v>39183.161170412153</v>
      </c>
    </row>
    <row r="1359" spans="1:10">
      <c r="A1359" s="1">
        <v>46092.566666666673</v>
      </c>
      <c r="B1359">
        <v>-126.66136409657079</v>
      </c>
      <c r="C1359">
        <v>197124.57494565289</v>
      </c>
      <c r="D1359">
        <v>96937.852953951631</v>
      </c>
      <c r="E1359">
        <v>100186.7219917013</v>
      </c>
      <c r="F1359">
        <v>0</v>
      </c>
      <c r="G1359">
        <v>414.79963237015932</v>
      </c>
      <c r="H1359">
        <v>288.13826827358861</v>
      </c>
      <c r="I1359">
        <v>39424.914989130579</v>
      </c>
      <c r="J1359">
        <v>39136.776720856993</v>
      </c>
    </row>
    <row r="1360" spans="1:10">
      <c r="A1360" s="3">
        <v>46092.567361111112</v>
      </c>
      <c r="B1360" s="4">
        <v>44.412672047028977</v>
      </c>
      <c r="C1360" s="4">
        <v>197053.60195551711</v>
      </c>
      <c r="D1360" s="4">
        <v>96987.903476955529</v>
      </c>
      <c r="E1360" s="4">
        <v>100065.69847856151</v>
      </c>
      <c r="F1360" s="4">
        <v>0</v>
      </c>
      <c r="G1360" s="4">
        <v>414.79963237015932</v>
      </c>
      <c r="H1360" s="4">
        <v>459.21230441718831</v>
      </c>
      <c r="I1360" s="4">
        <v>39410.720391103423</v>
      </c>
      <c r="J1360" s="4">
        <v>38951.508086686234</v>
      </c>
    </row>
    <row r="1361" spans="1:10">
      <c r="A1361" s="1">
        <v>46092.568055555559</v>
      </c>
      <c r="B1361">
        <v>72.438528718724555</v>
      </c>
      <c r="C1361">
        <v>197005.55588964379</v>
      </c>
      <c r="D1361">
        <v>96977.893372354753</v>
      </c>
      <c r="E1361">
        <v>100027.66251728911</v>
      </c>
      <c r="F1361">
        <v>0</v>
      </c>
      <c r="G1361">
        <v>414.79963237015932</v>
      </c>
      <c r="H1361">
        <v>487.23816108888388</v>
      </c>
      <c r="I1361">
        <v>39401.111177928768</v>
      </c>
      <c r="J1361">
        <v>38913.873016839883</v>
      </c>
    </row>
    <row r="1362" spans="1:10">
      <c r="A1362" s="3">
        <v>46092.568749999999</v>
      </c>
      <c r="B1362" s="4">
        <v>0</v>
      </c>
      <c r="C1362" s="4">
        <v>0</v>
      </c>
      <c r="D1362" s="4">
        <v>0</v>
      </c>
      <c r="E1362" s="4">
        <v>0</v>
      </c>
      <c r="F1362" s="4">
        <v>309.14037839601241</v>
      </c>
      <c r="G1362" s="4">
        <v>723.94001076617167</v>
      </c>
      <c r="H1362" s="4">
        <v>723.94001076617167</v>
      </c>
      <c r="I1362" s="4">
        <v>0</v>
      </c>
      <c r="J1362" s="4">
        <v>-723.94001076617167</v>
      </c>
    </row>
    <row r="1363" spans="1:10">
      <c r="A1363" s="1">
        <v>46093.563888888893</v>
      </c>
      <c r="B1363">
        <v>0</v>
      </c>
      <c r="C1363">
        <v>196877.792326347</v>
      </c>
      <c r="D1363">
        <v>96877.792326346957</v>
      </c>
      <c r="E1363">
        <v>100000</v>
      </c>
      <c r="F1363">
        <v>0</v>
      </c>
      <c r="G1363">
        <v>723.94001076617167</v>
      </c>
      <c r="H1363">
        <v>723.94001076617167</v>
      </c>
      <c r="I1363">
        <v>39375.558465269387</v>
      </c>
      <c r="J1363">
        <v>38651.618454503223</v>
      </c>
    </row>
    <row r="1364" spans="1:10">
      <c r="A1364" s="1">
        <v>46093.564583333333</v>
      </c>
      <c r="B1364">
        <v>-1.3495819166688729</v>
      </c>
      <c r="C1364">
        <v>196858.7530221589</v>
      </c>
      <c r="D1364">
        <v>96867.597883294613</v>
      </c>
      <c r="E1364">
        <v>99991.155138864327</v>
      </c>
      <c r="F1364">
        <v>0</v>
      </c>
      <c r="G1364">
        <v>723.94001076617167</v>
      </c>
      <c r="H1364">
        <v>722.59042884950281</v>
      </c>
      <c r="I1364">
        <v>39371.750604431792</v>
      </c>
      <c r="J1364">
        <v>38649.160175582278</v>
      </c>
    </row>
    <row r="1365" spans="1:10">
      <c r="A1365" s="1">
        <v>46093.56527777778</v>
      </c>
      <c r="B1365">
        <v>-46.595490186455947</v>
      </c>
      <c r="C1365">
        <v>196781.66561380069</v>
      </c>
      <c r="D1365">
        <v>96806.431224980595</v>
      </c>
      <c r="E1365">
        <v>99975.234388820099</v>
      </c>
      <c r="F1365">
        <v>0</v>
      </c>
      <c r="G1365">
        <v>723.94001076617167</v>
      </c>
      <c r="H1365">
        <v>677.34452057971566</v>
      </c>
      <c r="I1365">
        <v>39356.333122760137</v>
      </c>
      <c r="J1365">
        <v>38678.988602180427</v>
      </c>
    </row>
    <row r="1366" spans="1:10">
      <c r="A1366" s="3">
        <v>46093.565972222219</v>
      </c>
      <c r="B1366" s="4">
        <v>-142.5770453778596</v>
      </c>
      <c r="C1366" s="4">
        <v>196469.86944689869</v>
      </c>
      <c r="D1366" s="4">
        <v>96602.542363933884</v>
      </c>
      <c r="E1366" s="4">
        <v>99867.327082964795</v>
      </c>
      <c r="F1366" s="4">
        <v>0</v>
      </c>
      <c r="G1366" s="4">
        <v>723.94001076617167</v>
      </c>
      <c r="H1366" s="4">
        <v>581.36296538831209</v>
      </c>
      <c r="I1366" s="4">
        <v>39293.97388937974</v>
      </c>
      <c r="J1366" s="4">
        <v>38712.610923991429</v>
      </c>
    </row>
    <row r="1367" spans="1:10">
      <c r="A1367" s="1">
        <v>46093.566666666673</v>
      </c>
      <c r="B1367">
        <v>77.286312082693343</v>
      </c>
      <c r="C1367">
        <v>196311.17274775219</v>
      </c>
      <c r="D1367">
        <v>96633.1256930909</v>
      </c>
      <c r="E1367">
        <v>99678.047054661249</v>
      </c>
      <c r="F1367">
        <v>0</v>
      </c>
      <c r="G1367">
        <v>723.94001076617167</v>
      </c>
      <c r="H1367">
        <v>801.22632284886504</v>
      </c>
      <c r="I1367">
        <v>39262.234549550427</v>
      </c>
      <c r="J1367">
        <v>38461.008226701568</v>
      </c>
    </row>
    <row r="1368" spans="1:10">
      <c r="A1368" s="3">
        <v>46093.567361111112</v>
      </c>
      <c r="B1368" s="4">
        <v>-71.543923336798642</v>
      </c>
      <c r="C1368" s="4">
        <v>196643.50295811371</v>
      </c>
      <c r="D1368" s="4">
        <v>96724.875680561905</v>
      </c>
      <c r="E1368" s="4">
        <v>99918.627277551757</v>
      </c>
      <c r="F1368" s="4">
        <v>0</v>
      </c>
      <c r="G1368" s="4">
        <v>723.94001076617167</v>
      </c>
      <c r="H1368" s="4">
        <v>652.39608742937298</v>
      </c>
      <c r="I1368" s="4">
        <v>39328.700591622743</v>
      </c>
      <c r="J1368" s="4">
        <v>38676.304504193373</v>
      </c>
    </row>
    <row r="1369" spans="1:10">
      <c r="A1369" s="3">
        <v>46093.568055555559</v>
      </c>
      <c r="B1369" s="4">
        <v>102.7832111443177</v>
      </c>
      <c r="C1369" s="4">
        <v>196938.12020403999</v>
      </c>
      <c r="D1369" s="4">
        <v>96959.347870765632</v>
      </c>
      <c r="E1369" s="4">
        <v>99978.772333274363</v>
      </c>
      <c r="F1369" s="4">
        <v>0</v>
      </c>
      <c r="G1369" s="4">
        <v>723.94001076617167</v>
      </c>
      <c r="H1369" s="4">
        <v>826.72322191048943</v>
      </c>
      <c r="I1369" s="4">
        <v>39387.624040807998</v>
      </c>
      <c r="J1369" s="4">
        <v>38560.900818897513</v>
      </c>
    </row>
    <row r="1370" spans="1:10">
      <c r="A1370" s="3">
        <v>46093.568749999999</v>
      </c>
      <c r="B1370" s="4">
        <v>115.8596400003824</v>
      </c>
      <c r="C1370" s="4">
        <v>197149.32152233529</v>
      </c>
      <c r="D1370" s="4">
        <v>97071.486744341324</v>
      </c>
      <c r="E1370" s="4">
        <v>100077.83477799399</v>
      </c>
      <c r="F1370" s="4">
        <v>0</v>
      </c>
      <c r="G1370" s="4">
        <v>723.94001076617167</v>
      </c>
      <c r="H1370" s="4">
        <v>839.79965076655412</v>
      </c>
      <c r="I1370" s="4">
        <v>39429.864304467068</v>
      </c>
      <c r="J1370" s="4">
        <v>38590.064653700523</v>
      </c>
    </row>
    <row r="1371" spans="1:10">
      <c r="A1371" s="1">
        <v>46093.569444444453</v>
      </c>
      <c r="B1371">
        <v>99.847478970949453</v>
      </c>
      <c r="C1371">
        <v>197083.7781389461</v>
      </c>
      <c r="D1371">
        <v>97030.708972131994</v>
      </c>
      <c r="E1371">
        <v>100053.06916681409</v>
      </c>
      <c r="F1371">
        <v>0</v>
      </c>
      <c r="G1371">
        <v>723.94001076617167</v>
      </c>
      <c r="H1371">
        <v>823.78748973712118</v>
      </c>
      <c r="I1371">
        <v>39416.755627789222</v>
      </c>
      <c r="J1371">
        <v>38592.9681380521</v>
      </c>
    </row>
    <row r="1372" spans="1:10">
      <c r="A1372" s="1">
        <v>46093.570138888892</v>
      </c>
      <c r="B1372">
        <v>-219.48163176568599</v>
      </c>
      <c r="C1372">
        <v>196587.5518054959</v>
      </c>
      <c r="D1372">
        <v>96622.931250038557</v>
      </c>
      <c r="E1372">
        <v>99964.620555457295</v>
      </c>
      <c r="F1372">
        <v>0</v>
      </c>
      <c r="G1372">
        <v>723.94001076617167</v>
      </c>
      <c r="H1372">
        <v>504.45837900048571</v>
      </c>
      <c r="I1372">
        <v>39317.510361099172</v>
      </c>
      <c r="J1372">
        <v>38813.051982098688</v>
      </c>
    </row>
    <row r="1373" spans="1:10">
      <c r="A1373" s="3">
        <v>46093.570833333331</v>
      </c>
      <c r="B1373" s="4">
        <v>43.294114072212032</v>
      </c>
      <c r="C1373" s="4">
        <v>196793.7204400654</v>
      </c>
      <c r="D1373" s="4">
        <v>96857.403440242284</v>
      </c>
      <c r="E1373" s="4">
        <v>99936.316999823117</v>
      </c>
      <c r="F1373" s="4">
        <v>0</v>
      </c>
      <c r="G1373" s="4">
        <v>723.94001076617167</v>
      </c>
      <c r="H1373" s="4">
        <v>767.23412483838365</v>
      </c>
      <c r="I1373" s="4">
        <v>39358.744088013082</v>
      </c>
      <c r="J1373" s="4">
        <v>38591.5099631747</v>
      </c>
    </row>
    <row r="1374" spans="1:10">
      <c r="A1374" s="3">
        <v>46093.571527777778</v>
      </c>
      <c r="B1374" s="4">
        <v>117.8275159519834</v>
      </c>
      <c r="C1374" s="4">
        <v>196535.68706324359</v>
      </c>
      <c r="D1374" s="4">
        <v>96765.653452771265</v>
      </c>
      <c r="E1374" s="4">
        <v>99770.033610472325</v>
      </c>
      <c r="F1374" s="4">
        <v>0</v>
      </c>
      <c r="G1374" s="4">
        <v>723.94001076617167</v>
      </c>
      <c r="H1374" s="4">
        <v>841.76752671815507</v>
      </c>
      <c r="I1374" s="4">
        <v>39307.137412648721</v>
      </c>
      <c r="J1374" s="4">
        <v>38465.369885930573</v>
      </c>
    </row>
    <row r="1375" spans="1:10">
      <c r="A1375" s="1">
        <v>46093.572222222218</v>
      </c>
      <c r="B1375">
        <v>41.57888821470209</v>
      </c>
      <c r="C1375">
        <v>196448.82460214349</v>
      </c>
      <c r="D1375">
        <v>96684.097908352574</v>
      </c>
      <c r="E1375">
        <v>99764.726693790915</v>
      </c>
      <c r="F1375">
        <v>0</v>
      </c>
      <c r="G1375">
        <v>723.94001076617167</v>
      </c>
      <c r="H1375">
        <v>765.5188989808737</v>
      </c>
      <c r="I1375">
        <v>39289.764920428701</v>
      </c>
      <c r="J1375">
        <v>38524.246021447827</v>
      </c>
    </row>
    <row r="1376" spans="1:10">
      <c r="A1376" s="1">
        <v>46093.572916666657</v>
      </c>
      <c r="B1376">
        <v>0</v>
      </c>
      <c r="C1376">
        <v>0</v>
      </c>
      <c r="D1376">
        <v>0</v>
      </c>
      <c r="E1376">
        <v>0</v>
      </c>
      <c r="F1376">
        <v>106.71275261550829</v>
      </c>
      <c r="G1376">
        <v>830.65276338167996</v>
      </c>
      <c r="H1376">
        <v>830.65276338167996</v>
      </c>
      <c r="I1376">
        <v>0</v>
      </c>
      <c r="J1376">
        <v>-830.65276338167996</v>
      </c>
    </row>
    <row r="1377" spans="1:10">
      <c r="A1377" s="3">
        <v>46098.5625</v>
      </c>
      <c r="B1377" s="4">
        <v>0</v>
      </c>
      <c r="C1377" s="4">
        <v>181444.70501876</v>
      </c>
      <c r="D1377" s="4">
        <v>81444.705018759982</v>
      </c>
      <c r="E1377" s="4">
        <v>100000</v>
      </c>
      <c r="F1377" s="4">
        <v>0</v>
      </c>
      <c r="G1377" s="4">
        <v>830.65276338167996</v>
      </c>
      <c r="H1377" s="4">
        <v>830.65276338167996</v>
      </c>
      <c r="I1377" s="4">
        <v>36288.941003751999</v>
      </c>
      <c r="J1377" s="4">
        <v>35458.288240370319</v>
      </c>
    </row>
    <row r="1378" spans="1:10">
      <c r="A1378" s="1">
        <v>46098.563194444447</v>
      </c>
      <c r="B1378">
        <v>-164.86230406649619</v>
      </c>
      <c r="C1378">
        <v>181780.4901035584</v>
      </c>
      <c r="D1378">
        <v>81530.166409125944</v>
      </c>
      <c r="E1378">
        <v>100250.3236944325</v>
      </c>
      <c r="F1378">
        <v>0</v>
      </c>
      <c r="G1378">
        <v>830.65276338167996</v>
      </c>
      <c r="H1378">
        <v>665.79045931518374</v>
      </c>
      <c r="I1378">
        <v>36356.098020711681</v>
      </c>
      <c r="J1378">
        <v>35690.307561396497</v>
      </c>
    </row>
    <row r="1379" spans="1:10">
      <c r="A1379" s="1">
        <v>46098.563888888893</v>
      </c>
      <c r="B1379">
        <v>-273.53792087606632</v>
      </c>
      <c r="C1379">
        <v>181872.07344229479</v>
      </c>
      <c r="D1379">
        <v>81521.620270089348</v>
      </c>
      <c r="E1379">
        <v>100350.45317220539</v>
      </c>
      <c r="F1379">
        <v>0</v>
      </c>
      <c r="G1379">
        <v>830.65276338167996</v>
      </c>
      <c r="H1379">
        <v>557.11484250561364</v>
      </c>
      <c r="I1379">
        <v>36374.414688458957</v>
      </c>
      <c r="J1379">
        <v>35817.299845953341</v>
      </c>
    </row>
    <row r="1380" spans="1:10">
      <c r="A1380" s="3">
        <v>46098.564583333333</v>
      </c>
      <c r="B1380" s="4">
        <v>-52.807538744326791</v>
      </c>
      <c r="C1380" s="4">
        <v>182044.46545584651</v>
      </c>
      <c r="D1380" s="4">
        <v>81718.181467931063</v>
      </c>
      <c r="E1380" s="4">
        <v>100326.28398791541</v>
      </c>
      <c r="F1380" s="4">
        <v>0</v>
      </c>
      <c r="G1380" s="4">
        <v>830.65276338167996</v>
      </c>
      <c r="H1380" s="4">
        <v>777.84522463735311</v>
      </c>
      <c r="I1380" s="4">
        <v>36408.893091169302</v>
      </c>
      <c r="J1380" s="4">
        <v>35631.047866531939</v>
      </c>
    </row>
    <row r="1381" spans="1:10">
      <c r="A1381" s="1">
        <v>46098.56527777778</v>
      </c>
      <c r="B1381">
        <v>24.524154667539779</v>
      </c>
      <c r="C1381">
        <v>181693.65731326351</v>
      </c>
      <c r="D1381">
        <v>81581.443243345508</v>
      </c>
      <c r="E1381">
        <v>100112.214069918</v>
      </c>
      <c r="F1381">
        <v>0</v>
      </c>
      <c r="G1381">
        <v>830.65276338167996</v>
      </c>
      <c r="H1381">
        <v>855.17691804921969</v>
      </c>
      <c r="I1381">
        <v>36338.7314626527</v>
      </c>
      <c r="J1381">
        <v>35483.554544603481</v>
      </c>
    </row>
    <row r="1382" spans="1:10">
      <c r="A1382" s="3">
        <v>46098.565972222219</v>
      </c>
      <c r="B1382" s="4">
        <v>-28.638354454298959</v>
      </c>
      <c r="C1382" s="4">
        <v>182020.29627155641</v>
      </c>
      <c r="D1382" s="4">
        <v>81718.181467931063</v>
      </c>
      <c r="E1382" s="4">
        <v>100302.1148036254</v>
      </c>
      <c r="F1382" s="4">
        <v>0</v>
      </c>
      <c r="G1382" s="4">
        <v>830.65276338167996</v>
      </c>
      <c r="H1382" s="4">
        <v>802.01440892738106</v>
      </c>
      <c r="I1382" s="4">
        <v>36404.059254311287</v>
      </c>
      <c r="J1382" s="4">
        <v>35602.044845383913</v>
      </c>
    </row>
    <row r="1383" spans="1:10">
      <c r="A1383" s="3">
        <v>46098.566666666673</v>
      </c>
      <c r="B1383" s="4">
        <v>0</v>
      </c>
      <c r="C1383" s="4">
        <v>0</v>
      </c>
      <c r="D1383" s="4">
        <v>0</v>
      </c>
      <c r="E1383" s="4">
        <v>0</v>
      </c>
      <c r="F1383" s="4">
        <v>100.7177781375818</v>
      </c>
      <c r="G1383" s="4">
        <v>931.37054151926168</v>
      </c>
      <c r="H1383" s="4">
        <v>931.37054151926168</v>
      </c>
      <c r="I1383" s="4">
        <v>0</v>
      </c>
      <c r="J1383" s="4">
        <v>-931.37054151926168</v>
      </c>
    </row>
    <row r="1384" spans="1:10">
      <c r="A1384" s="1">
        <v>46098.802083333343</v>
      </c>
      <c r="B1384">
        <v>0</v>
      </c>
      <c r="C1384">
        <v>181444.70501876</v>
      </c>
      <c r="D1384">
        <v>100000</v>
      </c>
      <c r="E1384">
        <v>81444.705018759982</v>
      </c>
      <c r="F1384">
        <v>0</v>
      </c>
      <c r="G1384">
        <v>931.37054151926168</v>
      </c>
      <c r="H1384">
        <v>931.37054151926168</v>
      </c>
      <c r="I1384">
        <v>36288.941003751999</v>
      </c>
      <c r="J1384">
        <v>35357.570462232739</v>
      </c>
    </row>
    <row r="1385" spans="1:10">
      <c r="A1385" s="3">
        <v>46098.802777777782</v>
      </c>
      <c r="B1385" s="4">
        <v>-22.521725614449181</v>
      </c>
      <c r="C1385" s="4">
        <v>181439.3385759299</v>
      </c>
      <c r="D1385" s="4">
        <v>99986.055915777732</v>
      </c>
      <c r="E1385" s="4">
        <v>81453.282660152152</v>
      </c>
      <c r="F1385" s="4">
        <v>0</v>
      </c>
      <c r="G1385" s="4">
        <v>931.37054151926168</v>
      </c>
      <c r="H1385" s="4">
        <v>908.84881590481245</v>
      </c>
      <c r="I1385" s="4">
        <v>36287.867715185967</v>
      </c>
      <c r="J1385" s="4">
        <v>35379.01889928116</v>
      </c>
    </row>
    <row r="1386" spans="1:10">
      <c r="A1386" s="3">
        <v>46098.803472222222</v>
      </c>
      <c r="B1386" s="4">
        <v>-87.425348882660359</v>
      </c>
      <c r="C1386" s="4">
        <v>181322.96910430861</v>
      </c>
      <c r="D1386" s="4">
        <v>99895.41936833298</v>
      </c>
      <c r="E1386" s="4">
        <v>81427.549735975626</v>
      </c>
      <c r="F1386" s="4">
        <v>0</v>
      </c>
      <c r="G1386" s="4">
        <v>931.37054151926168</v>
      </c>
      <c r="H1386" s="4">
        <v>843.94519263660129</v>
      </c>
      <c r="I1386" s="4">
        <v>36264.593820861723</v>
      </c>
      <c r="J1386" s="4">
        <v>35420.648628225121</v>
      </c>
    </row>
    <row r="1387" spans="1:10">
      <c r="A1387" s="1">
        <v>46098.804166666669</v>
      </c>
      <c r="B1387">
        <v>-52.01549334003856</v>
      </c>
      <c r="C1387">
        <v>181427.00009098859</v>
      </c>
      <c r="D1387">
        <v>99965.139789444322</v>
      </c>
      <c r="E1387">
        <v>81461.860301544337</v>
      </c>
      <c r="F1387">
        <v>0</v>
      </c>
      <c r="G1387">
        <v>931.37054151926168</v>
      </c>
      <c r="H1387">
        <v>879.3550481792231</v>
      </c>
      <c r="I1387">
        <v>36285.400018197732</v>
      </c>
      <c r="J1387">
        <v>35406.044970018513</v>
      </c>
    </row>
    <row r="1388" spans="1:10">
      <c r="A1388" s="1">
        <v>46098.804861111108</v>
      </c>
      <c r="B1388">
        <v>-71.051197898916115</v>
      </c>
      <c r="C1388">
        <v>181425.11966921421</v>
      </c>
      <c r="D1388">
        <v>99954.681726277631</v>
      </c>
      <c r="E1388">
        <v>81470.437942936522</v>
      </c>
      <c r="F1388">
        <v>0</v>
      </c>
      <c r="G1388">
        <v>931.37054151926168</v>
      </c>
      <c r="H1388">
        <v>860.31934362034553</v>
      </c>
      <c r="I1388">
        <v>36285.023933842829</v>
      </c>
      <c r="J1388">
        <v>35424.704590222493</v>
      </c>
    </row>
    <row r="1389" spans="1:10">
      <c r="A1389" s="1">
        <v>46098.805555555547</v>
      </c>
      <c r="B1389">
        <v>-95.590756534628255</v>
      </c>
      <c r="C1389">
        <v>181383.42482779411</v>
      </c>
      <c r="D1389">
        <v>99921.564526249742</v>
      </c>
      <c r="E1389">
        <v>81461.860301544337</v>
      </c>
      <c r="F1389">
        <v>0</v>
      </c>
      <c r="G1389">
        <v>931.37054151926168</v>
      </c>
      <c r="H1389">
        <v>835.77978498463347</v>
      </c>
      <c r="I1389">
        <v>36276.684965558823</v>
      </c>
      <c r="J1389">
        <v>35440.905180574176</v>
      </c>
    </row>
    <row r="1390" spans="1:10">
      <c r="A1390" s="1">
        <v>46098.806250000001</v>
      </c>
      <c r="B1390">
        <v>-34.03574307524898</v>
      </c>
      <c r="C1390">
        <v>181513.60097239091</v>
      </c>
      <c r="D1390">
        <v>100017.4301052778</v>
      </c>
      <c r="E1390">
        <v>81496.170867113076</v>
      </c>
      <c r="F1390">
        <v>0</v>
      </c>
      <c r="G1390">
        <v>931.37054151926168</v>
      </c>
      <c r="H1390">
        <v>897.33479844401268</v>
      </c>
      <c r="I1390">
        <v>36302.720194478177</v>
      </c>
      <c r="J1390">
        <v>35405.385396034173</v>
      </c>
    </row>
    <row r="1391" spans="1:10">
      <c r="A1391" s="1">
        <v>46098.806944444441</v>
      </c>
      <c r="B1391">
        <v>-14.08149546900032</v>
      </c>
      <c r="C1391">
        <v>181413.4682405066</v>
      </c>
      <c r="D1391">
        <v>99977.340863138816</v>
      </c>
      <c r="E1391">
        <v>81436.127377367797</v>
      </c>
      <c r="F1391">
        <v>0</v>
      </c>
      <c r="G1391">
        <v>931.37054151926168</v>
      </c>
      <c r="H1391">
        <v>917.28904605026139</v>
      </c>
      <c r="I1391">
        <v>36282.693648101318</v>
      </c>
      <c r="J1391">
        <v>35365.404602051058</v>
      </c>
    </row>
    <row r="1392" spans="1:10">
      <c r="A1392" s="1">
        <v>46098.807638888888</v>
      </c>
      <c r="B1392">
        <v>-39.814419645544731</v>
      </c>
      <c r="C1392">
        <v>181439.20116468321</v>
      </c>
      <c r="D1392">
        <v>99977.340863138816</v>
      </c>
      <c r="E1392">
        <v>81461.860301544337</v>
      </c>
      <c r="F1392">
        <v>0</v>
      </c>
      <c r="G1392">
        <v>931.37054151926168</v>
      </c>
      <c r="H1392">
        <v>891.55612187371696</v>
      </c>
      <c r="I1392">
        <v>36287.840232936629</v>
      </c>
      <c r="J1392">
        <v>35396.284111062909</v>
      </c>
    </row>
    <row r="1393" spans="1:10">
      <c r="A1393" s="1">
        <v>46098.808333333327</v>
      </c>
      <c r="B1393">
        <v>0.27482249348096488</v>
      </c>
      <c r="C1393">
        <v>181479.2904068222</v>
      </c>
      <c r="D1393">
        <v>100017.4301052778</v>
      </c>
      <c r="E1393">
        <v>81461.860301544337</v>
      </c>
      <c r="F1393">
        <v>0</v>
      </c>
      <c r="G1393">
        <v>931.37054151926168</v>
      </c>
      <c r="H1393">
        <v>931.64536401274268</v>
      </c>
      <c r="I1393">
        <v>36295.858081364437</v>
      </c>
      <c r="J1393">
        <v>35364.212717351693</v>
      </c>
    </row>
    <row r="1394" spans="1:10">
      <c r="A1394" s="3">
        <v>46098.809027777781</v>
      </c>
      <c r="B1394" s="4">
        <v>-56.051159382564492</v>
      </c>
      <c r="C1394" s="4">
        <v>181354.34329380869</v>
      </c>
      <c r="D1394" s="4">
        <v>99926.79355783308</v>
      </c>
      <c r="E1394" s="4">
        <v>81427.549735975626</v>
      </c>
      <c r="F1394" s="4">
        <v>0</v>
      </c>
      <c r="G1394" s="4">
        <v>931.37054151926168</v>
      </c>
      <c r="H1394" s="4">
        <v>875.31938213669719</v>
      </c>
      <c r="I1394" s="4">
        <v>36270.868658761741</v>
      </c>
      <c r="J1394" s="4">
        <v>35395.549276625054</v>
      </c>
    </row>
    <row r="1395" spans="1:10">
      <c r="A1395" s="3">
        <v>46098.80972222222</v>
      </c>
      <c r="B1395" s="4">
        <v>-28.162990938012818</v>
      </c>
      <c r="C1395" s="4">
        <v>181382.23146225329</v>
      </c>
      <c r="D1395" s="4">
        <v>99954.681726277631</v>
      </c>
      <c r="E1395" s="4">
        <v>81427.549735975626</v>
      </c>
      <c r="F1395" s="4">
        <v>0</v>
      </c>
      <c r="G1395" s="4">
        <v>931.37054151926168</v>
      </c>
      <c r="H1395" s="4">
        <v>903.20755058124882</v>
      </c>
      <c r="I1395" s="4">
        <v>36276.446292450652</v>
      </c>
      <c r="J1395" s="4">
        <v>35373.238741869412</v>
      </c>
    </row>
    <row r="1396" spans="1:10">
      <c r="A1396" s="1">
        <v>46098.810416666667</v>
      </c>
      <c r="B1396">
        <v>16.33081530392818</v>
      </c>
      <c r="C1396">
        <v>181323.79357178899</v>
      </c>
      <c r="D1396">
        <v>99947.70968416649</v>
      </c>
      <c r="E1396">
        <v>81376.083887622532</v>
      </c>
      <c r="F1396">
        <v>0</v>
      </c>
      <c r="G1396">
        <v>931.37054151926168</v>
      </c>
      <c r="H1396">
        <v>947.70135682318983</v>
      </c>
      <c r="I1396">
        <v>36264.758714357813</v>
      </c>
      <c r="J1396">
        <v>35317.057357534613</v>
      </c>
    </row>
    <row r="1397" spans="1:10">
      <c r="A1397" s="1">
        <v>46098.811111111107</v>
      </c>
      <c r="B1397">
        <v>0</v>
      </c>
      <c r="C1397">
        <v>0</v>
      </c>
      <c r="D1397">
        <v>0</v>
      </c>
      <c r="E1397">
        <v>0</v>
      </c>
      <c r="F1397">
        <v>23.62623803934591</v>
      </c>
      <c r="G1397">
        <v>954.99677955860761</v>
      </c>
      <c r="H1397">
        <v>954.99677955860761</v>
      </c>
      <c r="I1397">
        <v>0</v>
      </c>
      <c r="J1397">
        <v>-954.99677955860761</v>
      </c>
    </row>
    <row r="1398" spans="1:10">
      <c r="A1398" s="3">
        <v>46099.564583333333</v>
      </c>
      <c r="B1398" s="4">
        <v>0</v>
      </c>
      <c r="C1398" s="4">
        <v>181444.70501876</v>
      </c>
      <c r="D1398" s="4">
        <v>100000</v>
      </c>
      <c r="E1398" s="4">
        <v>81444.705018759982</v>
      </c>
      <c r="F1398" s="4">
        <v>0</v>
      </c>
      <c r="G1398" s="4">
        <v>954.99677955860761</v>
      </c>
      <c r="H1398" s="4">
        <v>954.99677955860761</v>
      </c>
      <c r="I1398" s="4">
        <v>36288.941003751999</v>
      </c>
      <c r="J1398" s="4">
        <v>35333.944224193387</v>
      </c>
    </row>
    <row r="1399" spans="1:10">
      <c r="A1399" s="1">
        <v>46099.56527777778</v>
      </c>
      <c r="B1399">
        <v>88.678381584876291</v>
      </c>
      <c r="C1399">
        <v>181653.7238615863</v>
      </c>
      <c r="D1399">
        <v>100148.84861220561</v>
      </c>
      <c r="E1399">
        <v>81504.875249380697</v>
      </c>
      <c r="F1399">
        <v>0</v>
      </c>
      <c r="G1399">
        <v>954.99677955860761</v>
      </c>
      <c r="H1399">
        <v>1043.675161143484</v>
      </c>
      <c r="I1399">
        <v>36330.744772317259</v>
      </c>
      <c r="J1399">
        <v>35287.069611173778</v>
      </c>
    </row>
    <row r="1400" spans="1:10">
      <c r="A1400" s="3">
        <v>46099.565972222219</v>
      </c>
      <c r="B1400" s="4">
        <v>189.4359742738915</v>
      </c>
      <c r="C1400" s="4">
        <v>181479.41754286629</v>
      </c>
      <c r="D1400" s="4">
        <v>100112.0742491901</v>
      </c>
      <c r="E1400" s="4">
        <v>81367.343293676196</v>
      </c>
      <c r="F1400" s="4">
        <v>0</v>
      </c>
      <c r="G1400" s="4">
        <v>954.99677955860761</v>
      </c>
      <c r="H1400" s="4">
        <v>1144.432753832499</v>
      </c>
      <c r="I1400" s="4">
        <v>36295.883508573257</v>
      </c>
      <c r="J1400" s="4">
        <v>35151.450754740763</v>
      </c>
    </row>
    <row r="1401" spans="1:10">
      <c r="A1401" s="1">
        <v>46099.566666666673</v>
      </c>
      <c r="B1401">
        <v>276.18428581411848</v>
      </c>
      <c r="C1401">
        <v>181291.10194299751</v>
      </c>
      <c r="D1401">
        <v>100061.2906050258</v>
      </c>
      <c r="E1401">
        <v>81229.811337971696</v>
      </c>
      <c r="F1401">
        <v>0</v>
      </c>
      <c r="G1401">
        <v>954.99677955860761</v>
      </c>
      <c r="H1401">
        <v>1231.1810653727259</v>
      </c>
      <c r="I1401">
        <v>36258.220388599511</v>
      </c>
      <c r="J1401">
        <v>35027.039323226782</v>
      </c>
    </row>
    <row r="1402" spans="1:10">
      <c r="A1402" s="3">
        <v>46099.567361111112</v>
      </c>
      <c r="B1402" s="4">
        <v>251.35736503819891</v>
      </c>
      <c r="C1402" s="4">
        <v>181420.99847238921</v>
      </c>
      <c r="D1402" s="4">
        <v>100113.8254093337</v>
      </c>
      <c r="E1402" s="4">
        <v>81307.173063055481</v>
      </c>
      <c r="F1402" s="4">
        <v>0</v>
      </c>
      <c r="G1402" s="4">
        <v>954.99677955860761</v>
      </c>
      <c r="H1402" s="4">
        <v>1206.354144596806</v>
      </c>
      <c r="I1402" s="4">
        <v>36284.199694477837</v>
      </c>
      <c r="J1402" s="4">
        <v>35077.845549881029</v>
      </c>
    </row>
    <row r="1403" spans="1:10">
      <c r="A1403" s="3">
        <v>46099.568055555559</v>
      </c>
      <c r="B1403" s="4">
        <v>149.479397944064</v>
      </c>
      <c r="C1403" s="4">
        <v>181473.84395546259</v>
      </c>
      <c r="D1403" s="4">
        <v>100089.3091673234</v>
      </c>
      <c r="E1403" s="4">
        <v>81384.534788139266</v>
      </c>
      <c r="F1403" s="4">
        <v>0</v>
      </c>
      <c r="G1403" s="4">
        <v>954.99677955860761</v>
      </c>
      <c r="H1403" s="4">
        <v>1104.476177502672</v>
      </c>
      <c r="I1403" s="4">
        <v>36294.768791092523</v>
      </c>
      <c r="J1403" s="4">
        <v>35190.292613589852</v>
      </c>
    </row>
    <row r="1404" spans="1:10">
      <c r="A1404" s="3">
        <v>46099.568749999999</v>
      </c>
      <c r="B1404" s="4">
        <v>20.54318947110043</v>
      </c>
      <c r="C1404" s="4">
        <v>181602.78016393559</v>
      </c>
      <c r="D1404" s="4">
        <v>100089.3091673234</v>
      </c>
      <c r="E1404" s="4">
        <v>81513.470996612232</v>
      </c>
      <c r="F1404" s="4">
        <v>0</v>
      </c>
      <c r="G1404" s="4">
        <v>954.99677955860761</v>
      </c>
      <c r="H1404" s="4">
        <v>975.539969029708</v>
      </c>
      <c r="I1404" s="4">
        <v>36320.556032787121</v>
      </c>
      <c r="J1404" s="4">
        <v>35345.016063757423</v>
      </c>
    </row>
    <row r="1405" spans="1:10">
      <c r="A1405" s="3">
        <v>46099.569444444453</v>
      </c>
      <c r="B1405" s="4">
        <v>-85.627937135119566</v>
      </c>
      <c r="C1405" s="4">
        <v>181754.48145427529</v>
      </c>
      <c r="D1405" s="4">
        <v>100112.0742491901</v>
      </c>
      <c r="E1405" s="4">
        <v>81642.407205085212</v>
      </c>
      <c r="F1405" s="4">
        <v>0</v>
      </c>
      <c r="G1405" s="4">
        <v>954.99677955860761</v>
      </c>
      <c r="H1405" s="4">
        <v>869.3688424234881</v>
      </c>
      <c r="I1405" s="4">
        <v>36350.896290855067</v>
      </c>
      <c r="J1405" s="4">
        <v>35481.527448431581</v>
      </c>
    </row>
    <row r="1406" spans="1:10">
      <c r="A1406" s="3">
        <v>46099.570138888892</v>
      </c>
      <c r="B1406" s="4">
        <v>-92.463096015763739</v>
      </c>
      <c r="C1406" s="4">
        <v>181953.94422895141</v>
      </c>
      <c r="D1406" s="4">
        <v>100208.3880570878</v>
      </c>
      <c r="E1406" s="4">
        <v>81745.556171863573</v>
      </c>
      <c r="F1406" s="4">
        <v>0</v>
      </c>
      <c r="G1406" s="4">
        <v>954.99677955860761</v>
      </c>
      <c r="H1406" s="4">
        <v>862.53368354284385</v>
      </c>
      <c r="I1406" s="4">
        <v>36390.788845790281</v>
      </c>
      <c r="J1406" s="4">
        <v>35528.255162247428</v>
      </c>
    </row>
    <row r="1407" spans="1:10">
      <c r="A1407" s="1">
        <v>46099.570833333331</v>
      </c>
      <c r="B1407">
        <v>118.14685346768211</v>
      </c>
      <c r="C1407">
        <v>182027.02222273039</v>
      </c>
      <c r="D1407">
        <v>100350.23202871899</v>
      </c>
      <c r="E1407">
        <v>81676.790194011322</v>
      </c>
      <c r="F1407">
        <v>0</v>
      </c>
      <c r="G1407">
        <v>954.99677955860761</v>
      </c>
      <c r="H1407">
        <v>1073.14363302629</v>
      </c>
      <c r="I1407">
        <v>36405.404444546068</v>
      </c>
      <c r="J1407">
        <v>35332.260811519787</v>
      </c>
    </row>
    <row r="1408" spans="1:10">
      <c r="A1408" s="1">
        <v>46099.571527777778</v>
      </c>
      <c r="B1408">
        <v>165.42817734476739</v>
      </c>
      <c r="C1408">
        <v>182074.30354660741</v>
      </c>
      <c r="D1408">
        <v>100397.5133525961</v>
      </c>
      <c r="E1408">
        <v>81676.790194011322</v>
      </c>
      <c r="F1408">
        <v>0</v>
      </c>
      <c r="G1408">
        <v>954.99677955860761</v>
      </c>
      <c r="H1408">
        <v>1120.424956903375</v>
      </c>
      <c r="I1408">
        <v>36414.860709321489</v>
      </c>
      <c r="J1408">
        <v>35294.43575241811</v>
      </c>
    </row>
    <row r="1409" spans="1:10">
      <c r="A1409" s="3">
        <v>46099.572222222218</v>
      </c>
      <c r="B1409" s="4">
        <v>124.0405478442424</v>
      </c>
      <c r="C1409" s="4">
        <v>182101.68189495921</v>
      </c>
      <c r="D1409" s="4">
        <v>100390.50871202171</v>
      </c>
      <c r="E1409" s="4">
        <v>81711.173182937462</v>
      </c>
      <c r="F1409" s="4">
        <v>0</v>
      </c>
      <c r="G1409" s="4">
        <v>954.99677955860761</v>
      </c>
      <c r="H1409" s="4">
        <v>1079.03732740285</v>
      </c>
      <c r="I1409" s="4">
        <v>36420.336378991837</v>
      </c>
      <c r="J1409" s="4">
        <v>35341.299051588983</v>
      </c>
    </row>
    <row r="1410" spans="1:10">
      <c r="A1410" s="3">
        <v>46099.572916666657</v>
      </c>
      <c r="B1410" s="4">
        <v>0</v>
      </c>
      <c r="C1410" s="4">
        <v>0</v>
      </c>
      <c r="D1410" s="4">
        <v>0</v>
      </c>
      <c r="E1410" s="4">
        <v>0</v>
      </c>
      <c r="F1410" s="4">
        <v>209.62295667435541</v>
      </c>
      <c r="G1410" s="4">
        <v>1164.6197362329631</v>
      </c>
      <c r="H1410" s="4">
        <v>1164.6197362329631</v>
      </c>
      <c r="I1410" s="4">
        <v>0</v>
      </c>
      <c r="J1410" s="4">
        <v>-1164.6197362329631</v>
      </c>
    </row>
    <row r="1411" spans="1:10">
      <c r="A1411" s="1">
        <v>46101.5625</v>
      </c>
      <c r="B1411">
        <v>0</v>
      </c>
      <c r="C1411">
        <v>181444.70501876</v>
      </c>
      <c r="D1411">
        <v>100000</v>
      </c>
      <c r="E1411">
        <v>81444.705018759982</v>
      </c>
      <c r="F1411">
        <v>0</v>
      </c>
      <c r="G1411">
        <v>1164.6197362329631</v>
      </c>
      <c r="H1411">
        <v>1164.6197362329631</v>
      </c>
      <c r="I1411">
        <v>36288.941003751999</v>
      </c>
      <c r="J1411">
        <v>35124.321267519037</v>
      </c>
    </row>
    <row r="1412" spans="1:10">
      <c r="A1412" s="1">
        <v>46101.563194444447</v>
      </c>
      <c r="B1412">
        <v>342.57248410644661</v>
      </c>
      <c r="C1412">
        <v>181081.30860101251</v>
      </c>
      <c r="D1412">
        <v>99989.588033179476</v>
      </c>
      <c r="E1412">
        <v>81091.720567833006</v>
      </c>
      <c r="F1412">
        <v>0</v>
      </c>
      <c r="G1412">
        <v>1164.6197362329631</v>
      </c>
      <c r="H1412">
        <v>1507.1922203394099</v>
      </c>
      <c r="I1412">
        <v>36216.261720202499</v>
      </c>
      <c r="J1412">
        <v>34709.069499863093</v>
      </c>
    </row>
    <row r="1413" spans="1:10">
      <c r="A1413" s="1">
        <v>46101.563888888893</v>
      </c>
      <c r="B1413">
        <v>242.19252016889391</v>
      </c>
      <c r="C1413">
        <v>181049.80365188999</v>
      </c>
      <c r="D1413">
        <v>99923.645576649447</v>
      </c>
      <c r="E1413">
        <v>81126.158075240528</v>
      </c>
      <c r="F1413">
        <v>0</v>
      </c>
      <c r="G1413">
        <v>1164.6197362329631</v>
      </c>
      <c r="H1413">
        <v>1406.812256401857</v>
      </c>
      <c r="I1413">
        <v>36209.960730377992</v>
      </c>
      <c r="J1413">
        <v>34803.148473976144</v>
      </c>
    </row>
    <row r="1414" spans="1:10">
      <c r="A1414" s="3">
        <v>46101.564583333333</v>
      </c>
      <c r="B1414" s="4">
        <v>255.7388317700906</v>
      </c>
      <c r="C1414" s="4">
        <v>180977.2561949724</v>
      </c>
      <c r="D1414" s="4">
        <v>99894.14500399126</v>
      </c>
      <c r="E1414" s="4">
        <v>81083.111190981144</v>
      </c>
      <c r="F1414" s="4">
        <v>0</v>
      </c>
      <c r="G1414" s="4">
        <v>1164.6197362329631</v>
      </c>
      <c r="H1414" s="4">
        <v>1420.358568003054</v>
      </c>
      <c r="I1414" s="4">
        <v>36195.451238994479</v>
      </c>
      <c r="J1414" s="4">
        <v>34775.092670991427</v>
      </c>
    </row>
    <row r="1415" spans="1:10">
      <c r="A1415" s="3">
        <v>46101.56527777778</v>
      </c>
      <c r="B1415" s="4">
        <v>313.19294728609577</v>
      </c>
      <c r="C1415" s="4">
        <v>180638.678975302</v>
      </c>
      <c r="D1415" s="4">
        <v>99753.583451914077</v>
      </c>
      <c r="E1415" s="4">
        <v>80885.09552338795</v>
      </c>
      <c r="F1415" s="4">
        <v>0</v>
      </c>
      <c r="G1415" s="4">
        <v>1164.6197362329631</v>
      </c>
      <c r="H1415" s="4">
        <v>1477.812683519059</v>
      </c>
      <c r="I1415" s="4">
        <v>36127.735795060413</v>
      </c>
      <c r="J1415" s="4">
        <v>34649.923111541349</v>
      </c>
    </row>
    <row r="1416" spans="1:10">
      <c r="A1416" s="3">
        <v>46101.565972222219</v>
      </c>
      <c r="B1416" s="4">
        <v>265.06111545426711</v>
      </c>
      <c r="C1416" s="4">
        <v>180263.39082309889</v>
      </c>
      <c r="D1416" s="4">
        <v>99541.873459896582</v>
      </c>
      <c r="E1416" s="4">
        <v>80721.517363202292</v>
      </c>
      <c r="F1416" s="4">
        <v>0</v>
      </c>
      <c r="G1416" s="4">
        <v>1164.6197362329631</v>
      </c>
      <c r="H1416" s="4">
        <v>1429.68085168723</v>
      </c>
      <c r="I1416" s="4">
        <v>36052.678164619778</v>
      </c>
      <c r="J1416" s="4">
        <v>34622.997312932537</v>
      </c>
    </row>
    <row r="1417" spans="1:10">
      <c r="A1417" s="3">
        <v>46101.566666666673</v>
      </c>
      <c r="B1417" s="4">
        <v>139.1893317872609</v>
      </c>
      <c r="C1417" s="4">
        <v>180344.14408387689</v>
      </c>
      <c r="D1417" s="4">
        <v>99519.314198452092</v>
      </c>
      <c r="E1417" s="4">
        <v>80824.829885424813</v>
      </c>
      <c r="F1417" s="4">
        <v>0</v>
      </c>
      <c r="G1417" s="4">
        <v>1164.6197362329631</v>
      </c>
      <c r="H1417" s="4">
        <v>1303.809068020224</v>
      </c>
      <c r="I1417" s="4">
        <v>36068.828816775393</v>
      </c>
      <c r="J1417" s="4">
        <v>34765.019748755163</v>
      </c>
    </row>
    <row r="1418" spans="1:10">
      <c r="A1418" s="1">
        <v>46101.567361111112</v>
      </c>
      <c r="B1418">
        <v>241.03557486728741</v>
      </c>
      <c r="C1418">
        <v>180308.24029732691</v>
      </c>
      <c r="D1418">
        <v>99552.285426717106</v>
      </c>
      <c r="E1418">
        <v>80755.954870609785</v>
      </c>
      <c r="F1418">
        <v>0</v>
      </c>
      <c r="G1418">
        <v>1164.6197362329631</v>
      </c>
      <c r="H1418">
        <v>1405.6553111002499</v>
      </c>
      <c r="I1418">
        <v>36061.648059465377</v>
      </c>
      <c r="J1418">
        <v>34655.992748365134</v>
      </c>
    </row>
    <row r="1419" spans="1:10">
      <c r="A1419" s="3">
        <v>46101.568055555559</v>
      </c>
      <c r="B1419" s="4">
        <v>66.171039713067898</v>
      </c>
      <c r="C1419" s="4">
        <v>180236.6882843952</v>
      </c>
      <c r="D1419" s="4">
        <v>99429.077152674145</v>
      </c>
      <c r="E1419" s="4">
        <v>80807.61113172106</v>
      </c>
      <c r="F1419" s="4">
        <v>0</v>
      </c>
      <c r="G1419" s="4">
        <v>1164.6197362329631</v>
      </c>
      <c r="H1419" s="4">
        <v>1230.7907759460311</v>
      </c>
      <c r="I1419" s="4">
        <v>36047.337656879041</v>
      </c>
      <c r="J1419" s="4">
        <v>34816.546880933012</v>
      </c>
    </row>
    <row r="1420" spans="1:10">
      <c r="A1420" s="1">
        <v>46101.568749999999</v>
      </c>
      <c r="B1420">
        <v>183.5141971860813</v>
      </c>
      <c r="C1420">
        <v>180629.53150112831</v>
      </c>
      <c r="D1420">
        <v>99684.170339777193</v>
      </c>
      <c r="E1420">
        <v>80945.361161351088</v>
      </c>
      <c r="F1420">
        <v>0</v>
      </c>
      <c r="G1420">
        <v>1164.6197362329631</v>
      </c>
      <c r="H1420">
        <v>1348.1339334190441</v>
      </c>
      <c r="I1420">
        <v>36125.906300225659</v>
      </c>
      <c r="J1420">
        <v>34777.772366806617</v>
      </c>
    </row>
    <row r="1421" spans="1:10">
      <c r="A1421" s="1">
        <v>46101.569444444453</v>
      </c>
      <c r="B1421">
        <v>234.17501431148219</v>
      </c>
      <c r="C1421">
        <v>180766.28608677251</v>
      </c>
      <c r="D1421">
        <v>99777.878041161981</v>
      </c>
      <c r="E1421">
        <v>80988.408045610471</v>
      </c>
      <c r="F1421">
        <v>0</v>
      </c>
      <c r="G1421">
        <v>1164.6197362329631</v>
      </c>
      <c r="H1421">
        <v>1398.7947505444449</v>
      </c>
      <c r="I1421">
        <v>36153.25721735449</v>
      </c>
      <c r="J1421">
        <v>34754.462466810037</v>
      </c>
    </row>
    <row r="1422" spans="1:10">
      <c r="A1422" s="1">
        <v>46101.570138888892</v>
      </c>
      <c r="B1422">
        <v>83.537806239916563</v>
      </c>
      <c r="C1422">
        <v>180701.74264721971</v>
      </c>
      <c r="D1422">
        <v>99670.287717349813</v>
      </c>
      <c r="E1422">
        <v>81031.454929869869</v>
      </c>
      <c r="F1422">
        <v>0</v>
      </c>
      <c r="G1422">
        <v>1164.6197362329631</v>
      </c>
      <c r="H1422">
        <v>1248.1575424728801</v>
      </c>
      <c r="I1422">
        <v>36140.348529443938</v>
      </c>
      <c r="J1422">
        <v>34892.190986971058</v>
      </c>
    </row>
    <row r="1423" spans="1:10">
      <c r="A1423" s="3">
        <v>46101.570833333331</v>
      </c>
      <c r="B1423" s="4">
        <v>161.56029522867709</v>
      </c>
      <c r="C1423" s="4">
        <v>180762.54638250469</v>
      </c>
      <c r="D1423" s="4">
        <v>99739.700829486697</v>
      </c>
      <c r="E1423" s="4">
        <v>81022.845553017993</v>
      </c>
      <c r="F1423" s="4">
        <v>0</v>
      </c>
      <c r="G1423" s="4">
        <v>1164.6197362329631</v>
      </c>
      <c r="H1423" s="4">
        <v>1326.1800314616401</v>
      </c>
      <c r="I1423" s="4">
        <v>36152.509276500939</v>
      </c>
      <c r="J1423" s="4">
        <v>34826.329245039298</v>
      </c>
    </row>
    <row r="1424" spans="1:10">
      <c r="A1424" s="3">
        <v>46101.571527777778</v>
      </c>
      <c r="B1424" s="4">
        <v>42.966133601507778</v>
      </c>
      <c r="C1424" s="4">
        <v>180936.67103384141</v>
      </c>
      <c r="D1424" s="4">
        <v>99767.466074341442</v>
      </c>
      <c r="E1424" s="4">
        <v>81169.204959499912</v>
      </c>
      <c r="F1424" s="4">
        <v>0</v>
      </c>
      <c r="G1424" s="4">
        <v>1164.6197362329631</v>
      </c>
      <c r="H1424" s="4">
        <v>1207.5858698344709</v>
      </c>
      <c r="I1424" s="4">
        <v>36187.334206768282</v>
      </c>
      <c r="J1424" s="4">
        <v>34979.748336933801</v>
      </c>
    </row>
    <row r="1425" spans="1:10">
      <c r="A1425" s="1">
        <v>46101.572222222218</v>
      </c>
      <c r="B1425">
        <v>4.9234462566908226</v>
      </c>
      <c r="C1425">
        <v>180933.06585390409</v>
      </c>
      <c r="D1425">
        <v>99746.64214070038</v>
      </c>
      <c r="E1425">
        <v>81186.423713203665</v>
      </c>
      <c r="F1425">
        <v>0</v>
      </c>
      <c r="G1425">
        <v>1164.6197362329631</v>
      </c>
      <c r="H1425">
        <v>1169.5431824896541</v>
      </c>
      <c r="I1425">
        <v>36186.613170780824</v>
      </c>
      <c r="J1425">
        <v>35017.069988291158</v>
      </c>
    </row>
    <row r="1426" spans="1:10">
      <c r="A1426" s="3">
        <v>46101.572916666657</v>
      </c>
      <c r="B1426" s="4">
        <v>-57.669390504335411</v>
      </c>
      <c r="C1426" s="4">
        <v>181283.72310603311</v>
      </c>
      <c r="D1426" s="4">
        <v>99890.674348384418</v>
      </c>
      <c r="E1426" s="4">
        <v>81393.048757648721</v>
      </c>
      <c r="F1426" s="4">
        <v>0</v>
      </c>
      <c r="G1426" s="4">
        <v>1164.6197362329631</v>
      </c>
      <c r="H1426" s="4">
        <v>1106.950345728628</v>
      </c>
      <c r="I1426" s="4">
        <v>36256.744621206628</v>
      </c>
      <c r="J1426" s="4">
        <v>35149.794275478002</v>
      </c>
    </row>
    <row r="1427" spans="1:10">
      <c r="A1427" s="1">
        <v>46101.573611111111</v>
      </c>
      <c r="B1427">
        <v>-87.573536153911064</v>
      </c>
      <c r="C1427">
        <v>181150.50643816101</v>
      </c>
      <c r="D1427">
        <v>99809.113941623567</v>
      </c>
      <c r="E1427">
        <v>81341.392496537461</v>
      </c>
      <c r="F1427">
        <v>0</v>
      </c>
      <c r="G1427">
        <v>1164.6197362329631</v>
      </c>
      <c r="H1427">
        <v>1077.0462000790519</v>
      </c>
      <c r="I1427">
        <v>36230.101287632213</v>
      </c>
      <c r="J1427">
        <v>35153.055087553163</v>
      </c>
    </row>
    <row r="1428" spans="1:10">
      <c r="A1428" s="1">
        <v>46101.574305555558</v>
      </c>
      <c r="B1428">
        <v>-12.618129780583921</v>
      </c>
      <c r="C1428">
        <v>181311.55561305309</v>
      </c>
      <c r="D1428">
        <v>99927.116232256289</v>
      </c>
      <c r="E1428">
        <v>81384.439380796844</v>
      </c>
      <c r="F1428">
        <v>0</v>
      </c>
      <c r="G1428">
        <v>1164.6197362329631</v>
      </c>
      <c r="H1428">
        <v>1152.0016064523791</v>
      </c>
      <c r="I1428">
        <v>36262.311122610627</v>
      </c>
      <c r="J1428">
        <v>35110.309516158253</v>
      </c>
    </row>
    <row r="1429" spans="1:10">
      <c r="A1429" s="3">
        <v>46101.574999999997</v>
      </c>
      <c r="B1429" s="4">
        <v>-107.993896803569</v>
      </c>
      <c r="C1429" s="4">
        <v>181233.39859973389</v>
      </c>
      <c r="D1429" s="4">
        <v>99840.349842085183</v>
      </c>
      <c r="E1429" s="4">
        <v>81393.048757648721</v>
      </c>
      <c r="F1429" s="4">
        <v>0</v>
      </c>
      <c r="G1429" s="4">
        <v>1164.6197362329631</v>
      </c>
      <c r="H1429" s="4">
        <v>1056.6258394293941</v>
      </c>
      <c r="I1429" s="4">
        <v>36246.679719946776</v>
      </c>
      <c r="J1429" s="4">
        <v>35190.053880517393</v>
      </c>
    </row>
    <row r="1430" spans="1:10">
      <c r="A1430" s="1">
        <v>46101.575694444437</v>
      </c>
      <c r="B1430">
        <v>82.085015590066718</v>
      </c>
      <c r="C1430">
        <v>181216.8524676825</v>
      </c>
      <c r="D1430">
        <v>99927.116232256289</v>
      </c>
      <c r="E1430">
        <v>81289.736235426186</v>
      </c>
      <c r="F1430">
        <v>0</v>
      </c>
      <c r="G1430">
        <v>1164.6197362329631</v>
      </c>
      <c r="H1430">
        <v>1246.7047518230299</v>
      </c>
      <c r="I1430">
        <v>36243.370493536488</v>
      </c>
      <c r="J1430">
        <v>34996.665741713463</v>
      </c>
    </row>
    <row r="1431" spans="1:10">
      <c r="A1431" s="3">
        <v>46101.576388888891</v>
      </c>
      <c r="B1431" s="4">
        <v>75.332002379434925</v>
      </c>
      <c r="C1431" s="4">
        <v>180814.06811928551</v>
      </c>
      <c r="D1431" s="4">
        <v>99722.347551452462</v>
      </c>
      <c r="E1431" s="4">
        <v>81091.720567833006</v>
      </c>
      <c r="F1431" s="4">
        <v>0</v>
      </c>
      <c r="G1431" s="4">
        <v>1164.6197362329631</v>
      </c>
      <c r="H1431" s="4">
        <v>1239.951738612398</v>
      </c>
      <c r="I1431" s="4">
        <v>36162.813623857102</v>
      </c>
      <c r="J1431" s="4">
        <v>34922.861885244703</v>
      </c>
    </row>
    <row r="1432" spans="1:10">
      <c r="A1432" s="3">
        <v>46101.57708333333</v>
      </c>
      <c r="B1432" s="4">
        <v>-9.4972734925342479</v>
      </c>
      <c r="C1432" s="4">
        <v>180780.8951045248</v>
      </c>
      <c r="D1432" s="4">
        <v>99663.34640613613</v>
      </c>
      <c r="E1432" s="4">
        <v>81117.548698388637</v>
      </c>
      <c r="F1432" s="4">
        <v>0</v>
      </c>
      <c r="G1432" s="4">
        <v>1164.6197362329631</v>
      </c>
      <c r="H1432" s="4">
        <v>1155.122462740429</v>
      </c>
      <c r="I1432" s="4">
        <v>36156.179020904958</v>
      </c>
      <c r="J1432" s="4">
        <v>35001.056558164528</v>
      </c>
    </row>
    <row r="1433" spans="1:10">
      <c r="A1433" s="3">
        <v>46101.577777777777</v>
      </c>
      <c r="B1433" s="4">
        <v>-30.186682803146251</v>
      </c>
      <c r="C1433" s="4">
        <v>180794.64320262169</v>
      </c>
      <c r="D1433" s="4">
        <v>99659.875750529274</v>
      </c>
      <c r="E1433" s="4">
        <v>81134.76745209239</v>
      </c>
      <c r="F1433" s="4">
        <v>0</v>
      </c>
      <c r="G1433" s="4">
        <v>1164.6197362329631</v>
      </c>
      <c r="H1433" s="4">
        <v>1134.4330534298169</v>
      </c>
      <c r="I1433" s="4">
        <v>36158.928640524333</v>
      </c>
      <c r="J1433" s="4">
        <v>35024.495587094512</v>
      </c>
    </row>
    <row r="1434" spans="1:10">
      <c r="A1434" s="1">
        <v>46101.578472222223</v>
      </c>
      <c r="B1434">
        <v>24.213838590029869</v>
      </c>
      <c r="C1434">
        <v>181004.01250734861</v>
      </c>
      <c r="D1434">
        <v>99791.760663589346</v>
      </c>
      <c r="E1434">
        <v>81212.251843759295</v>
      </c>
      <c r="F1434">
        <v>0</v>
      </c>
      <c r="G1434">
        <v>1164.6197362329631</v>
      </c>
      <c r="H1434">
        <v>1188.8335748229929</v>
      </c>
      <c r="I1434">
        <v>36200.802501469727</v>
      </c>
      <c r="J1434">
        <v>35011.968926646732</v>
      </c>
    </row>
    <row r="1435" spans="1:10">
      <c r="A1435" s="1">
        <v>46101.57916666667</v>
      </c>
      <c r="B1435">
        <v>9.0667235158737469</v>
      </c>
      <c r="C1435">
        <v>181109.39666820079</v>
      </c>
      <c r="D1435">
        <v>99836.879186478342</v>
      </c>
      <c r="E1435">
        <v>81272.517481722432</v>
      </c>
      <c r="F1435">
        <v>0</v>
      </c>
      <c r="G1435">
        <v>1164.6197362329631</v>
      </c>
      <c r="H1435">
        <v>1173.686459748837</v>
      </c>
      <c r="I1435">
        <v>36221.879333640158</v>
      </c>
      <c r="J1435">
        <v>35048.192873891319</v>
      </c>
    </row>
    <row r="1436" spans="1:10">
      <c r="A1436" s="3">
        <v>46101.579861111109</v>
      </c>
      <c r="B1436" s="4">
        <v>-108.531994125418</v>
      </c>
      <c r="C1436" s="4">
        <v>181095.11047278199</v>
      </c>
      <c r="D1436" s="4">
        <v>99770.936729948298</v>
      </c>
      <c r="E1436" s="4">
        <v>81324.173742833693</v>
      </c>
      <c r="F1436" s="4">
        <v>0</v>
      </c>
      <c r="G1436" s="4">
        <v>1164.6197362329631</v>
      </c>
      <c r="H1436" s="4">
        <v>1056.087742107545</v>
      </c>
      <c r="I1436" s="4">
        <v>36219.0220945564</v>
      </c>
      <c r="J1436" s="4">
        <v>35162.934352448858</v>
      </c>
    </row>
    <row r="1437" spans="1:10">
      <c r="A1437" s="3">
        <v>46101.580555555563</v>
      </c>
      <c r="B1437" s="4">
        <v>-87.708060484372126</v>
      </c>
      <c r="C1437" s="4">
        <v>181115.93440642301</v>
      </c>
      <c r="D1437" s="4">
        <v>99791.760663589346</v>
      </c>
      <c r="E1437" s="4">
        <v>81324.173742833693</v>
      </c>
      <c r="F1437" s="4">
        <v>0</v>
      </c>
      <c r="G1437" s="4">
        <v>1164.6197362329631</v>
      </c>
      <c r="H1437" s="4">
        <v>1076.9116757485911</v>
      </c>
      <c r="I1437" s="4">
        <v>36223.186881284608</v>
      </c>
      <c r="J1437" s="4">
        <v>35146.275205536018</v>
      </c>
    </row>
    <row r="1438" spans="1:10">
      <c r="A1438" s="1">
        <v>46101.581250000003</v>
      </c>
      <c r="B1438">
        <v>0</v>
      </c>
      <c r="C1438">
        <v>0</v>
      </c>
      <c r="D1438">
        <v>0</v>
      </c>
      <c r="E1438">
        <v>0</v>
      </c>
      <c r="F1438">
        <v>54.627073131727563</v>
      </c>
      <c r="G1438">
        <v>1219.246809364691</v>
      </c>
      <c r="H1438">
        <v>1219.246809364691</v>
      </c>
      <c r="I1438">
        <v>0</v>
      </c>
      <c r="J1438">
        <v>-1219.246809364691</v>
      </c>
    </row>
    <row r="1439" spans="1:10">
      <c r="A1439" s="3">
        <v>46101.826388888891</v>
      </c>
      <c r="B1439" s="4">
        <v>0</v>
      </c>
      <c r="C1439" s="4">
        <v>181444.70501876</v>
      </c>
      <c r="D1439" s="4">
        <v>100000</v>
      </c>
      <c r="E1439" s="4">
        <v>81444.705018759982</v>
      </c>
      <c r="F1439" s="4">
        <v>0</v>
      </c>
      <c r="G1439" s="4">
        <v>1219.246809364691</v>
      </c>
      <c r="H1439" s="4">
        <v>1219.246809364691</v>
      </c>
      <c r="I1439" s="4">
        <v>36288.941003751999</v>
      </c>
      <c r="J1439" s="4">
        <v>35069.69419438731</v>
      </c>
    </row>
    <row r="1440" spans="1:10">
      <c r="A1440" s="3">
        <v>46101.82708333333</v>
      </c>
      <c r="B1440" s="4">
        <v>28.767899783252972</v>
      </c>
      <c r="C1440" s="4">
        <v>181664.453893859</v>
      </c>
      <c r="D1440" s="4">
        <v>100124.25838744119</v>
      </c>
      <c r="E1440" s="4">
        <v>81540.195506417876</v>
      </c>
      <c r="F1440" s="4">
        <v>0</v>
      </c>
      <c r="G1440" s="4">
        <v>1219.246809364691</v>
      </c>
      <c r="H1440" s="4">
        <v>1248.014709147943</v>
      </c>
      <c r="I1440" s="4">
        <v>36332.890778771813</v>
      </c>
      <c r="J1440" s="4">
        <v>35084.876069623861</v>
      </c>
    </row>
    <row r="1441" spans="1:10">
      <c r="A1441" s="3">
        <v>46101.827777777777</v>
      </c>
      <c r="B1441" s="4">
        <v>73.008313797587164</v>
      </c>
      <c r="C1441" s="4">
        <v>181830.2276558016</v>
      </c>
      <c r="D1441" s="4">
        <v>100229.2654754196</v>
      </c>
      <c r="E1441" s="4">
        <v>81600.96218038199</v>
      </c>
      <c r="F1441" s="4">
        <v>0</v>
      </c>
      <c r="G1441" s="4">
        <v>1219.246809364691</v>
      </c>
      <c r="H1441" s="4">
        <v>1292.2551231622781</v>
      </c>
      <c r="I1441" s="4">
        <v>36366.045531160307</v>
      </c>
      <c r="J1441" s="4">
        <v>35073.790407998044</v>
      </c>
    </row>
    <row r="1442" spans="1:10">
      <c r="A1442" s="1">
        <v>46101.828472222223</v>
      </c>
      <c r="B1442">
        <v>137.971596441895</v>
      </c>
      <c r="C1442">
        <v>181947.27665898661</v>
      </c>
      <c r="D1442">
        <v>100320.2716183342</v>
      </c>
      <c r="E1442">
        <v>81627.005040652322</v>
      </c>
      <c r="F1442">
        <v>0</v>
      </c>
      <c r="G1442">
        <v>1219.246809364691</v>
      </c>
      <c r="H1442">
        <v>1357.218405806585</v>
      </c>
      <c r="I1442">
        <v>36389.455331797319</v>
      </c>
      <c r="J1442">
        <v>35032.236925990743</v>
      </c>
    </row>
    <row r="1443" spans="1:10">
      <c r="A1443" s="3">
        <v>46101.82916666667</v>
      </c>
      <c r="B1443" s="4">
        <v>162.18551424047811</v>
      </c>
      <c r="C1443" s="4">
        <v>182336.0906205698</v>
      </c>
      <c r="D1443" s="4">
        <v>100526.78555802521</v>
      </c>
      <c r="E1443" s="4">
        <v>81809.305062544663</v>
      </c>
      <c r="F1443" s="4">
        <v>0</v>
      </c>
      <c r="G1443" s="4">
        <v>1219.246809364691</v>
      </c>
      <c r="H1443" s="4">
        <v>1381.4323236051689</v>
      </c>
      <c r="I1443" s="4">
        <v>36467.21812411397</v>
      </c>
      <c r="J1443" s="4">
        <v>35085.785800508798</v>
      </c>
    </row>
    <row r="1444" spans="1:10">
      <c r="A1444" s="1">
        <v>46101.829861111109</v>
      </c>
      <c r="B1444">
        <v>-64.981656839015727</v>
      </c>
      <c r="C1444">
        <v>182195.7329837248</v>
      </c>
      <c r="D1444">
        <v>100343.0231540629</v>
      </c>
      <c r="E1444">
        <v>81852.709829661893</v>
      </c>
      <c r="F1444">
        <v>0</v>
      </c>
      <c r="G1444">
        <v>1219.246809364691</v>
      </c>
      <c r="H1444">
        <v>1154.2651525256749</v>
      </c>
      <c r="I1444">
        <v>36439.146596744962</v>
      </c>
      <c r="J1444">
        <v>35284.881444219289</v>
      </c>
    </row>
    <row r="1445" spans="1:10">
      <c r="A1445" s="1">
        <v>46101.830555555563</v>
      </c>
      <c r="B1445">
        <v>-234.95202746176611</v>
      </c>
      <c r="C1445">
        <v>181973.6768925614</v>
      </c>
      <c r="D1445">
        <v>100147.0099231698</v>
      </c>
      <c r="E1445">
        <v>81826.666969391561</v>
      </c>
      <c r="F1445">
        <v>0</v>
      </c>
      <c r="G1445">
        <v>1219.246809364691</v>
      </c>
      <c r="H1445">
        <v>984.29478190292446</v>
      </c>
      <c r="I1445">
        <v>36394.735378512283</v>
      </c>
      <c r="J1445">
        <v>35410.440596609347</v>
      </c>
    </row>
    <row r="1446" spans="1:10">
      <c r="A1446" s="1">
        <v>46101.831250000003</v>
      </c>
      <c r="B1446">
        <v>-59.104567267256357</v>
      </c>
      <c r="C1446">
        <v>182357.86723491849</v>
      </c>
      <c r="D1446">
        <v>100427.0288244456</v>
      </c>
      <c r="E1446">
        <v>81930.83841047289</v>
      </c>
      <c r="F1446">
        <v>0</v>
      </c>
      <c r="G1446">
        <v>1219.246809364691</v>
      </c>
      <c r="H1446">
        <v>1160.1422420974341</v>
      </c>
      <c r="I1446">
        <v>36471.573446983697</v>
      </c>
      <c r="J1446">
        <v>35311.43120488627</v>
      </c>
    </row>
    <row r="1447" spans="1:10">
      <c r="A1447" s="3">
        <v>46101.831944444442</v>
      </c>
      <c r="B1447" s="4">
        <v>-32.504609065535703</v>
      </c>
      <c r="C1447" s="4">
        <v>182471.27672735471</v>
      </c>
      <c r="D1447" s="4">
        <v>100497.0335497646</v>
      </c>
      <c r="E1447" s="4">
        <v>81974.24317759012</v>
      </c>
      <c r="F1447" s="4">
        <v>0</v>
      </c>
      <c r="G1447" s="4">
        <v>1219.246809364691</v>
      </c>
      <c r="H1447" s="4">
        <v>1186.742200299155</v>
      </c>
      <c r="I1447" s="4">
        <v>36494.255345470949</v>
      </c>
      <c r="J1447" s="4">
        <v>35307.513145171797</v>
      </c>
    </row>
    <row r="1448" spans="1:10">
      <c r="A1448" s="3">
        <v>46101.832638888889</v>
      </c>
      <c r="B1448" s="4">
        <v>-85.634888227576823</v>
      </c>
      <c r="C1448" s="4">
        <v>182261.88928657069</v>
      </c>
      <c r="D1448" s="4">
        <v>100365.77468979159</v>
      </c>
      <c r="E1448" s="4">
        <v>81896.114596779124</v>
      </c>
      <c r="F1448" s="4">
        <v>0</v>
      </c>
      <c r="G1448" s="4">
        <v>1219.246809364691</v>
      </c>
      <c r="H1448" s="4">
        <v>1133.611921137114</v>
      </c>
      <c r="I1448" s="4">
        <v>36452.377857314139</v>
      </c>
      <c r="J1448" s="4">
        <v>35318.765936177027</v>
      </c>
    </row>
    <row r="1449" spans="1:10">
      <c r="A1449" s="1">
        <v>46104.52847222222</v>
      </c>
      <c r="B1449">
        <v>-85.634888227576823</v>
      </c>
      <c r="C1449">
        <v>182261.88928657069</v>
      </c>
      <c r="D1449">
        <v>100365.77468979159</v>
      </c>
      <c r="E1449">
        <v>81896.114596779124</v>
      </c>
      <c r="F1449">
        <v>0</v>
      </c>
      <c r="G1449">
        <v>1219.246809364691</v>
      </c>
      <c r="H1449">
        <v>1133.611921137114</v>
      </c>
      <c r="I1449">
        <v>36452.377857314139</v>
      </c>
      <c r="J1449">
        <v>35318.765936177027</v>
      </c>
    </row>
    <row r="1450" spans="1:10">
      <c r="A1450" s="3">
        <v>46104.5625</v>
      </c>
      <c r="B1450" s="4">
        <v>1061.6727378103169</v>
      </c>
      <c r="C1450" s="4">
        <v>186707.95921351761</v>
      </c>
      <c r="D1450" s="4">
        <v>103162.463466284</v>
      </c>
      <c r="E1450" s="4">
        <v>83545.495747233639</v>
      </c>
      <c r="F1450" s="4">
        <v>0</v>
      </c>
      <c r="G1450" s="4">
        <v>1219.246809364691</v>
      </c>
      <c r="H1450" s="4">
        <v>2280.9195471750072</v>
      </c>
      <c r="I1450" s="4">
        <v>37341.591842703521</v>
      </c>
      <c r="J1450" s="4">
        <v>35060.672295528508</v>
      </c>
    </row>
    <row r="1451" spans="1:10">
      <c r="A1451" s="1">
        <v>46104.563194444447</v>
      </c>
      <c r="B1451">
        <v>680.43472088502949</v>
      </c>
      <c r="C1451">
        <v>185962.1211528077</v>
      </c>
      <c r="D1451">
        <v>102598.9254274664</v>
      </c>
      <c r="E1451">
        <v>83363.195725341298</v>
      </c>
      <c r="F1451">
        <v>0</v>
      </c>
      <c r="G1451">
        <v>1219.246809364691</v>
      </c>
      <c r="H1451">
        <v>1899.68153024972</v>
      </c>
      <c r="I1451">
        <v>37192.424230561533</v>
      </c>
      <c r="J1451">
        <v>35292.742700311806</v>
      </c>
    </row>
    <row r="1452" spans="1:10">
      <c r="A1452" s="3">
        <v>46104.563888888893</v>
      </c>
      <c r="B1452" s="4">
        <v>819.19988827464795</v>
      </c>
      <c r="C1452" s="4">
        <v>185354.324325781</v>
      </c>
      <c r="D1452" s="4">
        <v>102364.4095976478</v>
      </c>
      <c r="E1452" s="4">
        <v>82989.914728133168</v>
      </c>
      <c r="F1452" s="4">
        <v>0</v>
      </c>
      <c r="G1452" s="4">
        <v>1219.246809364691</v>
      </c>
      <c r="H1452" s="4">
        <v>2038.446697639338</v>
      </c>
      <c r="I1452" s="4">
        <v>37070.864865156203</v>
      </c>
      <c r="J1452" s="4">
        <v>35032.418167516873</v>
      </c>
    </row>
    <row r="1453" spans="1:10">
      <c r="A1453" s="3">
        <v>46104.564583333333</v>
      </c>
      <c r="B1453" s="4">
        <v>630.18712991347093</v>
      </c>
      <c r="C1453" s="4">
        <v>185165.31156741979</v>
      </c>
      <c r="D1453" s="4">
        <v>102175.3968392867</v>
      </c>
      <c r="E1453" s="4">
        <v>82989.914728133168</v>
      </c>
      <c r="F1453" s="4">
        <v>0</v>
      </c>
      <c r="G1453" s="4">
        <v>1219.246809364691</v>
      </c>
      <c r="H1453" s="4">
        <v>1849.433939278161</v>
      </c>
      <c r="I1453" s="4">
        <v>37033.062313483962</v>
      </c>
      <c r="J1453" s="4">
        <v>35183.6283742058</v>
      </c>
    </row>
    <row r="1454" spans="1:10">
      <c r="A1454" s="1">
        <v>46104.56527777778</v>
      </c>
      <c r="B1454">
        <v>572.71178049102514</v>
      </c>
      <c r="C1454">
        <v>185177.28384538501</v>
      </c>
      <c r="D1454">
        <v>102152.64530355801</v>
      </c>
      <c r="E1454">
        <v>83024.638541826949</v>
      </c>
      <c r="F1454">
        <v>0</v>
      </c>
      <c r="G1454">
        <v>1219.246809364691</v>
      </c>
      <c r="H1454">
        <v>1791.9585898557159</v>
      </c>
      <c r="I1454">
        <v>37035.456769076991</v>
      </c>
      <c r="J1454">
        <v>35243.498179221278</v>
      </c>
    </row>
    <row r="1455" spans="1:10">
      <c r="A1455" s="3">
        <v>46104.565972222219</v>
      </c>
      <c r="B1455" s="4">
        <v>543.09904671331196</v>
      </c>
      <c r="C1455" s="4">
        <v>185182.39492530099</v>
      </c>
      <c r="D1455" s="4">
        <v>102140.3944766272</v>
      </c>
      <c r="E1455" s="4">
        <v>83042.000448673847</v>
      </c>
      <c r="F1455" s="4">
        <v>0</v>
      </c>
      <c r="G1455" s="4">
        <v>1219.246809364691</v>
      </c>
      <c r="H1455" s="4">
        <v>1762.345856078002</v>
      </c>
      <c r="I1455" s="4">
        <v>37036.478985060203</v>
      </c>
      <c r="J1455" s="4">
        <v>35274.133128982197</v>
      </c>
    </row>
    <row r="1456" spans="1:10">
      <c r="A1456" s="1">
        <v>46104.566666666673</v>
      </c>
      <c r="B1456">
        <v>764.94622615246408</v>
      </c>
      <c r="C1456">
        <v>185300.07066365879</v>
      </c>
      <c r="D1456">
        <v>102310.1559355256</v>
      </c>
      <c r="E1456">
        <v>82989.914728133168</v>
      </c>
      <c r="F1456">
        <v>0</v>
      </c>
      <c r="G1456">
        <v>1219.246809364691</v>
      </c>
      <c r="H1456">
        <v>1984.1930355171551</v>
      </c>
      <c r="I1456">
        <v>37060.014132731761</v>
      </c>
      <c r="J1456">
        <v>35075.821097214597</v>
      </c>
    </row>
    <row r="1457" spans="1:10">
      <c r="A1457" s="1">
        <v>46104.567361111112</v>
      </c>
      <c r="B1457">
        <v>807.08833582666603</v>
      </c>
      <c r="C1457">
        <v>185376.93658702681</v>
      </c>
      <c r="D1457">
        <v>102369.6599520467</v>
      </c>
      <c r="E1457">
        <v>83007.276634980066</v>
      </c>
      <c r="F1457">
        <v>0</v>
      </c>
      <c r="G1457">
        <v>1219.246809364691</v>
      </c>
      <c r="H1457">
        <v>2026.335145191357</v>
      </c>
      <c r="I1457">
        <v>37075.387317405373</v>
      </c>
      <c r="J1457">
        <v>35049.052172214011</v>
      </c>
    </row>
    <row r="1458" spans="1:10">
      <c r="A1458" s="3">
        <v>46104.568055555559</v>
      </c>
      <c r="B1458" s="4">
        <v>776.77004253737027</v>
      </c>
      <c r="C1458" s="4">
        <v>185641.77071013459</v>
      </c>
      <c r="D1458" s="4">
        <v>102486.91786695601</v>
      </c>
      <c r="E1458" s="4">
        <v>83154.852843178625</v>
      </c>
      <c r="F1458" s="4">
        <v>0</v>
      </c>
      <c r="G1458" s="4">
        <v>1219.246809364691</v>
      </c>
      <c r="H1458" s="4">
        <v>1996.016851902061</v>
      </c>
      <c r="I1458" s="4">
        <v>37128.354142026932</v>
      </c>
      <c r="J1458" s="4">
        <v>35132.337290124873</v>
      </c>
    </row>
    <row r="1459" spans="1:10">
      <c r="A1459" s="3">
        <v>46104.568749999999</v>
      </c>
      <c r="B1459" s="4">
        <v>765.56377422792639</v>
      </c>
      <c r="C1459" s="4">
        <v>185890.9930445285</v>
      </c>
      <c r="D1459" s="4">
        <v>102605.9258999982</v>
      </c>
      <c r="E1459" s="4">
        <v>83285.067144530301</v>
      </c>
      <c r="F1459" s="4">
        <v>0</v>
      </c>
      <c r="G1459" s="4">
        <v>1219.246809364691</v>
      </c>
      <c r="H1459" s="4">
        <v>1984.8105835926169</v>
      </c>
      <c r="I1459" s="4">
        <v>37178.19860890571</v>
      </c>
      <c r="J1459" s="4">
        <v>35193.388025313092</v>
      </c>
    </row>
    <row r="1460" spans="1:10">
      <c r="A1460" s="1">
        <v>46104.569444444453</v>
      </c>
      <c r="B1460">
        <v>748.90742689263016</v>
      </c>
      <c r="C1460">
        <v>185648.63190818371</v>
      </c>
      <c r="D1460">
        <v>102476.4171581582</v>
      </c>
      <c r="E1460">
        <v>83172.214750025523</v>
      </c>
      <c r="F1460">
        <v>0</v>
      </c>
      <c r="G1460">
        <v>1219.246809364691</v>
      </c>
      <c r="H1460">
        <v>1968.1542362573209</v>
      </c>
      <c r="I1460">
        <v>37129.726381636741</v>
      </c>
      <c r="J1460">
        <v>35161.572145379418</v>
      </c>
    </row>
    <row r="1461" spans="1:10">
      <c r="A1461" s="3">
        <v>46104.570138888892</v>
      </c>
      <c r="B1461" s="4">
        <v>748.61969082959945</v>
      </c>
      <c r="C1461" s="4">
        <v>186012.9442159053</v>
      </c>
      <c r="D1461" s="4">
        <v>102658.42944398749</v>
      </c>
      <c r="E1461" s="4">
        <v>83354.514771917849</v>
      </c>
      <c r="F1461" s="4">
        <v>0</v>
      </c>
      <c r="G1461" s="4">
        <v>1219.246809364691</v>
      </c>
      <c r="H1461" s="4">
        <v>1967.86650019429</v>
      </c>
      <c r="I1461" s="4">
        <v>37202.588843181067</v>
      </c>
      <c r="J1461" s="4">
        <v>35234.722342986774</v>
      </c>
    </row>
    <row r="1462" spans="1:10">
      <c r="A1462" s="1">
        <v>46104.570833333331</v>
      </c>
      <c r="B1462">
        <v>784.87552383470711</v>
      </c>
      <c r="C1462">
        <v>186361.7143721545</v>
      </c>
      <c r="D1462">
        <v>102850.9424386146</v>
      </c>
      <c r="E1462">
        <v>83510.771933539872</v>
      </c>
      <c r="F1462">
        <v>0</v>
      </c>
      <c r="G1462">
        <v>1219.246809364691</v>
      </c>
      <c r="H1462">
        <v>2004.1223331993981</v>
      </c>
      <c r="I1462">
        <v>37272.342874430899</v>
      </c>
      <c r="J1462">
        <v>35268.220541231502</v>
      </c>
    </row>
    <row r="1463" spans="1:10">
      <c r="A1463" s="1">
        <v>46104.571527777778</v>
      </c>
      <c r="B1463">
        <v>665.03184389538592</v>
      </c>
      <c r="C1463">
        <v>186033.52781005239</v>
      </c>
      <c r="D1463">
        <v>102626.9273175939</v>
      </c>
      <c r="E1463">
        <v>83406.600492458529</v>
      </c>
      <c r="F1463">
        <v>0</v>
      </c>
      <c r="G1463">
        <v>1219.246809364691</v>
      </c>
      <c r="H1463">
        <v>1884.278653260076</v>
      </c>
      <c r="I1463">
        <v>37206.705562010487</v>
      </c>
      <c r="J1463">
        <v>35322.426908750407</v>
      </c>
    </row>
    <row r="1464" spans="1:10">
      <c r="A1464" s="3">
        <v>46104.572222222218</v>
      </c>
      <c r="B1464" s="4">
        <v>850.12654254207769</v>
      </c>
      <c r="C1464" s="4">
        <v>186114.4510676178</v>
      </c>
      <c r="D1464" s="4">
        <v>102759.9362957</v>
      </c>
      <c r="E1464" s="4">
        <v>83354.514771917849</v>
      </c>
      <c r="F1464" s="4">
        <v>0</v>
      </c>
      <c r="G1464" s="4">
        <v>1219.246809364691</v>
      </c>
      <c r="H1464" s="4">
        <v>2069.3733519067682</v>
      </c>
      <c r="I1464" s="4">
        <v>37222.890213523562</v>
      </c>
      <c r="J1464" s="4">
        <v>35153.516861616787</v>
      </c>
    </row>
    <row r="1465" spans="1:10">
      <c r="A1465" s="3">
        <v>46104.572916666657</v>
      </c>
      <c r="B1465" s="4">
        <v>0</v>
      </c>
      <c r="C1465" s="4">
        <v>0</v>
      </c>
      <c r="D1465" s="4">
        <v>0</v>
      </c>
      <c r="E1465" s="4">
        <v>0</v>
      </c>
      <c r="F1465" s="4">
        <v>350.97966459200052</v>
      </c>
      <c r="G1465" s="4">
        <v>1570.2264739566911</v>
      </c>
      <c r="H1465" s="4">
        <v>1570.2264739566911</v>
      </c>
      <c r="I1465" s="4">
        <v>0</v>
      </c>
      <c r="J1465" s="4">
        <v>-1570.2264739566911</v>
      </c>
    </row>
    <row r="1466" spans="1:10">
      <c r="A1466" s="1">
        <v>46105.5625</v>
      </c>
      <c r="B1466">
        <v>0</v>
      </c>
      <c r="C1466">
        <v>181444.70501876</v>
      </c>
      <c r="D1466">
        <v>100000</v>
      </c>
      <c r="E1466">
        <v>81444.705018759982</v>
      </c>
      <c r="F1466">
        <v>0</v>
      </c>
      <c r="G1466">
        <v>1570.2264739566911</v>
      </c>
      <c r="H1466">
        <v>1570.2264739566911</v>
      </c>
      <c r="I1466">
        <v>36288.941003751999</v>
      </c>
      <c r="J1466">
        <v>34718.71452979531</v>
      </c>
    </row>
    <row r="1467" spans="1:10">
      <c r="A1467" s="1">
        <v>46105.563194444447</v>
      </c>
      <c r="B1467">
        <v>-194.46881259758021</v>
      </c>
      <c r="C1467">
        <v>181353.43963385251</v>
      </c>
      <c r="D1467">
        <v>99857.132901247474</v>
      </c>
      <c r="E1467">
        <v>81496.306732605022</v>
      </c>
      <c r="F1467">
        <v>0</v>
      </c>
      <c r="G1467">
        <v>1570.2264739566911</v>
      </c>
      <c r="H1467">
        <v>1375.7576613591109</v>
      </c>
      <c r="I1467">
        <v>36270.687926770501</v>
      </c>
      <c r="J1467">
        <v>34894.930265411393</v>
      </c>
    </row>
    <row r="1468" spans="1:10">
      <c r="A1468" s="3">
        <v>46105.563888888893</v>
      </c>
      <c r="B1468" s="4">
        <v>-122.99957979854059</v>
      </c>
      <c r="C1468" s="4">
        <v>181700.11800715839</v>
      </c>
      <c r="D1468" s="4">
        <v>100066.2067043</v>
      </c>
      <c r="E1468" s="4">
        <v>81633.911302858469</v>
      </c>
      <c r="F1468" s="4">
        <v>0</v>
      </c>
      <c r="G1468" s="4">
        <v>1570.2264739566911</v>
      </c>
      <c r="H1468" s="4">
        <v>1447.2268941581499</v>
      </c>
      <c r="I1468" s="4">
        <v>36340.023601431683</v>
      </c>
      <c r="J1468" s="4">
        <v>34892.796707273526</v>
      </c>
    </row>
    <row r="1469" spans="1:10">
      <c r="A1469" s="3">
        <v>46105.564583333333</v>
      </c>
      <c r="B1469" s="4">
        <v>-92.380685655660955</v>
      </c>
      <c r="C1469" s="4">
        <v>181885.5420428364</v>
      </c>
      <c r="D1469" s="4">
        <v>100174.2281692104</v>
      </c>
      <c r="E1469" s="4">
        <v>81711.313873626044</v>
      </c>
      <c r="F1469" s="4">
        <v>0</v>
      </c>
      <c r="G1469" s="4">
        <v>1570.2264739566911</v>
      </c>
      <c r="H1469" s="4">
        <v>1477.8457883010301</v>
      </c>
      <c r="I1469" s="4">
        <v>36377.108408567277</v>
      </c>
      <c r="J1469" s="4">
        <v>34899.262620266258</v>
      </c>
    </row>
    <row r="1470" spans="1:10">
      <c r="A1470" s="1">
        <v>46105.56527777778</v>
      </c>
      <c r="B1470">
        <v>-212.93149086987819</v>
      </c>
      <c r="C1470">
        <v>181713.38952377721</v>
      </c>
      <c r="D1470">
        <v>100027.8765070737</v>
      </c>
      <c r="E1470">
        <v>81685.513016703509</v>
      </c>
      <c r="F1470">
        <v>0</v>
      </c>
      <c r="G1470">
        <v>1570.2264739566911</v>
      </c>
      <c r="H1470">
        <v>1357.2949830868131</v>
      </c>
      <c r="I1470">
        <v>36342.677904755437</v>
      </c>
      <c r="J1470">
        <v>34985.382921668628</v>
      </c>
    </row>
    <row r="1471" spans="1:10">
      <c r="A1471" s="1">
        <v>46105.565972222219</v>
      </c>
      <c r="B1471">
        <v>-63.095265348933573</v>
      </c>
      <c r="C1471">
        <v>181863.22574929809</v>
      </c>
      <c r="D1471">
        <v>100177.71273259461</v>
      </c>
      <c r="E1471">
        <v>81685.513016703509</v>
      </c>
      <c r="F1471">
        <v>0</v>
      </c>
      <c r="G1471">
        <v>1570.2264739566911</v>
      </c>
      <c r="H1471">
        <v>1507.131208607758</v>
      </c>
      <c r="I1471">
        <v>36372.645149859622</v>
      </c>
      <c r="J1471">
        <v>34865.513941251862</v>
      </c>
    </row>
    <row r="1472" spans="1:10">
      <c r="A1472" s="3">
        <v>46105.566666666673</v>
      </c>
      <c r="B1472" s="4">
        <v>-123.6306332938446</v>
      </c>
      <c r="C1472" s="4">
        <v>181871.4926664799</v>
      </c>
      <c r="D1472" s="4">
        <v>100151.5785072131</v>
      </c>
      <c r="E1472" s="4">
        <v>81719.914159266875</v>
      </c>
      <c r="F1472" s="4">
        <v>0</v>
      </c>
      <c r="G1472" s="4">
        <v>1570.2264739566911</v>
      </c>
      <c r="H1472" s="4">
        <v>1446.595840662847</v>
      </c>
      <c r="I1472" s="4">
        <v>36374.298533295987</v>
      </c>
      <c r="J1472" s="4">
        <v>34927.702692633138</v>
      </c>
    </row>
    <row r="1473" spans="1:10">
      <c r="A1473" s="1">
        <v>46105.567361111112</v>
      </c>
      <c r="B1473">
        <v>-46.267818500431588</v>
      </c>
      <c r="C1473">
        <v>182327.26804947029</v>
      </c>
      <c r="D1473">
        <v>100418.14760610501</v>
      </c>
      <c r="E1473">
        <v>81909.120443365362</v>
      </c>
      <c r="F1473">
        <v>0</v>
      </c>
      <c r="G1473">
        <v>1570.2264739566911</v>
      </c>
      <c r="H1473">
        <v>1523.95865545626</v>
      </c>
      <c r="I1473">
        <v>36465.453609894073</v>
      </c>
      <c r="J1473">
        <v>34941.494954437803</v>
      </c>
    </row>
    <row r="1474" spans="1:10">
      <c r="A1474" s="3">
        <v>46105.568055555559</v>
      </c>
      <c r="B1474" s="4">
        <v>37.064017684279413</v>
      </c>
      <c r="C1474" s="4">
        <v>182634.2073123169</v>
      </c>
      <c r="D1474" s="4">
        <v>100613.28315562059</v>
      </c>
      <c r="E1474" s="4">
        <v>82020.924156696303</v>
      </c>
      <c r="F1474" s="4">
        <v>0</v>
      </c>
      <c r="G1474" s="4">
        <v>1570.2264739566911</v>
      </c>
      <c r="H1474" s="4">
        <v>1607.29049164097</v>
      </c>
      <c r="I1474" s="4">
        <v>36526.841462463388</v>
      </c>
      <c r="J1474" s="4">
        <v>34919.55097082242</v>
      </c>
    </row>
    <row r="1475" spans="1:10">
      <c r="A1475" s="3">
        <v>46105.568749999999</v>
      </c>
      <c r="B1475" s="4">
        <v>-125.3015481404348</v>
      </c>
      <c r="C1475" s="4">
        <v>182420.24003264721</v>
      </c>
      <c r="D1475" s="4">
        <v>100425.1167328734</v>
      </c>
      <c r="E1475" s="4">
        <v>81995.123299773768</v>
      </c>
      <c r="F1475" s="4">
        <v>0</v>
      </c>
      <c r="G1475" s="4">
        <v>1570.2264739566911</v>
      </c>
      <c r="H1475" s="4">
        <v>1444.9249258162561</v>
      </c>
      <c r="I1475" s="4">
        <v>36484.048006529432</v>
      </c>
      <c r="J1475" s="4">
        <v>35039.12308071318</v>
      </c>
    </row>
    <row r="1476" spans="1:10">
      <c r="A1476" s="1">
        <v>46105.569444444453</v>
      </c>
      <c r="B1476">
        <v>-24.582578457429971</v>
      </c>
      <c r="C1476">
        <v>182469.3572884851</v>
      </c>
      <c r="D1476">
        <v>100500.0348456339</v>
      </c>
      <c r="E1476">
        <v>81969.322442851248</v>
      </c>
      <c r="F1476">
        <v>0</v>
      </c>
      <c r="G1476">
        <v>1570.2264739566911</v>
      </c>
      <c r="H1476">
        <v>1545.6438954992609</v>
      </c>
      <c r="I1476">
        <v>36493.871457697023</v>
      </c>
      <c r="J1476">
        <v>34948.227562197761</v>
      </c>
    </row>
    <row r="1477" spans="1:10">
      <c r="A1477" s="3">
        <v>46105.570138888892</v>
      </c>
      <c r="B1477" s="4">
        <v>-147.3201566424695</v>
      </c>
      <c r="C1477" s="4">
        <v>182226.21571132829</v>
      </c>
      <c r="D1477" s="4">
        <v>100317.0952679629</v>
      </c>
      <c r="E1477" s="4">
        <v>81909.120443365362</v>
      </c>
      <c r="F1477" s="4">
        <v>0</v>
      </c>
      <c r="G1477" s="4">
        <v>1570.2264739566911</v>
      </c>
      <c r="H1477" s="4">
        <v>1422.906317314221</v>
      </c>
      <c r="I1477" s="4">
        <v>36445.243142265659</v>
      </c>
      <c r="J1477" s="4">
        <v>35022.336824951439</v>
      </c>
    </row>
    <row r="1478" spans="1:10">
      <c r="A1478" s="3">
        <v>46105.570833333331</v>
      </c>
      <c r="B1478" s="4">
        <v>-78.668750309568509</v>
      </c>
      <c r="C1478" s="4">
        <v>182673.2796858582</v>
      </c>
      <c r="D1478" s="4">
        <v>100574.95295839429</v>
      </c>
      <c r="E1478" s="4">
        <v>82098.326727463849</v>
      </c>
      <c r="F1478" s="4">
        <v>0</v>
      </c>
      <c r="G1478" s="4">
        <v>1570.2264739566911</v>
      </c>
      <c r="H1478" s="4">
        <v>1491.5577236471231</v>
      </c>
      <c r="I1478" s="4">
        <v>36534.655937171643</v>
      </c>
      <c r="J1478" s="4">
        <v>35043.098213524507</v>
      </c>
    </row>
    <row r="1479" spans="1:10">
      <c r="A1479" s="1">
        <v>46105.571527777778</v>
      </c>
      <c r="B1479">
        <v>-41.858589136024648</v>
      </c>
      <c r="C1479">
        <v>182744.4909895951</v>
      </c>
      <c r="D1479">
        <v>100628.9636908495</v>
      </c>
      <c r="E1479">
        <v>82115.527298745539</v>
      </c>
      <c r="F1479">
        <v>0</v>
      </c>
      <c r="G1479">
        <v>1570.2264739566911</v>
      </c>
      <c r="H1479">
        <v>1528.3678848206659</v>
      </c>
      <c r="I1479">
        <v>36548.898197919007</v>
      </c>
      <c r="J1479">
        <v>35020.530313098338</v>
      </c>
    </row>
    <row r="1480" spans="1:10">
      <c r="A1480" s="3">
        <v>46105.572222222218</v>
      </c>
      <c r="B1480" s="4">
        <v>-17.057837590621261</v>
      </c>
      <c r="C1480" s="4">
        <v>182562.88488576029</v>
      </c>
      <c r="D1480" s="4">
        <v>100550.5610147049</v>
      </c>
      <c r="E1480" s="4">
        <v>82012.323871055458</v>
      </c>
      <c r="F1480" s="4">
        <v>0</v>
      </c>
      <c r="G1480" s="4">
        <v>1570.2264739566911</v>
      </c>
      <c r="H1480" s="4">
        <v>1553.1686363660699</v>
      </c>
      <c r="I1480" s="4">
        <v>36512.576977152057</v>
      </c>
      <c r="J1480" s="4">
        <v>34959.408340785987</v>
      </c>
    </row>
    <row r="1481" spans="1:10">
      <c r="A1481" s="1">
        <v>46105.572916666657</v>
      </c>
      <c r="B1481">
        <v>28.35260922374766</v>
      </c>
      <c r="C1481">
        <v>182625.49590385641</v>
      </c>
      <c r="D1481">
        <v>100604.57174716009</v>
      </c>
      <c r="E1481">
        <v>82020.924156696303</v>
      </c>
      <c r="F1481">
        <v>0</v>
      </c>
      <c r="G1481">
        <v>1570.2264739566911</v>
      </c>
      <c r="H1481">
        <v>1598.5790831804391</v>
      </c>
      <c r="I1481">
        <v>36525.099180771271</v>
      </c>
      <c r="J1481">
        <v>34926.52009759083</v>
      </c>
    </row>
    <row r="1482" spans="1:10">
      <c r="A1482" s="1">
        <v>46105.573611111111</v>
      </c>
      <c r="B1482">
        <v>-46.009889438315547</v>
      </c>
      <c r="C1482">
        <v>182637.13626160269</v>
      </c>
      <c r="D1482">
        <v>100573.21067670221</v>
      </c>
      <c r="E1482">
        <v>82063.925584900499</v>
      </c>
      <c r="F1482">
        <v>0</v>
      </c>
      <c r="G1482">
        <v>1570.2264739566911</v>
      </c>
      <c r="H1482">
        <v>1524.2165845183749</v>
      </c>
      <c r="I1482">
        <v>36527.427252320544</v>
      </c>
      <c r="J1482">
        <v>35003.210667802159</v>
      </c>
    </row>
    <row r="1483" spans="1:10">
      <c r="A1483" s="1">
        <v>46105.574305555558</v>
      </c>
      <c r="B1483">
        <v>36.508403585892438</v>
      </c>
      <c r="C1483">
        <v>182547.64884181009</v>
      </c>
      <c r="D1483">
        <v>100569.726113318</v>
      </c>
      <c r="E1483">
        <v>81977.922728492078</v>
      </c>
      <c r="F1483">
        <v>0</v>
      </c>
      <c r="G1483">
        <v>1570.2264739566911</v>
      </c>
      <c r="H1483">
        <v>1606.734877542583</v>
      </c>
      <c r="I1483">
        <v>36509.529768362023</v>
      </c>
      <c r="J1483">
        <v>34902.79489081943</v>
      </c>
    </row>
    <row r="1484" spans="1:10">
      <c r="A1484" s="1">
        <v>46105.574999999997</v>
      </c>
      <c r="B1484">
        <v>0</v>
      </c>
      <c r="C1484">
        <v>0</v>
      </c>
      <c r="D1484">
        <v>0</v>
      </c>
      <c r="E1484">
        <v>0</v>
      </c>
      <c r="F1484">
        <v>46.928658026311332</v>
      </c>
      <c r="G1484">
        <v>1617.1551319830021</v>
      </c>
      <c r="H1484">
        <v>1617.1551319830021</v>
      </c>
      <c r="I1484">
        <v>0</v>
      </c>
      <c r="J1484">
        <v>-1617.1551319830021</v>
      </c>
    </row>
    <row r="1485" spans="1:10">
      <c r="A1485" s="3">
        <v>46106.622916666667</v>
      </c>
      <c r="B1485" s="4">
        <v>0</v>
      </c>
      <c r="C1485" s="4">
        <v>181444.70501876</v>
      </c>
      <c r="D1485" s="4">
        <v>81444.705018759982</v>
      </c>
      <c r="E1485" s="4">
        <v>100000</v>
      </c>
      <c r="F1485" s="4">
        <v>0</v>
      </c>
      <c r="G1485" s="4">
        <v>1617.1551319830021</v>
      </c>
      <c r="H1485" s="4">
        <v>1617.1551319830021</v>
      </c>
      <c r="I1485" s="4">
        <v>36288.941003751999</v>
      </c>
      <c r="J1485" s="4">
        <v>34671.785871769003</v>
      </c>
    </row>
    <row r="1486" spans="1:10">
      <c r="A1486" s="3">
        <v>46106.623611111107</v>
      </c>
      <c r="B1486" s="4">
        <v>-35.255452392769648</v>
      </c>
      <c r="C1486" s="4">
        <v>181429.7479526455</v>
      </c>
      <c r="D1486" s="4">
        <v>81419.598759506363</v>
      </c>
      <c r="E1486" s="4">
        <v>100010.14919313919</v>
      </c>
      <c r="F1486" s="4">
        <v>0</v>
      </c>
      <c r="G1486" s="4">
        <v>1617.1551319830021</v>
      </c>
      <c r="H1486" s="4">
        <v>1581.8996795902331</v>
      </c>
      <c r="I1486" s="4">
        <v>36285.949590529097</v>
      </c>
      <c r="J1486" s="4">
        <v>34704.049910938869</v>
      </c>
    </row>
    <row r="1487" spans="1:10">
      <c r="A1487" s="3">
        <v>46106.624305555553</v>
      </c>
      <c r="B1487" s="4">
        <v>-50.212518507240311</v>
      </c>
      <c r="C1487" s="4">
        <v>181394.4925002527</v>
      </c>
      <c r="D1487" s="4">
        <v>81394.492500252745</v>
      </c>
      <c r="E1487" s="4">
        <v>100000</v>
      </c>
      <c r="F1487" s="4">
        <v>0</v>
      </c>
      <c r="G1487" s="4">
        <v>1617.1551319830021</v>
      </c>
      <c r="H1487" s="4">
        <v>1566.9426134757621</v>
      </c>
      <c r="I1487" s="4">
        <v>36278.898500050549</v>
      </c>
      <c r="J1487" s="4">
        <v>34711.955886574789</v>
      </c>
    </row>
    <row r="1488" spans="1:10">
      <c r="A1488" s="3">
        <v>46106.625</v>
      </c>
      <c r="B1488" s="4">
        <v>-84.57660949287866</v>
      </c>
      <c r="C1488" s="4">
        <v>181529.28162825291</v>
      </c>
      <c r="D1488" s="4">
        <v>81444.705018759982</v>
      </c>
      <c r="E1488" s="4">
        <v>100084.5766094929</v>
      </c>
      <c r="F1488" s="4">
        <v>0</v>
      </c>
      <c r="G1488" s="4">
        <v>1617.1551319830021</v>
      </c>
      <c r="H1488" s="4">
        <v>1532.578522490124</v>
      </c>
      <c r="I1488" s="4">
        <v>36305.85632565058</v>
      </c>
      <c r="J1488" s="4">
        <v>34773.277803160447</v>
      </c>
    </row>
    <row r="1489" spans="1:10">
      <c r="A1489" s="1">
        <v>46106.625694444447</v>
      </c>
      <c r="B1489">
        <v>-3.0274329207323478</v>
      </c>
      <c r="C1489">
        <v>181380.78242700439</v>
      </c>
      <c r="D1489">
        <v>81411.230006421814</v>
      </c>
      <c r="E1489">
        <v>99969.552420582579</v>
      </c>
      <c r="F1489">
        <v>0</v>
      </c>
      <c r="G1489">
        <v>1617.1551319830021</v>
      </c>
      <c r="H1489">
        <v>1614.12769906227</v>
      </c>
      <c r="I1489">
        <v>36276.156485400883</v>
      </c>
      <c r="J1489">
        <v>34662.028786338611</v>
      </c>
    </row>
    <row r="1490" spans="1:10">
      <c r="A1490" s="1">
        <v>46106.626388888893</v>
      </c>
      <c r="B1490">
        <v>-84.934523711554547</v>
      </c>
      <c r="C1490">
        <v>181278.57694993529</v>
      </c>
      <c r="D1490">
        <v>81319.173722491862</v>
      </c>
      <c r="E1490">
        <v>99959.403227443443</v>
      </c>
      <c r="F1490">
        <v>0</v>
      </c>
      <c r="G1490">
        <v>1617.1551319830021</v>
      </c>
      <c r="H1490">
        <v>1532.2206082714481</v>
      </c>
      <c r="I1490">
        <v>36255.715389987061</v>
      </c>
      <c r="J1490">
        <v>34723.494781715613</v>
      </c>
    </row>
    <row r="1491" spans="1:10">
      <c r="A1491" s="3">
        <v>46106.627083333333</v>
      </c>
      <c r="B1491" s="4">
        <v>25.817522171592881</v>
      </c>
      <c r="C1491" s="4">
        <v>181335.199965743</v>
      </c>
      <c r="D1491" s="4">
        <v>81402.86125333728</v>
      </c>
      <c r="E1491" s="4">
        <v>99932.338712405704</v>
      </c>
      <c r="F1491" s="4">
        <v>0</v>
      </c>
      <c r="G1491" s="4">
        <v>1617.1551319830021</v>
      </c>
      <c r="H1491" s="4">
        <v>1642.9726541545949</v>
      </c>
      <c r="I1491" s="4">
        <v>36267.039993148603</v>
      </c>
      <c r="J1491" s="4">
        <v>34624.067338994013</v>
      </c>
    </row>
    <row r="1492" spans="1:10">
      <c r="A1492" s="3">
        <v>46106.62777777778</v>
      </c>
      <c r="B1492" s="4">
        <v>51.279412884198699</v>
      </c>
      <c r="C1492" s="4">
        <v>181293.00056886129</v>
      </c>
      <c r="D1492" s="4">
        <v>81394.492500252745</v>
      </c>
      <c r="E1492" s="4">
        <v>99898.508068608571</v>
      </c>
      <c r="F1492" s="4">
        <v>0</v>
      </c>
      <c r="G1492" s="4">
        <v>1617.1551319830021</v>
      </c>
      <c r="H1492" s="4">
        <v>1668.4345448672011</v>
      </c>
      <c r="I1492" s="4">
        <v>36258.600113772263</v>
      </c>
      <c r="J1492" s="4">
        <v>34590.16556890506</v>
      </c>
    </row>
    <row r="1493" spans="1:10">
      <c r="A1493" s="3">
        <v>46106.628472222219</v>
      </c>
      <c r="B1493" s="4">
        <v>0</v>
      </c>
      <c r="C1493" s="4">
        <v>0</v>
      </c>
      <c r="D1493" s="4">
        <v>0</v>
      </c>
      <c r="E1493" s="4">
        <v>0</v>
      </c>
      <c r="F1493" s="4">
        <v>65.060141398117963</v>
      </c>
      <c r="G1493" s="4">
        <v>1682.2152733811199</v>
      </c>
      <c r="H1493" s="4">
        <v>1682.2152733811199</v>
      </c>
      <c r="I1493" s="4">
        <v>0</v>
      </c>
      <c r="J1493" s="4">
        <v>-1682.2152733811199</v>
      </c>
    </row>
    <row r="1494" spans="1:10">
      <c r="A1494" s="1">
        <v>46107.563194444447</v>
      </c>
      <c r="B1494">
        <v>0</v>
      </c>
      <c r="C1494">
        <v>181444.70501876</v>
      </c>
      <c r="D1494">
        <v>100000</v>
      </c>
      <c r="E1494">
        <v>81444.705018759982</v>
      </c>
      <c r="F1494">
        <v>0</v>
      </c>
      <c r="G1494">
        <v>1682.2152733811199</v>
      </c>
      <c r="H1494">
        <v>1682.2152733811199</v>
      </c>
      <c r="I1494">
        <v>36288.941003751999</v>
      </c>
      <c r="J1494">
        <v>34606.725730370883</v>
      </c>
    </row>
    <row r="1495" spans="1:10">
      <c r="A1495" s="3">
        <v>46107.563888888893</v>
      </c>
      <c r="B1495" s="4">
        <v>131.24610263843769</v>
      </c>
      <c r="C1495" s="4">
        <v>181425.76111111901</v>
      </c>
      <c r="D1495" s="4">
        <v>100056.1510974987</v>
      </c>
      <c r="E1495" s="4">
        <v>81369.610013620259</v>
      </c>
      <c r="F1495" s="4">
        <v>0</v>
      </c>
      <c r="G1495" s="4">
        <v>1682.2152733811199</v>
      </c>
      <c r="H1495" s="4">
        <v>1813.461376019558</v>
      </c>
      <c r="I1495" s="4">
        <v>36285.152222223798</v>
      </c>
      <c r="J1495" s="4">
        <v>34471.690846204241</v>
      </c>
    </row>
    <row r="1496" spans="1:10">
      <c r="A1496" s="3">
        <v>46107.564583333333</v>
      </c>
      <c r="B1496" s="4">
        <v>-59.655024346004751</v>
      </c>
      <c r="C1496" s="4">
        <v>181201.48442629469</v>
      </c>
      <c r="D1496" s="4">
        <v>99848.562191594334</v>
      </c>
      <c r="E1496" s="4">
        <v>81352.922234700323</v>
      </c>
      <c r="F1496" s="4">
        <v>0</v>
      </c>
      <c r="G1496" s="4">
        <v>1682.2152733811199</v>
      </c>
      <c r="H1496" s="4">
        <v>1622.5602490351159</v>
      </c>
      <c r="I1496" s="4">
        <v>36240.296885258933</v>
      </c>
      <c r="J1496" s="4">
        <v>34617.736636223817</v>
      </c>
    </row>
    <row r="1497" spans="1:10">
      <c r="A1497" s="3">
        <v>46107.56527777778</v>
      </c>
      <c r="B1497" s="4">
        <v>-96.370656447849825</v>
      </c>
      <c r="C1497" s="4">
        <v>181064.6421206732</v>
      </c>
      <c r="D1497" s="4">
        <v>99761.783222732673</v>
      </c>
      <c r="E1497" s="4">
        <v>81302.858897940503</v>
      </c>
      <c r="F1497" s="4">
        <v>0</v>
      </c>
      <c r="G1497" s="4">
        <v>1682.2152733811199</v>
      </c>
      <c r="H1497" s="4">
        <v>1585.844616933271</v>
      </c>
      <c r="I1497" s="4">
        <v>36212.928424134639</v>
      </c>
      <c r="J1497" s="4">
        <v>34627.083807201372</v>
      </c>
    </row>
    <row r="1498" spans="1:10">
      <c r="A1498" s="1">
        <v>46107.565972222219</v>
      </c>
      <c r="B1498">
        <v>56.239335137950263</v>
      </c>
      <c r="C1498">
        <v>180816.74541818051</v>
      </c>
      <c r="D1498">
        <v>99714.139867279213</v>
      </c>
      <c r="E1498">
        <v>81102.605550901251</v>
      </c>
      <c r="F1498">
        <v>0</v>
      </c>
      <c r="G1498">
        <v>1682.2152733811199</v>
      </c>
      <c r="H1498">
        <v>1738.4546085190709</v>
      </c>
      <c r="I1498">
        <v>36163.349083636087</v>
      </c>
      <c r="J1498">
        <v>34424.89447511702</v>
      </c>
    </row>
    <row r="1499" spans="1:10">
      <c r="A1499" s="1">
        <v>46107.566666666673</v>
      </c>
      <c r="B1499">
        <v>140.3336400788202</v>
      </c>
      <c r="C1499">
        <v>180800.71304960171</v>
      </c>
      <c r="D1499">
        <v>99748.170835460274</v>
      </c>
      <c r="E1499">
        <v>81052.542214141431</v>
      </c>
      <c r="F1499">
        <v>0</v>
      </c>
      <c r="G1499">
        <v>1682.2152733811199</v>
      </c>
      <c r="H1499">
        <v>1822.5489134599411</v>
      </c>
      <c r="I1499">
        <v>36160.142609920353</v>
      </c>
      <c r="J1499">
        <v>34337.593696460397</v>
      </c>
    </row>
    <row r="1500" spans="1:10">
      <c r="A1500" s="3">
        <v>46107.567361111112</v>
      </c>
      <c r="B1500" s="4">
        <v>181.17080189607549</v>
      </c>
      <c r="C1500" s="4">
        <v>180841.55021141889</v>
      </c>
      <c r="D1500" s="4">
        <v>99789.007997277527</v>
      </c>
      <c r="E1500" s="4">
        <v>81052.542214141431</v>
      </c>
      <c r="F1500" s="4">
        <v>0</v>
      </c>
      <c r="G1500" s="4">
        <v>1682.2152733811199</v>
      </c>
      <c r="H1500" s="4">
        <v>1863.3860752771959</v>
      </c>
      <c r="I1500" s="4">
        <v>36168.310042283789</v>
      </c>
      <c r="J1500" s="4">
        <v>34304.923967006587</v>
      </c>
    </row>
    <row r="1501" spans="1:10">
      <c r="A1501" s="1">
        <v>46107.568055555559</v>
      </c>
      <c r="B1501">
        <v>212.6809587415959</v>
      </c>
      <c r="C1501">
        <v>180789.6214736648</v>
      </c>
      <c r="D1501">
        <v>99778.798706823203</v>
      </c>
      <c r="E1501">
        <v>81010.822766841593</v>
      </c>
      <c r="F1501">
        <v>0</v>
      </c>
      <c r="G1501">
        <v>1682.2152733811199</v>
      </c>
      <c r="H1501">
        <v>1894.8962321227159</v>
      </c>
      <c r="I1501">
        <v>36157.924294732962</v>
      </c>
      <c r="J1501">
        <v>34263.028062610247</v>
      </c>
    </row>
    <row r="1502" spans="1:10">
      <c r="A1502" s="3">
        <v>46107.568749999999</v>
      </c>
      <c r="B1502" s="4">
        <v>133.59046899874409</v>
      </c>
      <c r="C1502" s="4">
        <v>180627.09208932231</v>
      </c>
      <c r="D1502" s="4">
        <v>99657.98876978051</v>
      </c>
      <c r="E1502" s="4">
        <v>80969.10331954174</v>
      </c>
      <c r="F1502" s="4">
        <v>0</v>
      </c>
      <c r="G1502" s="4">
        <v>1682.2152733811199</v>
      </c>
      <c r="H1502" s="4">
        <v>1815.805742379865</v>
      </c>
      <c r="I1502" s="4">
        <v>36125.41841786445</v>
      </c>
      <c r="J1502" s="4">
        <v>34309.612675484583</v>
      </c>
    </row>
    <row r="1503" spans="1:10">
      <c r="A1503" s="1">
        <v>46107.569444444453</v>
      </c>
      <c r="B1503">
        <v>67.75944627460666</v>
      </c>
      <c r="C1503">
        <v>180961.76776067659</v>
      </c>
      <c r="D1503">
        <v>99792.411094095631</v>
      </c>
      <c r="E1503">
        <v>81169.356666581007</v>
      </c>
      <c r="F1503">
        <v>0</v>
      </c>
      <c r="G1503">
        <v>1682.2152733811199</v>
      </c>
      <c r="H1503">
        <v>1749.9747196557271</v>
      </c>
      <c r="I1503">
        <v>36192.353552135333</v>
      </c>
      <c r="J1503">
        <v>34442.378832479597</v>
      </c>
    </row>
    <row r="1504" spans="1:10">
      <c r="A1504" s="3">
        <v>46107.570138888892</v>
      </c>
      <c r="B1504" s="4">
        <v>54.966321928643787</v>
      </c>
      <c r="C1504" s="4">
        <v>181032.41353093041</v>
      </c>
      <c r="D1504" s="4">
        <v>99821.337417049508</v>
      </c>
      <c r="E1504" s="4">
        <v>81211.076113880845</v>
      </c>
      <c r="F1504" s="4">
        <v>0</v>
      </c>
      <c r="G1504" s="4">
        <v>1682.2152733811199</v>
      </c>
      <c r="H1504" s="4">
        <v>1737.1815953097639</v>
      </c>
      <c r="I1504" s="4">
        <v>36206.482706186071</v>
      </c>
      <c r="J1504" s="4">
        <v>34469.301110876309</v>
      </c>
    </row>
    <row r="1505" spans="1:10">
      <c r="A1505" s="1">
        <v>46107.570833333331</v>
      </c>
      <c r="B1505">
        <v>177.0240570975532</v>
      </c>
      <c r="C1505">
        <v>181454.85128665809</v>
      </c>
      <c r="D1505">
        <v>100093.5851624979</v>
      </c>
      <c r="E1505">
        <v>81361.266124160291</v>
      </c>
      <c r="F1505">
        <v>0</v>
      </c>
      <c r="G1505">
        <v>1682.2152733811199</v>
      </c>
      <c r="H1505">
        <v>1859.239330478674</v>
      </c>
      <c r="I1505">
        <v>36290.970257331632</v>
      </c>
      <c r="J1505">
        <v>34431.730926852957</v>
      </c>
    </row>
    <row r="1506" spans="1:10">
      <c r="A1506" s="1">
        <v>46107.571527777778</v>
      </c>
      <c r="B1506">
        <v>243.7121502211792</v>
      </c>
      <c r="C1506">
        <v>181554.91493762171</v>
      </c>
      <c r="D1506">
        <v>100176.9610345414</v>
      </c>
      <c r="E1506">
        <v>81377.953903080226</v>
      </c>
      <c r="F1506">
        <v>0</v>
      </c>
      <c r="G1506">
        <v>1682.2152733811199</v>
      </c>
      <c r="H1506">
        <v>1925.9274236023</v>
      </c>
      <c r="I1506">
        <v>36310.98298752433</v>
      </c>
      <c r="J1506">
        <v>34385.055563922033</v>
      </c>
    </row>
    <row r="1507" spans="1:10">
      <c r="A1507" s="1">
        <v>46107.572222222218</v>
      </c>
      <c r="B1507">
        <v>0</v>
      </c>
      <c r="C1507">
        <v>0</v>
      </c>
      <c r="D1507">
        <v>0</v>
      </c>
      <c r="E1507">
        <v>0</v>
      </c>
      <c r="F1507">
        <v>210.00819544801621</v>
      </c>
      <c r="G1507">
        <v>1892.2234688291369</v>
      </c>
      <c r="H1507">
        <v>1892.2234688291369</v>
      </c>
      <c r="I1507">
        <v>0</v>
      </c>
      <c r="J1507">
        <v>-1892.2234688291369</v>
      </c>
    </row>
    <row r="1508" spans="1:10">
      <c r="A1508" s="3">
        <v>46108.68472222222</v>
      </c>
      <c r="B1508" s="4">
        <v>0</v>
      </c>
      <c r="C1508" s="4">
        <v>190418.15494881029</v>
      </c>
      <c r="D1508" s="4">
        <v>90418.154948810276</v>
      </c>
      <c r="E1508" s="4">
        <v>100000</v>
      </c>
      <c r="F1508" s="4">
        <v>0</v>
      </c>
      <c r="G1508" s="4">
        <v>1892.2234688291369</v>
      </c>
      <c r="H1508" s="4">
        <v>1892.2234688291369</v>
      </c>
      <c r="I1508" s="4">
        <v>38083.630989762059</v>
      </c>
      <c r="J1508" s="4">
        <v>36191.407520932917</v>
      </c>
    </row>
    <row r="1509" spans="1:10">
      <c r="A1509" s="1">
        <v>46108.685416666667</v>
      </c>
      <c r="B1509">
        <v>-59.683182618683333</v>
      </c>
      <c r="C1509">
        <v>190397.6643979768</v>
      </c>
      <c r="D1509">
        <v>90378.068082084195</v>
      </c>
      <c r="E1509">
        <v>100019.5963158926</v>
      </c>
      <c r="F1509">
        <v>0</v>
      </c>
      <c r="G1509">
        <v>1892.2234688291369</v>
      </c>
      <c r="H1509">
        <v>1832.5402862104529</v>
      </c>
      <c r="I1509">
        <v>38079.532879595361</v>
      </c>
      <c r="J1509">
        <v>36246.992593384908</v>
      </c>
    </row>
    <row r="1510" spans="1:10">
      <c r="A1510" s="3">
        <v>46108.686111111107</v>
      </c>
      <c r="B1510" s="4">
        <v>-138.96268112998891</v>
      </c>
      <c r="C1510" s="4">
        <v>190396.77016303601</v>
      </c>
      <c r="D1510" s="4">
        <v>90337.981215358115</v>
      </c>
      <c r="E1510" s="4">
        <v>100058.78894767779</v>
      </c>
      <c r="F1510" s="4">
        <v>0</v>
      </c>
      <c r="G1510" s="4">
        <v>1892.2234688291369</v>
      </c>
      <c r="H1510" s="4">
        <v>1753.2607876991481</v>
      </c>
      <c r="I1510" s="4">
        <v>38079.354032607189</v>
      </c>
      <c r="J1510" s="4">
        <v>36326.093244908043</v>
      </c>
    </row>
    <row r="1511" spans="1:10">
      <c r="A1511" s="3">
        <v>46108.686805555553</v>
      </c>
      <c r="B1511" s="4">
        <v>46.329432910671038</v>
      </c>
      <c r="C1511" s="4">
        <v>190621.2549088618</v>
      </c>
      <c r="D1511" s="4">
        <v>90542.869645291386</v>
      </c>
      <c r="E1511" s="4">
        <v>100078.3852635704</v>
      </c>
      <c r="F1511" s="4">
        <v>0</v>
      </c>
      <c r="G1511" s="4">
        <v>1892.2234688291369</v>
      </c>
      <c r="H1511" s="4">
        <v>1938.552901739808</v>
      </c>
      <c r="I1511" s="4">
        <v>38124.250981772369</v>
      </c>
      <c r="J1511" s="4">
        <v>36185.698080032562</v>
      </c>
    </row>
    <row r="1512" spans="1:10">
      <c r="A1512" s="1">
        <v>46108.6875</v>
      </c>
      <c r="B1512">
        <v>-95.307413841187227</v>
      </c>
      <c r="C1512">
        <v>190558.00332568039</v>
      </c>
      <c r="D1512">
        <v>90440.425430324758</v>
      </c>
      <c r="E1512">
        <v>100117.5778953557</v>
      </c>
      <c r="F1512">
        <v>0</v>
      </c>
      <c r="G1512">
        <v>1892.2234688291369</v>
      </c>
      <c r="H1512">
        <v>1796.9160549879491</v>
      </c>
      <c r="I1512">
        <v>38111.600665136088</v>
      </c>
      <c r="J1512">
        <v>36314.684610148142</v>
      </c>
    </row>
    <row r="1513" spans="1:10">
      <c r="A1513" s="3">
        <v>46108.688194444447</v>
      </c>
      <c r="B1513" s="4">
        <v>21.389055374644641</v>
      </c>
      <c r="C1513" s="4">
        <v>190655.10347900371</v>
      </c>
      <c r="D1513" s="4">
        <v>90547.323741594286</v>
      </c>
      <c r="E1513" s="4">
        <v>100107.77973740939</v>
      </c>
      <c r="F1513" s="4">
        <v>0</v>
      </c>
      <c r="G1513" s="4">
        <v>1892.2234688291369</v>
      </c>
      <c r="H1513" s="4">
        <v>1913.612524203781</v>
      </c>
      <c r="I1513" s="4">
        <v>38131.020695800733</v>
      </c>
      <c r="J1513" s="4">
        <v>36217.408171596951</v>
      </c>
    </row>
    <row r="1514" spans="1:10">
      <c r="A1514" s="1">
        <v>46108.688888888893</v>
      </c>
      <c r="B1514">
        <v>107.7925462103919</v>
      </c>
      <c r="C1514">
        <v>190604.3327585911</v>
      </c>
      <c r="D1514">
        <v>90565.140126805883</v>
      </c>
      <c r="E1514">
        <v>100039.1926317852</v>
      </c>
      <c r="F1514">
        <v>0</v>
      </c>
      <c r="G1514">
        <v>1892.2234688291369</v>
      </c>
      <c r="H1514">
        <v>2000.0160150395291</v>
      </c>
      <c r="I1514">
        <v>38120.866551718223</v>
      </c>
      <c r="J1514">
        <v>36120.850536678692</v>
      </c>
    </row>
    <row r="1515" spans="1:10">
      <c r="A1515" s="1">
        <v>46108.689583333333</v>
      </c>
      <c r="B1515">
        <v>78.389533170793101</v>
      </c>
      <c r="C1515">
        <v>190437.7555343032</v>
      </c>
      <c r="D1515">
        <v>90467.15000814214</v>
      </c>
      <c r="E1515">
        <v>99970.605526161075</v>
      </c>
      <c r="F1515">
        <v>0</v>
      </c>
      <c r="G1515">
        <v>1892.2234688291369</v>
      </c>
      <c r="H1515">
        <v>1970.61300199993</v>
      </c>
      <c r="I1515">
        <v>38087.551106860643</v>
      </c>
      <c r="J1515">
        <v>36116.93810486071</v>
      </c>
    </row>
    <row r="1516" spans="1:10">
      <c r="A1516" s="1">
        <v>46108.69027777778</v>
      </c>
      <c r="B1516">
        <v>-1.7799306810236</v>
      </c>
      <c r="C1516">
        <v>190455.5676499145</v>
      </c>
      <c r="D1516">
        <v>90435.971334021859</v>
      </c>
      <c r="E1516">
        <v>100019.5963158926</v>
      </c>
      <c r="F1516">
        <v>0</v>
      </c>
      <c r="G1516">
        <v>1892.2234688291369</v>
      </c>
      <c r="H1516">
        <v>1890.443538148113</v>
      </c>
      <c r="I1516">
        <v>38091.113529982897</v>
      </c>
      <c r="J1516">
        <v>36200.66999183478</v>
      </c>
    </row>
    <row r="1517" spans="1:10">
      <c r="A1517" s="3">
        <v>46108.690972222219</v>
      </c>
      <c r="B1517" s="4">
        <v>-1.7799306810236</v>
      </c>
      <c r="C1517" s="4">
        <v>190455.5676499145</v>
      </c>
      <c r="D1517" s="4">
        <v>90435.971334021859</v>
      </c>
      <c r="E1517" s="4">
        <v>100019.5963158926</v>
      </c>
      <c r="F1517" s="4">
        <v>0</v>
      </c>
      <c r="G1517" s="4">
        <v>1892.2234688291369</v>
      </c>
      <c r="H1517" s="4">
        <v>1890.443538148113</v>
      </c>
      <c r="I1517" s="4">
        <v>38091.113529982897</v>
      </c>
      <c r="J1517" s="4">
        <v>36200.66999183478</v>
      </c>
    </row>
    <row r="1518" spans="1:10">
      <c r="A1518" s="1">
        <v>46108.691666666673</v>
      </c>
      <c r="B1518">
        <v>48.105093991362537</v>
      </c>
      <c r="C1518">
        <v>190485.8563586942</v>
      </c>
      <c r="D1518">
        <v>90476.058200747939</v>
      </c>
      <c r="E1518">
        <v>100009.79815794629</v>
      </c>
      <c r="F1518">
        <v>0</v>
      </c>
      <c r="G1518">
        <v>1892.2234688291369</v>
      </c>
      <c r="H1518">
        <v>1940.328562820499</v>
      </c>
      <c r="I1518">
        <v>38097.171271738851</v>
      </c>
      <c r="J1518">
        <v>36156.842708918353</v>
      </c>
    </row>
    <row r="1519" spans="1:10">
      <c r="A1519" s="3">
        <v>46108.692361111112</v>
      </c>
      <c r="B1519" s="4">
        <v>99.770049344758363</v>
      </c>
      <c r="C1519" s="4">
        <v>190478.7323663698</v>
      </c>
      <c r="D1519" s="4">
        <v>90498.328682262421</v>
      </c>
      <c r="E1519" s="4">
        <v>99980.403684107383</v>
      </c>
      <c r="F1519" s="4">
        <v>0</v>
      </c>
      <c r="G1519" s="4">
        <v>1892.2234688291369</v>
      </c>
      <c r="H1519" s="4">
        <v>1991.9935181738949</v>
      </c>
      <c r="I1519" s="4">
        <v>38095.746473273961</v>
      </c>
      <c r="J1519" s="4">
        <v>36103.752955100063</v>
      </c>
    </row>
    <row r="1520" spans="1:10">
      <c r="A1520" s="3">
        <v>46108.693055555559</v>
      </c>
      <c r="B1520" s="4">
        <v>19.596315892608288</v>
      </c>
      <c r="C1520" s="4">
        <v>190398.55863291759</v>
      </c>
      <c r="D1520" s="4">
        <v>90418.154948810276</v>
      </c>
      <c r="E1520" s="4">
        <v>99980.403684107383</v>
      </c>
      <c r="F1520" s="4">
        <v>0</v>
      </c>
      <c r="G1520" s="4">
        <v>1892.2234688291369</v>
      </c>
      <c r="H1520" s="4">
        <v>1911.819784721745</v>
      </c>
      <c r="I1520" s="4">
        <v>38079.711726583533</v>
      </c>
      <c r="J1520" s="4">
        <v>36167.891941861788</v>
      </c>
    </row>
    <row r="1521" spans="1:10">
      <c r="A1521" s="3">
        <v>46108.693749999999</v>
      </c>
      <c r="B1521" s="4">
        <v>67.688601082958073</v>
      </c>
      <c r="C1521" s="4">
        <v>190172.30249561139</v>
      </c>
      <c r="D1521" s="4">
        <v>90329.073022752331</v>
      </c>
      <c r="E1521" s="4">
        <v>99843.229472859108</v>
      </c>
      <c r="F1521" s="4">
        <v>0</v>
      </c>
      <c r="G1521" s="4">
        <v>1892.2234688291369</v>
      </c>
      <c r="H1521" s="4">
        <v>1959.9120699120949</v>
      </c>
      <c r="I1521" s="4">
        <v>38034.460499122288</v>
      </c>
      <c r="J1521" s="4">
        <v>36074.54842921019</v>
      </c>
    </row>
    <row r="1522" spans="1:10">
      <c r="A1522" s="1">
        <v>46108.694444444453</v>
      </c>
      <c r="B1522">
        <v>136.27570670710799</v>
      </c>
      <c r="C1522">
        <v>190103.71538998731</v>
      </c>
      <c r="D1522">
        <v>90329.073022752331</v>
      </c>
      <c r="E1522">
        <v>99774.642367234948</v>
      </c>
      <c r="F1522">
        <v>0</v>
      </c>
      <c r="G1522">
        <v>1892.2234688291369</v>
      </c>
      <c r="H1522">
        <v>2028.499175536245</v>
      </c>
      <c r="I1522">
        <v>38020.74307799746</v>
      </c>
      <c r="J1522">
        <v>35992.243902461218</v>
      </c>
    </row>
    <row r="1523" spans="1:10">
      <c r="A1523" s="1">
        <v>46108.695138888892</v>
      </c>
      <c r="B1523">
        <v>73.926897667208038</v>
      </c>
      <c r="C1523">
        <v>190237.3297398735</v>
      </c>
      <c r="D1523">
        <v>90364.705793175512</v>
      </c>
      <c r="E1523">
        <v>99872.623946698019</v>
      </c>
      <c r="F1523">
        <v>0</v>
      </c>
      <c r="G1523">
        <v>1892.2234688291369</v>
      </c>
      <c r="H1523">
        <v>1966.150366496345</v>
      </c>
      <c r="I1523">
        <v>38047.465947974713</v>
      </c>
      <c r="J1523">
        <v>36081.31558147836</v>
      </c>
    </row>
    <row r="1524" spans="1:10">
      <c r="A1524" s="3">
        <v>46108.695833333331</v>
      </c>
      <c r="B1524" s="4">
        <v>77.491028629602539</v>
      </c>
      <c r="C1524" s="4">
        <v>190260.49018672851</v>
      </c>
      <c r="D1524" s="4">
        <v>90378.068082084195</v>
      </c>
      <c r="E1524" s="4">
        <v>99882.422104644313</v>
      </c>
      <c r="F1524" s="4">
        <v>0</v>
      </c>
      <c r="G1524" s="4">
        <v>1892.2234688291369</v>
      </c>
      <c r="H1524" s="4">
        <v>1969.7144974587391</v>
      </c>
      <c r="I1524" s="4">
        <v>38052.098037345713</v>
      </c>
      <c r="J1524" s="4">
        <v>36082.383539886963</v>
      </c>
    </row>
    <row r="1525" spans="1:10">
      <c r="A1525" s="1">
        <v>46108.696527777778</v>
      </c>
      <c r="B1525">
        <v>68.591375224481993</v>
      </c>
      <c r="C1525">
        <v>190447.55369224949</v>
      </c>
      <c r="D1525">
        <v>90467.15000814214</v>
      </c>
      <c r="E1525">
        <v>99980.403684107383</v>
      </c>
      <c r="F1525">
        <v>0</v>
      </c>
      <c r="G1525">
        <v>1892.2234688291369</v>
      </c>
      <c r="H1525">
        <v>1960.814844053619</v>
      </c>
      <c r="I1525">
        <v>38089.510738449913</v>
      </c>
      <c r="J1525">
        <v>36128.695894396289</v>
      </c>
    </row>
    <row r="1526" spans="1:10">
      <c r="A1526" s="3">
        <v>46108.697222222218</v>
      </c>
      <c r="B1526" s="4">
        <v>0</v>
      </c>
      <c r="C1526" s="4">
        <v>0</v>
      </c>
      <c r="D1526" s="4">
        <v>0</v>
      </c>
      <c r="E1526" s="4">
        <v>0</v>
      </c>
      <c r="F1526" s="4">
        <v>121.368537383374</v>
      </c>
      <c r="G1526" s="4">
        <v>2013.592006212511</v>
      </c>
      <c r="H1526" s="4">
        <v>2013.592006212511</v>
      </c>
      <c r="I1526" s="4">
        <v>0</v>
      </c>
      <c r="J1526" s="4">
        <v>-2013.592006212511</v>
      </c>
    </row>
    <row r="1527" spans="1:10">
      <c r="A1527" s="1">
        <v>46112.736111111109</v>
      </c>
      <c r="B1527">
        <v>0</v>
      </c>
      <c r="C1527">
        <v>190418.15494881029</v>
      </c>
      <c r="D1527">
        <v>90418.154948810276</v>
      </c>
      <c r="E1527">
        <v>100000</v>
      </c>
      <c r="F1527">
        <v>0</v>
      </c>
      <c r="G1527">
        <v>2013.592006212511</v>
      </c>
      <c r="H1527">
        <v>2013.592006212511</v>
      </c>
      <c r="I1527">
        <v>38083.630989762059</v>
      </c>
      <c r="J1527">
        <v>36070.038983549552</v>
      </c>
    </row>
    <row r="1528" spans="1:10">
      <c r="A1528" s="3">
        <v>46112.736805555563</v>
      </c>
      <c r="B1528" s="4">
        <v>198.20281381353129</v>
      </c>
      <c r="C1528" s="4">
        <v>191138.3490627688</v>
      </c>
      <c r="D1528" s="4">
        <v>90877.353412696306</v>
      </c>
      <c r="E1528" s="4">
        <v>100260.99565007249</v>
      </c>
      <c r="F1528" s="4">
        <v>0</v>
      </c>
      <c r="G1528" s="4">
        <v>2013.592006212511</v>
      </c>
      <c r="H1528" s="4">
        <v>2211.7948200260421</v>
      </c>
      <c r="I1528" s="4">
        <v>38227.669812553759</v>
      </c>
      <c r="J1528" s="4">
        <v>36015.874992527722</v>
      </c>
    </row>
    <row r="1529" spans="1:10">
      <c r="A1529" s="3">
        <v>46112.737500000003</v>
      </c>
      <c r="B1529" s="4">
        <v>-19.72841773460215</v>
      </c>
      <c r="C1529" s="4">
        <v>191461.74214248211</v>
      </c>
      <c r="D1529" s="4">
        <v>90930.084336778906</v>
      </c>
      <c r="E1529" s="4">
        <v>100531.6578057032</v>
      </c>
      <c r="F1529" s="4">
        <v>0</v>
      </c>
      <c r="G1529" s="4">
        <v>2013.592006212511</v>
      </c>
      <c r="H1529" s="4">
        <v>1993.863588477908</v>
      </c>
      <c r="I1529" s="4">
        <v>38292.348428496429</v>
      </c>
      <c r="J1529" s="4">
        <v>36298.484840018522</v>
      </c>
    </row>
    <row r="1530" spans="1:10">
      <c r="A1530" s="1">
        <v>46112.738194444442</v>
      </c>
      <c r="B1530">
        <v>125.26916563901371</v>
      </c>
      <c r="C1530">
        <v>191316.74455910851</v>
      </c>
      <c r="D1530">
        <v>90930.084336778906</v>
      </c>
      <c r="E1530">
        <v>100386.66022232961</v>
      </c>
      <c r="F1530">
        <v>0</v>
      </c>
      <c r="G1530">
        <v>2013.592006212511</v>
      </c>
      <c r="H1530">
        <v>2138.861171851524</v>
      </c>
      <c r="I1530">
        <v>38263.348911821697</v>
      </c>
      <c r="J1530">
        <v>36124.48773997018</v>
      </c>
    </row>
    <row r="1531" spans="1:10">
      <c r="A1531" s="1">
        <v>46112.738888888889</v>
      </c>
      <c r="B1531">
        <v>0</v>
      </c>
      <c r="C1531">
        <v>0</v>
      </c>
      <c r="D1531">
        <v>0</v>
      </c>
      <c r="E1531">
        <v>0</v>
      </c>
      <c r="F1531">
        <v>237.3829206565178</v>
      </c>
      <c r="G1531">
        <v>2250.974926869028</v>
      </c>
      <c r="H1531">
        <v>2250.974926869028</v>
      </c>
      <c r="I1531">
        <v>0</v>
      </c>
      <c r="J1531">
        <v>-2250.974926869028</v>
      </c>
    </row>
    <row r="1532" spans="1:10">
      <c r="A1532" s="3">
        <v>46113.789583333331</v>
      </c>
      <c r="B1532" s="4">
        <v>0</v>
      </c>
      <c r="C1532" s="4">
        <v>190418.15494881029</v>
      </c>
      <c r="D1532" s="4">
        <v>100000</v>
      </c>
      <c r="E1532" s="4">
        <v>90418.154948810276</v>
      </c>
      <c r="F1532" s="4">
        <v>0</v>
      </c>
      <c r="G1532" s="4">
        <v>2250.974926869028</v>
      </c>
      <c r="H1532" s="4">
        <v>2250.974926869028</v>
      </c>
      <c r="I1532" s="4">
        <v>38083.630989762059</v>
      </c>
      <c r="J1532" s="4">
        <v>35832.656062893031</v>
      </c>
    </row>
    <row r="1533" spans="1:10">
      <c r="A1533" s="1">
        <v>46113.790277777778</v>
      </c>
      <c r="B1533">
        <v>-9.458053532587833</v>
      </c>
      <c r="C1533">
        <v>190408.69689527771</v>
      </c>
      <c r="D1533">
        <v>99990.54194646742</v>
      </c>
      <c r="E1533">
        <v>90418.154948810276</v>
      </c>
      <c r="F1533">
        <v>0</v>
      </c>
      <c r="G1533">
        <v>2250.974926869028</v>
      </c>
      <c r="H1533">
        <v>2241.5168733364412</v>
      </c>
      <c r="I1533">
        <v>38081.739379055543</v>
      </c>
      <c r="J1533">
        <v>35840.222505719103</v>
      </c>
    </row>
    <row r="1534" spans="1:10">
      <c r="A1534" s="3">
        <v>46113.790972222218</v>
      </c>
      <c r="B1534" s="4">
        <v>123.4845950830989</v>
      </c>
      <c r="C1534" s="4">
        <v>190275.75424666199</v>
      </c>
      <c r="D1534" s="4">
        <v>99990.54194646742</v>
      </c>
      <c r="E1534" s="4">
        <v>90285.212300194587</v>
      </c>
      <c r="F1534" s="4">
        <v>0</v>
      </c>
      <c r="G1534" s="4">
        <v>2250.974926869028</v>
      </c>
      <c r="H1534" s="4">
        <v>2374.459521952127</v>
      </c>
      <c r="I1534" s="4">
        <v>38055.150849332407</v>
      </c>
      <c r="J1534" s="4">
        <v>35680.691327380278</v>
      </c>
    </row>
    <row r="1535" spans="1:10">
      <c r="A1535" s="3">
        <v>46113.791666666657</v>
      </c>
      <c r="B1535" s="4">
        <v>120.84126970128899</v>
      </c>
      <c r="C1535" s="4">
        <v>190221.64925084831</v>
      </c>
      <c r="D1535" s="4">
        <v>99962.167785869664</v>
      </c>
      <c r="E1535" s="4">
        <v>90259.481464978642</v>
      </c>
      <c r="F1535" s="4">
        <v>0</v>
      </c>
      <c r="G1535" s="4">
        <v>2250.974926869028</v>
      </c>
      <c r="H1535" s="4">
        <v>2371.816196570318</v>
      </c>
      <c r="I1535" s="4">
        <v>38044.329850169663</v>
      </c>
      <c r="J1535" s="4">
        <v>35672.513653599337</v>
      </c>
    </row>
    <row r="1536" spans="1:10">
      <c r="A1536" s="3">
        <v>46113.792361111111</v>
      </c>
      <c r="B1536" s="4">
        <v>0</v>
      </c>
      <c r="C1536" s="4">
        <v>0</v>
      </c>
      <c r="D1536" s="4">
        <v>0</v>
      </c>
      <c r="E1536" s="4">
        <v>0</v>
      </c>
      <c r="F1536" s="4">
        <v>125.77246377078291</v>
      </c>
      <c r="G1536" s="4">
        <v>2376.7473906398109</v>
      </c>
      <c r="H1536" s="4">
        <v>2376.7473906398109</v>
      </c>
      <c r="I1536" s="4">
        <v>0</v>
      </c>
      <c r="J1536" s="4">
        <v>-2376.7473906398109</v>
      </c>
    </row>
    <row r="1537" spans="1:10">
      <c r="A1537" s="1">
        <v>46118.607638888891</v>
      </c>
      <c r="B1537">
        <v>0</v>
      </c>
      <c r="C1537">
        <v>190418.15494881029</v>
      </c>
      <c r="D1537">
        <v>90418.154948810276</v>
      </c>
      <c r="E1537">
        <v>100000</v>
      </c>
      <c r="F1537">
        <v>0</v>
      </c>
      <c r="G1537">
        <v>2376.7473906398109</v>
      </c>
      <c r="H1537">
        <v>2376.7473906398109</v>
      </c>
      <c r="I1537">
        <v>38083.630989762059</v>
      </c>
      <c r="J1537">
        <v>35706.883599122251</v>
      </c>
    </row>
    <row r="1538" spans="1:10">
      <c r="A1538" s="1">
        <v>46118.60833333333</v>
      </c>
      <c r="B1538">
        <v>37.505860290676281</v>
      </c>
      <c r="C1538">
        <v>190380.6490885196</v>
      </c>
      <c r="D1538">
        <v>90418.154948810276</v>
      </c>
      <c r="E1538">
        <v>99962.494139709321</v>
      </c>
      <c r="F1538">
        <v>0</v>
      </c>
      <c r="G1538">
        <v>2376.7473906398109</v>
      </c>
      <c r="H1538">
        <v>2414.253250930487</v>
      </c>
      <c r="I1538">
        <v>38076.129817703921</v>
      </c>
      <c r="J1538">
        <v>35661.876566773433</v>
      </c>
    </row>
    <row r="1539" spans="1:10">
      <c r="A1539" s="3">
        <v>46118.609027777777</v>
      </c>
      <c r="B1539" s="4">
        <v>84.388185654011636</v>
      </c>
      <c r="C1539" s="4">
        <v>190333.76676315631</v>
      </c>
      <c r="D1539" s="4">
        <v>90418.154948810276</v>
      </c>
      <c r="E1539" s="4">
        <v>99915.61181434599</v>
      </c>
      <c r="F1539" s="4">
        <v>0</v>
      </c>
      <c r="G1539" s="4">
        <v>2376.7473906398109</v>
      </c>
      <c r="H1539" s="4">
        <v>2461.1355762938229</v>
      </c>
      <c r="I1539" s="4">
        <v>38066.753352631247</v>
      </c>
      <c r="J1539" s="4">
        <v>35605.617776337429</v>
      </c>
    </row>
    <row r="1540" spans="1:10">
      <c r="A1540" s="3">
        <v>46118.609722222223</v>
      </c>
      <c r="B1540" s="4">
        <v>265.61533229960253</v>
      </c>
      <c r="C1540" s="4">
        <v>190665.01735096451</v>
      </c>
      <c r="D1540" s="4">
        <v>90674.393816037205</v>
      </c>
      <c r="E1540" s="4">
        <v>99990.623534927334</v>
      </c>
      <c r="F1540" s="4">
        <v>0</v>
      </c>
      <c r="G1540" s="4">
        <v>2376.7473906398109</v>
      </c>
      <c r="H1540" s="4">
        <v>2642.3627229394142</v>
      </c>
      <c r="I1540" s="4">
        <v>38133.003470192911</v>
      </c>
      <c r="J1540" s="4">
        <v>35490.640747253499</v>
      </c>
    </row>
    <row r="1541" spans="1:10">
      <c r="A1541" s="1">
        <v>46118.61041666667</v>
      </c>
      <c r="B1541">
        <v>59.333100700916333</v>
      </c>
      <c r="C1541">
        <v>190871.2995825632</v>
      </c>
      <c r="D1541">
        <v>90674.393816037205</v>
      </c>
      <c r="E1541">
        <v>100196.905766526</v>
      </c>
      <c r="F1541">
        <v>0</v>
      </c>
      <c r="G1541">
        <v>2376.7473906398109</v>
      </c>
      <c r="H1541">
        <v>2436.0804913407278</v>
      </c>
      <c r="I1541">
        <v>38174.259916512638</v>
      </c>
      <c r="J1541">
        <v>35738.179425171918</v>
      </c>
    </row>
    <row r="1542" spans="1:10">
      <c r="A1542" s="3">
        <v>46118.611111111109</v>
      </c>
      <c r="B1542" s="4">
        <v>153.09775142758701</v>
      </c>
      <c r="C1542" s="4">
        <v>190777.5349318365</v>
      </c>
      <c r="D1542" s="4">
        <v>90674.393816037205</v>
      </c>
      <c r="E1542" s="4">
        <v>100103.1411157993</v>
      </c>
      <c r="F1542" s="4">
        <v>0</v>
      </c>
      <c r="G1542" s="4">
        <v>2376.7473906398109</v>
      </c>
      <c r="H1542" s="4">
        <v>2529.8451420673978</v>
      </c>
      <c r="I1542" s="4">
        <v>38155.506986367312</v>
      </c>
      <c r="J1542" s="4">
        <v>35625.66184429991</v>
      </c>
    </row>
    <row r="1543" spans="1:10">
      <c r="A1543" s="1">
        <v>46118.611805555563</v>
      </c>
      <c r="B1543">
        <v>303.12119259027878</v>
      </c>
      <c r="C1543">
        <v>190627.5114906739</v>
      </c>
      <c r="D1543">
        <v>90674.393816037205</v>
      </c>
      <c r="E1543">
        <v>99953.117674636655</v>
      </c>
      <c r="F1543">
        <v>0</v>
      </c>
      <c r="G1543">
        <v>2376.7473906398109</v>
      </c>
      <c r="H1543">
        <v>2679.8685832300898</v>
      </c>
      <c r="I1543">
        <v>38125.502298134779</v>
      </c>
      <c r="J1543">
        <v>35445.633714904689</v>
      </c>
    </row>
    <row r="1544" spans="1:10">
      <c r="A1544" s="1">
        <v>46118.612500000003</v>
      </c>
      <c r="B1544">
        <v>153.09775142758701</v>
      </c>
      <c r="C1544">
        <v>190777.5349318365</v>
      </c>
      <c r="D1544">
        <v>90674.393816037205</v>
      </c>
      <c r="E1544">
        <v>100103.1411157993</v>
      </c>
      <c r="F1544">
        <v>0</v>
      </c>
      <c r="G1544">
        <v>2376.7473906398109</v>
      </c>
      <c r="H1544">
        <v>2529.8451420673978</v>
      </c>
      <c r="I1544">
        <v>38155.506986367312</v>
      </c>
      <c r="J1544">
        <v>35625.66184429991</v>
      </c>
    </row>
    <row r="1545" spans="1:10">
      <c r="A1545" s="3">
        <v>46118.613194444442</v>
      </c>
      <c r="B1545" s="4">
        <v>190.60361171826329</v>
      </c>
      <c r="C1545" s="4">
        <v>190740.0290715459</v>
      </c>
      <c r="D1545" s="4">
        <v>90674.393816037205</v>
      </c>
      <c r="E1545" s="4">
        <v>100065.63525550871</v>
      </c>
      <c r="F1545" s="4">
        <v>0</v>
      </c>
      <c r="G1545" s="4">
        <v>2376.7473906398109</v>
      </c>
      <c r="H1545" s="4">
        <v>2567.3510023580752</v>
      </c>
      <c r="I1545" s="4">
        <v>38148.005814309166</v>
      </c>
      <c r="J1545" s="4">
        <v>35580.654811951099</v>
      </c>
    </row>
    <row r="1546" spans="1:10">
      <c r="A1546" s="1">
        <v>46118.613888888889</v>
      </c>
      <c r="B1546">
        <v>0</v>
      </c>
      <c r="C1546">
        <v>0</v>
      </c>
      <c r="D1546">
        <v>0</v>
      </c>
      <c r="E1546">
        <v>0</v>
      </c>
      <c r="F1546">
        <v>298.2574643289106</v>
      </c>
      <c r="G1546">
        <v>2675.0048549687222</v>
      </c>
      <c r="H1546">
        <v>2675.0048549687222</v>
      </c>
      <c r="I1546">
        <v>0</v>
      </c>
      <c r="J1546">
        <v>-2675.0048549687222</v>
      </c>
    </row>
    <row r="1547" spans="1:10">
      <c r="A1547" s="3">
        <v>46119.709722222222</v>
      </c>
      <c r="B1547" s="4">
        <v>0</v>
      </c>
      <c r="C1547" s="4">
        <v>190418.15494881029</v>
      </c>
      <c r="D1547" s="4">
        <v>90418.154948810276</v>
      </c>
      <c r="E1547" s="4">
        <v>100000</v>
      </c>
      <c r="F1547" s="4">
        <v>0</v>
      </c>
      <c r="G1547" s="4">
        <v>2675.0048549687222</v>
      </c>
      <c r="H1547" s="4">
        <v>2675.0048549687222</v>
      </c>
      <c r="I1547" s="4">
        <v>38083.630989762059</v>
      </c>
      <c r="J1547" s="4">
        <v>35408.62613479334</v>
      </c>
    </row>
    <row r="1548" spans="1:10">
      <c r="A1548" s="3">
        <v>46119.710416666669</v>
      </c>
      <c r="B1548" s="4">
        <v>403.19022277071099</v>
      </c>
      <c r="C1548" s="4">
        <v>190540.57774060301</v>
      </c>
      <c r="D1548" s="4">
        <v>90680.961456091987</v>
      </c>
      <c r="E1548" s="4">
        <v>99859.616284511008</v>
      </c>
      <c r="F1548" s="4">
        <v>0</v>
      </c>
      <c r="G1548" s="4">
        <v>2675.0048549687222</v>
      </c>
      <c r="H1548" s="4">
        <v>3078.1950777394331</v>
      </c>
      <c r="I1548" s="4">
        <v>38108.115548120601</v>
      </c>
      <c r="J1548" s="4">
        <v>35029.92047038117</v>
      </c>
    </row>
    <row r="1549" spans="1:10">
      <c r="A1549" s="3">
        <v>46119.711111111108</v>
      </c>
      <c r="B1549" s="4">
        <v>384.47239403884771</v>
      </c>
      <c r="C1549" s="4">
        <v>190559.29556933491</v>
      </c>
      <c r="D1549" s="4">
        <v>90680.961456091987</v>
      </c>
      <c r="E1549" s="4">
        <v>99878.334113242876</v>
      </c>
      <c r="F1549" s="4">
        <v>0</v>
      </c>
      <c r="G1549" s="4">
        <v>2675.0048549687222</v>
      </c>
      <c r="H1549" s="4">
        <v>3059.4772490075688</v>
      </c>
      <c r="I1549" s="4">
        <v>38111.85911386698</v>
      </c>
      <c r="J1549" s="4">
        <v>35052.38186485941</v>
      </c>
    </row>
    <row r="1550" spans="1:10">
      <c r="A1550" s="3">
        <v>46119.711805555547</v>
      </c>
      <c r="B1550" s="4">
        <v>421.90805150257438</v>
      </c>
      <c r="C1550" s="4">
        <v>190521.85991187111</v>
      </c>
      <c r="D1550" s="4">
        <v>90680.961456091987</v>
      </c>
      <c r="E1550" s="4">
        <v>99840.898455779141</v>
      </c>
      <c r="F1550" s="4">
        <v>0</v>
      </c>
      <c r="G1550" s="4">
        <v>2675.0048549687222</v>
      </c>
      <c r="H1550" s="4">
        <v>3096.9129064712961</v>
      </c>
      <c r="I1550" s="4">
        <v>38104.371982374229</v>
      </c>
      <c r="J1550" s="4">
        <v>35007.459075902931</v>
      </c>
    </row>
    <row r="1551" spans="1:10">
      <c r="A1551" s="3">
        <v>46119.712500000001</v>
      </c>
      <c r="B1551" s="4">
        <v>356.39565094104591</v>
      </c>
      <c r="C1551" s="4">
        <v>190587.37231243271</v>
      </c>
      <c r="D1551" s="4">
        <v>90680.961456091987</v>
      </c>
      <c r="E1551" s="4">
        <v>99906.410856340677</v>
      </c>
      <c r="F1551" s="4">
        <v>0</v>
      </c>
      <c r="G1551" s="4">
        <v>2675.0048549687222</v>
      </c>
      <c r="H1551" s="4">
        <v>3031.4005059097681</v>
      </c>
      <c r="I1551" s="4">
        <v>38117.474462486527</v>
      </c>
      <c r="J1551" s="4">
        <v>35086.073956576773</v>
      </c>
    </row>
    <row r="1552" spans="1:10">
      <c r="A1552" s="1">
        <v>46119.713194444441</v>
      </c>
      <c r="B1552">
        <v>365.75456530698432</v>
      </c>
      <c r="C1552">
        <v>190578.01339806669</v>
      </c>
      <c r="D1552">
        <v>90680.961456091987</v>
      </c>
      <c r="E1552">
        <v>99897.051941974729</v>
      </c>
      <c r="F1552">
        <v>0</v>
      </c>
      <c r="G1552">
        <v>2675.0048549687222</v>
      </c>
      <c r="H1552">
        <v>3040.7594202757059</v>
      </c>
      <c r="I1552">
        <v>38115.602679613337</v>
      </c>
      <c r="J1552">
        <v>35074.843259337642</v>
      </c>
    </row>
    <row r="1553" spans="1:10">
      <c r="A1553" s="1">
        <v>46119.713888888888</v>
      </c>
      <c r="B1553">
        <v>118.47596808266471</v>
      </c>
      <c r="C1553">
        <v>190180.99217098751</v>
      </c>
      <c r="D1553">
        <v>90358.811543940203</v>
      </c>
      <c r="E1553">
        <v>99822.180627047273</v>
      </c>
      <c r="F1553">
        <v>0</v>
      </c>
      <c r="G1553">
        <v>2675.0048549687222</v>
      </c>
      <c r="H1553">
        <v>2793.4808230513859</v>
      </c>
      <c r="I1553">
        <v>38036.198434197497</v>
      </c>
      <c r="J1553">
        <v>35242.717611146109</v>
      </c>
    </row>
    <row r="1554" spans="1:10">
      <c r="A1554" s="3">
        <v>46119.714583333327</v>
      </c>
      <c r="B1554" s="4">
        <v>118.47596808266471</v>
      </c>
      <c r="C1554" s="4">
        <v>190180.99217098751</v>
      </c>
      <c r="D1554" s="4">
        <v>90358.811543940203</v>
      </c>
      <c r="E1554" s="4">
        <v>99822.180627047273</v>
      </c>
      <c r="F1554" s="4">
        <v>0</v>
      </c>
      <c r="G1554" s="4">
        <v>2675.0048549687222</v>
      </c>
      <c r="H1554" s="4">
        <v>2793.4808230513859</v>
      </c>
      <c r="I1554" s="4">
        <v>38036.198434197497</v>
      </c>
      <c r="J1554" s="4">
        <v>35242.717611146109</v>
      </c>
    </row>
    <row r="1555" spans="1:10">
      <c r="A1555" s="1">
        <v>46119.715277777781</v>
      </c>
      <c r="B1555">
        <v>126.07231225103909</v>
      </c>
      <c r="C1555">
        <v>190207.3063438877</v>
      </c>
      <c r="D1555">
        <v>90375.766802474522</v>
      </c>
      <c r="E1555">
        <v>99831.539541413207</v>
      </c>
      <c r="F1555">
        <v>0</v>
      </c>
      <c r="G1555">
        <v>2675.0048549687222</v>
      </c>
      <c r="H1555">
        <v>2801.0771672197611</v>
      </c>
      <c r="I1555">
        <v>38041.461268777537</v>
      </c>
      <c r="J1555">
        <v>35240.384101557793</v>
      </c>
    </row>
    <row r="1556" spans="1:10">
      <c r="A1556" s="3">
        <v>46119.71597222222</v>
      </c>
      <c r="B1556" s="4">
        <v>79.277740421374048</v>
      </c>
      <c r="C1556" s="4">
        <v>190254.1009157174</v>
      </c>
      <c r="D1556" s="4">
        <v>90375.766802474522</v>
      </c>
      <c r="E1556" s="4">
        <v>99878.334113242876</v>
      </c>
      <c r="F1556" s="4">
        <v>0</v>
      </c>
      <c r="G1556" s="4">
        <v>2675.0048549687222</v>
      </c>
      <c r="H1556" s="4">
        <v>2754.282595390096</v>
      </c>
      <c r="I1556" s="4">
        <v>38050.820183143478</v>
      </c>
      <c r="J1556" s="4">
        <v>35296.537587753381</v>
      </c>
    </row>
    <row r="1557" spans="1:10">
      <c r="A1557" s="3">
        <v>46119.716666666667</v>
      </c>
      <c r="B1557" s="4">
        <v>41.842082957633977</v>
      </c>
      <c r="C1557" s="4">
        <v>190291.5365731811</v>
      </c>
      <c r="D1557" s="4">
        <v>90375.766802474522</v>
      </c>
      <c r="E1557" s="4">
        <v>99915.769770706611</v>
      </c>
      <c r="F1557" s="4">
        <v>0</v>
      </c>
      <c r="G1557" s="4">
        <v>2675.0048549687222</v>
      </c>
      <c r="H1557" s="4">
        <v>2716.8469379263561</v>
      </c>
      <c r="I1557" s="4">
        <v>38058.307314636229</v>
      </c>
      <c r="J1557" s="4">
        <v>35341.460376709867</v>
      </c>
    </row>
    <row r="1558" spans="1:10">
      <c r="A1558" s="1">
        <v>46119.717361111107</v>
      </c>
      <c r="B1558">
        <v>51.200997323572317</v>
      </c>
      <c r="C1558">
        <v>190282.1776588152</v>
      </c>
      <c r="D1558">
        <v>90375.766802474522</v>
      </c>
      <c r="E1558">
        <v>99906.410856340677</v>
      </c>
      <c r="F1558">
        <v>0</v>
      </c>
      <c r="G1558">
        <v>2675.0048549687222</v>
      </c>
      <c r="H1558">
        <v>2726.2058522922939</v>
      </c>
      <c r="I1558">
        <v>38056.43553176304</v>
      </c>
      <c r="J1558">
        <v>35330.229679470744</v>
      </c>
    </row>
    <row r="1559" spans="1:10">
      <c r="A1559" s="1">
        <v>46119.718055555553</v>
      </c>
      <c r="B1559">
        <v>32.483168591708953</v>
      </c>
      <c r="C1559">
        <v>190300.89548754701</v>
      </c>
      <c r="D1559">
        <v>90375.766802474522</v>
      </c>
      <c r="E1559">
        <v>99925.12868507253</v>
      </c>
      <c r="F1559">
        <v>0</v>
      </c>
      <c r="G1559">
        <v>2675.0048549687222</v>
      </c>
      <c r="H1559">
        <v>2707.488023560431</v>
      </c>
      <c r="I1559">
        <v>38060.179097509412</v>
      </c>
      <c r="J1559">
        <v>35352.691073948983</v>
      </c>
    </row>
    <row r="1560" spans="1:10">
      <c r="A1560" s="1">
        <v>46119.71875</v>
      </c>
      <c r="B1560">
        <v>-14.14379237763316</v>
      </c>
      <c r="C1560">
        <v>190254.26852657771</v>
      </c>
      <c r="D1560">
        <v>90329.139841505181</v>
      </c>
      <c r="E1560">
        <v>99925.12868507253</v>
      </c>
      <c r="F1560">
        <v>0</v>
      </c>
      <c r="G1560">
        <v>2675.0048549687222</v>
      </c>
      <c r="H1560">
        <v>2660.8610625910892</v>
      </c>
      <c r="I1560">
        <v>38050.853705315552</v>
      </c>
      <c r="J1560">
        <v>35389.992642724457</v>
      </c>
    </row>
    <row r="1561" spans="1:10">
      <c r="A1561" s="1">
        <v>46119.719444444447</v>
      </c>
      <c r="B1561">
        <v>-23.502706743571508</v>
      </c>
      <c r="C1561">
        <v>190263.6274409437</v>
      </c>
      <c r="D1561">
        <v>90329.139841505181</v>
      </c>
      <c r="E1561">
        <v>99934.487599438478</v>
      </c>
      <c r="F1561">
        <v>0</v>
      </c>
      <c r="G1561">
        <v>2675.0048549687222</v>
      </c>
      <c r="H1561">
        <v>2651.50214822515</v>
      </c>
      <c r="I1561">
        <v>38052.725488188727</v>
      </c>
      <c r="J1561">
        <v>35401.223339963588</v>
      </c>
    </row>
    <row r="1562" spans="1:10">
      <c r="A1562" s="3">
        <v>46119.720138888893</v>
      </c>
      <c r="B1562" s="4">
        <v>32.650779452031941</v>
      </c>
      <c r="C1562" s="4">
        <v>190207.4739547481</v>
      </c>
      <c r="D1562" s="4">
        <v>90329.139841505181</v>
      </c>
      <c r="E1562" s="4">
        <v>99878.334113242876</v>
      </c>
      <c r="F1562" s="4">
        <v>0</v>
      </c>
      <c r="G1562" s="4">
        <v>2675.0048549687222</v>
      </c>
      <c r="H1562" s="4">
        <v>2707.6556344207538</v>
      </c>
      <c r="I1562" s="4">
        <v>38041.494790949619</v>
      </c>
      <c r="J1562" s="4">
        <v>35333.839156528862</v>
      </c>
    </row>
    <row r="1563" spans="1:10">
      <c r="A1563" s="1">
        <v>46119.720833333333</v>
      </c>
      <c r="B1563">
        <v>4.5740363542302163</v>
      </c>
      <c r="C1563">
        <v>190235.5506978459</v>
      </c>
      <c r="D1563">
        <v>90329.139841505181</v>
      </c>
      <c r="E1563">
        <v>99906.410856340677</v>
      </c>
      <c r="F1563">
        <v>0</v>
      </c>
      <c r="G1563">
        <v>2675.0048549687222</v>
      </c>
      <c r="H1563">
        <v>2679.5788913229521</v>
      </c>
      <c r="I1563">
        <v>38047.110139569173</v>
      </c>
      <c r="J1563">
        <v>35367.531248246218</v>
      </c>
    </row>
    <row r="1564" spans="1:10">
      <c r="A1564" s="1">
        <v>46119.72152777778</v>
      </c>
      <c r="B1564">
        <v>23.291865086093591</v>
      </c>
      <c r="C1564">
        <v>190216.83286911401</v>
      </c>
      <c r="D1564">
        <v>90329.139841505181</v>
      </c>
      <c r="E1564">
        <v>99887.69302760881</v>
      </c>
      <c r="F1564">
        <v>0</v>
      </c>
      <c r="G1564">
        <v>2675.0048549687222</v>
      </c>
      <c r="H1564">
        <v>2698.296720054816</v>
      </c>
      <c r="I1564">
        <v>38043.366573822801</v>
      </c>
      <c r="J1564">
        <v>35345.069853767993</v>
      </c>
    </row>
    <row r="1565" spans="1:10">
      <c r="A1565" s="3">
        <v>46119.722222222219</v>
      </c>
      <c r="B1565" s="4">
        <v>20.626394391196921</v>
      </c>
      <c r="C1565" s="4">
        <v>190045.70693983231</v>
      </c>
      <c r="D1565" s="4">
        <v>90242.244141516872</v>
      </c>
      <c r="E1565" s="4">
        <v>99803.462798315406</v>
      </c>
      <c r="F1565" s="4">
        <v>0</v>
      </c>
      <c r="G1565" s="4">
        <v>2675.0048549687222</v>
      </c>
      <c r="H1565" s="4">
        <v>2695.631249359918</v>
      </c>
      <c r="I1565" s="4">
        <v>38009.141387966447</v>
      </c>
      <c r="J1565" s="4">
        <v>35313.510138606543</v>
      </c>
    </row>
    <row r="1566" spans="1:10">
      <c r="A1566" s="3">
        <v>46119.722916666673</v>
      </c>
      <c r="B1566" s="4">
        <v>-44.886006170331569</v>
      </c>
      <c r="C1566" s="4">
        <v>190111.21934039381</v>
      </c>
      <c r="D1566" s="4">
        <v>90242.244141516872</v>
      </c>
      <c r="E1566" s="4">
        <v>99868.975198876928</v>
      </c>
      <c r="F1566" s="4">
        <v>0</v>
      </c>
      <c r="G1566" s="4">
        <v>2675.0048549687222</v>
      </c>
      <c r="H1566" s="4">
        <v>2630.11884879839</v>
      </c>
      <c r="I1566" s="4">
        <v>38022.24386807876</v>
      </c>
      <c r="J1566" s="4">
        <v>35392.125019280371</v>
      </c>
    </row>
    <row r="1567" spans="1:10">
      <c r="A1567" s="1">
        <v>46119.723611111112</v>
      </c>
      <c r="B1567">
        <v>-54.244920536269902</v>
      </c>
      <c r="C1567">
        <v>190120.57825475969</v>
      </c>
      <c r="D1567">
        <v>90242.244141516872</v>
      </c>
      <c r="E1567">
        <v>99878.334113242876</v>
      </c>
      <c r="F1567">
        <v>0</v>
      </c>
      <c r="G1567">
        <v>2675.0048549687222</v>
      </c>
      <c r="H1567">
        <v>2620.7599344324522</v>
      </c>
      <c r="I1567">
        <v>38024.11565095195</v>
      </c>
      <c r="J1567">
        <v>35403.355716519487</v>
      </c>
    </row>
    <row r="1568" spans="1:10">
      <c r="A1568" s="1">
        <v>46119.724305555559</v>
      </c>
      <c r="B1568">
        <v>38.652164283166748</v>
      </c>
      <c r="C1568">
        <v>190176.03968211549</v>
      </c>
      <c r="D1568">
        <v>90316.423397604449</v>
      </c>
      <c r="E1568">
        <v>99859.616284511008</v>
      </c>
      <c r="F1568">
        <v>0</v>
      </c>
      <c r="G1568">
        <v>2675.0048549687222</v>
      </c>
      <c r="H1568">
        <v>2713.657019251888</v>
      </c>
      <c r="I1568">
        <v>38035.207936423103</v>
      </c>
      <c r="J1568">
        <v>35321.550917171196</v>
      </c>
    </row>
    <row r="1569" spans="1:10">
      <c r="A1569" s="1">
        <v>46119.724999999999</v>
      </c>
      <c r="B1569">
        <v>-37.81410998152765</v>
      </c>
      <c r="C1569">
        <v>190193.16255151009</v>
      </c>
      <c r="D1569">
        <v>90286.751695169427</v>
      </c>
      <c r="E1569">
        <v>99906.410856340677</v>
      </c>
      <c r="F1569">
        <v>0</v>
      </c>
      <c r="G1569">
        <v>2675.0048549687222</v>
      </c>
      <c r="H1569">
        <v>2637.1907449871942</v>
      </c>
      <c r="I1569">
        <v>38038.632510302021</v>
      </c>
      <c r="J1569">
        <v>35401.441765314827</v>
      </c>
    </row>
    <row r="1570" spans="1:10">
      <c r="A1570" s="3">
        <v>46119.725694444453</v>
      </c>
      <c r="B1570" s="4">
        <v>-47.173024347465997</v>
      </c>
      <c r="C1570" s="4">
        <v>190202.52146587599</v>
      </c>
      <c r="D1570" s="4">
        <v>90286.751695169427</v>
      </c>
      <c r="E1570" s="4">
        <v>99915.769770706611</v>
      </c>
      <c r="F1570" s="4">
        <v>0</v>
      </c>
      <c r="G1570" s="4">
        <v>2675.0048549687222</v>
      </c>
      <c r="H1570" s="4">
        <v>2627.8318306212559</v>
      </c>
      <c r="I1570" s="4">
        <v>38040.504293175203</v>
      </c>
      <c r="J1570" s="4">
        <v>35412.67246255395</v>
      </c>
    </row>
    <row r="1571" spans="1:10">
      <c r="A1571" s="3">
        <v>46119.726388888892</v>
      </c>
      <c r="B1571" s="4">
        <v>5.2877105926758654</v>
      </c>
      <c r="C1571" s="4">
        <v>190311.13568701179</v>
      </c>
      <c r="D1571" s="4">
        <v>90367.289173207362</v>
      </c>
      <c r="E1571" s="4">
        <v>99943.846513804412</v>
      </c>
      <c r="F1571" s="4">
        <v>0</v>
      </c>
      <c r="G1571" s="4">
        <v>2675.0048549687222</v>
      </c>
      <c r="H1571" s="4">
        <v>2680.2925655613981</v>
      </c>
      <c r="I1571" s="4">
        <v>38062.227137402348</v>
      </c>
      <c r="J1571" s="4">
        <v>35381.93457184096</v>
      </c>
    </row>
    <row r="1572" spans="1:10">
      <c r="A1572" s="3">
        <v>46119.727083333331</v>
      </c>
      <c r="B1572" s="4">
        <v>-32.147946871050891</v>
      </c>
      <c r="C1572" s="4">
        <v>190348.57134447549</v>
      </c>
      <c r="D1572" s="4">
        <v>90367.289173207362</v>
      </c>
      <c r="E1572" s="4">
        <v>99981.282171268147</v>
      </c>
      <c r="F1572" s="4">
        <v>0</v>
      </c>
      <c r="G1572" s="4">
        <v>2675.0048549687222</v>
      </c>
      <c r="H1572" s="4">
        <v>2642.8569080976708</v>
      </c>
      <c r="I1572" s="4">
        <v>38069.714268895099</v>
      </c>
      <c r="J1572" s="4">
        <v>35426.857360797418</v>
      </c>
    </row>
    <row r="1573" spans="1:10">
      <c r="A1573" s="1">
        <v>46119.727777777778</v>
      </c>
      <c r="B1573">
        <v>12.884054761051569</v>
      </c>
      <c r="C1573">
        <v>190337.44985991201</v>
      </c>
      <c r="D1573">
        <v>90384.244431741667</v>
      </c>
      <c r="E1573">
        <v>99953.205428170331</v>
      </c>
      <c r="F1573">
        <v>0</v>
      </c>
      <c r="G1573">
        <v>2675.0048549687222</v>
      </c>
      <c r="H1573">
        <v>2687.8889097297729</v>
      </c>
      <c r="I1573">
        <v>38067.489971982402</v>
      </c>
      <c r="J1573">
        <v>35379.601062252623</v>
      </c>
    </row>
    <row r="1574" spans="1:10">
      <c r="A1574" s="3">
        <v>46119.728472222218</v>
      </c>
      <c r="B1574" s="4">
        <v>0</v>
      </c>
      <c r="C1574" s="4">
        <v>0</v>
      </c>
      <c r="D1574" s="4">
        <v>0</v>
      </c>
      <c r="E1574" s="4">
        <v>0</v>
      </c>
      <c r="F1574" s="4">
        <v>-38.78829882789352</v>
      </c>
      <c r="G1574" s="4">
        <v>2636.2165561408278</v>
      </c>
      <c r="H1574" s="4">
        <v>2636.2165561408278</v>
      </c>
      <c r="I1574" s="4">
        <v>0</v>
      </c>
      <c r="J1574" s="4">
        <v>-2636.2165561408278</v>
      </c>
    </row>
    <row r="1575" spans="1:10">
      <c r="A1575" s="1">
        <v>46119.774305555547</v>
      </c>
      <c r="B1575">
        <v>0</v>
      </c>
      <c r="C1575">
        <v>190418.15494881029</v>
      </c>
      <c r="D1575">
        <v>90418.154948810276</v>
      </c>
      <c r="E1575">
        <v>100000</v>
      </c>
      <c r="F1575">
        <v>0</v>
      </c>
      <c r="G1575">
        <v>2636.2165561408278</v>
      </c>
      <c r="H1575">
        <v>2636.2165561408278</v>
      </c>
      <c r="I1575">
        <v>38083.630989762059</v>
      </c>
      <c r="J1575">
        <v>35447.414433621227</v>
      </c>
    </row>
    <row r="1576" spans="1:10">
      <c r="A1576" s="1">
        <v>46119.775000000001</v>
      </c>
      <c r="B1576">
        <v>350.97372025897459</v>
      </c>
      <c r="C1576">
        <v>190694.46697984851</v>
      </c>
      <c r="D1576">
        <v>90731.797824458888</v>
      </c>
      <c r="E1576">
        <v>99962.669155389638</v>
      </c>
      <c r="F1576">
        <v>0</v>
      </c>
      <c r="G1576">
        <v>2636.2165561408278</v>
      </c>
      <c r="H1576">
        <v>2987.1902763998032</v>
      </c>
      <c r="I1576">
        <v>38138.893395969702</v>
      </c>
      <c r="J1576">
        <v>35151.703119569902</v>
      </c>
    </row>
    <row r="1577" spans="1:10">
      <c r="A1577" s="1">
        <v>46119.775694444441</v>
      </c>
      <c r="B1577">
        <v>350.56626499092908</v>
      </c>
      <c r="C1577">
        <v>190656.72867997011</v>
      </c>
      <c r="D1577">
        <v>90712.724946885661</v>
      </c>
      <c r="E1577">
        <v>99944.003733084464</v>
      </c>
      <c r="F1577">
        <v>0</v>
      </c>
      <c r="G1577">
        <v>2636.2165561408278</v>
      </c>
      <c r="H1577">
        <v>2986.7828211317569</v>
      </c>
      <c r="I1577">
        <v>38131.345735994029</v>
      </c>
      <c r="J1577">
        <v>35144.562914862268</v>
      </c>
    </row>
    <row r="1578" spans="1:10">
      <c r="A1578" s="1">
        <v>46119.776388888888</v>
      </c>
      <c r="B1578">
        <v>378.56439844869959</v>
      </c>
      <c r="C1578">
        <v>190628.73054651229</v>
      </c>
      <c r="D1578">
        <v>90712.724946885661</v>
      </c>
      <c r="E1578">
        <v>99916.005599626689</v>
      </c>
      <c r="F1578">
        <v>0</v>
      </c>
      <c r="G1578">
        <v>2636.2165561408278</v>
      </c>
      <c r="H1578">
        <v>3014.7809545895279</v>
      </c>
      <c r="I1578">
        <v>38125.746109302469</v>
      </c>
      <c r="J1578">
        <v>35110.96515471294</v>
      </c>
    </row>
    <row r="1579" spans="1:10">
      <c r="A1579" s="3">
        <v>46119.777083333327</v>
      </c>
      <c r="B1579" s="4">
        <v>378.56439844869959</v>
      </c>
      <c r="C1579" s="4">
        <v>190628.73054651229</v>
      </c>
      <c r="D1579" s="4">
        <v>90712.724946885661</v>
      </c>
      <c r="E1579" s="4">
        <v>99916.005599626689</v>
      </c>
      <c r="F1579" s="4">
        <v>0</v>
      </c>
      <c r="G1579" s="4">
        <v>2636.2165561408278</v>
      </c>
      <c r="H1579" s="4">
        <v>3014.7809545895279</v>
      </c>
      <c r="I1579" s="4">
        <v>38125.746109302469</v>
      </c>
      <c r="J1579" s="4">
        <v>35110.96515471294</v>
      </c>
    </row>
    <row r="1580" spans="1:10">
      <c r="A1580" s="1">
        <v>46119.777777777781</v>
      </c>
      <c r="B1580">
        <v>0</v>
      </c>
      <c r="C1580">
        <v>0</v>
      </c>
      <c r="D1580">
        <v>0</v>
      </c>
      <c r="E1580">
        <v>0</v>
      </c>
      <c r="F1580">
        <v>251.05960982942969</v>
      </c>
      <c r="G1580">
        <v>2887.2761659702578</v>
      </c>
      <c r="H1580">
        <v>2887.2761659702578</v>
      </c>
      <c r="I1580">
        <v>0</v>
      </c>
      <c r="J1580">
        <v>-2887.2761659702578</v>
      </c>
    </row>
    <row r="1581" spans="1:10">
      <c r="A1581" s="3">
        <v>46119.870138888888</v>
      </c>
      <c r="B1581" s="4">
        <v>0</v>
      </c>
      <c r="C1581" s="4">
        <v>190418.15494881029</v>
      </c>
      <c r="D1581" s="4">
        <v>90418.154948810276</v>
      </c>
      <c r="E1581" s="4">
        <v>100000</v>
      </c>
      <c r="F1581" s="4">
        <v>0</v>
      </c>
      <c r="G1581" s="4">
        <v>2887.2761659702578</v>
      </c>
      <c r="H1581" s="4">
        <v>2887.2761659702578</v>
      </c>
      <c r="I1581" s="4">
        <v>38083.630989762059</v>
      </c>
      <c r="J1581" s="4">
        <v>35196.3548237918</v>
      </c>
    </row>
    <row r="1582" spans="1:10">
      <c r="A1582" s="3">
        <v>46119.870833333327</v>
      </c>
      <c r="B1582" s="4">
        <v>97.348657975855559</v>
      </c>
      <c r="C1582" s="4">
        <v>190236.53764063399</v>
      </c>
      <c r="D1582" s="4">
        <v>90376.02062371005</v>
      </c>
      <c r="E1582" s="4">
        <v>99860.517016923928</v>
      </c>
      <c r="F1582" s="4">
        <v>0</v>
      </c>
      <c r="G1582" s="4">
        <v>2887.2761659702578</v>
      </c>
      <c r="H1582" s="4">
        <v>2984.6248239461129</v>
      </c>
      <c r="I1582" s="4">
        <v>38047.307528126803</v>
      </c>
      <c r="J1582" s="4">
        <v>35062.68270418069</v>
      </c>
    </row>
    <row r="1583" spans="1:10">
      <c r="A1583" s="1">
        <v>46119.871527777781</v>
      </c>
      <c r="B1583">
        <v>-53.246766730057857</v>
      </c>
      <c r="C1583">
        <v>190197.52860238889</v>
      </c>
      <c r="D1583">
        <v>90281.218392234572</v>
      </c>
      <c r="E1583">
        <v>99916.310210154348</v>
      </c>
      <c r="F1583">
        <v>0</v>
      </c>
      <c r="G1583">
        <v>2887.2761659702578</v>
      </c>
      <c r="H1583">
        <v>2834.0293992401998</v>
      </c>
      <c r="I1583">
        <v>38039.505720477777</v>
      </c>
      <c r="J1583">
        <v>35205.476321237576</v>
      </c>
    </row>
    <row r="1584" spans="1:10">
      <c r="A1584" s="3">
        <v>46119.87222222222</v>
      </c>
      <c r="B1584" s="4">
        <v>-128.36312147386431</v>
      </c>
      <c r="C1584" s="4">
        <v>190196.80317195231</v>
      </c>
      <c r="D1584" s="4">
        <v>90243.297499644366</v>
      </c>
      <c r="E1584" s="4">
        <v>99953.505672307962</v>
      </c>
      <c r="F1584" s="4">
        <v>0</v>
      </c>
      <c r="G1584" s="4">
        <v>2887.2761659702578</v>
      </c>
      <c r="H1584" s="4">
        <v>2758.913044496393</v>
      </c>
      <c r="I1584" s="4">
        <v>38039.360634390461</v>
      </c>
      <c r="J1584" s="4">
        <v>35280.447589894073</v>
      </c>
    </row>
    <row r="1585" spans="1:10">
      <c r="A1585" s="3">
        <v>46119.872916666667</v>
      </c>
      <c r="B1585" s="4">
        <v>-158.7291495623866</v>
      </c>
      <c r="C1585" s="4">
        <v>190185.03487494061</v>
      </c>
      <c r="D1585" s="4">
        <v>90222.230337094254</v>
      </c>
      <c r="E1585" s="4">
        <v>99962.804537846372</v>
      </c>
      <c r="F1585" s="4">
        <v>0</v>
      </c>
      <c r="G1585" s="4">
        <v>2887.2761659702578</v>
      </c>
      <c r="H1585" s="4">
        <v>2728.5470164078711</v>
      </c>
      <c r="I1585" s="4">
        <v>38037.00697498813</v>
      </c>
      <c r="J1585" s="4">
        <v>35308.459958580257</v>
      </c>
    </row>
    <row r="1586" spans="1:10">
      <c r="A1586" s="1">
        <v>46119.873611111107</v>
      </c>
      <c r="B1586">
        <v>-255.85424242939359</v>
      </c>
      <c r="C1586">
        <v>189957.725664536</v>
      </c>
      <c r="D1586">
        <v>90060.013185458432</v>
      </c>
      <c r="E1586">
        <v>99897.712479077542</v>
      </c>
      <c r="F1586">
        <v>0</v>
      </c>
      <c r="G1586">
        <v>2887.2761659702578</v>
      </c>
      <c r="H1586">
        <v>2631.4219235408641</v>
      </c>
      <c r="I1586">
        <v>37991.545132907188</v>
      </c>
      <c r="J1586">
        <v>35360.123209366328</v>
      </c>
    </row>
    <row r="1587" spans="1:10">
      <c r="A1587" s="1">
        <v>46119.874305555553</v>
      </c>
      <c r="B1587">
        <v>-128.94198182867629</v>
      </c>
      <c r="C1587">
        <v>190028.84473190631</v>
      </c>
      <c r="D1587">
        <v>90159.02884944393</v>
      </c>
      <c r="E1587">
        <v>99869.815882462339</v>
      </c>
      <c r="F1587">
        <v>0</v>
      </c>
      <c r="G1587">
        <v>2887.2761659702578</v>
      </c>
      <c r="H1587">
        <v>2758.3341841415809</v>
      </c>
      <c r="I1587">
        <v>38005.768946381249</v>
      </c>
      <c r="J1587">
        <v>35247.434762239667</v>
      </c>
    </row>
    <row r="1588" spans="1:10">
      <c r="A1588" s="3">
        <v>46120.572916666657</v>
      </c>
      <c r="B1588" s="4">
        <v>-128.94198182867629</v>
      </c>
      <c r="C1588" s="4">
        <v>190028.84473190631</v>
      </c>
      <c r="D1588" s="4">
        <v>90159.02884944393</v>
      </c>
      <c r="E1588" s="4">
        <v>99869.815882462339</v>
      </c>
      <c r="F1588" s="4">
        <v>0</v>
      </c>
      <c r="G1588" s="4">
        <v>2887.2761659702578</v>
      </c>
      <c r="H1588" s="4">
        <v>2758.3341841415809</v>
      </c>
      <c r="I1588" s="4">
        <v>38005.768946381249</v>
      </c>
      <c r="J1588" s="4">
        <v>35247.434762239667</v>
      </c>
    </row>
    <row r="1589" spans="1:10">
      <c r="A1589" s="3">
        <v>46120.604166666657</v>
      </c>
      <c r="B1589" s="4">
        <v>-1239.633203105722</v>
      </c>
      <c r="C1589" s="4">
        <v>195352.968463205</v>
      </c>
      <c r="D1589" s="4">
        <v>92265.745104454778</v>
      </c>
      <c r="E1589" s="4">
        <v>103087.2233587502</v>
      </c>
      <c r="F1589" s="4">
        <v>0</v>
      </c>
      <c r="G1589" s="4">
        <v>2887.2761659702578</v>
      </c>
      <c r="H1589" s="4">
        <v>1647.6429628645351</v>
      </c>
      <c r="I1589" s="4">
        <v>39070.593692641</v>
      </c>
      <c r="J1589" s="4">
        <v>37422.950729776458</v>
      </c>
    </row>
    <row r="1590" spans="1:10">
      <c r="A1590" s="3">
        <v>46120.604861111111</v>
      </c>
      <c r="B1590" s="4">
        <v>-863.18684884062623</v>
      </c>
      <c r="C1590" s="4">
        <v>195878.19666608461</v>
      </c>
      <c r="D1590" s="4">
        <v>92716.582383027097</v>
      </c>
      <c r="E1590" s="4">
        <v>103161.6142830575</v>
      </c>
      <c r="F1590" s="4">
        <v>0</v>
      </c>
      <c r="G1590" s="4">
        <v>2887.2761659702578</v>
      </c>
      <c r="H1590" s="4">
        <v>2024.089317129632</v>
      </c>
      <c r="I1590" s="4">
        <v>39175.63933321691</v>
      </c>
      <c r="J1590" s="4">
        <v>37151.550016087283</v>
      </c>
    </row>
    <row r="1591" spans="1:10">
      <c r="A1591" s="3">
        <v>46120.605555555558</v>
      </c>
      <c r="B1591" s="4">
        <v>-597.89459076338608</v>
      </c>
      <c r="C1591" s="4">
        <v>196775.81178077331</v>
      </c>
      <c r="D1591" s="4">
        <v>93298.036069410096</v>
      </c>
      <c r="E1591" s="4">
        <v>103477.7757113632</v>
      </c>
      <c r="F1591" s="4">
        <v>0</v>
      </c>
      <c r="G1591" s="4">
        <v>2887.2761659702578</v>
      </c>
      <c r="H1591" s="4">
        <v>2289.3815752068722</v>
      </c>
      <c r="I1591" s="4">
        <v>39355.162356154658</v>
      </c>
      <c r="J1591" s="4">
        <v>37065.780780947789</v>
      </c>
    </row>
    <row r="1592" spans="1:10">
      <c r="A1592" s="1">
        <v>46120.606249999997</v>
      </c>
      <c r="B1592">
        <v>-608.93745733851665</v>
      </c>
      <c r="C1592">
        <v>196820.56210742859</v>
      </c>
      <c r="D1592">
        <v>93314.889799450175</v>
      </c>
      <c r="E1592">
        <v>103505.6723079784</v>
      </c>
      <c r="F1592">
        <v>0</v>
      </c>
      <c r="G1592">
        <v>2887.2761659702578</v>
      </c>
      <c r="H1592">
        <v>2278.3387086317412</v>
      </c>
      <c r="I1592">
        <v>39364.112421485719</v>
      </c>
      <c r="J1592">
        <v>37085.773712853981</v>
      </c>
    </row>
    <row r="1593" spans="1:10">
      <c r="A1593" s="1">
        <v>46120.606944444437</v>
      </c>
      <c r="B1593">
        <v>-697.05682483067585</v>
      </c>
      <c r="C1593">
        <v>196769.63820208999</v>
      </c>
      <c r="D1593">
        <v>93245.368163034815</v>
      </c>
      <c r="E1593">
        <v>103524.27003905521</v>
      </c>
      <c r="F1593">
        <v>0</v>
      </c>
      <c r="G1593">
        <v>2887.2761659702578</v>
      </c>
      <c r="H1593">
        <v>2190.219341139582</v>
      </c>
      <c r="I1593">
        <v>39353.927640418013</v>
      </c>
      <c r="J1593">
        <v>37163.708299278427</v>
      </c>
    </row>
    <row r="1594" spans="1:10">
      <c r="A1594" s="3">
        <v>46120.607638888891</v>
      </c>
      <c r="B1594" s="4">
        <v>-633.05291171672525</v>
      </c>
      <c r="C1594" s="4">
        <v>196591.87161120551</v>
      </c>
      <c r="D1594" s="4">
        <v>93188.486824149513</v>
      </c>
      <c r="E1594" s="4">
        <v>103403.384787056</v>
      </c>
      <c r="F1594" s="4">
        <v>0</v>
      </c>
      <c r="G1594" s="4">
        <v>2887.2761659702578</v>
      </c>
      <c r="H1594" s="4">
        <v>2254.223254253533</v>
      </c>
      <c r="I1594" s="4">
        <v>39318.374322241099</v>
      </c>
      <c r="J1594" s="4">
        <v>37064.151067987557</v>
      </c>
    </row>
    <row r="1595" spans="1:10">
      <c r="A1595" s="1">
        <v>46120.60833333333</v>
      </c>
      <c r="B1595">
        <v>-596.79902513617617</v>
      </c>
      <c r="C1595">
        <v>196349.15953163389</v>
      </c>
      <c r="D1595">
        <v>93085.257727653996</v>
      </c>
      <c r="E1595">
        <v>103263.9018039799</v>
      </c>
      <c r="F1595">
        <v>0</v>
      </c>
      <c r="G1595">
        <v>2887.2761659702578</v>
      </c>
      <c r="H1595">
        <v>2290.4771408340821</v>
      </c>
      <c r="I1595">
        <v>39269.831906326777</v>
      </c>
      <c r="J1595">
        <v>36979.354765492702</v>
      </c>
    </row>
    <row r="1596" spans="1:10">
      <c r="A1596" s="1">
        <v>46120.609027777777</v>
      </c>
      <c r="B1596">
        <v>-717.68427713544133</v>
      </c>
      <c r="C1596">
        <v>196470.04478363309</v>
      </c>
      <c r="D1596">
        <v>93085.257727653996</v>
      </c>
      <c r="E1596">
        <v>103384.78705597921</v>
      </c>
      <c r="F1596">
        <v>0</v>
      </c>
      <c r="G1596">
        <v>2887.2761659702578</v>
      </c>
      <c r="H1596">
        <v>2169.591888834816</v>
      </c>
      <c r="I1596">
        <v>39294.008956726633</v>
      </c>
      <c r="J1596">
        <v>37124.417067891824</v>
      </c>
    </row>
    <row r="1597" spans="1:10">
      <c r="A1597" s="1">
        <v>46120.609722222223</v>
      </c>
      <c r="B1597">
        <v>-774.13332574771675</v>
      </c>
      <c r="C1597">
        <v>196673.9639700962</v>
      </c>
      <c r="D1597">
        <v>93158.992796579376</v>
      </c>
      <c r="E1597">
        <v>103514.97117351679</v>
      </c>
      <c r="F1597">
        <v>0</v>
      </c>
      <c r="G1597">
        <v>2887.2761659702578</v>
      </c>
      <c r="H1597">
        <v>2113.1428402225411</v>
      </c>
      <c r="I1597">
        <v>39334.792794019253</v>
      </c>
      <c r="J1597">
        <v>37221.649953796703</v>
      </c>
    </row>
    <row r="1598" spans="1:10">
      <c r="A1598" s="1">
        <v>46120.61041666667</v>
      </c>
      <c r="B1598">
        <v>-394.33811951864033</v>
      </c>
      <c r="C1598">
        <v>196681.80455478909</v>
      </c>
      <c r="D1598">
        <v>93352.810692040366</v>
      </c>
      <c r="E1598">
        <v>103328.9938627487</v>
      </c>
      <c r="F1598">
        <v>0</v>
      </c>
      <c r="G1598">
        <v>2887.2761659702578</v>
      </c>
      <c r="H1598">
        <v>2492.938046451618</v>
      </c>
      <c r="I1598">
        <v>39336.360910957817</v>
      </c>
      <c r="J1598">
        <v>36843.42286450621</v>
      </c>
    </row>
    <row r="1599" spans="1:10">
      <c r="A1599" s="3">
        <v>46120.611111111109</v>
      </c>
      <c r="B1599" s="4">
        <v>0</v>
      </c>
      <c r="C1599" s="4">
        <v>0</v>
      </c>
      <c r="D1599" s="4">
        <v>0</v>
      </c>
      <c r="E1599" s="4">
        <v>0</v>
      </c>
      <c r="F1599" s="4">
        <v>-344.26173395632748</v>
      </c>
      <c r="G1599" s="4">
        <v>2543.0144320139302</v>
      </c>
      <c r="H1599" s="4">
        <v>2543.0144320139302</v>
      </c>
      <c r="I1599" s="4">
        <v>0</v>
      </c>
      <c r="J1599" s="4">
        <v>-2543.0144320139302</v>
      </c>
    </row>
    <row r="1600" spans="1:10">
      <c r="A1600" s="1">
        <v>46121.694444444453</v>
      </c>
      <c r="B1600">
        <v>0</v>
      </c>
      <c r="C1600">
        <v>190418.15494881029</v>
      </c>
      <c r="D1600">
        <v>90418.154948810276</v>
      </c>
      <c r="E1600">
        <v>100000</v>
      </c>
      <c r="F1600">
        <v>0</v>
      </c>
      <c r="G1600">
        <v>2543.0144320139302</v>
      </c>
      <c r="H1600">
        <v>2543.0144320139302</v>
      </c>
      <c r="I1600">
        <v>38083.630989762059</v>
      </c>
      <c r="J1600">
        <v>35540.61655774813</v>
      </c>
    </row>
    <row r="1601" spans="1:10">
      <c r="A1601" s="1">
        <v>46121.695138888892</v>
      </c>
      <c r="B1601">
        <v>143.41599624210721</v>
      </c>
      <c r="C1601">
        <v>190347.97179944889</v>
      </c>
      <c r="D1601">
        <v>90454.771372250674</v>
      </c>
      <c r="E1601">
        <v>99893.200427198288</v>
      </c>
      <c r="F1601">
        <v>0</v>
      </c>
      <c r="G1601">
        <v>2543.0144320139302</v>
      </c>
      <c r="H1601">
        <v>2686.430428256037</v>
      </c>
      <c r="I1601">
        <v>38069.594359889787</v>
      </c>
      <c r="J1601">
        <v>35383.163931633753</v>
      </c>
    </row>
    <row r="1602" spans="1:10">
      <c r="A1602" s="1">
        <v>46121.695833333331</v>
      </c>
      <c r="B1602">
        <v>170.1158894425354</v>
      </c>
      <c r="C1602">
        <v>190321.2719062485</v>
      </c>
      <c r="D1602">
        <v>90454.771372250674</v>
      </c>
      <c r="E1602">
        <v>99866.500533997867</v>
      </c>
      <c r="F1602">
        <v>0</v>
      </c>
      <c r="G1602">
        <v>2543.0144320139302</v>
      </c>
      <c r="H1602">
        <v>2713.130321456465</v>
      </c>
      <c r="I1602">
        <v>38064.25438124971</v>
      </c>
      <c r="J1602">
        <v>35351.124059793241</v>
      </c>
    </row>
    <row r="1603" spans="1:10">
      <c r="A1603" s="3">
        <v>46121.696527777778</v>
      </c>
      <c r="B1603" s="4">
        <v>143.41599624210721</v>
      </c>
      <c r="C1603" s="4">
        <v>190347.97179944889</v>
      </c>
      <c r="D1603" s="4">
        <v>90454.771372250674</v>
      </c>
      <c r="E1603" s="4">
        <v>99893.200427198288</v>
      </c>
      <c r="F1603" s="4">
        <v>0</v>
      </c>
      <c r="G1603" s="4">
        <v>2543.0144320139302</v>
      </c>
      <c r="H1603" s="4">
        <v>2686.430428256037</v>
      </c>
      <c r="I1603" s="4">
        <v>38069.594359889787</v>
      </c>
      <c r="J1603" s="4">
        <v>35383.163931633753</v>
      </c>
    </row>
    <row r="1604" spans="1:10">
      <c r="A1604" s="3">
        <v>46121.697222222218</v>
      </c>
      <c r="B1604" s="4">
        <v>69.927336800792588</v>
      </c>
      <c r="C1604" s="4">
        <v>190470.28235681081</v>
      </c>
      <c r="D1604" s="4">
        <v>90479.182321210916</v>
      </c>
      <c r="E1604" s="4">
        <v>99991.100035599855</v>
      </c>
      <c r="F1604" s="4">
        <v>0</v>
      </c>
      <c r="G1604" s="4">
        <v>2543.0144320139302</v>
      </c>
      <c r="H1604" s="4">
        <v>2612.9417688147232</v>
      </c>
      <c r="I1604" s="4">
        <v>38094.05647136215</v>
      </c>
      <c r="J1604" s="4">
        <v>35481.114702547427</v>
      </c>
    </row>
    <row r="1605" spans="1:10">
      <c r="A1605" s="3">
        <v>46121.697916666657</v>
      </c>
      <c r="B1605" s="4">
        <v>109.59568589474</v>
      </c>
      <c r="C1605" s="4">
        <v>190438.75099070359</v>
      </c>
      <c r="D1605" s="4">
        <v>90483.250812704311</v>
      </c>
      <c r="E1605" s="4">
        <v>99955.500177999289</v>
      </c>
      <c r="F1605" s="4">
        <v>0</v>
      </c>
      <c r="G1605" s="4">
        <v>2543.0144320139302</v>
      </c>
      <c r="H1605" s="4">
        <v>2652.61011790867</v>
      </c>
      <c r="I1605" s="4">
        <v>38087.750198140719</v>
      </c>
      <c r="J1605" s="4">
        <v>35435.14008023205</v>
      </c>
    </row>
    <row r="1606" spans="1:10">
      <c r="A1606" s="3">
        <v>46121.698611111111</v>
      </c>
      <c r="B1606" s="4">
        <v>117.2243859615764</v>
      </c>
      <c r="C1606" s="4">
        <v>190410.77983316989</v>
      </c>
      <c r="D1606" s="4">
        <v>90473.079583970859</v>
      </c>
      <c r="E1606" s="4">
        <v>99937.700249199013</v>
      </c>
      <c r="F1606" s="4">
        <v>0</v>
      </c>
      <c r="G1606" s="4">
        <v>2543.0144320139302</v>
      </c>
      <c r="H1606" s="4">
        <v>2660.2388179755071</v>
      </c>
      <c r="I1606" s="4">
        <v>38082.155966633982</v>
      </c>
      <c r="J1606" s="4">
        <v>35421.917148658467</v>
      </c>
    </row>
    <row r="1607" spans="1:10">
      <c r="A1607" s="1">
        <v>46121.699305555558</v>
      </c>
      <c r="B1607">
        <v>92.812322934277844</v>
      </c>
      <c r="C1607">
        <v>190528.7672005448</v>
      </c>
      <c r="D1607">
        <v>90519.867236144695</v>
      </c>
      <c r="E1607">
        <v>100008.8999644001</v>
      </c>
      <c r="F1607">
        <v>0</v>
      </c>
      <c r="G1607">
        <v>2543.0144320139302</v>
      </c>
      <c r="H1607">
        <v>2635.826754948208</v>
      </c>
      <c r="I1607">
        <v>38105.753440108972</v>
      </c>
      <c r="J1607">
        <v>35469.926685160754</v>
      </c>
    </row>
    <row r="1608" spans="1:10">
      <c r="A1608" s="3">
        <v>46121.7</v>
      </c>
      <c r="B1608" s="4">
        <v>113.1547804011559</v>
      </c>
      <c r="C1608" s="4">
        <v>190549.1096580117</v>
      </c>
      <c r="D1608" s="4">
        <v>90540.20969361157</v>
      </c>
      <c r="E1608" s="4">
        <v>100008.8999644001</v>
      </c>
      <c r="F1608" s="4">
        <v>0</v>
      </c>
      <c r="G1608" s="4">
        <v>2543.0144320139302</v>
      </c>
      <c r="H1608" s="4">
        <v>2656.1692124150859</v>
      </c>
      <c r="I1608" s="4">
        <v>38109.821931602339</v>
      </c>
      <c r="J1608" s="4">
        <v>35453.652719187252</v>
      </c>
    </row>
    <row r="1609" spans="1:10">
      <c r="A1609" s="1">
        <v>46121.700694444437</v>
      </c>
      <c r="B1609">
        <v>36.870007866825738</v>
      </c>
      <c r="C1609">
        <v>190544.0246006785</v>
      </c>
      <c r="D1609">
        <v>90499.524778677805</v>
      </c>
      <c r="E1609">
        <v>100044.4998220007</v>
      </c>
      <c r="F1609">
        <v>0</v>
      </c>
      <c r="G1609">
        <v>2543.0144320139302</v>
      </c>
      <c r="H1609">
        <v>2579.884439880756</v>
      </c>
      <c r="I1609">
        <v>38108.804920135713</v>
      </c>
      <c r="J1609">
        <v>35528.92048025495</v>
      </c>
    </row>
    <row r="1610" spans="1:10">
      <c r="A1610" s="3">
        <v>46121.701388888891</v>
      </c>
      <c r="B1610" s="4">
        <v>81.369829867535216</v>
      </c>
      <c r="C1610" s="4">
        <v>190499.52477867779</v>
      </c>
      <c r="D1610" s="4">
        <v>90499.524778677805</v>
      </c>
      <c r="E1610" s="4">
        <v>100000</v>
      </c>
      <c r="F1610" s="4">
        <v>0</v>
      </c>
      <c r="G1610" s="4">
        <v>2543.0144320139302</v>
      </c>
      <c r="H1610" s="4">
        <v>2624.384261881466</v>
      </c>
      <c r="I1610" s="4">
        <v>38099.904955735561</v>
      </c>
      <c r="J1610" s="4">
        <v>35475.520693854087</v>
      </c>
    </row>
    <row r="1611" spans="1:10">
      <c r="A1611" s="1">
        <v>46121.70208333333</v>
      </c>
      <c r="B1611">
        <v>108.06972306796339</v>
      </c>
      <c r="C1611">
        <v>190472.8248854774</v>
      </c>
      <c r="D1611">
        <v>90499.524778677805</v>
      </c>
      <c r="E1611">
        <v>99973.300106799579</v>
      </c>
      <c r="F1611">
        <v>0</v>
      </c>
      <c r="G1611">
        <v>2543.0144320139302</v>
      </c>
      <c r="H1611">
        <v>2651.0841550818941</v>
      </c>
      <c r="I1611">
        <v>38094.564977095477</v>
      </c>
      <c r="J1611">
        <v>35443.480822013582</v>
      </c>
    </row>
    <row r="1612" spans="1:10">
      <c r="A1612" s="1">
        <v>46121.702777777777</v>
      </c>
      <c r="B1612">
        <v>72.46986546738826</v>
      </c>
      <c r="C1612">
        <v>190508.42474307801</v>
      </c>
      <c r="D1612">
        <v>90499.524778677805</v>
      </c>
      <c r="E1612">
        <v>100008.8999644001</v>
      </c>
      <c r="F1612">
        <v>0</v>
      </c>
      <c r="G1612">
        <v>2543.0144320139302</v>
      </c>
      <c r="H1612">
        <v>2615.4842974813191</v>
      </c>
      <c r="I1612">
        <v>38101.684948615592</v>
      </c>
      <c r="J1612">
        <v>35486.20065113427</v>
      </c>
    </row>
    <row r="1613" spans="1:10">
      <c r="A1613" s="1">
        <v>46121.703472222223</v>
      </c>
      <c r="B1613">
        <v>0</v>
      </c>
      <c r="C1613">
        <v>0</v>
      </c>
      <c r="D1613">
        <v>0</v>
      </c>
      <c r="E1613">
        <v>0</v>
      </c>
      <c r="F1613">
        <v>114.97558841836501</v>
      </c>
      <c r="G1613">
        <v>2657.9900204322948</v>
      </c>
      <c r="H1613">
        <v>2657.9900204322948</v>
      </c>
      <c r="I1613">
        <v>0</v>
      </c>
      <c r="J1613">
        <v>-2657.9900204322948</v>
      </c>
    </row>
    <row r="1614" spans="1:10">
      <c r="A1614" s="1">
        <v>46139.604166666657</v>
      </c>
      <c r="B1614">
        <v>0</v>
      </c>
      <c r="C1614">
        <v>194405.44906477249</v>
      </c>
      <c r="D1614">
        <v>94405.44906477246</v>
      </c>
      <c r="E1614">
        <v>100000</v>
      </c>
      <c r="F1614">
        <v>0</v>
      </c>
      <c r="G1614">
        <v>2657.9900204322948</v>
      </c>
      <c r="H1614">
        <v>2657.9900204322948</v>
      </c>
      <c r="I1614">
        <v>38881.089812954488</v>
      </c>
      <c r="J1614">
        <v>36223.099792522196</v>
      </c>
    </row>
    <row r="1615" spans="1:10">
      <c r="A1615" s="1">
        <v>46139.604861111111</v>
      </c>
      <c r="B1615">
        <v>31.937426206823059</v>
      </c>
      <c r="C1615">
        <v>194759.10230867361</v>
      </c>
      <c r="D1615">
        <v>94598.24439982645</v>
      </c>
      <c r="E1615">
        <v>100160.8579088472</v>
      </c>
      <c r="F1615">
        <v>0</v>
      </c>
      <c r="G1615">
        <v>2657.9900204322948</v>
      </c>
      <c r="H1615">
        <v>2689.927446639118</v>
      </c>
      <c r="I1615">
        <v>38951.820461734729</v>
      </c>
      <c r="J1615">
        <v>36261.893015095608</v>
      </c>
    </row>
    <row r="1616" spans="1:10">
      <c r="A1616" s="1">
        <v>46139.605555555558</v>
      </c>
      <c r="B1616">
        <v>222.95845980488059</v>
      </c>
      <c r="C1616">
        <v>194932.25024128871</v>
      </c>
      <c r="D1616">
        <v>94780.328882932998</v>
      </c>
      <c r="E1616">
        <v>100151.9213583557</v>
      </c>
      <c r="F1616">
        <v>0</v>
      </c>
      <c r="G1616">
        <v>2657.9900204322948</v>
      </c>
      <c r="H1616">
        <v>2880.9484802371762</v>
      </c>
      <c r="I1616">
        <v>38986.450048257742</v>
      </c>
      <c r="J1616">
        <v>36105.501568020562</v>
      </c>
    </row>
    <row r="1617" spans="1:10">
      <c r="A1617" s="3">
        <v>46139.606249999997</v>
      </c>
      <c r="B1617" s="4">
        <v>45.070883927965042</v>
      </c>
      <c r="C1617" s="4">
        <v>195487.15980571561</v>
      </c>
      <c r="D1617" s="4">
        <v>94968.839877208011</v>
      </c>
      <c r="E1617" s="4">
        <v>100518.3199285076</v>
      </c>
      <c r="F1617" s="4">
        <v>0</v>
      </c>
      <c r="G1617" s="4">
        <v>2657.9900204322948</v>
      </c>
      <c r="H1617" s="4">
        <v>2703.0609043602599</v>
      </c>
      <c r="I1617" s="4">
        <v>39097.43196114312</v>
      </c>
      <c r="J1617" s="4">
        <v>36394.37105678286</v>
      </c>
    </row>
    <row r="1618" spans="1:10">
      <c r="A1618" s="3">
        <v>46139.606944444437</v>
      </c>
      <c r="B1618" s="4">
        <v>-80.040822953179372</v>
      </c>
      <c r="C1618" s="4">
        <v>195612.27151259681</v>
      </c>
      <c r="D1618" s="4">
        <v>94968.839877208011</v>
      </c>
      <c r="E1618" s="4">
        <v>100643.4316353887</v>
      </c>
      <c r="F1618" s="4">
        <v>0</v>
      </c>
      <c r="G1618" s="4">
        <v>2657.9900204322948</v>
      </c>
      <c r="H1618" s="4">
        <v>2577.9491974791158</v>
      </c>
      <c r="I1618" s="4">
        <v>39122.454302519349</v>
      </c>
      <c r="J1618" s="4">
        <v>36544.505105040233</v>
      </c>
    </row>
    <row r="1619" spans="1:10">
      <c r="A1619" s="3">
        <v>46139.607638888891</v>
      </c>
      <c r="B1619" s="4">
        <v>-139.41594241542421</v>
      </c>
      <c r="C1619" s="4">
        <v>195731.62740296469</v>
      </c>
      <c r="D1619" s="4">
        <v>94998.830262660864</v>
      </c>
      <c r="E1619" s="4">
        <v>100732.7971403038</v>
      </c>
      <c r="F1619" s="4">
        <v>0</v>
      </c>
      <c r="G1619" s="4">
        <v>2657.9900204322948</v>
      </c>
      <c r="H1619" s="4">
        <v>2518.5740780168712</v>
      </c>
      <c r="I1619" s="4">
        <v>39146.325480592939</v>
      </c>
      <c r="J1619" s="4">
        <v>36627.751402576068</v>
      </c>
    </row>
    <row r="1620" spans="1:10">
      <c r="A1620" s="1">
        <v>46139.60833333333</v>
      </c>
      <c r="B1620">
        <v>207.94087674095681</v>
      </c>
      <c r="C1620">
        <v>195542.79119263051</v>
      </c>
      <c r="D1620">
        <v>95078.090567071937</v>
      </c>
      <c r="E1620">
        <v>100464.7006255585</v>
      </c>
      <c r="F1620">
        <v>0</v>
      </c>
      <c r="G1620">
        <v>2657.9900204322948</v>
      </c>
      <c r="H1620">
        <v>2865.9308971732521</v>
      </c>
      <c r="I1620">
        <v>39108.5582385261</v>
      </c>
      <c r="J1620">
        <v>36242.627341352847</v>
      </c>
    </row>
    <row r="1621" spans="1:10">
      <c r="A1621" s="3">
        <v>46139.609027777777</v>
      </c>
      <c r="B1621" s="4">
        <v>0</v>
      </c>
      <c r="C1621" s="4">
        <v>0</v>
      </c>
      <c r="D1621" s="4">
        <v>0</v>
      </c>
      <c r="E1621" s="4">
        <v>0</v>
      </c>
      <c r="F1621" s="4">
        <v>343.41238217753988</v>
      </c>
      <c r="G1621" s="4">
        <v>3001.402402609835</v>
      </c>
      <c r="H1621" s="4">
        <v>3001.402402609835</v>
      </c>
      <c r="I1621" s="4">
        <v>0</v>
      </c>
      <c r="J1621" s="4">
        <v>-3001.402402609835</v>
      </c>
    </row>
    <row r="1622" spans="1:10">
      <c r="A1622" s="3">
        <v>46140.604166666657</v>
      </c>
      <c r="B1622" s="4">
        <v>0</v>
      </c>
      <c r="C1622" s="4">
        <v>194405.44906477249</v>
      </c>
      <c r="D1622" s="4">
        <v>94405.44906477246</v>
      </c>
      <c r="E1622" s="4">
        <v>100000</v>
      </c>
      <c r="F1622" s="4">
        <v>0</v>
      </c>
      <c r="G1622" s="4">
        <v>3001.402402609835</v>
      </c>
      <c r="H1622" s="4">
        <v>3001.402402609835</v>
      </c>
      <c r="I1622" s="4">
        <v>38881.089812954488</v>
      </c>
      <c r="J1622" s="4">
        <v>35879.687410344661</v>
      </c>
    </row>
    <row r="1623" spans="1:10">
      <c r="A1623" s="3">
        <v>46140.604861111111</v>
      </c>
      <c r="B1623" s="4">
        <v>-176.5079762353559</v>
      </c>
      <c r="C1623" s="4">
        <v>194865.54586307291</v>
      </c>
      <c r="D1623" s="4">
        <v>94547.243475805008</v>
      </c>
      <c r="E1623" s="4">
        <v>100318.3023872679</v>
      </c>
      <c r="F1623" s="4">
        <v>0</v>
      </c>
      <c r="G1623" s="4">
        <v>3001.402402609835</v>
      </c>
      <c r="H1623" s="4">
        <v>2824.8944263744788</v>
      </c>
      <c r="I1623" s="4">
        <v>38973.109172614582</v>
      </c>
      <c r="J1623" s="4">
        <v>36148.214746240097</v>
      </c>
    </row>
    <row r="1624" spans="1:10">
      <c r="A1624" s="3">
        <v>46140.605555555558</v>
      </c>
      <c r="B1624" s="4">
        <v>-20.836661572321049</v>
      </c>
      <c r="C1624" s="4">
        <v>194667.5478585494</v>
      </c>
      <c r="D1624" s="4">
        <v>94526.080130874776</v>
      </c>
      <c r="E1624" s="4">
        <v>100141.46772767459</v>
      </c>
      <c r="F1624" s="4">
        <v>0</v>
      </c>
      <c r="G1624" s="4">
        <v>3001.402402609835</v>
      </c>
      <c r="H1624" s="4">
        <v>2980.5657410375138</v>
      </c>
      <c r="I1624" s="4">
        <v>38933.509571709881</v>
      </c>
      <c r="J1624" s="4">
        <v>35952.943830672368</v>
      </c>
    </row>
    <row r="1625" spans="1:10">
      <c r="A1625" s="3">
        <v>46140.606249999997</v>
      </c>
      <c r="B1625" s="4">
        <v>-254.67031692481279</v>
      </c>
      <c r="C1625" s="4">
        <v>194681.28272662751</v>
      </c>
      <c r="D1625" s="4">
        <v>94416.030737237583</v>
      </c>
      <c r="E1625" s="4">
        <v>100265.2519893899</v>
      </c>
      <c r="F1625" s="4">
        <v>0</v>
      </c>
      <c r="G1625" s="4">
        <v>3001.402402609835</v>
      </c>
      <c r="H1625" s="4">
        <v>2746.732085685022</v>
      </c>
      <c r="I1625" s="4">
        <v>38936.256545325501</v>
      </c>
      <c r="J1625" s="4">
        <v>36189.524459640481</v>
      </c>
    </row>
    <row r="1626" spans="1:10">
      <c r="A1626" s="3">
        <v>46140.606944444437</v>
      </c>
      <c r="B1626" s="4">
        <v>-21.262768229537581</v>
      </c>
      <c r="C1626" s="4">
        <v>194985.42413916011</v>
      </c>
      <c r="D1626" s="4">
        <v>94684.805217851506</v>
      </c>
      <c r="E1626" s="4">
        <v>100300.6189213086</v>
      </c>
      <c r="F1626" s="4">
        <v>0</v>
      </c>
      <c r="G1626" s="4">
        <v>3001.402402609835</v>
      </c>
      <c r="H1626" s="4">
        <v>2980.139634380298</v>
      </c>
      <c r="I1626" s="4">
        <v>38997.084827832019</v>
      </c>
      <c r="J1626" s="4">
        <v>36016.94519345172</v>
      </c>
    </row>
    <row r="1627" spans="1:10">
      <c r="A1627" s="1">
        <v>46140.607638888891</v>
      </c>
      <c r="B1627">
        <v>22.24281830329366</v>
      </c>
      <c r="C1627">
        <v>194675.26040650639</v>
      </c>
      <c r="D1627">
        <v>94551.476144791057</v>
      </c>
      <c r="E1627">
        <v>100123.78426171529</v>
      </c>
      <c r="F1627">
        <v>0</v>
      </c>
      <c r="G1627">
        <v>3001.402402609835</v>
      </c>
      <c r="H1627">
        <v>3023.645220913128</v>
      </c>
      <c r="I1627">
        <v>38935.052081301277</v>
      </c>
      <c r="J1627">
        <v>35911.406860388153</v>
      </c>
    </row>
    <row r="1628" spans="1:10">
      <c r="A1628" s="1">
        <v>46140.60833333333</v>
      </c>
      <c r="B1628">
        <v>33.577280783554762</v>
      </c>
      <c r="C1628">
        <v>194651.227937068</v>
      </c>
      <c r="D1628">
        <v>94545.127141311983</v>
      </c>
      <c r="E1628">
        <v>100106.10079575601</v>
      </c>
      <c r="F1628">
        <v>0</v>
      </c>
      <c r="G1628">
        <v>3001.402402609835</v>
      </c>
      <c r="H1628">
        <v>3034.9796833933901</v>
      </c>
      <c r="I1628">
        <v>38930.245587413599</v>
      </c>
      <c r="J1628">
        <v>35895.265904020212</v>
      </c>
    </row>
    <row r="1629" spans="1:10">
      <c r="A1629" s="1">
        <v>46140.609027777777</v>
      </c>
      <c r="B1629">
        <v>-50.60738002703809</v>
      </c>
      <c r="C1629">
        <v>194743.87793585061</v>
      </c>
      <c r="D1629">
        <v>94549.359810298032</v>
      </c>
      <c r="E1629">
        <v>100194.5181255526</v>
      </c>
      <c r="F1629">
        <v>0</v>
      </c>
      <c r="G1629">
        <v>3001.402402609835</v>
      </c>
      <c r="H1629">
        <v>2950.7950225827972</v>
      </c>
      <c r="I1629">
        <v>38948.77558717013</v>
      </c>
      <c r="J1629">
        <v>35997.980564587328</v>
      </c>
    </row>
    <row r="1630" spans="1:10">
      <c r="A1630" s="1">
        <v>46140.609722222223</v>
      </c>
      <c r="B1630">
        <v>-32.923914067713582</v>
      </c>
      <c r="C1630">
        <v>194726.19446989131</v>
      </c>
      <c r="D1630">
        <v>94549.359810298032</v>
      </c>
      <c r="E1630">
        <v>100176.8346595933</v>
      </c>
      <c r="F1630">
        <v>0</v>
      </c>
      <c r="G1630">
        <v>3001.402402609835</v>
      </c>
      <c r="H1630">
        <v>2968.4784885421209</v>
      </c>
      <c r="I1630">
        <v>38945.238893978261</v>
      </c>
      <c r="J1630">
        <v>35976.760405436144</v>
      </c>
    </row>
    <row r="1631" spans="1:10">
      <c r="A1631" s="3">
        <v>46140.61041666667</v>
      </c>
      <c r="B1631" s="4">
        <v>-167.28984824812801</v>
      </c>
      <c r="C1631" s="4">
        <v>194839.39705914151</v>
      </c>
      <c r="D1631" s="4">
        <v>94538.778137832909</v>
      </c>
      <c r="E1631" s="4">
        <v>100300.6189213086</v>
      </c>
      <c r="F1631" s="4">
        <v>0</v>
      </c>
      <c r="G1631" s="4">
        <v>3001.402402609835</v>
      </c>
      <c r="H1631" s="4">
        <v>2834.1125543617072</v>
      </c>
      <c r="I1631" s="4">
        <v>38967.879411828297</v>
      </c>
      <c r="J1631" s="4">
        <v>36133.766857466588</v>
      </c>
    </row>
    <row r="1632" spans="1:10">
      <c r="A1632" s="1">
        <v>46140.611111111109</v>
      </c>
      <c r="B1632">
        <v>-291.07410996342469</v>
      </c>
      <c r="C1632">
        <v>194963.18132085679</v>
      </c>
      <c r="D1632">
        <v>94538.778137832909</v>
      </c>
      <c r="E1632">
        <v>100424.4031830239</v>
      </c>
      <c r="F1632">
        <v>0</v>
      </c>
      <c r="G1632">
        <v>3001.402402609835</v>
      </c>
      <c r="H1632">
        <v>2710.3282926464099</v>
      </c>
      <c r="I1632">
        <v>38992.636264171357</v>
      </c>
      <c r="J1632">
        <v>36282.307971524948</v>
      </c>
    </row>
    <row r="1633" spans="1:10">
      <c r="A1633" s="1">
        <v>46140.611805555563</v>
      </c>
      <c r="B1633">
        <v>-131.92291632947891</v>
      </c>
      <c r="C1633">
        <v>194804.0301272228</v>
      </c>
      <c r="D1633">
        <v>94538.778137832909</v>
      </c>
      <c r="E1633">
        <v>100265.2519893899</v>
      </c>
      <c r="F1633">
        <v>0</v>
      </c>
      <c r="G1633">
        <v>3001.402402609835</v>
      </c>
      <c r="H1633">
        <v>2869.479486280356</v>
      </c>
      <c r="I1633">
        <v>38960.806025444574</v>
      </c>
      <c r="J1633">
        <v>36091.326539164213</v>
      </c>
    </row>
    <row r="1634" spans="1:10">
      <c r="A1634" s="1">
        <v>46140.612500000003</v>
      </c>
      <c r="B1634">
        <v>0</v>
      </c>
      <c r="C1634">
        <v>0</v>
      </c>
      <c r="D1634">
        <v>0</v>
      </c>
      <c r="E1634">
        <v>0</v>
      </c>
      <c r="F1634">
        <v>19.46281247705835</v>
      </c>
      <c r="G1634">
        <v>3020.8652150868929</v>
      </c>
      <c r="H1634">
        <v>3020.8652150868929</v>
      </c>
      <c r="I1634">
        <v>0</v>
      </c>
      <c r="J1634">
        <v>-3020.8652150868929</v>
      </c>
    </row>
    <row r="1635" spans="1:10">
      <c r="A1635" s="1">
        <v>46141.605555555558</v>
      </c>
      <c r="B1635">
        <v>0</v>
      </c>
      <c r="C1635">
        <v>194405.44906477249</v>
      </c>
      <c r="D1635">
        <v>100000</v>
      </c>
      <c r="E1635">
        <v>94405.44906477246</v>
      </c>
      <c r="F1635">
        <v>0</v>
      </c>
      <c r="G1635">
        <v>3020.8652150868929</v>
      </c>
      <c r="H1635">
        <v>3020.8652150868929</v>
      </c>
      <c r="I1635">
        <v>38881.089812954488</v>
      </c>
      <c r="J1635">
        <v>35860.2245978676</v>
      </c>
    </row>
    <row r="1636" spans="1:10">
      <c r="A1636" s="3">
        <v>46141.606249999997</v>
      </c>
      <c r="B1636" s="4">
        <v>0</v>
      </c>
      <c r="C1636" s="4">
        <v>0</v>
      </c>
      <c r="D1636" s="4">
        <v>0</v>
      </c>
      <c r="E1636" s="4">
        <v>0</v>
      </c>
      <c r="F1636" s="4">
        <v>366.21687680430409</v>
      </c>
      <c r="G1636" s="4">
        <v>3387.0820918911982</v>
      </c>
      <c r="H1636" s="4">
        <v>3387.0820918911982</v>
      </c>
      <c r="I1636" s="4">
        <v>0</v>
      </c>
      <c r="J1636" s="4">
        <v>-3387.0820918911982</v>
      </c>
    </row>
    <row r="1637" spans="1:10">
      <c r="A1637" s="3">
        <v>46141.715277777781</v>
      </c>
      <c r="B1637" s="4">
        <v>0</v>
      </c>
      <c r="C1637" s="4">
        <v>194405.44906477249</v>
      </c>
      <c r="D1637" s="4">
        <v>100000</v>
      </c>
      <c r="E1637" s="4">
        <v>94405.44906477246</v>
      </c>
      <c r="F1637" s="4">
        <v>0</v>
      </c>
      <c r="G1637" s="4">
        <v>3387.0820918911982</v>
      </c>
      <c r="H1637" s="4">
        <v>3387.0820918911982</v>
      </c>
      <c r="I1637" s="4">
        <v>38881.089812954488</v>
      </c>
      <c r="J1637" s="4">
        <v>35494.007721063303</v>
      </c>
    </row>
    <row r="1638" spans="1:10">
      <c r="A1638" s="1">
        <v>46141.71597222222</v>
      </c>
      <c r="B1638">
        <v>19.41788649745671</v>
      </c>
      <c r="C1638">
        <v>194386.03117827501</v>
      </c>
      <c r="D1638">
        <v>100000</v>
      </c>
      <c r="E1638">
        <v>94386.031178274992</v>
      </c>
      <c r="F1638">
        <v>0</v>
      </c>
      <c r="G1638">
        <v>3387.0820918911982</v>
      </c>
      <c r="H1638">
        <v>3406.4999783886542</v>
      </c>
      <c r="I1638">
        <v>38877.206235655001</v>
      </c>
      <c r="J1638">
        <v>35470.706257266349</v>
      </c>
    </row>
    <row r="1639" spans="1:10">
      <c r="A1639" s="3">
        <v>46141.716666666667</v>
      </c>
      <c r="B1639" s="4">
        <v>55.408528930429767</v>
      </c>
      <c r="C1639" s="4">
        <v>194422.021820708</v>
      </c>
      <c r="D1639" s="4">
        <v>100035.990642433</v>
      </c>
      <c r="E1639" s="4">
        <v>94386.031178274992</v>
      </c>
      <c r="F1639" s="4">
        <v>0</v>
      </c>
      <c r="G1639" s="4">
        <v>3387.0820918911982</v>
      </c>
      <c r="H1639" s="4">
        <v>3442.490620821628</v>
      </c>
      <c r="I1639" s="4">
        <v>38884.404364141599</v>
      </c>
      <c r="J1639" s="4">
        <v>35441.913743319972</v>
      </c>
    </row>
    <row r="1640" spans="1:10">
      <c r="A1640" s="1">
        <v>46141.717361111107</v>
      </c>
      <c r="B1640">
        <v>55.408528930429767</v>
      </c>
      <c r="C1640">
        <v>194422.021820708</v>
      </c>
      <c r="D1640">
        <v>100035.990642433</v>
      </c>
      <c r="E1640">
        <v>94386.031178274992</v>
      </c>
      <c r="F1640">
        <v>0</v>
      </c>
      <c r="G1640">
        <v>3387.0820918911982</v>
      </c>
      <c r="H1640">
        <v>3442.490620821628</v>
      </c>
      <c r="I1640">
        <v>38884.404364141599</v>
      </c>
      <c r="J1640">
        <v>35441.913743319972</v>
      </c>
    </row>
    <row r="1641" spans="1:10">
      <c r="A1641" s="3">
        <v>46141.718055555553</v>
      </c>
      <c r="B1641" s="4">
        <v>19.41788649745671</v>
      </c>
      <c r="C1641" s="4">
        <v>194386.03117827501</v>
      </c>
      <c r="D1641" s="4">
        <v>100000</v>
      </c>
      <c r="E1641" s="4">
        <v>94386.031178274992</v>
      </c>
      <c r="F1641" s="4">
        <v>0</v>
      </c>
      <c r="G1641" s="4">
        <v>3387.0820918911982</v>
      </c>
      <c r="H1641" s="4">
        <v>3406.4999783886542</v>
      </c>
      <c r="I1641" s="4">
        <v>38877.206235655001</v>
      </c>
      <c r="J1641" s="4">
        <v>35470.706257266349</v>
      </c>
    </row>
    <row r="1642" spans="1:10">
      <c r="A1642" s="3">
        <v>46141.71875</v>
      </c>
      <c r="B1642" s="4">
        <v>91.399171363390025</v>
      </c>
      <c r="C1642" s="4">
        <v>194458.01246314091</v>
      </c>
      <c r="D1642" s="4">
        <v>100071.98128486591</v>
      </c>
      <c r="E1642" s="4">
        <v>94386.031178274992</v>
      </c>
      <c r="F1642" s="4">
        <v>0</v>
      </c>
      <c r="G1642" s="4">
        <v>3387.0820918911982</v>
      </c>
      <c r="H1642" s="4">
        <v>3478.4812632545882</v>
      </c>
      <c r="I1642" s="4">
        <v>38891.60249262819</v>
      </c>
      <c r="J1642" s="4">
        <v>35413.121229373603</v>
      </c>
    </row>
    <row r="1643" spans="1:10">
      <c r="A1643" s="1">
        <v>46141.719444444447</v>
      </c>
      <c r="B1643">
        <v>0</v>
      </c>
      <c r="C1643">
        <v>0</v>
      </c>
      <c r="D1643">
        <v>0</v>
      </c>
      <c r="E1643">
        <v>0</v>
      </c>
      <c r="F1643">
        <v>183.14735242288279</v>
      </c>
      <c r="G1643">
        <v>3570.22944431408</v>
      </c>
      <c r="H1643">
        <v>3570.22944431408</v>
      </c>
      <c r="I1643">
        <v>0</v>
      </c>
      <c r="J1643">
        <v>-3570.22944431408</v>
      </c>
    </row>
    <row r="1644" spans="1:10">
      <c r="A1644" s="1">
        <v>46142.79583333333</v>
      </c>
      <c r="B1644">
        <v>0</v>
      </c>
      <c r="C1644">
        <v>194405.44906477249</v>
      </c>
      <c r="D1644">
        <v>94405.44906477246</v>
      </c>
      <c r="E1644">
        <v>100000</v>
      </c>
      <c r="F1644">
        <v>0</v>
      </c>
      <c r="G1644">
        <v>3570.22944431408</v>
      </c>
      <c r="H1644">
        <v>3570.22944431408</v>
      </c>
      <c r="I1644">
        <v>38881.089812954488</v>
      </c>
      <c r="J1644">
        <v>35310.860368640417</v>
      </c>
    </row>
    <row r="1645" spans="1:10">
      <c r="A1645" s="3">
        <v>46142.796527777777</v>
      </c>
      <c r="B1645" s="4">
        <v>8.8276836158237248</v>
      </c>
      <c r="C1645" s="4">
        <v>194396.62138115661</v>
      </c>
      <c r="D1645" s="4">
        <v>94405.44906477246</v>
      </c>
      <c r="E1645" s="4">
        <v>99991.172316384182</v>
      </c>
      <c r="F1645" s="4">
        <v>0</v>
      </c>
      <c r="G1645" s="4">
        <v>3570.22944431408</v>
      </c>
      <c r="H1645" s="4">
        <v>3579.0571279299038</v>
      </c>
      <c r="I1645" s="4">
        <v>38879.324276231331</v>
      </c>
      <c r="J1645" s="4">
        <v>35300.267148301427</v>
      </c>
    </row>
    <row r="1646" spans="1:10">
      <c r="A1646" s="1">
        <v>46142.797222222223</v>
      </c>
      <c r="B1646">
        <v>-35.31073446326981</v>
      </c>
      <c r="C1646">
        <v>194440.7597992357</v>
      </c>
      <c r="D1646">
        <v>94405.44906477246</v>
      </c>
      <c r="E1646">
        <v>100035.3107344633</v>
      </c>
      <c r="F1646">
        <v>0</v>
      </c>
      <c r="G1646">
        <v>3570.22944431408</v>
      </c>
      <c r="H1646">
        <v>3534.918709850811</v>
      </c>
      <c r="I1646">
        <v>38888.15195984715</v>
      </c>
      <c r="J1646">
        <v>35353.233249996338</v>
      </c>
    </row>
    <row r="1647" spans="1:10">
      <c r="A1647" s="3">
        <v>46142.79791666667</v>
      </c>
      <c r="B1647" s="4">
        <v>0</v>
      </c>
      <c r="C1647" s="4">
        <v>194405.44906477249</v>
      </c>
      <c r="D1647" s="4">
        <v>94405.44906477246</v>
      </c>
      <c r="E1647" s="4">
        <v>100000</v>
      </c>
      <c r="F1647" s="4">
        <v>0</v>
      </c>
      <c r="G1647" s="4">
        <v>3570.22944431408</v>
      </c>
      <c r="H1647" s="4">
        <v>3570.22944431408</v>
      </c>
      <c r="I1647" s="4">
        <v>38881.089812954488</v>
      </c>
      <c r="J1647" s="4">
        <v>35310.860368640417</v>
      </c>
    </row>
    <row r="1648" spans="1:10">
      <c r="A1648" s="3">
        <v>46142.798611111109</v>
      </c>
      <c r="B1648" s="4">
        <v>-54.742435811132211</v>
      </c>
      <c r="C1648" s="4">
        <v>194438.9834651195</v>
      </c>
      <c r="D1648" s="4">
        <v>94394.84504704042</v>
      </c>
      <c r="E1648" s="4">
        <v>100044.13841807911</v>
      </c>
      <c r="F1648" s="4">
        <v>0</v>
      </c>
      <c r="G1648" s="4">
        <v>3570.22944431408</v>
      </c>
      <c r="H1648" s="4">
        <v>3515.4870085029479</v>
      </c>
      <c r="I1648" s="4">
        <v>38887.796693023898</v>
      </c>
      <c r="J1648" s="4">
        <v>35372.309684520951</v>
      </c>
    </row>
    <row r="1649" spans="1:10">
      <c r="A1649" s="3">
        <v>46142.799305555563</v>
      </c>
      <c r="B1649" s="4">
        <v>-37.087068579497313</v>
      </c>
      <c r="C1649" s="4">
        <v>194421.32809788789</v>
      </c>
      <c r="D1649" s="4">
        <v>94394.84504704042</v>
      </c>
      <c r="E1649" s="4">
        <v>100026.4830508475</v>
      </c>
      <c r="F1649" s="4">
        <v>0</v>
      </c>
      <c r="G1649" s="4">
        <v>3570.22944431408</v>
      </c>
      <c r="H1649" s="4">
        <v>3533.1423757345829</v>
      </c>
      <c r="I1649" s="4">
        <v>38884.265619577571</v>
      </c>
      <c r="J1649" s="4">
        <v>35351.123243842987</v>
      </c>
    </row>
    <row r="1650" spans="1:10">
      <c r="A1650" s="3">
        <v>46142.8</v>
      </c>
      <c r="B1650" s="4">
        <v>-98.880853890225751</v>
      </c>
      <c r="C1650" s="4">
        <v>194483.12188319859</v>
      </c>
      <c r="D1650" s="4">
        <v>94394.84504704042</v>
      </c>
      <c r="E1650" s="4">
        <v>100088.2768361582</v>
      </c>
      <c r="F1650" s="4">
        <v>0</v>
      </c>
      <c r="G1650" s="4">
        <v>3570.22944431408</v>
      </c>
      <c r="H1650" s="4">
        <v>3471.3485904238551</v>
      </c>
      <c r="I1650" s="4">
        <v>38896.624376639717</v>
      </c>
      <c r="J1650" s="4">
        <v>35425.275786215869</v>
      </c>
    </row>
    <row r="1651" spans="1:10">
      <c r="A1651" s="1">
        <v>46142.800694444442</v>
      </c>
      <c r="B1651">
        <v>-98.880853890225751</v>
      </c>
      <c r="C1651">
        <v>194483.12188319859</v>
      </c>
      <c r="D1651">
        <v>94394.84504704042</v>
      </c>
      <c r="E1651">
        <v>100088.2768361582</v>
      </c>
      <c r="F1651">
        <v>0</v>
      </c>
      <c r="G1651">
        <v>3570.22944431408</v>
      </c>
      <c r="H1651">
        <v>3471.3485904238551</v>
      </c>
      <c r="I1651">
        <v>38896.624376639717</v>
      </c>
      <c r="J1651">
        <v>35425.275786215869</v>
      </c>
    </row>
    <row r="1652" spans="1:10">
      <c r="A1652" s="3">
        <v>46142.801388888889</v>
      </c>
      <c r="B1652" s="4">
        <v>-21.444530963727029</v>
      </c>
      <c r="C1652" s="4">
        <v>194613.52430781999</v>
      </c>
      <c r="D1652" s="4">
        <v>94498.76442081439</v>
      </c>
      <c r="E1652" s="4">
        <v>100114.7598870056</v>
      </c>
      <c r="F1652" s="4">
        <v>0</v>
      </c>
      <c r="G1652" s="4">
        <v>3570.22944431408</v>
      </c>
      <c r="H1652" s="4">
        <v>3548.7849133503528</v>
      </c>
      <c r="I1652" s="4">
        <v>38922.704861564001</v>
      </c>
      <c r="J1652" s="4">
        <v>35373.919948213646</v>
      </c>
    </row>
    <row r="1653" spans="1:10">
      <c r="A1653" s="1">
        <v>46142.802083333343</v>
      </c>
      <c r="B1653">
        <v>-39.099898195374479</v>
      </c>
      <c r="C1653">
        <v>194631.17967505171</v>
      </c>
      <c r="D1653">
        <v>94498.76442081439</v>
      </c>
      <c r="E1653">
        <v>100132.4152542373</v>
      </c>
      <c r="F1653">
        <v>0</v>
      </c>
      <c r="G1653">
        <v>3570.22944431408</v>
      </c>
      <c r="H1653">
        <v>3531.129546118706</v>
      </c>
      <c r="I1653">
        <v>38926.235935010343</v>
      </c>
      <c r="J1653">
        <v>35395.106388891632</v>
      </c>
    </row>
    <row r="1654" spans="1:10">
      <c r="A1654" s="3">
        <v>46142.802777777782</v>
      </c>
      <c r="B1654" s="4">
        <v>-56.755265427009412</v>
      </c>
      <c r="C1654" s="4">
        <v>194648.83504228329</v>
      </c>
      <c r="D1654" s="4">
        <v>94498.76442081439</v>
      </c>
      <c r="E1654" s="4">
        <v>100150.0706214689</v>
      </c>
      <c r="F1654" s="4">
        <v>0</v>
      </c>
      <c r="G1654" s="4">
        <v>3570.22944431408</v>
      </c>
      <c r="H1654" s="4">
        <v>3513.474178887071</v>
      </c>
      <c r="I1654" s="4">
        <v>38929.767008456663</v>
      </c>
      <c r="J1654" s="4">
        <v>35416.292829569589</v>
      </c>
    </row>
    <row r="1655" spans="1:10">
      <c r="A1655" s="3">
        <v>46142.803472222222</v>
      </c>
      <c r="B1655" s="4">
        <v>-10.09758740604406</v>
      </c>
      <c r="C1655" s="4">
        <v>194695.49272030429</v>
      </c>
      <c r="D1655" s="4">
        <v>94545.422098835348</v>
      </c>
      <c r="E1655" s="4">
        <v>100150.0706214689</v>
      </c>
      <c r="F1655" s="4">
        <v>0</v>
      </c>
      <c r="G1655" s="4">
        <v>3570.22944431408</v>
      </c>
      <c r="H1655" s="4">
        <v>3560.1318569080358</v>
      </c>
      <c r="I1655" s="4">
        <v>38939.098544060857</v>
      </c>
      <c r="J1655" s="4">
        <v>35378.966687152817</v>
      </c>
    </row>
    <row r="1656" spans="1:10">
      <c r="A1656" s="1">
        <v>46142.804166666669</v>
      </c>
      <c r="B1656">
        <v>-10.09758740604406</v>
      </c>
      <c r="C1656">
        <v>194695.49272030429</v>
      </c>
      <c r="D1656">
        <v>94545.422098835348</v>
      </c>
      <c r="E1656">
        <v>100150.0706214689</v>
      </c>
      <c r="F1656">
        <v>0</v>
      </c>
      <c r="G1656">
        <v>3570.22944431408</v>
      </c>
      <c r="H1656">
        <v>3560.1318569080358</v>
      </c>
      <c r="I1656">
        <v>38939.098544060857</v>
      </c>
      <c r="J1656">
        <v>35378.966687152817</v>
      </c>
    </row>
    <row r="1657" spans="1:10">
      <c r="A1657" s="3">
        <v>46142.804861111108</v>
      </c>
      <c r="B1657" s="4">
        <v>-27.75295463767895</v>
      </c>
      <c r="C1657" s="4">
        <v>194713.1480875359</v>
      </c>
      <c r="D1657" s="4">
        <v>94545.422098835348</v>
      </c>
      <c r="E1657" s="4">
        <v>100167.72598870059</v>
      </c>
      <c r="F1657" s="4">
        <v>0</v>
      </c>
      <c r="G1657" s="4">
        <v>3570.22944431408</v>
      </c>
      <c r="H1657" s="4">
        <v>3542.4764896764009</v>
      </c>
      <c r="I1657" s="4">
        <v>38942.629617507177</v>
      </c>
      <c r="J1657" s="4">
        <v>35400.153127830781</v>
      </c>
    </row>
    <row r="1658" spans="1:10">
      <c r="A1658" s="1">
        <v>46142.805555555547</v>
      </c>
      <c r="B1658">
        <v>-27.75295463767895</v>
      </c>
      <c r="C1658">
        <v>194713.1480875359</v>
      </c>
      <c r="D1658">
        <v>94545.422098835348</v>
      </c>
      <c r="E1658">
        <v>100167.72598870059</v>
      </c>
      <c r="F1658">
        <v>0</v>
      </c>
      <c r="G1658">
        <v>3570.22944431408</v>
      </c>
      <c r="H1658">
        <v>3542.4764896764009</v>
      </c>
      <c r="I1658">
        <v>38942.629617507177</v>
      </c>
      <c r="J1658">
        <v>35400.153127830781</v>
      </c>
    </row>
    <row r="1659" spans="1:10">
      <c r="A1659" s="3">
        <v>46142.806250000001</v>
      </c>
      <c r="B1659" s="4">
        <v>-24.200286405248558</v>
      </c>
      <c r="C1659" s="4">
        <v>194752.01149023161</v>
      </c>
      <c r="D1659" s="4">
        <v>94566.630134299412</v>
      </c>
      <c r="E1659" s="4">
        <v>100185.3813559322</v>
      </c>
      <c r="F1659" s="4">
        <v>0</v>
      </c>
      <c r="G1659" s="4">
        <v>3570.22944431408</v>
      </c>
      <c r="H1659" s="4">
        <v>3546.0291579088321</v>
      </c>
      <c r="I1659" s="4">
        <v>38950.402298046327</v>
      </c>
      <c r="J1659" s="4">
        <v>35404.373140137497</v>
      </c>
    </row>
    <row r="1660" spans="1:10">
      <c r="A1660" s="1">
        <v>46142.806944444441</v>
      </c>
      <c r="B1660">
        <v>-24.200286405248558</v>
      </c>
      <c r="C1660">
        <v>194752.01149023161</v>
      </c>
      <c r="D1660">
        <v>94566.630134299412</v>
      </c>
      <c r="E1660">
        <v>100185.3813559322</v>
      </c>
      <c r="F1660">
        <v>0</v>
      </c>
      <c r="G1660">
        <v>3570.22944431408</v>
      </c>
      <c r="H1660">
        <v>3546.0291579088321</v>
      </c>
      <c r="I1660">
        <v>38950.402298046327</v>
      </c>
      <c r="J1660">
        <v>35404.373140137497</v>
      </c>
    </row>
    <row r="1661" spans="1:10">
      <c r="A1661" s="3">
        <v>46142.807638888888</v>
      </c>
      <c r="B1661" s="4">
        <v>-24.200286405248558</v>
      </c>
      <c r="C1661" s="4">
        <v>194752.01149023161</v>
      </c>
      <c r="D1661" s="4">
        <v>94566.630134299412</v>
      </c>
      <c r="E1661" s="4">
        <v>100185.3813559322</v>
      </c>
      <c r="F1661" s="4">
        <v>0</v>
      </c>
      <c r="G1661" s="4">
        <v>3570.22944431408</v>
      </c>
      <c r="H1661" s="4">
        <v>3546.0291579088321</v>
      </c>
      <c r="I1661" s="4">
        <v>38950.402298046327</v>
      </c>
      <c r="J1661" s="4">
        <v>35404.373140137497</v>
      </c>
    </row>
    <row r="1662" spans="1:10">
      <c r="A1662" s="3">
        <v>46142.808333333327</v>
      </c>
      <c r="B1662" s="4">
        <v>0</v>
      </c>
      <c r="C1662" s="4">
        <v>0</v>
      </c>
      <c r="D1662" s="4">
        <v>0</v>
      </c>
      <c r="E1662" s="4">
        <v>0</v>
      </c>
      <c r="F1662" s="4">
        <v>-32.041608480109623</v>
      </c>
      <c r="G1662" s="4">
        <v>3538.1878358339709</v>
      </c>
      <c r="H1662" s="4">
        <v>3538.1878358339709</v>
      </c>
      <c r="I1662" s="4">
        <v>0</v>
      </c>
      <c r="J1662" s="4">
        <v>-3538.1878358339709</v>
      </c>
    </row>
    <row r="1663" spans="1:10">
      <c r="A1663" s="1">
        <v>46146.604166666657</v>
      </c>
      <c r="B1663">
        <v>0</v>
      </c>
      <c r="C1663">
        <v>194405.44906477249</v>
      </c>
      <c r="D1663">
        <v>100000</v>
      </c>
      <c r="E1663">
        <v>94405.44906477246</v>
      </c>
      <c r="F1663">
        <v>0</v>
      </c>
      <c r="G1663">
        <v>3538.1878358339709</v>
      </c>
      <c r="H1663">
        <v>3538.1878358339709</v>
      </c>
      <c r="I1663">
        <v>38881.089812954488</v>
      </c>
      <c r="J1663">
        <v>35342.90197712052</v>
      </c>
    </row>
    <row r="1664" spans="1:10">
      <c r="A1664" s="3">
        <v>46146.604861111111</v>
      </c>
      <c r="B1664" s="4">
        <v>637.68636608585746</v>
      </c>
      <c r="C1664" s="4">
        <v>195043.1354308583</v>
      </c>
      <c r="D1664" s="4">
        <v>100637.68636608589</v>
      </c>
      <c r="E1664" s="4">
        <v>94405.44906477246</v>
      </c>
      <c r="F1664" s="4">
        <v>0</v>
      </c>
      <c r="G1664" s="4">
        <v>3538.1878358339709</v>
      </c>
      <c r="H1664" s="4">
        <v>4175.874201919828</v>
      </c>
      <c r="I1664" s="4">
        <v>39008.627086171662</v>
      </c>
      <c r="J1664" s="4">
        <v>34832.752884251837</v>
      </c>
    </row>
    <row r="1665" spans="1:10">
      <c r="A1665" s="1">
        <v>46146.605555555558</v>
      </c>
      <c r="B1665">
        <v>628.70486797198021</v>
      </c>
      <c r="C1665">
        <v>195034.1539327444</v>
      </c>
      <c r="D1665">
        <v>100628.704867972</v>
      </c>
      <c r="E1665">
        <v>94405.44906477246</v>
      </c>
      <c r="F1665">
        <v>0</v>
      </c>
      <c r="G1665">
        <v>3538.1878358339709</v>
      </c>
      <c r="H1665">
        <v>4166.892703805951</v>
      </c>
      <c r="I1665">
        <v>39006.83078654889</v>
      </c>
      <c r="J1665">
        <v>34839.938082742941</v>
      </c>
    </row>
    <row r="1666" spans="1:10">
      <c r="A1666" s="3">
        <v>46146.606249999997</v>
      </c>
      <c r="B1666" s="4">
        <v>-122.7375997635759</v>
      </c>
      <c r="C1666" s="4">
        <v>194959.29857400249</v>
      </c>
      <c r="D1666" s="4">
        <v>100215.55595473319</v>
      </c>
      <c r="E1666" s="4">
        <v>94743.74261926928</v>
      </c>
      <c r="F1666" s="4">
        <v>0</v>
      </c>
      <c r="G1666" s="4">
        <v>3538.1878358339709</v>
      </c>
      <c r="H1666" s="4">
        <v>3415.450236070395</v>
      </c>
      <c r="I1666" s="4">
        <v>38991.859714800506</v>
      </c>
      <c r="J1666" s="4">
        <v>35576.409478730107</v>
      </c>
    </row>
    <row r="1667" spans="1:10">
      <c r="A1667" s="1">
        <v>46146.606944444437</v>
      </c>
      <c r="B1667">
        <v>-14.959622396947109</v>
      </c>
      <c r="C1667">
        <v>195067.07655136919</v>
      </c>
      <c r="D1667">
        <v>100323.33393209989</v>
      </c>
      <c r="E1667">
        <v>94743.74261926928</v>
      </c>
      <c r="F1667">
        <v>0</v>
      </c>
      <c r="G1667">
        <v>3538.1878358339709</v>
      </c>
      <c r="H1667">
        <v>3523.2282134370239</v>
      </c>
      <c r="I1667">
        <v>39013.415310273827</v>
      </c>
      <c r="J1667">
        <v>35490.187096836809</v>
      </c>
    </row>
    <row r="1668" spans="1:10">
      <c r="A1668" s="3">
        <v>46146.607638888891</v>
      </c>
      <c r="B1668" s="4">
        <v>-50.885614852494307</v>
      </c>
      <c r="C1668" s="4">
        <v>195031.15055891359</v>
      </c>
      <c r="D1668" s="4">
        <v>100287.4079396443</v>
      </c>
      <c r="E1668" s="4">
        <v>94743.74261926928</v>
      </c>
      <c r="F1668" s="4">
        <v>0</v>
      </c>
      <c r="G1668" s="4">
        <v>3538.1878358339709</v>
      </c>
      <c r="H1668" s="4">
        <v>3487.3022209814771</v>
      </c>
      <c r="I1668" s="4">
        <v>39006.230111782723</v>
      </c>
      <c r="J1668" s="4">
        <v>35518.927890801249</v>
      </c>
    </row>
    <row r="1669" spans="1:10">
      <c r="A1669" s="1">
        <v>46146.60833333333</v>
      </c>
      <c r="B1669">
        <v>104.25537829253879</v>
      </c>
      <c r="C1669">
        <v>194876.00956576859</v>
      </c>
      <c r="D1669">
        <v>100287.4079396443</v>
      </c>
      <c r="E1669">
        <v>94588.601626124248</v>
      </c>
      <c r="F1669">
        <v>0</v>
      </c>
      <c r="G1669">
        <v>3538.1878358339709</v>
      </c>
      <c r="H1669">
        <v>3642.4432141265102</v>
      </c>
      <c r="I1669">
        <v>38975.201913153724</v>
      </c>
      <c r="J1669">
        <v>35332.75869902721</v>
      </c>
    </row>
    <row r="1670" spans="1:10">
      <c r="A1670" s="3">
        <v>46146.609027777777</v>
      </c>
      <c r="B1670" s="4">
        <v>194.0703594314005</v>
      </c>
      <c r="C1670" s="4">
        <v>194965.82454690739</v>
      </c>
      <c r="D1670" s="4">
        <v>100377.2229207832</v>
      </c>
      <c r="E1670" s="4">
        <v>94588.601626124248</v>
      </c>
      <c r="F1670" s="4">
        <v>0</v>
      </c>
      <c r="G1670" s="4">
        <v>3538.1878358339709</v>
      </c>
      <c r="H1670" s="4">
        <v>3732.2581952653709</v>
      </c>
      <c r="I1670" s="4">
        <v>38993.164909381492</v>
      </c>
      <c r="J1670" s="4">
        <v>35260.906714116121</v>
      </c>
    </row>
    <row r="1671" spans="1:10">
      <c r="A1671" s="1">
        <v>46146.609722222223</v>
      </c>
      <c r="B1671">
        <v>229.99635188693489</v>
      </c>
      <c r="C1671">
        <v>195001.75053936301</v>
      </c>
      <c r="D1671">
        <v>100413.14891323871</v>
      </c>
      <c r="E1671">
        <v>94588.601626124248</v>
      </c>
      <c r="F1671">
        <v>0</v>
      </c>
      <c r="G1671">
        <v>3538.1878358339709</v>
      </c>
      <c r="H1671">
        <v>3768.1841877209058</v>
      </c>
      <c r="I1671">
        <v>39000.350107872589</v>
      </c>
      <c r="J1671">
        <v>35232.165920151681</v>
      </c>
    </row>
    <row r="1672" spans="1:10">
      <c r="A1672" s="1">
        <v>46146.61041666667</v>
      </c>
      <c r="B1672">
        <v>212.03335565916771</v>
      </c>
      <c r="C1672">
        <v>194983.7875431352</v>
      </c>
      <c r="D1672">
        <v>100395.185917011</v>
      </c>
      <c r="E1672">
        <v>94588.601626124248</v>
      </c>
      <c r="F1672">
        <v>0</v>
      </c>
      <c r="G1672">
        <v>3538.1878358339709</v>
      </c>
      <c r="H1672">
        <v>3750.221191493139</v>
      </c>
      <c r="I1672">
        <v>38996.757508627037</v>
      </c>
      <c r="J1672">
        <v>35246.536317133898</v>
      </c>
    </row>
    <row r="1673" spans="1:10">
      <c r="A1673" s="1">
        <v>46146.611111111109</v>
      </c>
      <c r="B1673">
        <v>165.3130948383951</v>
      </c>
      <c r="C1673">
        <v>194850.8778416783</v>
      </c>
      <c r="D1673">
        <v>100305.3709358721</v>
      </c>
      <c r="E1673">
        <v>94545.506905806178</v>
      </c>
      <c r="F1673">
        <v>0</v>
      </c>
      <c r="G1673">
        <v>3538.1878358339709</v>
      </c>
      <c r="H1673">
        <v>3703.5009306723659</v>
      </c>
      <c r="I1673">
        <v>38970.175568335653</v>
      </c>
      <c r="J1673">
        <v>35266.674637663287</v>
      </c>
    </row>
    <row r="1674" spans="1:10">
      <c r="A1674" s="3">
        <v>46146.611805555563</v>
      </c>
      <c r="B1674" s="4">
        <v>57.535117471766313</v>
      </c>
      <c r="C1674" s="4">
        <v>194743.0998643116</v>
      </c>
      <c r="D1674" s="4">
        <v>100197.5929585055</v>
      </c>
      <c r="E1674" s="4">
        <v>94545.506905806178</v>
      </c>
      <c r="F1674" s="4">
        <v>0</v>
      </c>
      <c r="G1674" s="4">
        <v>3538.1878358339709</v>
      </c>
      <c r="H1674" s="4">
        <v>3595.7229533057371</v>
      </c>
      <c r="I1674" s="4">
        <v>38948.619972862332</v>
      </c>
      <c r="J1674" s="4">
        <v>35352.897019556593</v>
      </c>
    </row>
    <row r="1675" spans="1:10">
      <c r="A1675" s="3">
        <v>46146.612500000003</v>
      </c>
      <c r="B1675" s="4">
        <v>75.498113699533548</v>
      </c>
      <c r="C1675" s="4">
        <v>194761.06286053939</v>
      </c>
      <c r="D1675" s="4">
        <v>100215.55595473319</v>
      </c>
      <c r="E1675" s="4">
        <v>94545.506905806178</v>
      </c>
      <c r="F1675" s="4">
        <v>0</v>
      </c>
      <c r="G1675" s="4">
        <v>3538.1878358339709</v>
      </c>
      <c r="H1675" s="4">
        <v>3613.6859495335038</v>
      </c>
      <c r="I1675" s="4">
        <v>38952.212572107877</v>
      </c>
      <c r="J1675" s="4">
        <v>35338.526622574384</v>
      </c>
    </row>
    <row r="1676" spans="1:10">
      <c r="A1676" s="3">
        <v>46146.613194444442</v>
      </c>
      <c r="B1676" s="4">
        <v>72.577093011625664</v>
      </c>
      <c r="C1676" s="4">
        <v>194512.5019340385</v>
      </c>
      <c r="D1676" s="4">
        <v>100089.8149811388</v>
      </c>
      <c r="E1676" s="4">
        <v>94422.68695289969</v>
      </c>
      <c r="F1676" s="4">
        <v>0</v>
      </c>
      <c r="G1676" s="4">
        <v>3538.1878358339709</v>
      </c>
      <c r="H1676" s="4">
        <v>3610.7649288455959</v>
      </c>
      <c r="I1676" s="4">
        <v>38902.500386807711</v>
      </c>
      <c r="J1676" s="4">
        <v>35291.735457962117</v>
      </c>
    </row>
    <row r="1677" spans="1:10">
      <c r="A1677" s="3">
        <v>46146.613888888889</v>
      </c>
      <c r="B1677" s="4">
        <v>68.267620979810687</v>
      </c>
      <c r="C1677" s="4">
        <v>194516.81140607031</v>
      </c>
      <c r="D1677" s="4">
        <v>100089.8149811388</v>
      </c>
      <c r="E1677" s="4">
        <v>94426.996424931494</v>
      </c>
      <c r="F1677" s="4">
        <v>0</v>
      </c>
      <c r="G1677" s="4">
        <v>3538.1878358339709</v>
      </c>
      <c r="H1677" s="4">
        <v>3606.455456813781</v>
      </c>
      <c r="I1677" s="4">
        <v>38903.362281214067</v>
      </c>
      <c r="J1677" s="4">
        <v>35296.906824400277</v>
      </c>
    </row>
    <row r="1678" spans="1:10">
      <c r="A1678" s="3">
        <v>46146.614583333343</v>
      </c>
      <c r="B1678" s="4">
        <v>93.016202734104027</v>
      </c>
      <c r="C1678" s="4">
        <v>194330.3958582661</v>
      </c>
      <c r="D1678" s="4">
        <v>100008.98149811391</v>
      </c>
      <c r="E1678" s="4">
        <v>94321.414360152237</v>
      </c>
      <c r="F1678" s="4">
        <v>0</v>
      </c>
      <c r="G1678" s="4">
        <v>3538.1878358339709</v>
      </c>
      <c r="H1678" s="4">
        <v>3631.2040385680748</v>
      </c>
      <c r="I1678" s="4">
        <v>38866.079171653219</v>
      </c>
      <c r="J1678" s="4">
        <v>35234.875133085137</v>
      </c>
    </row>
    <row r="1679" spans="1:10">
      <c r="A1679" s="1">
        <v>46146.615277777782</v>
      </c>
      <c r="B1679">
        <v>-11.498788180075881</v>
      </c>
      <c r="C1679">
        <v>194381.02186049701</v>
      </c>
      <c r="D1679">
        <v>99982.037003772217</v>
      </c>
      <c r="E1679">
        <v>94398.984856724754</v>
      </c>
      <c r="F1679">
        <v>0</v>
      </c>
      <c r="G1679">
        <v>3538.1878358339709</v>
      </c>
      <c r="H1679">
        <v>3526.6890476538952</v>
      </c>
      <c r="I1679">
        <v>38876.20437209939</v>
      </c>
      <c r="J1679">
        <v>35349.515324445492</v>
      </c>
    </row>
    <row r="1680" spans="1:10">
      <c r="A1680" s="1">
        <v>46146.615972222222</v>
      </c>
      <c r="B1680">
        <v>33.408702389361309</v>
      </c>
      <c r="C1680">
        <v>194425.92935106641</v>
      </c>
      <c r="D1680">
        <v>100026.9444943417</v>
      </c>
      <c r="E1680">
        <v>94398.984856724754</v>
      </c>
      <c r="F1680">
        <v>0</v>
      </c>
      <c r="G1680">
        <v>3538.1878358339709</v>
      </c>
      <c r="H1680">
        <v>3571.5965382233321</v>
      </c>
      <c r="I1680">
        <v>38885.185870213281</v>
      </c>
      <c r="J1680">
        <v>35313.589331989948</v>
      </c>
    </row>
    <row r="1681" spans="1:10">
      <c r="A1681" s="1">
        <v>46146.616666666669</v>
      </c>
      <c r="B1681">
        <v>81.216625360962368</v>
      </c>
      <c r="C1681">
        <v>194611.64037905581</v>
      </c>
      <c r="D1681">
        <v>100143.70396982221</v>
      </c>
      <c r="E1681">
        <v>94467.936409233662</v>
      </c>
      <c r="F1681">
        <v>0</v>
      </c>
      <c r="G1681">
        <v>3538.1878358339709</v>
      </c>
      <c r="H1681">
        <v>3619.404461194933</v>
      </c>
      <c r="I1681">
        <v>38922.328075811172</v>
      </c>
      <c r="J1681">
        <v>35302.923614616229</v>
      </c>
    </row>
    <row r="1682" spans="1:10">
      <c r="A1682" s="3">
        <v>46146.617361111108</v>
      </c>
      <c r="B1682" s="4">
        <v>36.309134791537943</v>
      </c>
      <c r="C1682" s="4">
        <v>194566.73288848641</v>
      </c>
      <c r="D1682" s="4">
        <v>100098.79647925271</v>
      </c>
      <c r="E1682" s="4">
        <v>94467.936409233662</v>
      </c>
      <c r="F1682" s="4">
        <v>0</v>
      </c>
      <c r="G1682" s="4">
        <v>3538.1878358339709</v>
      </c>
      <c r="H1682" s="4">
        <v>3574.4969706255092</v>
      </c>
      <c r="I1682" s="4">
        <v>38913.346577697281</v>
      </c>
      <c r="J1682" s="4">
        <v>35338.849607071767</v>
      </c>
    </row>
    <row r="1683" spans="1:10">
      <c r="A1683" s="1">
        <v>46146.618055555547</v>
      </c>
      <c r="B1683">
        <v>-2.134147730170127</v>
      </c>
      <c r="C1683">
        <v>194515.3611898692</v>
      </c>
      <c r="D1683">
        <v>100053.88898868331</v>
      </c>
      <c r="E1683">
        <v>94461.472201185941</v>
      </c>
      <c r="F1683">
        <v>0</v>
      </c>
      <c r="G1683">
        <v>3538.1878358339709</v>
      </c>
      <c r="H1683">
        <v>3536.0536881038011</v>
      </c>
      <c r="I1683">
        <v>38903.072237973851</v>
      </c>
      <c r="J1683">
        <v>35367.018549870052</v>
      </c>
    </row>
    <row r="1684" spans="1:10">
      <c r="A1684" s="1">
        <v>46146.618750000001</v>
      </c>
      <c r="B1684">
        <v>33.791844725364307</v>
      </c>
      <c r="C1684">
        <v>194551.2871823248</v>
      </c>
      <c r="D1684">
        <v>100089.8149811388</v>
      </c>
      <c r="E1684">
        <v>94461.472201185941</v>
      </c>
      <c r="F1684">
        <v>0</v>
      </c>
      <c r="G1684">
        <v>3538.1878358339709</v>
      </c>
      <c r="H1684">
        <v>3571.9796805593351</v>
      </c>
      <c r="I1684">
        <v>38910.257436464963</v>
      </c>
      <c r="J1684">
        <v>35338.277755905627</v>
      </c>
    </row>
    <row r="1685" spans="1:10">
      <c r="A1685" s="3">
        <v>46146.619444444441</v>
      </c>
      <c r="B1685" s="4">
        <v>-28.99628892891516</v>
      </c>
      <c r="C1685" s="4">
        <v>194919.44625185119</v>
      </c>
      <c r="D1685" s="4">
        <v>100242.5004490749</v>
      </c>
      <c r="E1685" s="4">
        <v>94676.945802776274</v>
      </c>
      <c r="F1685" s="4">
        <v>0</v>
      </c>
      <c r="G1685" s="4">
        <v>3538.1878358339709</v>
      </c>
      <c r="H1685" s="4">
        <v>3509.1915469050559</v>
      </c>
      <c r="I1685" s="4">
        <v>38983.88925037023</v>
      </c>
      <c r="J1685" s="4">
        <v>35474.697703465172</v>
      </c>
    </row>
    <row r="1686" spans="1:10">
      <c r="A1686" s="1">
        <v>46146.620138888888</v>
      </c>
      <c r="B1686">
        <v>0</v>
      </c>
      <c r="C1686">
        <v>0</v>
      </c>
      <c r="D1686">
        <v>0</v>
      </c>
      <c r="E1686">
        <v>0</v>
      </c>
      <c r="F1686">
        <v>26.546552812802268</v>
      </c>
      <c r="G1686">
        <v>3564.7343886467729</v>
      </c>
      <c r="H1686">
        <v>3564.7343886467729</v>
      </c>
      <c r="I1686">
        <v>0</v>
      </c>
      <c r="J1686">
        <v>-3564.7343886467729</v>
      </c>
    </row>
    <row r="1687" spans="1:10">
      <c r="A1687" s="1">
        <v>46154.743055555547</v>
      </c>
      <c r="B1687">
        <v>0</v>
      </c>
      <c r="C1687">
        <v>196501.9108801985</v>
      </c>
      <c r="D1687">
        <v>96501.910880198528</v>
      </c>
      <c r="E1687">
        <v>100000</v>
      </c>
      <c r="F1687">
        <v>0</v>
      </c>
      <c r="G1687">
        <v>3564.7343886467729</v>
      </c>
      <c r="H1687">
        <v>3564.7343886467729</v>
      </c>
      <c r="I1687">
        <v>39300.382176039697</v>
      </c>
      <c r="J1687">
        <v>35735.647787392933</v>
      </c>
    </row>
    <row r="1688" spans="1:10">
      <c r="A1688" s="3">
        <v>46154.743750000001</v>
      </c>
      <c r="B1688" s="4">
        <v>30.49143543515186</v>
      </c>
      <c r="C1688" s="4">
        <v>196624.22968018829</v>
      </c>
      <c r="D1688" s="4">
        <v>96578.315997910991</v>
      </c>
      <c r="E1688" s="4">
        <v>100045.9136822773</v>
      </c>
      <c r="F1688" s="4">
        <v>0</v>
      </c>
      <c r="G1688" s="4">
        <v>3564.7343886467729</v>
      </c>
      <c r="H1688" s="4">
        <v>3595.2258240819251</v>
      </c>
      <c r="I1688" s="4">
        <v>39324.845936037658</v>
      </c>
      <c r="J1688" s="4">
        <v>35729.62011195573</v>
      </c>
    </row>
    <row r="1689" spans="1:10">
      <c r="A1689" s="3">
        <v>46154.744444444441</v>
      </c>
      <c r="B1689" s="4">
        <v>80.899536401445602</v>
      </c>
      <c r="C1689" s="4">
        <v>196582.8104166</v>
      </c>
      <c r="D1689" s="4">
        <v>96582.810416599968</v>
      </c>
      <c r="E1689" s="4">
        <v>100000</v>
      </c>
      <c r="F1689" s="4">
        <v>0</v>
      </c>
      <c r="G1689" s="4">
        <v>3564.7343886467729</v>
      </c>
      <c r="H1689" s="4">
        <v>3645.6339250482192</v>
      </c>
      <c r="I1689" s="4">
        <v>39316.562083319986</v>
      </c>
      <c r="J1689" s="4">
        <v>35670.928158271767</v>
      </c>
    </row>
    <row r="1690" spans="1:10">
      <c r="A1690" s="3">
        <v>46154.745138888888</v>
      </c>
      <c r="B1690" s="4">
        <v>32.1569475470573</v>
      </c>
      <c r="C1690" s="4">
        <v>196680.99161103301</v>
      </c>
      <c r="D1690" s="4">
        <v>96607.529719389291</v>
      </c>
      <c r="E1690" s="4">
        <v>100073.4618916437</v>
      </c>
      <c r="F1690" s="4">
        <v>0</v>
      </c>
      <c r="G1690" s="4">
        <v>3564.7343886467729</v>
      </c>
      <c r="H1690" s="4">
        <v>3596.8913361938312</v>
      </c>
      <c r="I1690" s="4">
        <v>39336.198322206597</v>
      </c>
      <c r="J1690" s="4">
        <v>35739.306986012773</v>
      </c>
    </row>
    <row r="1691" spans="1:10">
      <c r="A1691" s="3">
        <v>46154.745833333327</v>
      </c>
      <c r="B1691" s="4">
        <v>-41.304944096650956</v>
      </c>
      <c r="C1691" s="4">
        <v>196754.45350267671</v>
      </c>
      <c r="D1691" s="4">
        <v>96607.529719389291</v>
      </c>
      <c r="E1691" s="4">
        <v>100146.92378328741</v>
      </c>
      <c r="F1691" s="4">
        <v>0</v>
      </c>
      <c r="G1691" s="4">
        <v>3564.7343886467729</v>
      </c>
      <c r="H1691" s="4">
        <v>3523.4294445501218</v>
      </c>
      <c r="I1691" s="4">
        <v>39350.890700535347</v>
      </c>
      <c r="J1691" s="4">
        <v>35827.461255985218</v>
      </c>
    </row>
    <row r="1692" spans="1:10">
      <c r="A1692" s="3">
        <v>46154.746527777781</v>
      </c>
      <c r="B1692" s="4">
        <v>-18.057254341697899</v>
      </c>
      <c r="C1692" s="4">
        <v>196704.23930078791</v>
      </c>
      <c r="D1692" s="4">
        <v>96594.046463322375</v>
      </c>
      <c r="E1692" s="4">
        <v>100110.1928374656</v>
      </c>
      <c r="F1692" s="4">
        <v>0</v>
      </c>
      <c r="G1692" s="4">
        <v>3564.7343886467729</v>
      </c>
      <c r="H1692" s="4">
        <v>3546.677134305075</v>
      </c>
      <c r="I1692" s="4">
        <v>39340.847860157577</v>
      </c>
      <c r="J1692" s="4">
        <v>35794.170725852513</v>
      </c>
    </row>
    <row r="1693" spans="1:10">
      <c r="A1693" s="1">
        <v>46154.74722222222</v>
      </c>
      <c r="B1693">
        <v>-91.519145985406155</v>
      </c>
      <c r="C1693">
        <v>196777.70119243159</v>
      </c>
      <c r="D1693">
        <v>96594.046463322375</v>
      </c>
      <c r="E1693">
        <v>100183.6547291093</v>
      </c>
      <c r="F1693">
        <v>0</v>
      </c>
      <c r="G1693">
        <v>3564.7343886467729</v>
      </c>
      <c r="H1693">
        <v>3473.215242661367</v>
      </c>
      <c r="I1693">
        <v>39355.540238486326</v>
      </c>
      <c r="J1693">
        <v>35882.324995824973</v>
      </c>
    </row>
    <row r="1694" spans="1:10">
      <c r="A1694" s="1">
        <v>46154.747916666667</v>
      </c>
      <c r="B1694">
        <v>42.925616528605531</v>
      </c>
      <c r="C1694">
        <v>196948.8769007675</v>
      </c>
      <c r="D1694">
        <v>96746.856698747331</v>
      </c>
      <c r="E1694">
        <v>100202.0202020202</v>
      </c>
      <c r="F1694">
        <v>0</v>
      </c>
      <c r="G1694">
        <v>3564.7343886467729</v>
      </c>
      <c r="H1694">
        <v>3607.660005175379</v>
      </c>
      <c r="I1694">
        <v>39389.775380153507</v>
      </c>
      <c r="J1694">
        <v>35782.11537497813</v>
      </c>
    </row>
    <row r="1695" spans="1:10">
      <c r="A1695" s="3">
        <v>46154.748611111107</v>
      </c>
      <c r="B1695" s="4">
        <v>-35.806290114157427</v>
      </c>
      <c r="C1695" s="4">
        <v>197090.53066905591</v>
      </c>
      <c r="D1695" s="4">
        <v>96778.317629570127</v>
      </c>
      <c r="E1695" s="4">
        <v>100312.2130394858</v>
      </c>
      <c r="F1695" s="4">
        <v>0</v>
      </c>
      <c r="G1695" s="4">
        <v>3564.7343886467729</v>
      </c>
      <c r="H1695" s="4">
        <v>3528.9280985326159</v>
      </c>
      <c r="I1695" s="4">
        <v>39418.106133811183</v>
      </c>
      <c r="J1695" s="4">
        <v>35889.178035278557</v>
      </c>
    </row>
    <row r="1696" spans="1:10">
      <c r="A1696" s="3">
        <v>46154.749305555553</v>
      </c>
      <c r="B1696" s="4">
        <v>-16.744800478956449</v>
      </c>
      <c r="C1696" s="4">
        <v>197219.78499615661</v>
      </c>
      <c r="D1696" s="4">
        <v>96852.475537938109</v>
      </c>
      <c r="E1696" s="4">
        <v>100367.3094582185</v>
      </c>
      <c r="F1696" s="4">
        <v>0</v>
      </c>
      <c r="G1696" s="4">
        <v>3564.7343886467729</v>
      </c>
      <c r="H1696" s="4">
        <v>3547.9895881678171</v>
      </c>
      <c r="I1696" s="4">
        <v>39443.956999231334</v>
      </c>
      <c r="J1696" s="4">
        <v>35895.967411063517</v>
      </c>
    </row>
    <row r="1697" spans="1:10">
      <c r="A1697" s="1">
        <v>46154.75</v>
      </c>
      <c r="B1697">
        <v>19.290128618614009</v>
      </c>
      <c r="C1697">
        <v>197035.4342503231</v>
      </c>
      <c r="D1697">
        <v>96778.317629570127</v>
      </c>
      <c r="E1697">
        <v>100257.116620753</v>
      </c>
      <c r="F1697">
        <v>0</v>
      </c>
      <c r="G1697">
        <v>3564.7343886467729</v>
      </c>
      <c r="H1697">
        <v>3584.0245172653872</v>
      </c>
      <c r="I1697">
        <v>39407.086850064617</v>
      </c>
      <c r="J1697">
        <v>35823.062332799243</v>
      </c>
    </row>
    <row r="1698" spans="1:10">
      <c r="A1698" s="3">
        <v>46154.750694444447</v>
      </c>
      <c r="B1698" s="4">
        <v>-0.43263783498935032</v>
      </c>
      <c r="C1698" s="4">
        <v>197181.00074006789</v>
      </c>
      <c r="D1698" s="4">
        <v>96841.239491215689</v>
      </c>
      <c r="E1698" s="4">
        <v>100339.7612488522</v>
      </c>
      <c r="F1698" s="4">
        <v>0</v>
      </c>
      <c r="G1698" s="4">
        <v>3564.7343886467729</v>
      </c>
      <c r="H1698" s="4">
        <v>3564.3017508117841</v>
      </c>
      <c r="I1698" s="4">
        <v>39436.200148013573</v>
      </c>
      <c r="J1698" s="4">
        <v>35871.898397201789</v>
      </c>
    </row>
    <row r="1699" spans="1:10">
      <c r="A1699" s="3">
        <v>46154.751388888893</v>
      </c>
      <c r="B1699" s="4">
        <v>-7.3681649459753089</v>
      </c>
      <c r="C1699" s="4">
        <v>197192.43068586779</v>
      </c>
      <c r="D1699" s="4">
        <v>96843.48670056017</v>
      </c>
      <c r="E1699" s="4">
        <v>100348.9439853076</v>
      </c>
      <c r="F1699" s="4">
        <v>0</v>
      </c>
      <c r="G1699" s="4">
        <v>3564.7343886467729</v>
      </c>
      <c r="H1699" s="4">
        <v>3557.3662237007979</v>
      </c>
      <c r="I1699" s="4">
        <v>39438.486137173561</v>
      </c>
      <c r="J1699" s="4">
        <v>35881.119913472758</v>
      </c>
    </row>
    <row r="1700" spans="1:10">
      <c r="A1700" s="3">
        <v>46154.752083333333</v>
      </c>
      <c r="B1700" s="4">
        <v>-5.1209556014928239</v>
      </c>
      <c r="C1700" s="4">
        <v>197194.67789521231</v>
      </c>
      <c r="D1700" s="4">
        <v>96845.733909904651</v>
      </c>
      <c r="E1700" s="4">
        <v>100348.9439853076</v>
      </c>
      <c r="F1700" s="4">
        <v>0</v>
      </c>
      <c r="G1700" s="4">
        <v>3564.7343886467729</v>
      </c>
      <c r="H1700" s="4">
        <v>3559.613433045281</v>
      </c>
      <c r="I1700" s="4">
        <v>39438.935579042452</v>
      </c>
      <c r="J1700" s="4">
        <v>35879.322145997168</v>
      </c>
    </row>
    <row r="1701" spans="1:10">
      <c r="A1701" s="3">
        <v>46154.75277777778</v>
      </c>
      <c r="B1701" s="4">
        <v>-36.194088269221709</v>
      </c>
      <c r="C1701" s="4">
        <v>197126.87381672271</v>
      </c>
      <c r="D1701" s="4">
        <v>96796.295304325991</v>
      </c>
      <c r="E1701" s="4">
        <v>100330.57851239671</v>
      </c>
      <c r="F1701" s="4">
        <v>0</v>
      </c>
      <c r="G1701" s="4">
        <v>3564.7343886467729</v>
      </c>
      <c r="H1701" s="4">
        <v>3528.5403003775518</v>
      </c>
      <c r="I1701" s="4">
        <v>39425.374763344538</v>
      </c>
      <c r="J1701" s="4">
        <v>35896.834462966988</v>
      </c>
    </row>
    <row r="1702" spans="1:10">
      <c r="A1702" s="1">
        <v>46154.753472222219</v>
      </c>
      <c r="B1702">
        <v>-31.699669580256739</v>
      </c>
      <c r="C1702">
        <v>197131.36823541159</v>
      </c>
      <c r="D1702">
        <v>96800.789723014954</v>
      </c>
      <c r="E1702">
        <v>100330.57851239671</v>
      </c>
      <c r="F1702">
        <v>0</v>
      </c>
      <c r="G1702">
        <v>3564.7343886467729</v>
      </c>
      <c r="H1702">
        <v>3533.034719066517</v>
      </c>
      <c r="I1702">
        <v>39426.273647082329</v>
      </c>
      <c r="J1702">
        <v>35893.23892801581</v>
      </c>
    </row>
    <row r="1703" spans="1:10">
      <c r="A1703" s="1">
        <v>46154.754166666673</v>
      </c>
      <c r="B1703">
        <v>-47.817933146698117</v>
      </c>
      <c r="C1703">
        <v>197151.9809176671</v>
      </c>
      <c r="D1703">
        <v>96803.03693235945</v>
      </c>
      <c r="E1703">
        <v>100348.9439853076</v>
      </c>
      <c r="F1703">
        <v>0</v>
      </c>
      <c r="G1703">
        <v>3564.7343886467729</v>
      </c>
      <c r="H1703">
        <v>3516.9164555000748</v>
      </c>
      <c r="I1703">
        <v>39430.396183533419</v>
      </c>
      <c r="J1703">
        <v>35913.479728033337</v>
      </c>
    </row>
    <row r="1704" spans="1:10">
      <c r="A1704" s="3">
        <v>46154.754861111112</v>
      </c>
      <c r="B1704" s="4">
        <v>-32.47526589034652</v>
      </c>
      <c r="C1704" s="4">
        <v>197204.05453074531</v>
      </c>
      <c r="D1704" s="4">
        <v>96836.745072526712</v>
      </c>
      <c r="E1704" s="4">
        <v>100367.3094582185</v>
      </c>
      <c r="F1704" s="4">
        <v>0</v>
      </c>
      <c r="G1704" s="4">
        <v>3564.7343886467729</v>
      </c>
      <c r="H1704" s="4">
        <v>3532.2591227564271</v>
      </c>
      <c r="I1704" s="4">
        <v>39440.810906149047</v>
      </c>
      <c r="J1704" s="4">
        <v>35908.551783392628</v>
      </c>
    </row>
    <row r="1705" spans="1:10">
      <c r="A1705" s="3">
        <v>46154.755555555559</v>
      </c>
      <c r="B1705" s="4">
        <v>-69.206211712207164</v>
      </c>
      <c r="C1705" s="4">
        <v>197240.78547656711</v>
      </c>
      <c r="D1705" s="4">
        <v>96836.745072526712</v>
      </c>
      <c r="E1705" s="4">
        <v>100404.0404040404</v>
      </c>
      <c r="F1705" s="4">
        <v>0</v>
      </c>
      <c r="G1705" s="4">
        <v>3564.7343886467729</v>
      </c>
      <c r="H1705" s="4">
        <v>3495.5281769345661</v>
      </c>
      <c r="I1705" s="4">
        <v>39448.157095313421</v>
      </c>
      <c r="J1705" s="4">
        <v>35952.628918378847</v>
      </c>
    </row>
    <row r="1706" spans="1:10">
      <c r="A1706" s="1">
        <v>46154.756249999999</v>
      </c>
      <c r="B1706">
        <v>-5.1209556014928239</v>
      </c>
      <c r="C1706">
        <v>197194.67789521231</v>
      </c>
      <c r="D1706">
        <v>96845.733909904651</v>
      </c>
      <c r="E1706">
        <v>100348.9439853076</v>
      </c>
      <c r="F1706">
        <v>0</v>
      </c>
      <c r="G1706">
        <v>3564.7343886467729</v>
      </c>
      <c r="H1706">
        <v>3559.613433045281</v>
      </c>
      <c r="I1706">
        <v>39438.935579042452</v>
      </c>
      <c r="J1706">
        <v>35879.322145997168</v>
      </c>
    </row>
    <row r="1707" spans="1:10">
      <c r="A1707" s="3">
        <v>46154.756944444453</v>
      </c>
      <c r="B1707" s="4">
        <v>0</v>
      </c>
      <c r="C1707" s="4">
        <v>0</v>
      </c>
      <c r="D1707" s="4">
        <v>0</v>
      </c>
      <c r="E1707" s="4">
        <v>0</v>
      </c>
      <c r="F1707" s="4">
        <v>-62.073671892179817</v>
      </c>
      <c r="G1707" s="4">
        <v>3502.660716754594</v>
      </c>
      <c r="H1707" s="4">
        <v>3502.660716754594</v>
      </c>
      <c r="I1707" s="4">
        <v>0</v>
      </c>
      <c r="J1707" s="4">
        <v>-3502.660716754594</v>
      </c>
    </row>
    <row r="1708" spans="1:10">
      <c r="A1708" s="3">
        <v>46155.606944444437</v>
      </c>
      <c r="B1708" s="4">
        <v>0</v>
      </c>
      <c r="C1708" s="4">
        <v>196501.9108801985</v>
      </c>
      <c r="D1708" s="4">
        <v>100000</v>
      </c>
      <c r="E1708" s="4">
        <v>96501.910880198528</v>
      </c>
      <c r="F1708" s="4">
        <v>0</v>
      </c>
      <c r="G1708" s="4">
        <v>3502.660716754594</v>
      </c>
      <c r="H1708" s="4">
        <v>3502.660716754594</v>
      </c>
      <c r="I1708" s="4">
        <v>39300.382176039697</v>
      </c>
      <c r="J1708" s="4">
        <v>35797.721459285109</v>
      </c>
    </row>
    <row r="1709" spans="1:10">
      <c r="A1709" s="3">
        <v>46155.607638888891</v>
      </c>
      <c r="B1709" s="4">
        <v>164.28434576769371</v>
      </c>
      <c r="C1709" s="4">
        <v>196170.85177301141</v>
      </c>
      <c r="D1709" s="4">
        <v>99916.612619290274</v>
      </c>
      <c r="E1709" s="4">
        <v>96254.239153721108</v>
      </c>
      <c r="F1709" s="4">
        <v>0</v>
      </c>
      <c r="G1709" s="4">
        <v>3502.660716754594</v>
      </c>
      <c r="H1709" s="4">
        <v>3666.9450625222871</v>
      </c>
      <c r="I1709" s="4">
        <v>39234.170354602284</v>
      </c>
      <c r="J1709" s="4">
        <v>35567.225292079987</v>
      </c>
    </row>
    <row r="1710" spans="1:10">
      <c r="A1710" s="3">
        <v>46155.60833333333</v>
      </c>
      <c r="B1710" s="4">
        <v>-70.037250145593021</v>
      </c>
      <c r="C1710" s="4">
        <v>196071.6238460858</v>
      </c>
      <c r="D1710" s="4">
        <v>99749.837857870836</v>
      </c>
      <c r="E1710" s="4">
        <v>96321.78598821495</v>
      </c>
      <c r="F1710" s="4">
        <v>0</v>
      </c>
      <c r="G1710" s="4">
        <v>3502.660716754594</v>
      </c>
      <c r="H1710" s="4">
        <v>3432.6234666089999</v>
      </c>
      <c r="I1710" s="4">
        <v>39214.324769217157</v>
      </c>
      <c r="J1710" s="4">
        <v>35781.701302608162</v>
      </c>
    </row>
    <row r="1711" spans="1:10">
      <c r="A1711" s="1">
        <v>46155.609027777777</v>
      </c>
      <c r="B1711">
        <v>-70.037250145593021</v>
      </c>
      <c r="C1711">
        <v>196071.6238460858</v>
      </c>
      <c r="D1711">
        <v>99749.837857870836</v>
      </c>
      <c r="E1711">
        <v>96321.78598821495</v>
      </c>
      <c r="F1711">
        <v>0</v>
      </c>
      <c r="G1711">
        <v>3502.660716754594</v>
      </c>
      <c r="H1711">
        <v>3432.6234666089999</v>
      </c>
      <c r="I1711">
        <v>39214.324769217157</v>
      </c>
      <c r="J1711">
        <v>35781.701302608162</v>
      </c>
    </row>
    <row r="1712" spans="1:10">
      <c r="A1712" s="3">
        <v>46155.609722222223</v>
      </c>
      <c r="B1712" s="4">
        <v>29.449696704133199</v>
      </c>
      <c r="C1712" s="4">
        <v>196324.21695112149</v>
      </c>
      <c r="D1712" s="4">
        <v>99925.877883813562</v>
      </c>
      <c r="E1712" s="4">
        <v>96398.339067307956</v>
      </c>
      <c r="F1712" s="4">
        <v>0</v>
      </c>
      <c r="G1712" s="4">
        <v>3502.660716754594</v>
      </c>
      <c r="H1712" s="4">
        <v>3532.1104134587272</v>
      </c>
      <c r="I1712" s="4">
        <v>39264.843390224312</v>
      </c>
      <c r="J1712" s="4">
        <v>35732.732976765583</v>
      </c>
    </row>
    <row r="1713" spans="1:10">
      <c r="A1713" s="3">
        <v>46155.61041666667</v>
      </c>
      <c r="B1713" s="4">
        <v>-136.8866430343837</v>
      </c>
      <c r="C1713" s="4">
        <v>196027.29006469491</v>
      </c>
      <c r="D1713" s="4">
        <v>99694.246270731019</v>
      </c>
      <c r="E1713" s="4">
        <v>96333.043793963923</v>
      </c>
      <c r="F1713" s="4">
        <v>0</v>
      </c>
      <c r="G1713" s="4">
        <v>3502.660716754594</v>
      </c>
      <c r="H1713" s="4">
        <v>3365.7740737202098</v>
      </c>
      <c r="I1713" s="4">
        <v>39205.458012938987</v>
      </c>
      <c r="J1713" s="4">
        <v>35839.683939218783</v>
      </c>
    </row>
    <row r="1714" spans="1:10">
      <c r="A1714" s="3">
        <v>46155.611111111109</v>
      </c>
      <c r="B1714" s="4">
        <v>-192.47823017418551</v>
      </c>
      <c r="C1714" s="4">
        <v>195971.6984775551</v>
      </c>
      <c r="D1714" s="4">
        <v>99638.654683591216</v>
      </c>
      <c r="E1714" s="4">
        <v>96333.043793963923</v>
      </c>
      <c r="F1714" s="4">
        <v>0</v>
      </c>
      <c r="G1714" s="4">
        <v>3502.660716754594</v>
      </c>
      <c r="H1714" s="4">
        <v>3310.1824865804078</v>
      </c>
      <c r="I1714" s="4">
        <v>39194.339695511029</v>
      </c>
      <c r="J1714" s="4">
        <v>35884.157208930621</v>
      </c>
    </row>
    <row r="1715" spans="1:10">
      <c r="A1715" s="1">
        <v>46155.611805555563</v>
      </c>
      <c r="B1715">
        <v>-238.80455279070671</v>
      </c>
      <c r="C1715">
        <v>195925.37215493861</v>
      </c>
      <c r="D1715">
        <v>99592.328360974687</v>
      </c>
      <c r="E1715">
        <v>96333.043793963923</v>
      </c>
      <c r="F1715">
        <v>0</v>
      </c>
      <c r="G1715">
        <v>3502.660716754594</v>
      </c>
      <c r="H1715">
        <v>3263.856163963887</v>
      </c>
      <c r="I1715">
        <v>39185.074430987726</v>
      </c>
      <c r="J1715">
        <v>35921.21826702384</v>
      </c>
    </row>
    <row r="1716" spans="1:10">
      <c r="A1716" s="1">
        <v>46155.612500000003</v>
      </c>
      <c r="B1716">
        <v>-150.21660817633509</v>
      </c>
      <c r="C1716">
        <v>195892.37579746399</v>
      </c>
      <c r="D1716">
        <v>99620.124154544596</v>
      </c>
      <c r="E1716">
        <v>96272.251642919466</v>
      </c>
      <c r="F1716">
        <v>0</v>
      </c>
      <c r="G1716">
        <v>3502.660716754594</v>
      </c>
      <c r="H1716">
        <v>3352.4441085782578</v>
      </c>
      <c r="I1716">
        <v>39178.475159492809</v>
      </c>
      <c r="J1716">
        <v>35826.031050914549</v>
      </c>
    </row>
    <row r="1717" spans="1:10">
      <c r="A1717" s="1">
        <v>46155.613194444442</v>
      </c>
      <c r="B1717">
        <v>-114.7096696278622</v>
      </c>
      <c r="C1717">
        <v>195819.8078008224</v>
      </c>
      <c r="D1717">
        <v>99601.593625498004</v>
      </c>
      <c r="E1717">
        <v>96218.214175324392</v>
      </c>
      <c r="F1717">
        <v>0</v>
      </c>
      <c r="G1717">
        <v>3502.660716754594</v>
      </c>
      <c r="H1717">
        <v>3387.9510471267308</v>
      </c>
      <c r="I1717">
        <v>39163.961560164476</v>
      </c>
      <c r="J1717">
        <v>35776.010513037749</v>
      </c>
    </row>
    <row r="1718" spans="1:10">
      <c r="A1718" s="3">
        <v>46155.613888888889</v>
      </c>
      <c r="B1718" s="4">
        <v>-47.00359879938128</v>
      </c>
      <c r="C1718" s="4">
        <v>196085.65125283279</v>
      </c>
      <c r="D1718" s="4">
        <v>99768.368386917442</v>
      </c>
      <c r="E1718" s="4">
        <v>96317.282865915346</v>
      </c>
      <c r="F1718" s="4">
        <v>0</v>
      </c>
      <c r="G1718" s="4">
        <v>3502.660716754594</v>
      </c>
      <c r="H1718" s="4">
        <v>3455.657117955212</v>
      </c>
      <c r="I1718" s="4">
        <v>39217.130250566559</v>
      </c>
      <c r="J1718" s="4">
        <v>35761.473132611347</v>
      </c>
    </row>
    <row r="1719" spans="1:10">
      <c r="A1719" s="3">
        <v>46155.614583333343</v>
      </c>
      <c r="B1719" s="4">
        <v>121.7637038457065</v>
      </c>
      <c r="C1719" s="4">
        <v>196231.90294397989</v>
      </c>
      <c r="D1719" s="4">
        <v>99925.877883813562</v>
      </c>
      <c r="E1719" s="4">
        <v>96306.025060166387</v>
      </c>
      <c r="F1719" s="4">
        <v>0</v>
      </c>
      <c r="G1719" s="4">
        <v>3502.660716754594</v>
      </c>
      <c r="H1719" s="4">
        <v>3624.4244206003</v>
      </c>
      <c r="I1719" s="4">
        <v>39246.38058879599</v>
      </c>
      <c r="J1719" s="4">
        <v>35621.956168195691</v>
      </c>
    </row>
    <row r="1720" spans="1:10">
      <c r="A1720" s="1">
        <v>46155.615277777782</v>
      </c>
      <c r="B1720">
        <v>112.49843932241281</v>
      </c>
      <c r="C1720">
        <v>196222.6376794567</v>
      </c>
      <c r="D1720">
        <v>99916.612619290274</v>
      </c>
      <c r="E1720">
        <v>96306.025060166387</v>
      </c>
      <c r="F1720">
        <v>0</v>
      </c>
      <c r="G1720">
        <v>3502.660716754594</v>
      </c>
      <c r="H1720">
        <v>3615.1591560770062</v>
      </c>
      <c r="I1720">
        <v>39244.527535891328</v>
      </c>
      <c r="J1720">
        <v>35629.368379814332</v>
      </c>
    </row>
    <row r="1721" spans="1:10">
      <c r="A1721" s="1">
        <v>46155.615972222222</v>
      </c>
      <c r="B1721">
        <v>57.584128365483863</v>
      </c>
      <c r="C1721">
        <v>196536.97939706611</v>
      </c>
      <c r="D1721">
        <v>100046.3263226165</v>
      </c>
      <c r="E1721">
        <v>96490.653074449539</v>
      </c>
      <c r="F1721">
        <v>0</v>
      </c>
      <c r="G1721">
        <v>3502.660716754594</v>
      </c>
      <c r="H1721">
        <v>3560.244845120078</v>
      </c>
      <c r="I1721">
        <v>39307.395879413212</v>
      </c>
      <c r="J1721">
        <v>35747.151034293143</v>
      </c>
    </row>
    <row r="1722" spans="1:10">
      <c r="A1722" s="3">
        <v>46155.616666666669</v>
      </c>
      <c r="B1722" s="4">
        <v>-49.116089036726038</v>
      </c>
      <c r="C1722" s="4">
        <v>196903.1070211207</v>
      </c>
      <c r="D1722" s="4">
        <v>100176.0400259427</v>
      </c>
      <c r="E1722" s="4">
        <v>96727.066995177986</v>
      </c>
      <c r="F1722" s="4">
        <v>0</v>
      </c>
      <c r="G1722" s="4">
        <v>3502.660716754594</v>
      </c>
      <c r="H1722" s="4">
        <v>3453.544627717868</v>
      </c>
      <c r="I1722" s="4">
        <v>39380.621404224148</v>
      </c>
      <c r="J1722" s="4">
        <v>35927.076776506277</v>
      </c>
    </row>
    <row r="1723" spans="1:10">
      <c r="A1723" s="3">
        <v>46155.617361111108</v>
      </c>
      <c r="B1723" s="4">
        <v>-86.17714712994038</v>
      </c>
      <c r="C1723" s="4">
        <v>196866.04596302751</v>
      </c>
      <c r="D1723" s="4">
        <v>100138.9789678495</v>
      </c>
      <c r="E1723" s="4">
        <v>96727.066995177986</v>
      </c>
      <c r="F1723" s="4">
        <v>0</v>
      </c>
      <c r="G1723" s="4">
        <v>3502.660716754594</v>
      </c>
      <c r="H1723" s="4">
        <v>3416.4835696246528</v>
      </c>
      <c r="I1723" s="4">
        <v>39373.209192605507</v>
      </c>
      <c r="J1723" s="4">
        <v>35956.725622980863</v>
      </c>
    </row>
    <row r="1724" spans="1:10">
      <c r="A1724" s="3">
        <v>46155.618055555547</v>
      </c>
      <c r="B1724" s="4">
        <v>6.4754981030889098</v>
      </c>
      <c r="C1724" s="4">
        <v>196958.69860826051</v>
      </c>
      <c r="D1724" s="4">
        <v>100231.6316130825</v>
      </c>
      <c r="E1724" s="4">
        <v>96727.066995177986</v>
      </c>
      <c r="F1724" s="4">
        <v>0</v>
      </c>
      <c r="G1724" s="4">
        <v>3502.660716754594</v>
      </c>
      <c r="H1724" s="4">
        <v>3509.1362148576818</v>
      </c>
      <c r="I1724" s="4">
        <v>39391.739721652113</v>
      </c>
      <c r="J1724" s="4">
        <v>35882.603506794432</v>
      </c>
    </row>
    <row r="1725" spans="1:10">
      <c r="A1725" s="1">
        <v>46155.618750000001</v>
      </c>
      <c r="B1725">
        <v>-215.89085045617091</v>
      </c>
      <c r="C1725">
        <v>196736.3322597013</v>
      </c>
      <c r="D1725">
        <v>100009.2652645233</v>
      </c>
      <c r="E1725">
        <v>96727.066995177986</v>
      </c>
      <c r="F1725">
        <v>0</v>
      </c>
      <c r="G1725">
        <v>3502.660716754594</v>
      </c>
      <c r="H1725">
        <v>3286.769866298423</v>
      </c>
      <c r="I1725">
        <v>39347.266451940261</v>
      </c>
      <c r="J1725">
        <v>36060.496585641828</v>
      </c>
    </row>
    <row r="1726" spans="1:10">
      <c r="A1726" s="3">
        <v>46155.619444444441</v>
      </c>
      <c r="B1726" s="4">
        <v>0.25901992412332042</v>
      </c>
      <c r="C1726" s="4">
        <v>196520.18238932101</v>
      </c>
      <c r="D1726" s="4">
        <v>100009.2652645233</v>
      </c>
      <c r="E1726" s="4">
        <v>96510.917124797692</v>
      </c>
      <c r="F1726" s="4">
        <v>0</v>
      </c>
      <c r="G1726" s="4">
        <v>3502.660716754594</v>
      </c>
      <c r="H1726" s="4">
        <v>3502.9197366787171</v>
      </c>
      <c r="I1726" s="4">
        <v>39304.036477864203</v>
      </c>
      <c r="J1726" s="4">
        <v>35801.116741185477</v>
      </c>
    </row>
    <row r="1727" spans="1:10">
      <c r="A1727" s="1">
        <v>46155.620138888888</v>
      </c>
      <c r="B1727">
        <v>-259.16838672833762</v>
      </c>
      <c r="C1727">
        <v>196260.7549826685</v>
      </c>
      <c r="D1727">
        <v>99749.837857870836</v>
      </c>
      <c r="E1727">
        <v>96510.917124797692</v>
      </c>
      <c r="F1727">
        <v>0</v>
      </c>
      <c r="G1727">
        <v>3502.660716754594</v>
      </c>
      <c r="H1727">
        <v>3243.4923300262558</v>
      </c>
      <c r="I1727">
        <v>39252.15099653371</v>
      </c>
      <c r="J1727">
        <v>36008.658666507457</v>
      </c>
    </row>
    <row r="1728" spans="1:10">
      <c r="A1728" s="1">
        <v>46155.620833333327</v>
      </c>
      <c r="B1728">
        <v>0</v>
      </c>
      <c r="C1728">
        <v>0</v>
      </c>
      <c r="D1728">
        <v>0</v>
      </c>
      <c r="E1728">
        <v>0</v>
      </c>
      <c r="F1728">
        <v>-89.029929605697873</v>
      </c>
      <c r="G1728">
        <v>3413.6307871488962</v>
      </c>
      <c r="H1728">
        <v>3413.6307871488962</v>
      </c>
      <c r="I1728">
        <v>0</v>
      </c>
      <c r="J1728">
        <v>-3413.6307871488962</v>
      </c>
    </row>
    <row r="1729" spans="1:10">
      <c r="A1729" s="1">
        <v>46160.834722222222</v>
      </c>
      <c r="B1729">
        <v>0</v>
      </c>
      <c r="C1729">
        <v>196501.9108801985</v>
      </c>
      <c r="D1729">
        <v>96501.910880198528</v>
      </c>
      <c r="E1729">
        <v>100000</v>
      </c>
      <c r="F1729">
        <v>0</v>
      </c>
      <c r="G1729">
        <v>3413.6307871488962</v>
      </c>
      <c r="H1729">
        <v>3413.6307871488962</v>
      </c>
      <c r="I1729">
        <v>39300.382176039697</v>
      </c>
      <c r="J1729">
        <v>35886.751388890807</v>
      </c>
    </row>
    <row r="1730" spans="1:10">
      <c r="A1730" s="3">
        <v>46160.835416666669</v>
      </c>
      <c r="B1730" s="4">
        <v>274.24254312552802</v>
      </c>
      <c r="C1730" s="4">
        <v>196850.6690716102</v>
      </c>
      <c r="D1730" s="4">
        <v>96813.411247467127</v>
      </c>
      <c r="E1730" s="4">
        <v>100037.2578241431</v>
      </c>
      <c r="F1730" s="4">
        <v>0</v>
      </c>
      <c r="G1730" s="4">
        <v>3413.6307871488962</v>
      </c>
      <c r="H1730" s="4">
        <v>3687.873330274424</v>
      </c>
      <c r="I1730" s="4">
        <v>39370.133814322042</v>
      </c>
      <c r="J1730" s="4">
        <v>35682.26048404762</v>
      </c>
    </row>
    <row r="1731" spans="1:10">
      <c r="A1731" s="3">
        <v>46160.836111111108</v>
      </c>
      <c r="B1731" s="4">
        <v>0</v>
      </c>
      <c r="C1731" s="4">
        <v>0</v>
      </c>
      <c r="D1731" s="4">
        <v>0</v>
      </c>
      <c r="E1731" s="4">
        <v>0</v>
      </c>
      <c r="F1731" s="4">
        <v>286.28697483343552</v>
      </c>
      <c r="G1731" s="4">
        <v>3699.9177619823308</v>
      </c>
      <c r="H1731" s="4">
        <v>3699.9177619823308</v>
      </c>
      <c r="I1731" s="4">
        <v>0</v>
      </c>
      <c r="J1731" s="4">
        <v>-3699.9177619823308</v>
      </c>
    </row>
    <row r="1732" spans="1:10">
      <c r="A1732" s="3">
        <v>46162.604166666657</v>
      </c>
      <c r="B1732" s="4">
        <v>0</v>
      </c>
      <c r="C1732" s="4">
        <v>196501.9108801985</v>
      </c>
      <c r="D1732" s="4">
        <v>96501.910880198528</v>
      </c>
      <c r="E1732" s="4">
        <v>100000</v>
      </c>
      <c r="F1732" s="4">
        <v>0</v>
      </c>
      <c r="G1732" s="4">
        <v>3699.9177619823308</v>
      </c>
      <c r="H1732" s="4">
        <v>3699.9177619823308</v>
      </c>
      <c r="I1732" s="4">
        <v>39300.382176039697</v>
      </c>
      <c r="J1732" s="4">
        <v>35600.464414057373</v>
      </c>
    </row>
    <row r="1733" spans="1:10">
      <c r="A1733" s="3">
        <v>46162.604861111111</v>
      </c>
      <c r="B1733" s="4">
        <v>184.06822322687401</v>
      </c>
      <c r="C1733" s="4">
        <v>195937.89606620831</v>
      </c>
      <c r="D1733" s="4">
        <v>96311.937584816842</v>
      </c>
      <c r="E1733" s="4">
        <v>99625.958481391441</v>
      </c>
      <c r="F1733" s="4">
        <v>0</v>
      </c>
      <c r="G1733" s="4">
        <v>3699.9177619823308</v>
      </c>
      <c r="H1733" s="4">
        <v>3883.985985209205</v>
      </c>
      <c r="I1733" s="4">
        <v>39187.579213241661</v>
      </c>
      <c r="J1733" s="4">
        <v>35303.593228032463</v>
      </c>
    </row>
    <row r="1734" spans="1:10">
      <c r="A1734" s="1">
        <v>46162.605555555558</v>
      </c>
      <c r="B1734">
        <v>213.43446897031171</v>
      </c>
      <c r="C1734">
        <v>195275.28550252589</v>
      </c>
      <c r="D1734">
        <v>95995.315425847351</v>
      </c>
      <c r="E1734">
        <v>99279.97007667851</v>
      </c>
      <c r="F1734">
        <v>0</v>
      </c>
      <c r="G1734">
        <v>3699.9177619823308</v>
      </c>
      <c r="H1734">
        <v>3913.3522309526429</v>
      </c>
      <c r="I1734">
        <v>39055.057100505182</v>
      </c>
      <c r="J1734">
        <v>35141.70486955253</v>
      </c>
    </row>
    <row r="1735" spans="1:10">
      <c r="A1735" s="3">
        <v>46162.606249999997</v>
      </c>
      <c r="B1735" s="4">
        <v>8.3681996595054216</v>
      </c>
      <c r="C1735" s="4">
        <v>195163.7296128672</v>
      </c>
      <c r="D1735" s="4">
        <v>95837.004346362621</v>
      </c>
      <c r="E1735" s="4">
        <v>99326.725266504582</v>
      </c>
      <c r="F1735" s="4">
        <v>0</v>
      </c>
      <c r="G1735" s="4">
        <v>3699.9177619823308</v>
      </c>
      <c r="H1735" s="4">
        <v>3708.2859616418368</v>
      </c>
      <c r="I1735" s="4">
        <v>39032.745922573442</v>
      </c>
      <c r="J1735" s="4">
        <v>35324.459960931606</v>
      </c>
    </row>
    <row r="1736" spans="1:10">
      <c r="A1736" s="1">
        <v>46162.606944444437</v>
      </c>
      <c r="B1736">
        <v>17.719237624724311</v>
      </c>
      <c r="C1736">
        <v>195154.37857490199</v>
      </c>
      <c r="D1736">
        <v>95837.004346362621</v>
      </c>
      <c r="E1736">
        <v>99317.374228539367</v>
      </c>
      <c r="F1736">
        <v>0</v>
      </c>
      <c r="G1736">
        <v>3699.9177619823308</v>
      </c>
      <c r="H1736">
        <v>3717.6369996070562</v>
      </c>
      <c r="I1736">
        <v>39030.875714980401</v>
      </c>
      <c r="J1736">
        <v>35313.238715373343</v>
      </c>
    </row>
    <row r="1737" spans="1:10">
      <c r="A1737" s="3">
        <v>46162.607638888891</v>
      </c>
      <c r="B1737" s="4">
        <v>73.825465415997996</v>
      </c>
      <c r="C1737" s="4">
        <v>195098.2723471107</v>
      </c>
      <c r="D1737" s="4">
        <v>95837.004346362621</v>
      </c>
      <c r="E1737" s="4">
        <v>99261.268000748081</v>
      </c>
      <c r="F1737" s="4">
        <v>0</v>
      </c>
      <c r="G1737" s="4">
        <v>3699.9177619823308</v>
      </c>
      <c r="H1737" s="4">
        <v>3773.74322739833</v>
      </c>
      <c r="I1737" s="4">
        <v>39019.654469422137</v>
      </c>
      <c r="J1737" s="4">
        <v>35245.911242023823</v>
      </c>
    </row>
    <row r="1738" spans="1:10">
      <c r="A1738" s="1">
        <v>46162.60833333333</v>
      </c>
      <c r="B1738">
        <v>-102.1920502054478</v>
      </c>
      <c r="C1738">
        <v>195314.99842602821</v>
      </c>
      <c r="D1738">
        <v>95857.358628010668</v>
      </c>
      <c r="E1738">
        <v>99457.639798017583</v>
      </c>
      <c r="F1738">
        <v>0</v>
      </c>
      <c r="G1738">
        <v>3699.9177619823308</v>
      </c>
      <c r="H1738">
        <v>3597.7257117768841</v>
      </c>
      <c r="I1738">
        <v>39062.99968520565</v>
      </c>
      <c r="J1738">
        <v>35465.273973428768</v>
      </c>
    </row>
    <row r="1739" spans="1:10">
      <c r="A1739" s="1">
        <v>46162.609027777777</v>
      </c>
      <c r="B1739">
        <v>122.4775652460378</v>
      </c>
      <c r="C1739">
        <v>196325.15523055769</v>
      </c>
      <c r="D1739">
        <v>96474.77183800115</v>
      </c>
      <c r="E1739">
        <v>99850.38339255657</v>
      </c>
      <c r="F1739">
        <v>0</v>
      </c>
      <c r="G1739">
        <v>3699.9177619823308</v>
      </c>
      <c r="H1739">
        <v>3822.3953272283688</v>
      </c>
      <c r="I1739">
        <v>39265.031046111537</v>
      </c>
      <c r="J1739">
        <v>35442.635718883183</v>
      </c>
    </row>
    <row r="1740" spans="1:10">
      <c r="A1740" s="3">
        <v>46162.609722222223</v>
      </c>
      <c r="B1740" s="4">
        <v>10.265109663463919</v>
      </c>
      <c r="C1740" s="4">
        <v>196437.36768614029</v>
      </c>
      <c r="D1740" s="4">
        <v>96474.77183800115</v>
      </c>
      <c r="E1740" s="4">
        <v>99962.595848139143</v>
      </c>
      <c r="F1740" s="4">
        <v>0</v>
      </c>
      <c r="G1740" s="4">
        <v>3699.9177619823308</v>
      </c>
      <c r="H1740" s="4">
        <v>3710.1828716457949</v>
      </c>
      <c r="I1740" s="4">
        <v>39287.473537228063</v>
      </c>
      <c r="J1740" s="4">
        <v>35577.290665582274</v>
      </c>
    </row>
    <row r="1741" spans="1:10">
      <c r="A1741" s="3">
        <v>46162.61041666667</v>
      </c>
      <c r="B1741" s="4">
        <v>-92.59630795389107</v>
      </c>
      <c r="C1741" s="4">
        <v>196540.22910375771</v>
      </c>
      <c r="D1741" s="4">
        <v>96474.77183800115</v>
      </c>
      <c r="E1741" s="4">
        <v>100065.4572657565</v>
      </c>
      <c r="F1741" s="4">
        <v>0</v>
      </c>
      <c r="G1741" s="4">
        <v>3699.9177619823308</v>
      </c>
      <c r="H1741" s="4">
        <v>3607.3214540284398</v>
      </c>
      <c r="I1741" s="4">
        <v>39308.045820751533</v>
      </c>
      <c r="J1741" s="4">
        <v>35700.724366723087</v>
      </c>
    </row>
    <row r="1742" spans="1:10">
      <c r="A1742" s="1">
        <v>46162.611111111109</v>
      </c>
      <c r="B1742">
        <v>0</v>
      </c>
      <c r="C1742">
        <v>0</v>
      </c>
      <c r="D1742">
        <v>0</v>
      </c>
      <c r="E1742">
        <v>0</v>
      </c>
      <c r="F1742">
        <v>193.62118689717221</v>
      </c>
      <c r="G1742">
        <v>3893.538948879504</v>
      </c>
      <c r="H1742">
        <v>3893.538948879504</v>
      </c>
      <c r="I1742">
        <v>0</v>
      </c>
      <c r="J1742">
        <v>-3893.538948879504</v>
      </c>
    </row>
    <row r="1743" spans="1:10">
      <c r="A1743" s="1">
        <v>46164.838888888888</v>
      </c>
      <c r="B1743">
        <v>0</v>
      </c>
      <c r="C1743">
        <v>219746.14617452919</v>
      </c>
      <c r="D1743">
        <v>119746.1461745291</v>
      </c>
      <c r="E1743">
        <v>100000</v>
      </c>
      <c r="F1743">
        <v>0</v>
      </c>
      <c r="G1743">
        <v>3893.538948879504</v>
      </c>
      <c r="H1743">
        <v>3893.538948879504</v>
      </c>
      <c r="I1743">
        <v>43949.229234905833</v>
      </c>
      <c r="J1743">
        <v>40055.690286026329</v>
      </c>
    </row>
    <row r="1744" spans="1:10">
      <c r="A1744" s="1">
        <v>46164.839583333327</v>
      </c>
      <c r="B1744">
        <v>-30.616923473126121</v>
      </c>
      <c r="C1744">
        <v>219831.21420237189</v>
      </c>
      <c r="D1744">
        <v>119773.371726714</v>
      </c>
      <c r="E1744">
        <v>100057.84247565801</v>
      </c>
      <c r="F1744">
        <v>0</v>
      </c>
      <c r="G1744">
        <v>3893.538948879504</v>
      </c>
      <c r="H1744">
        <v>3862.922025406378</v>
      </c>
      <c r="I1744">
        <v>43966.242840474391</v>
      </c>
      <c r="J1744">
        <v>40103.320815068008</v>
      </c>
    </row>
    <row r="1745" spans="1:10">
      <c r="A1745" s="1">
        <v>46164.840277777781</v>
      </c>
      <c r="B1745">
        <v>36.865964794498851</v>
      </c>
      <c r="C1745">
        <v>219763.73131410431</v>
      </c>
      <c r="D1745">
        <v>119773.371726714</v>
      </c>
      <c r="E1745">
        <v>99990.35958739034</v>
      </c>
      <c r="F1745">
        <v>0</v>
      </c>
      <c r="G1745">
        <v>3893.538948879504</v>
      </c>
      <c r="H1745">
        <v>3930.4049136740018</v>
      </c>
      <c r="I1745">
        <v>43952.746262820867</v>
      </c>
      <c r="J1745">
        <v>40022.341349146867</v>
      </c>
    </row>
    <row r="1746" spans="1:10">
      <c r="A1746" s="1">
        <v>46164.84097222222</v>
      </c>
      <c r="B1746">
        <v>51.728549151172651</v>
      </c>
      <c r="C1746">
        <v>219797.87472368029</v>
      </c>
      <c r="D1746">
        <v>119797.8747236803</v>
      </c>
      <c r="E1746">
        <v>100000</v>
      </c>
      <c r="F1746">
        <v>0</v>
      </c>
      <c r="G1746">
        <v>3893.538948879504</v>
      </c>
      <c r="H1746">
        <v>3945.2674980306761</v>
      </c>
      <c r="I1746">
        <v>43959.574944736058</v>
      </c>
      <c r="J1746">
        <v>40014.307446705388</v>
      </c>
    </row>
    <row r="1747" spans="1:10">
      <c r="A1747" s="1">
        <v>46164.841666666667</v>
      </c>
      <c r="B1747">
        <v>42.088136541521727</v>
      </c>
      <c r="C1747">
        <v>219807.51513628999</v>
      </c>
      <c r="D1747">
        <v>119797.8747236803</v>
      </c>
      <c r="E1747">
        <v>100009.6404126096</v>
      </c>
      <c r="F1747">
        <v>0</v>
      </c>
      <c r="G1747">
        <v>3893.538948879504</v>
      </c>
      <c r="H1747">
        <v>3935.6270854210252</v>
      </c>
      <c r="I1747">
        <v>43961.503027257997</v>
      </c>
      <c r="J1747">
        <v>40025.875941836966</v>
      </c>
    </row>
    <row r="1748" spans="1:10">
      <c r="A1748" s="1">
        <v>46164.842361111107</v>
      </c>
      <c r="B1748">
        <v>32.447723931857098</v>
      </c>
      <c r="C1748">
        <v>219817.15554889961</v>
      </c>
      <c r="D1748">
        <v>119797.8747236803</v>
      </c>
      <c r="E1748">
        <v>100019.28082521931</v>
      </c>
      <c r="F1748">
        <v>0</v>
      </c>
      <c r="G1748">
        <v>3893.538948879504</v>
      </c>
      <c r="H1748">
        <v>3925.9866728113611</v>
      </c>
      <c r="I1748">
        <v>43963.431109779922</v>
      </c>
      <c r="J1748">
        <v>40037.444436968559</v>
      </c>
    </row>
    <row r="1749" spans="1:10">
      <c r="A1749" s="3">
        <v>46164.843055555553</v>
      </c>
      <c r="B1749" s="4">
        <v>72.259182634774064</v>
      </c>
      <c r="C1749" s="4">
        <v>219799.1245319446</v>
      </c>
      <c r="D1749" s="4">
        <v>119808.7649445542</v>
      </c>
      <c r="E1749" s="4">
        <v>99990.35958739034</v>
      </c>
      <c r="F1749" s="4">
        <v>0</v>
      </c>
      <c r="G1749" s="4">
        <v>3893.538948879504</v>
      </c>
      <c r="H1749" s="4">
        <v>3965.798131514277</v>
      </c>
      <c r="I1749" s="4">
        <v>43959.824906388923</v>
      </c>
      <c r="J1749" s="4">
        <v>39994.026774874641</v>
      </c>
    </row>
    <row r="1750" spans="1:10">
      <c r="A1750" s="3">
        <v>46164.84375</v>
      </c>
      <c r="B1750" s="4">
        <v>0</v>
      </c>
      <c r="C1750" s="4">
        <v>0</v>
      </c>
      <c r="D1750" s="4">
        <v>0</v>
      </c>
      <c r="E1750" s="4">
        <v>0</v>
      </c>
      <c r="F1750" s="4">
        <v>36.246115463379553</v>
      </c>
      <c r="G1750" s="4">
        <v>3929.7850643428828</v>
      </c>
      <c r="H1750" s="4">
        <v>3929.7850643428828</v>
      </c>
      <c r="I1750" s="4">
        <v>0</v>
      </c>
      <c r="J1750" s="4">
        <v>-3929.7850643428828</v>
      </c>
    </row>
    <row r="1751" spans="1:10">
      <c r="A1751" s="3">
        <v>46168.604166666657</v>
      </c>
      <c r="B1751" s="4">
        <v>0</v>
      </c>
      <c r="C1751" s="4">
        <v>219746.14617452919</v>
      </c>
      <c r="D1751" s="4">
        <v>119746.1461745291</v>
      </c>
      <c r="E1751" s="4">
        <v>100000</v>
      </c>
      <c r="F1751" s="4">
        <v>0</v>
      </c>
      <c r="G1751" s="4">
        <v>3929.7850643428828</v>
      </c>
      <c r="H1751" s="4">
        <v>3929.7850643428828</v>
      </c>
      <c r="I1751" s="4">
        <v>43949.229234905833</v>
      </c>
      <c r="J1751" s="4">
        <v>40019.444170562951</v>
      </c>
    </row>
    <row r="1752" spans="1:10">
      <c r="A1752" s="3">
        <v>46168.604861111111</v>
      </c>
      <c r="B1752" s="4">
        <v>286.97149416492391</v>
      </c>
      <c r="C1752" s="4">
        <v>219459.1746803642</v>
      </c>
      <c r="D1752" s="4">
        <v>119746.1461745291</v>
      </c>
      <c r="E1752" s="4">
        <v>99713.028505835086</v>
      </c>
      <c r="F1752" s="4">
        <v>0</v>
      </c>
      <c r="G1752" s="4">
        <v>3929.7850643428828</v>
      </c>
      <c r="H1752" s="4">
        <v>4216.7565585078073</v>
      </c>
      <c r="I1752" s="4">
        <v>43891.834936072853</v>
      </c>
      <c r="J1752" s="4">
        <v>39675.078377565042</v>
      </c>
    </row>
    <row r="1753" spans="1:10">
      <c r="A1753" s="1">
        <v>46168.605555555558</v>
      </c>
      <c r="B1753">
        <v>0</v>
      </c>
      <c r="C1753">
        <v>0</v>
      </c>
      <c r="D1753">
        <v>0</v>
      </c>
      <c r="E1753">
        <v>0</v>
      </c>
      <c r="F1753">
        <v>852.49601473014184</v>
      </c>
      <c r="G1753">
        <v>4782.2810790730246</v>
      </c>
      <c r="H1753">
        <v>4782.2810790730246</v>
      </c>
      <c r="I1753">
        <v>0</v>
      </c>
      <c r="J1753">
        <v>-4782.2810790730246</v>
      </c>
    </row>
    <row r="1754" spans="1:10">
      <c r="A1754" s="1">
        <v>46169.784722222219</v>
      </c>
      <c r="B1754">
        <v>0</v>
      </c>
      <c r="C1754">
        <v>219746.1461745291</v>
      </c>
      <c r="D1754">
        <v>119746.1461745291</v>
      </c>
      <c r="E1754">
        <v>100000</v>
      </c>
      <c r="F1754">
        <v>0</v>
      </c>
      <c r="G1754">
        <v>4782.2810790730246</v>
      </c>
      <c r="H1754">
        <v>4782.2810790730246</v>
      </c>
      <c r="I1754">
        <v>43949.229234905833</v>
      </c>
      <c r="J1754">
        <v>39166.948155832797</v>
      </c>
    </row>
    <row r="1755" spans="1:10">
      <c r="A1755" s="3">
        <v>46169.785416666673</v>
      </c>
      <c r="B1755" s="4">
        <v>77.911959485793247</v>
      </c>
      <c r="C1755" s="4">
        <v>219668.23421504331</v>
      </c>
      <c r="D1755" s="4">
        <v>119746.1461745291</v>
      </c>
      <c r="E1755" s="4">
        <v>99922.088040514209</v>
      </c>
      <c r="F1755" s="4">
        <v>0</v>
      </c>
      <c r="G1755" s="4">
        <v>4782.2810790730246</v>
      </c>
      <c r="H1755" s="4">
        <v>4860.1930385588184</v>
      </c>
      <c r="I1755" s="4">
        <v>43933.646843008668</v>
      </c>
      <c r="J1755" s="4">
        <v>39073.453804449848</v>
      </c>
    </row>
    <row r="1756" spans="1:10">
      <c r="A1756" s="3">
        <v>46169.786111111112</v>
      </c>
      <c r="B1756" s="4">
        <v>38.955979742896623</v>
      </c>
      <c r="C1756" s="4">
        <v>219707.19019478621</v>
      </c>
      <c r="D1756" s="4">
        <v>119746.1461745291</v>
      </c>
      <c r="E1756" s="4">
        <v>99961.044020257104</v>
      </c>
      <c r="F1756" s="4">
        <v>0</v>
      </c>
      <c r="G1756" s="4">
        <v>4782.2810790730246</v>
      </c>
      <c r="H1756" s="4">
        <v>4821.237058815922</v>
      </c>
      <c r="I1756" s="4">
        <v>43941.438038957247</v>
      </c>
      <c r="J1756" s="4">
        <v>39120.200980141322</v>
      </c>
    </row>
    <row r="1757" spans="1:10">
      <c r="A1757" s="3">
        <v>46169.786805555559</v>
      </c>
      <c r="B1757" s="4">
        <v>-107.1289442929484</v>
      </c>
      <c r="C1757" s="4">
        <v>219853.27511882209</v>
      </c>
      <c r="D1757" s="4">
        <v>119746.1461745291</v>
      </c>
      <c r="E1757" s="4">
        <v>100107.128944293</v>
      </c>
      <c r="F1757" s="4">
        <v>0</v>
      </c>
      <c r="G1757" s="4">
        <v>4782.2810790730246</v>
      </c>
      <c r="H1757" s="4">
        <v>4675.1521347800772</v>
      </c>
      <c r="I1757" s="4">
        <v>43970.655023764419</v>
      </c>
      <c r="J1757" s="4">
        <v>39295.502888984338</v>
      </c>
    </row>
    <row r="1758" spans="1:10">
      <c r="A1758" s="1">
        <v>46169.787499999999</v>
      </c>
      <c r="B1758">
        <v>70.450030786525829</v>
      </c>
      <c r="C1758">
        <v>219913.98615467289</v>
      </c>
      <c r="D1758">
        <v>119865.2911799943</v>
      </c>
      <c r="E1758">
        <v>100048.6949746786</v>
      </c>
      <c r="F1758">
        <v>0</v>
      </c>
      <c r="G1758">
        <v>4782.2810790730246</v>
      </c>
      <c r="H1758">
        <v>4852.731109859551</v>
      </c>
      <c r="I1758">
        <v>43982.797230934579</v>
      </c>
      <c r="J1758">
        <v>39130.066121075033</v>
      </c>
    </row>
    <row r="1759" spans="1:10">
      <c r="A1759" s="3">
        <v>46169.788194444453</v>
      </c>
      <c r="B1759" s="4">
        <v>80.189025722253433</v>
      </c>
      <c r="C1759" s="4">
        <v>219904.24715973719</v>
      </c>
      <c r="D1759" s="4">
        <v>119865.2911799943</v>
      </c>
      <c r="E1759" s="4">
        <v>100038.9559797429</v>
      </c>
      <c r="F1759" s="4">
        <v>0</v>
      </c>
      <c r="G1759" s="4">
        <v>4782.2810790730246</v>
      </c>
      <c r="H1759" s="4">
        <v>4862.4701047952794</v>
      </c>
      <c r="I1759" s="4">
        <v>43980.849431947427</v>
      </c>
      <c r="J1759" s="4">
        <v>39118.379327152157</v>
      </c>
    </row>
    <row r="1760" spans="1:10">
      <c r="A1760" s="1">
        <v>46169.788888888892</v>
      </c>
      <c r="B1760">
        <v>128.88400040086381</v>
      </c>
      <c r="C1760">
        <v>219855.55218505851</v>
      </c>
      <c r="D1760">
        <v>119865.2911799943</v>
      </c>
      <c r="E1760">
        <v>99990.261005064269</v>
      </c>
      <c r="F1760">
        <v>0</v>
      </c>
      <c r="G1760">
        <v>4782.2810790730246</v>
      </c>
      <c r="H1760">
        <v>4911.1650794738889</v>
      </c>
      <c r="I1760">
        <v>43971.11043701171</v>
      </c>
      <c r="J1760">
        <v>39059.945357537821</v>
      </c>
    </row>
    <row r="1761" spans="1:10">
      <c r="A1761" s="1">
        <v>46169.789583333331</v>
      </c>
      <c r="B1761">
        <v>155.91624681307459</v>
      </c>
      <c r="C1761">
        <v>219785.1944821135</v>
      </c>
      <c r="D1761">
        <v>119843.6284517279</v>
      </c>
      <c r="E1761">
        <v>99941.566030385657</v>
      </c>
      <c r="F1761">
        <v>0</v>
      </c>
      <c r="G1761">
        <v>4782.2810790730246</v>
      </c>
      <c r="H1761">
        <v>4938.1973258860999</v>
      </c>
      <c r="I1761">
        <v>43957.03889642271</v>
      </c>
      <c r="J1761">
        <v>39018.841570536613</v>
      </c>
    </row>
    <row r="1762" spans="1:10">
      <c r="A1762" s="1">
        <v>46169.790277777778</v>
      </c>
      <c r="B1762">
        <v>83.373805473137224</v>
      </c>
      <c r="C1762">
        <v>219771.08601038789</v>
      </c>
      <c r="D1762">
        <v>119800.3029951951</v>
      </c>
      <c r="E1762">
        <v>99970.783015192836</v>
      </c>
      <c r="F1762">
        <v>0</v>
      </c>
      <c r="G1762">
        <v>4782.2810790730246</v>
      </c>
      <c r="H1762">
        <v>4865.654884546163</v>
      </c>
      <c r="I1762">
        <v>43954.217202077591</v>
      </c>
      <c r="J1762">
        <v>39088.562317531418</v>
      </c>
    </row>
    <row r="1763" spans="1:10">
      <c r="A1763" s="1">
        <v>46169.790972222218</v>
      </c>
      <c r="B1763">
        <v>122.3297852160338</v>
      </c>
      <c r="C1763">
        <v>219732.13003064509</v>
      </c>
      <c r="D1763">
        <v>119800.3029951951</v>
      </c>
      <c r="E1763">
        <v>99931.82703544994</v>
      </c>
      <c r="F1763">
        <v>0</v>
      </c>
      <c r="G1763">
        <v>4782.2810790730246</v>
      </c>
      <c r="H1763">
        <v>4904.6108642890586</v>
      </c>
      <c r="I1763">
        <v>43946.426006129012</v>
      </c>
      <c r="J1763">
        <v>39041.81514183995</v>
      </c>
    </row>
    <row r="1764" spans="1:10">
      <c r="A1764" s="3">
        <v>46169.791666666657</v>
      </c>
      <c r="B1764" s="4">
        <v>132.0687801517615</v>
      </c>
      <c r="C1764" s="4">
        <v>219722.3910357093</v>
      </c>
      <c r="D1764" s="4">
        <v>119800.3029951951</v>
      </c>
      <c r="E1764" s="4">
        <v>99922.088040514209</v>
      </c>
      <c r="F1764" s="4">
        <v>0</v>
      </c>
      <c r="G1764" s="4">
        <v>4782.2810790730246</v>
      </c>
      <c r="H1764" s="4">
        <v>4914.349859224787</v>
      </c>
      <c r="I1764" s="4">
        <v>43944.478207141859</v>
      </c>
      <c r="J1764" s="4">
        <v>39030.128347917067</v>
      </c>
    </row>
    <row r="1765" spans="1:10">
      <c r="A1765" s="3">
        <v>46169.792361111111</v>
      </c>
      <c r="B1765" s="4">
        <v>102.8517953445924</v>
      </c>
      <c r="C1765" s="4">
        <v>219751.60802051649</v>
      </c>
      <c r="D1765" s="4">
        <v>119800.3029951951</v>
      </c>
      <c r="E1765" s="4">
        <v>99951.305025321373</v>
      </c>
      <c r="F1765" s="4">
        <v>0</v>
      </c>
      <c r="G1765" s="4">
        <v>4782.2810790730246</v>
      </c>
      <c r="H1765" s="4">
        <v>4885.132874417618</v>
      </c>
      <c r="I1765" s="4">
        <v>43950.321604103287</v>
      </c>
      <c r="J1765" s="4">
        <v>39065.188729685673</v>
      </c>
    </row>
    <row r="1766" spans="1:10">
      <c r="A1766" s="3">
        <v>46169.793055555558</v>
      </c>
      <c r="B1766" s="4">
        <v>0</v>
      </c>
      <c r="C1766" s="4">
        <v>0</v>
      </c>
      <c r="D1766" s="4">
        <v>0</v>
      </c>
      <c r="E1766" s="4">
        <v>0</v>
      </c>
      <c r="F1766" s="4">
        <v>141.14800517443581</v>
      </c>
      <c r="G1766" s="4">
        <v>4923.4290842474611</v>
      </c>
      <c r="H1766" s="4">
        <v>4923.4290842474611</v>
      </c>
      <c r="I1766" s="4">
        <v>0</v>
      </c>
      <c r="J1766" s="4">
        <v>-4923.4290842474611</v>
      </c>
    </row>
    <row r="1767" spans="1:10">
      <c r="A1767" s="3">
        <v>46174.718055555553</v>
      </c>
      <c r="B1767" s="4">
        <v>0</v>
      </c>
      <c r="C1767" s="4">
        <v>219746.14617452919</v>
      </c>
      <c r="D1767" s="4">
        <v>119746.1461745291</v>
      </c>
      <c r="E1767" s="4">
        <v>100000</v>
      </c>
      <c r="F1767" s="4">
        <v>0</v>
      </c>
      <c r="G1767" s="4">
        <v>4923.4290842474611</v>
      </c>
      <c r="H1767" s="4">
        <v>4923.4290842474611</v>
      </c>
      <c r="I1767" s="4">
        <v>43949.229234905833</v>
      </c>
      <c r="J1767" s="4">
        <v>39025.800150658382</v>
      </c>
    </row>
    <row r="1768" spans="1:10">
      <c r="A1768" s="3">
        <v>46174.71875</v>
      </c>
      <c r="B1768" s="4">
        <v>-6.2814672017888276</v>
      </c>
      <c r="C1768" s="4">
        <v>219973.2596309878</v>
      </c>
      <c r="D1768" s="4">
        <v>119856.56216915759</v>
      </c>
      <c r="E1768" s="4">
        <v>100116.6974618302</v>
      </c>
      <c r="F1768" s="4">
        <v>0</v>
      </c>
      <c r="G1768" s="4">
        <v>4923.4290842474611</v>
      </c>
      <c r="H1768" s="4">
        <v>4917.1476170456726</v>
      </c>
      <c r="I1768" s="4">
        <v>43994.651926197563</v>
      </c>
      <c r="J1768" s="4">
        <v>39077.504309151882</v>
      </c>
    </row>
    <row r="1769" spans="1:10">
      <c r="A1769" s="1">
        <v>46174.719444444447</v>
      </c>
      <c r="B1769">
        <v>-45.180621145182812</v>
      </c>
      <c r="C1769">
        <v>220012.15878493121</v>
      </c>
      <c r="D1769">
        <v>119856.56216915759</v>
      </c>
      <c r="E1769">
        <v>100155.5966157736</v>
      </c>
      <c r="F1769">
        <v>0</v>
      </c>
      <c r="G1769">
        <v>4923.4290842474611</v>
      </c>
      <c r="H1769">
        <v>4878.248463102278</v>
      </c>
      <c r="I1769">
        <v>44002.43175698624</v>
      </c>
      <c r="J1769">
        <v>39124.183293883973</v>
      </c>
    </row>
    <row r="1770" spans="1:10">
      <c r="A1770" s="1">
        <v>46174.720138888893</v>
      </c>
      <c r="B1770">
        <v>-16.006255687630428</v>
      </c>
      <c r="C1770">
        <v>219982.98441947359</v>
      </c>
      <c r="D1770">
        <v>119856.56216915759</v>
      </c>
      <c r="E1770">
        <v>100126.422250316</v>
      </c>
      <c r="F1770">
        <v>0</v>
      </c>
      <c r="G1770">
        <v>4923.4290842474611</v>
      </c>
      <c r="H1770">
        <v>4907.422828559831</v>
      </c>
      <c r="I1770">
        <v>43996.59688389473</v>
      </c>
      <c r="J1770">
        <v>39089.174055334901</v>
      </c>
    </row>
    <row r="1771" spans="1:10">
      <c r="A1771" s="3">
        <v>46174.720833333333</v>
      </c>
      <c r="B1771" s="4">
        <v>-84.079775088590623</v>
      </c>
      <c r="C1771" s="4">
        <v>220051.05793887461</v>
      </c>
      <c r="D1771" s="4">
        <v>119856.56216915759</v>
      </c>
      <c r="E1771" s="4">
        <v>100194.495769717</v>
      </c>
      <c r="F1771" s="4">
        <v>0</v>
      </c>
      <c r="G1771" s="4">
        <v>4923.4290842474611</v>
      </c>
      <c r="H1771" s="4">
        <v>4839.3493091588707</v>
      </c>
      <c r="I1771" s="4">
        <v>44010.211587774917</v>
      </c>
      <c r="J1771" s="4">
        <v>39170.862278616049</v>
      </c>
    </row>
    <row r="1772" spans="1:10">
      <c r="A1772" s="1">
        <v>46174.72152777778</v>
      </c>
      <c r="B1772">
        <v>-161.8780829753924</v>
      </c>
      <c r="C1772">
        <v>220128.8562467614</v>
      </c>
      <c r="D1772">
        <v>119856.56216915759</v>
      </c>
      <c r="E1772">
        <v>100272.2940776038</v>
      </c>
      <c r="F1772">
        <v>0</v>
      </c>
      <c r="G1772">
        <v>4923.4290842474611</v>
      </c>
      <c r="H1772">
        <v>4761.5510012720688</v>
      </c>
      <c r="I1772">
        <v>44025.771249352278</v>
      </c>
      <c r="J1772">
        <v>39264.220248080208</v>
      </c>
    </row>
    <row r="1773" spans="1:10">
      <c r="A1773" s="1">
        <v>46174.722222222219</v>
      </c>
      <c r="B1773">
        <v>-152.15329448953699</v>
      </c>
      <c r="C1773">
        <v>220119.13145827549</v>
      </c>
      <c r="D1773">
        <v>119856.56216915759</v>
      </c>
      <c r="E1773">
        <v>100262.56928911791</v>
      </c>
      <c r="F1773">
        <v>0</v>
      </c>
      <c r="G1773">
        <v>4923.4290842474611</v>
      </c>
      <c r="H1773">
        <v>4771.275789757924</v>
      </c>
      <c r="I1773">
        <v>44023.826291655103</v>
      </c>
      <c r="J1773">
        <v>39252.550501897182</v>
      </c>
    </row>
    <row r="1774" spans="1:10">
      <c r="A1774" s="1">
        <v>46174.722916666673</v>
      </c>
      <c r="B1774">
        <v>-113.25414054614301</v>
      </c>
      <c r="C1774">
        <v>220080.23230433211</v>
      </c>
      <c r="D1774">
        <v>119856.56216915759</v>
      </c>
      <c r="E1774">
        <v>100223.6701351746</v>
      </c>
      <c r="F1774">
        <v>0</v>
      </c>
      <c r="G1774">
        <v>4923.4290842474611</v>
      </c>
      <c r="H1774">
        <v>4810.1749437013177</v>
      </c>
      <c r="I1774">
        <v>44016.046460866433</v>
      </c>
      <c r="J1774">
        <v>39205.871517165113</v>
      </c>
    </row>
    <row r="1775" spans="1:10">
      <c r="A1775" s="3">
        <v>46174.723611111112</v>
      </c>
      <c r="B1775" s="4">
        <v>-171.60287146124779</v>
      </c>
      <c r="C1775" s="4">
        <v>220138.58103524719</v>
      </c>
      <c r="D1775" s="4">
        <v>119856.56216915759</v>
      </c>
      <c r="E1775" s="4">
        <v>100282.0188660897</v>
      </c>
      <c r="F1775" s="4">
        <v>0</v>
      </c>
      <c r="G1775" s="4">
        <v>4923.4290842474611</v>
      </c>
      <c r="H1775" s="4">
        <v>4751.8262127862135</v>
      </c>
      <c r="I1775" s="4">
        <v>44027.716207049452</v>
      </c>
      <c r="J1775" s="4">
        <v>39275.889994263242</v>
      </c>
    </row>
    <row r="1776" spans="1:10">
      <c r="A1776" s="3">
        <v>46174.724305555559</v>
      </c>
      <c r="B1776" s="4">
        <v>-132.70371751784</v>
      </c>
      <c r="C1776" s="4">
        <v>220099.68188130381</v>
      </c>
      <c r="D1776" s="4">
        <v>119856.56216915759</v>
      </c>
      <c r="E1776" s="4">
        <v>100243.1197121463</v>
      </c>
      <c r="F1776" s="4">
        <v>0</v>
      </c>
      <c r="G1776" s="4">
        <v>4923.4290842474611</v>
      </c>
      <c r="H1776" s="4">
        <v>4790.7253667296209</v>
      </c>
      <c r="I1776" s="4">
        <v>44019.936376260768</v>
      </c>
      <c r="J1776" s="4">
        <v>39229.211009531151</v>
      </c>
    </row>
    <row r="1777" spans="1:10">
      <c r="A1777" s="1">
        <v>46174.724999999999</v>
      </c>
      <c r="B1777">
        <v>-93.804563574446036</v>
      </c>
      <c r="C1777">
        <v>220060.78272736041</v>
      </c>
      <c r="D1777">
        <v>119856.56216915759</v>
      </c>
      <c r="E1777">
        <v>100204.2205582029</v>
      </c>
      <c r="F1777">
        <v>0</v>
      </c>
      <c r="G1777">
        <v>4923.4290842474611</v>
      </c>
      <c r="H1777">
        <v>4829.6245206730146</v>
      </c>
      <c r="I1777">
        <v>44012.156545472091</v>
      </c>
      <c r="J1777">
        <v>39182.532024799068</v>
      </c>
    </row>
    <row r="1778" spans="1:10">
      <c r="A1778" s="1">
        <v>46174.725694444453</v>
      </c>
      <c r="B1778">
        <v>-84.079775088590623</v>
      </c>
      <c r="C1778">
        <v>220051.05793887461</v>
      </c>
      <c r="D1778">
        <v>119856.56216915759</v>
      </c>
      <c r="E1778">
        <v>100194.495769717</v>
      </c>
      <c r="F1778">
        <v>0</v>
      </c>
      <c r="G1778">
        <v>4923.4290842474611</v>
      </c>
      <c r="H1778">
        <v>4839.3493091588707</v>
      </c>
      <c r="I1778">
        <v>44010.211587774917</v>
      </c>
      <c r="J1778">
        <v>39170.862278616049</v>
      </c>
    </row>
    <row r="1779" spans="1:10">
      <c r="A1779" s="3">
        <v>46174.726388888892</v>
      </c>
      <c r="B1779" s="4">
        <v>-64.630198116893638</v>
      </c>
      <c r="C1779" s="4">
        <v>220031.60836190291</v>
      </c>
      <c r="D1779" s="4">
        <v>119856.56216915759</v>
      </c>
      <c r="E1779" s="4">
        <v>100175.0461927453</v>
      </c>
      <c r="F1779" s="4">
        <v>0</v>
      </c>
      <c r="G1779" s="4">
        <v>4923.4290842474611</v>
      </c>
      <c r="H1779" s="4">
        <v>4858.7988861305676</v>
      </c>
      <c r="I1779" s="4">
        <v>44006.321672380582</v>
      </c>
      <c r="J1779" s="4">
        <v>39147.522786250018</v>
      </c>
    </row>
    <row r="1780" spans="1:10">
      <c r="A1780" s="3">
        <v>46174.727083333331</v>
      </c>
      <c r="B1780" s="4">
        <v>-45.180621145182812</v>
      </c>
      <c r="C1780" s="4">
        <v>220012.15878493121</v>
      </c>
      <c r="D1780" s="4">
        <v>119856.56216915759</v>
      </c>
      <c r="E1780" s="4">
        <v>100155.5966157736</v>
      </c>
      <c r="F1780" s="4">
        <v>0</v>
      </c>
      <c r="G1780" s="4">
        <v>4923.4290842474611</v>
      </c>
      <c r="H1780" s="4">
        <v>4878.248463102278</v>
      </c>
      <c r="I1780" s="4">
        <v>44002.43175698624</v>
      </c>
      <c r="J1780" s="4">
        <v>39124.183293883973</v>
      </c>
    </row>
    <row r="1781" spans="1:10">
      <c r="A1781" s="3">
        <v>46174.727777777778</v>
      </c>
      <c r="B1781" s="4">
        <v>-186.8974915382453</v>
      </c>
      <c r="C1781" s="4">
        <v>219734.2948757362</v>
      </c>
      <c r="D1781" s="4">
        <v>119646.7717793636</v>
      </c>
      <c r="E1781" s="4">
        <v>100087.52309637261</v>
      </c>
      <c r="F1781" s="4">
        <v>0</v>
      </c>
      <c r="G1781" s="4">
        <v>4923.4290842474611</v>
      </c>
      <c r="H1781" s="4">
        <v>4736.5315927092161</v>
      </c>
      <c r="I1781" s="4">
        <v>43946.858975147246</v>
      </c>
      <c r="J1781" s="4">
        <v>39210.32738243803</v>
      </c>
    </row>
    <row r="1782" spans="1:10">
      <c r="A1782" s="1">
        <v>46174.728472222218</v>
      </c>
      <c r="B1782">
        <v>-157.72312608069291</v>
      </c>
      <c r="C1782">
        <v>219705.12051027859</v>
      </c>
      <c r="D1782">
        <v>119646.7717793636</v>
      </c>
      <c r="E1782">
        <v>100058.3487309151</v>
      </c>
      <c r="F1782">
        <v>0</v>
      </c>
      <c r="G1782">
        <v>4923.4290842474611</v>
      </c>
      <c r="H1782">
        <v>4765.7059581667681</v>
      </c>
      <c r="I1782">
        <v>43941.02410205573</v>
      </c>
      <c r="J1782">
        <v>39175.318143888959</v>
      </c>
    </row>
    <row r="1783" spans="1:10">
      <c r="A1783" s="1">
        <v>46174.729166666657</v>
      </c>
      <c r="B1783">
        <v>-203.20633490904791</v>
      </c>
      <c r="C1783">
        <v>219640.1877244786</v>
      </c>
      <c r="D1783">
        <v>119591.5637820493</v>
      </c>
      <c r="E1783">
        <v>100048.6239424292</v>
      </c>
      <c r="F1783">
        <v>0</v>
      </c>
      <c r="G1783">
        <v>4923.4290842474611</v>
      </c>
      <c r="H1783">
        <v>4720.2227493384135</v>
      </c>
      <c r="I1783">
        <v>43928.03754489572</v>
      </c>
      <c r="J1783">
        <v>39207.814795557308</v>
      </c>
    </row>
    <row r="1784" spans="1:10">
      <c r="A1784" s="1">
        <v>46174.729861111111</v>
      </c>
      <c r="B1784">
        <v>-154.5823924797985</v>
      </c>
      <c r="C1784">
        <v>219591.56378204931</v>
      </c>
      <c r="D1784">
        <v>119591.5637820493</v>
      </c>
      <c r="E1784">
        <v>100000</v>
      </c>
      <c r="F1784">
        <v>0</v>
      </c>
      <c r="G1784">
        <v>4923.4290842474611</v>
      </c>
      <c r="H1784">
        <v>4768.8466917676624</v>
      </c>
      <c r="I1784">
        <v>43918.312756409869</v>
      </c>
      <c r="J1784">
        <v>39149.466064642213</v>
      </c>
    </row>
    <row r="1785" spans="1:10">
      <c r="A1785" s="1">
        <v>46174.730555555558</v>
      </c>
      <c r="B1785">
        <v>-164.30718096565391</v>
      </c>
      <c r="C1785">
        <v>219601.28857053519</v>
      </c>
      <c r="D1785">
        <v>119591.5637820493</v>
      </c>
      <c r="E1785">
        <v>100009.7247884859</v>
      </c>
      <c r="F1785">
        <v>0</v>
      </c>
      <c r="G1785">
        <v>4923.4290842474611</v>
      </c>
      <c r="H1785">
        <v>4759.1219032818071</v>
      </c>
      <c r="I1785">
        <v>43920.257714107043</v>
      </c>
      <c r="J1785">
        <v>39161.135810825239</v>
      </c>
    </row>
    <row r="1786" spans="1:10">
      <c r="A1786" s="3">
        <v>46174.731249999997</v>
      </c>
      <c r="B1786" s="4">
        <v>-164.30718096565391</v>
      </c>
      <c r="C1786" s="4">
        <v>219601.28857053519</v>
      </c>
      <c r="D1786" s="4">
        <v>119591.5637820493</v>
      </c>
      <c r="E1786" s="4">
        <v>100009.7247884859</v>
      </c>
      <c r="F1786" s="4">
        <v>0</v>
      </c>
      <c r="G1786" s="4">
        <v>4923.4290842474611</v>
      </c>
      <c r="H1786" s="4">
        <v>4759.1219032818071</v>
      </c>
      <c r="I1786" s="4">
        <v>43920.257714107043</v>
      </c>
      <c r="J1786" s="4">
        <v>39161.135810825239</v>
      </c>
    </row>
    <row r="1787" spans="1:10">
      <c r="A1787" s="3">
        <v>46174.731944444437</v>
      </c>
      <c r="B1787" s="4">
        <v>-174.03196945149551</v>
      </c>
      <c r="C1787" s="4">
        <v>219611.01335902099</v>
      </c>
      <c r="D1787" s="4">
        <v>119591.5637820493</v>
      </c>
      <c r="E1787" s="4">
        <v>100019.4495769717</v>
      </c>
      <c r="F1787" s="4">
        <v>0</v>
      </c>
      <c r="G1787" s="4">
        <v>4923.4290842474611</v>
      </c>
      <c r="H1787" s="4">
        <v>4749.3971147959664</v>
      </c>
      <c r="I1787" s="4">
        <v>43922.202671804211</v>
      </c>
      <c r="J1787" s="4">
        <v>39172.805557008243</v>
      </c>
    </row>
    <row r="1788" spans="1:10">
      <c r="A1788" s="3">
        <v>46174.732638888891</v>
      </c>
      <c r="B1788" s="4">
        <v>-193.48154642320631</v>
      </c>
      <c r="C1788" s="4">
        <v>219630.46293599269</v>
      </c>
      <c r="D1788" s="4">
        <v>119591.5637820493</v>
      </c>
      <c r="E1788" s="4">
        <v>100038.89915394341</v>
      </c>
      <c r="F1788" s="4">
        <v>0</v>
      </c>
      <c r="G1788" s="4">
        <v>4923.4290842474611</v>
      </c>
      <c r="H1788" s="4">
        <v>4729.9475378242551</v>
      </c>
      <c r="I1788" s="4">
        <v>43926.092587198553</v>
      </c>
      <c r="J1788" s="4">
        <v>39196.145049374303</v>
      </c>
    </row>
    <row r="1789" spans="1:10">
      <c r="A1789" s="1">
        <v>46174.73333333333</v>
      </c>
      <c r="B1789">
        <v>-212.9311233949033</v>
      </c>
      <c r="C1789">
        <v>219649.91251296451</v>
      </c>
      <c r="D1789">
        <v>119591.5637820493</v>
      </c>
      <c r="E1789">
        <v>100058.3487309151</v>
      </c>
      <c r="F1789">
        <v>0</v>
      </c>
      <c r="G1789">
        <v>4923.4290842474611</v>
      </c>
      <c r="H1789">
        <v>4710.4979608525582</v>
      </c>
      <c r="I1789">
        <v>43929.982502592888</v>
      </c>
      <c r="J1789">
        <v>39219.484541740327</v>
      </c>
    </row>
    <row r="1790" spans="1:10">
      <c r="A1790" s="3">
        <v>46174.734027777777</v>
      </c>
      <c r="B1790" s="4">
        <v>-232.38070036660031</v>
      </c>
      <c r="C1790" s="4">
        <v>219669.36208993621</v>
      </c>
      <c r="D1790" s="4">
        <v>119591.5637820493</v>
      </c>
      <c r="E1790" s="4">
        <v>100077.7983078868</v>
      </c>
      <c r="F1790" s="4">
        <v>0</v>
      </c>
      <c r="G1790" s="4">
        <v>4923.4290842474611</v>
      </c>
      <c r="H1790" s="4">
        <v>4691.0483838808595</v>
      </c>
      <c r="I1790" s="4">
        <v>43933.872417987237</v>
      </c>
      <c r="J1790" s="4">
        <v>39242.824034106379</v>
      </c>
    </row>
    <row r="1791" spans="1:10">
      <c r="A1791" s="3">
        <v>46174.734722222223</v>
      </c>
      <c r="B1791" s="4">
        <v>-222.65591188075871</v>
      </c>
      <c r="C1791" s="4">
        <v>219659.6373014503</v>
      </c>
      <c r="D1791" s="4">
        <v>119591.5637820493</v>
      </c>
      <c r="E1791" s="4">
        <v>100068.073519401</v>
      </c>
      <c r="F1791" s="4">
        <v>0</v>
      </c>
      <c r="G1791" s="4">
        <v>4923.4290842474611</v>
      </c>
      <c r="H1791" s="4">
        <v>4700.7731723667021</v>
      </c>
      <c r="I1791" s="4">
        <v>43931.927460290062</v>
      </c>
      <c r="J1791" s="4">
        <v>39231.15428792336</v>
      </c>
    </row>
    <row r="1792" spans="1:10">
      <c r="A1792" s="3">
        <v>46174.73541666667</v>
      </c>
      <c r="B1792" s="4">
        <v>-212.9311233949033</v>
      </c>
      <c r="C1792" s="4">
        <v>219649.91251296451</v>
      </c>
      <c r="D1792" s="4">
        <v>119591.5637820493</v>
      </c>
      <c r="E1792" s="4">
        <v>100058.3487309151</v>
      </c>
      <c r="F1792" s="4">
        <v>0</v>
      </c>
      <c r="G1792" s="4">
        <v>4923.4290842474611</v>
      </c>
      <c r="H1792" s="4">
        <v>4710.4979608525582</v>
      </c>
      <c r="I1792" s="4">
        <v>43929.982502592888</v>
      </c>
      <c r="J1792" s="4">
        <v>39219.484541740327</v>
      </c>
    </row>
    <row r="1793" spans="1:10">
      <c r="A1793" s="1">
        <v>46174.736111111109</v>
      </c>
      <c r="B1793">
        <v>-232.38070036660031</v>
      </c>
      <c r="C1793">
        <v>219669.36208993621</v>
      </c>
      <c r="D1793">
        <v>119591.5637820493</v>
      </c>
      <c r="E1793">
        <v>100077.7983078868</v>
      </c>
      <c r="F1793">
        <v>0</v>
      </c>
      <c r="G1793">
        <v>4923.4290842474611</v>
      </c>
      <c r="H1793">
        <v>4691.0483838808595</v>
      </c>
      <c r="I1793">
        <v>43933.872417987237</v>
      </c>
      <c r="J1793">
        <v>39242.824034106379</v>
      </c>
    </row>
    <row r="1794" spans="1:10">
      <c r="A1794" s="1">
        <v>46174.736805555563</v>
      </c>
      <c r="B1794">
        <v>0</v>
      </c>
      <c r="C1794">
        <v>0</v>
      </c>
      <c r="D1794">
        <v>0</v>
      </c>
      <c r="E1794">
        <v>0</v>
      </c>
      <c r="F1794">
        <v>-127.7967923235464</v>
      </c>
      <c r="G1794">
        <v>4795.6322919239146</v>
      </c>
      <c r="H1794">
        <v>4795.6322919239146</v>
      </c>
      <c r="I1794">
        <v>0</v>
      </c>
      <c r="J1794">
        <v>-4795.6322919239146</v>
      </c>
    </row>
    <row r="1795" spans="1:10">
      <c r="A1795" s="1">
        <v>46176.77847222222</v>
      </c>
      <c r="B1795">
        <v>0</v>
      </c>
      <c r="C1795">
        <v>219746.1461745291</v>
      </c>
      <c r="D1795">
        <v>100000</v>
      </c>
      <c r="E1795">
        <v>119746.1461745291</v>
      </c>
      <c r="F1795">
        <v>0</v>
      </c>
      <c r="G1795">
        <v>4795.6322919239146</v>
      </c>
      <c r="H1795">
        <v>4795.6322919239146</v>
      </c>
      <c r="I1795">
        <v>43949.229234905833</v>
      </c>
      <c r="J1795">
        <v>39153.596942981909</v>
      </c>
    </row>
    <row r="1796" spans="1:10">
      <c r="A1796" s="3">
        <v>46176.779166666667</v>
      </c>
      <c r="B1796" s="4">
        <v>0</v>
      </c>
      <c r="C1796" s="4">
        <v>219746.1461745291</v>
      </c>
      <c r="D1796" s="4">
        <v>100000</v>
      </c>
      <c r="E1796" s="4">
        <v>119746.1461745291</v>
      </c>
      <c r="F1796" s="4">
        <v>0</v>
      </c>
      <c r="G1796" s="4">
        <v>4795.6322919239146</v>
      </c>
      <c r="H1796" s="4">
        <v>4795.6322919239146</v>
      </c>
      <c r="I1796" s="4">
        <v>43949.229234905833</v>
      </c>
      <c r="J1796" s="4">
        <v>39153.596942981909</v>
      </c>
    </row>
    <row r="1797" spans="1:10">
      <c r="A1797" s="3">
        <v>46176.779861111107</v>
      </c>
      <c r="B1797" s="4">
        <v>9.6132990486935554</v>
      </c>
      <c r="C1797" s="4">
        <v>219793.84493966991</v>
      </c>
      <c r="D1797" s="4">
        <v>100028.6560320948</v>
      </c>
      <c r="E1797" s="4">
        <v>119765.1889075752</v>
      </c>
      <c r="F1797" s="4">
        <v>0</v>
      </c>
      <c r="G1797" s="4">
        <v>4795.6322919239146</v>
      </c>
      <c r="H1797" s="4">
        <v>4805.2455909726086</v>
      </c>
      <c r="I1797" s="4">
        <v>43958.768987933989</v>
      </c>
      <c r="J1797" s="4">
        <v>39153.523396961376</v>
      </c>
    </row>
    <row r="1798" spans="1:10">
      <c r="A1798" s="1">
        <v>46176.780555555553</v>
      </c>
      <c r="B1798">
        <v>-38.146754442563648</v>
      </c>
      <c r="C1798">
        <v>219746.08488617869</v>
      </c>
      <c r="D1798">
        <v>99980.895978603497</v>
      </c>
      <c r="E1798">
        <v>119765.1889075752</v>
      </c>
      <c r="F1798">
        <v>0</v>
      </c>
      <c r="G1798">
        <v>4795.6322919239146</v>
      </c>
      <c r="H1798">
        <v>4757.4855374813505</v>
      </c>
      <c r="I1798">
        <v>43949.216977235737</v>
      </c>
      <c r="J1798">
        <v>39191.731439754403</v>
      </c>
    </row>
    <row r="1799" spans="1:10">
      <c r="A1799" s="3">
        <v>46176.78125</v>
      </c>
      <c r="B1799" s="4">
        <v>-57.250775839063813</v>
      </c>
      <c r="C1799" s="4">
        <v>219726.98086478221</v>
      </c>
      <c r="D1799" s="4">
        <v>99961.79195720701</v>
      </c>
      <c r="E1799" s="4">
        <v>119765.1889075752</v>
      </c>
      <c r="F1799" s="4">
        <v>0</v>
      </c>
      <c r="G1799" s="4">
        <v>4795.6322919239146</v>
      </c>
      <c r="H1799" s="4">
        <v>4738.3815160848508</v>
      </c>
      <c r="I1799" s="4">
        <v>43945.396172956447</v>
      </c>
      <c r="J1799" s="4">
        <v>39207.014656871594</v>
      </c>
    </row>
    <row r="1800" spans="1:10">
      <c r="A1800" s="1">
        <v>46176.781944444447</v>
      </c>
      <c r="B1800">
        <v>-66.802786537320671</v>
      </c>
      <c r="C1800">
        <v>219717.4288540839</v>
      </c>
      <c r="D1800">
        <v>99952.239946508751</v>
      </c>
      <c r="E1800">
        <v>119765.1889075752</v>
      </c>
      <c r="F1800">
        <v>0</v>
      </c>
      <c r="G1800">
        <v>4795.6322919239146</v>
      </c>
      <c r="H1800">
        <v>4728.8295053865941</v>
      </c>
      <c r="I1800">
        <v>43943.485770816791</v>
      </c>
      <c r="J1800">
        <v>39214.656265430203</v>
      </c>
    </row>
    <row r="1801" spans="1:10">
      <c r="A1801" s="1">
        <v>46176.782638888893</v>
      </c>
      <c r="B1801">
        <v>119.6971791466958</v>
      </c>
      <c r="C1801">
        <v>219626.44899538241</v>
      </c>
      <c r="D1801">
        <v>100000</v>
      </c>
      <c r="E1801">
        <v>119626.44899538239</v>
      </c>
      <c r="F1801">
        <v>0</v>
      </c>
      <c r="G1801">
        <v>4795.6322919239146</v>
      </c>
      <c r="H1801">
        <v>4915.3294710706105</v>
      </c>
      <c r="I1801">
        <v>43925.28979907649</v>
      </c>
      <c r="J1801">
        <v>39009.96032800588</v>
      </c>
    </row>
    <row r="1802" spans="1:10">
      <c r="A1802" s="1">
        <v>46176.783333333333</v>
      </c>
      <c r="B1802">
        <v>138.8012005431959</v>
      </c>
      <c r="C1802">
        <v>219645.55301677901</v>
      </c>
      <c r="D1802">
        <v>100019.1040213965</v>
      </c>
      <c r="E1802">
        <v>119626.44899538239</v>
      </c>
      <c r="F1802">
        <v>0</v>
      </c>
      <c r="G1802">
        <v>4795.6322919239146</v>
      </c>
      <c r="H1802">
        <v>4934.4334924671102</v>
      </c>
      <c r="I1802">
        <v>43929.110603355803</v>
      </c>
      <c r="J1802">
        <v>38994.677110888682</v>
      </c>
    </row>
    <row r="1803" spans="1:10">
      <c r="A1803" s="3">
        <v>46176.78402777778</v>
      </c>
      <c r="B1803" s="4">
        <v>119.6971791466958</v>
      </c>
      <c r="C1803" s="4">
        <v>219626.44899538241</v>
      </c>
      <c r="D1803" s="4">
        <v>100000</v>
      </c>
      <c r="E1803" s="4">
        <v>119626.44899538239</v>
      </c>
      <c r="F1803" s="4">
        <v>0</v>
      </c>
      <c r="G1803" s="4">
        <v>4795.6322919239146</v>
      </c>
      <c r="H1803" s="4">
        <v>4915.3294710706105</v>
      </c>
      <c r="I1803" s="4">
        <v>43925.28979907649</v>
      </c>
      <c r="J1803" s="4">
        <v>39009.96032800588</v>
      </c>
    </row>
    <row r="1804" spans="1:10">
      <c r="A1804" s="3">
        <v>46176.784722222219</v>
      </c>
      <c r="B1804" s="4">
        <v>0</v>
      </c>
      <c r="C1804" s="4">
        <v>0</v>
      </c>
      <c r="D1804" s="4">
        <v>0</v>
      </c>
      <c r="E1804" s="4">
        <v>0</v>
      </c>
      <c r="F1804" s="4">
        <v>89.419339351629873</v>
      </c>
      <c r="G1804" s="4">
        <v>4885.0516312755444</v>
      </c>
      <c r="H1804" s="4">
        <v>4885.0516312755444</v>
      </c>
      <c r="I1804" s="4">
        <v>0</v>
      </c>
      <c r="J1804" s="4">
        <v>-4885.0516312755444</v>
      </c>
    </row>
    <row r="1805" spans="1:10">
      <c r="A1805" s="3">
        <v>46181.834027777782</v>
      </c>
      <c r="B1805" s="4">
        <v>0</v>
      </c>
      <c r="C1805" s="4">
        <v>171674.20322451679</v>
      </c>
      <c r="D1805" s="4">
        <v>100000</v>
      </c>
      <c r="E1805" s="4">
        <v>71674.203224516838</v>
      </c>
      <c r="F1805" s="4">
        <v>0</v>
      </c>
      <c r="G1805" s="4">
        <v>4885.0516312755444</v>
      </c>
      <c r="H1805" s="4">
        <v>4885.0516312755444</v>
      </c>
      <c r="I1805" s="4">
        <v>34334.840644903357</v>
      </c>
      <c r="J1805" s="4">
        <v>29449.789013627818</v>
      </c>
    </row>
    <row r="1806" spans="1:10">
      <c r="A1806" s="1">
        <v>46181.834722222222</v>
      </c>
      <c r="B1806">
        <v>50.205134702594762</v>
      </c>
      <c r="C1806">
        <v>171768.2592024281</v>
      </c>
      <c r="D1806">
        <v>100072.1305563069</v>
      </c>
      <c r="E1806">
        <v>71696.128646121157</v>
      </c>
      <c r="F1806">
        <v>0</v>
      </c>
      <c r="G1806">
        <v>4885.0516312755444</v>
      </c>
      <c r="H1806">
        <v>4935.2567659781389</v>
      </c>
      <c r="I1806">
        <v>34353.651840485618</v>
      </c>
      <c r="J1806">
        <v>29418.39507450748</v>
      </c>
    </row>
    <row r="1807" spans="1:10">
      <c r="A1807" s="3">
        <v>46181.835416666669</v>
      </c>
      <c r="B1807" s="4">
        <v>49.72804351551919</v>
      </c>
      <c r="C1807" s="4">
        <v>171840.86684992211</v>
      </c>
      <c r="D1807" s="4">
        <v>100108.19583446041</v>
      </c>
      <c r="E1807" s="4">
        <v>71732.671015461689</v>
      </c>
      <c r="F1807" s="4">
        <v>0</v>
      </c>
      <c r="G1807" s="4">
        <v>4885.0516312755444</v>
      </c>
      <c r="H1807" s="4">
        <v>4934.7796747910634</v>
      </c>
      <c r="I1807" s="4">
        <v>34368.173369984412</v>
      </c>
      <c r="J1807" s="4">
        <v>29433.39369519335</v>
      </c>
    </row>
    <row r="1808" spans="1:10">
      <c r="A1808" s="3">
        <v>46181.836111111108</v>
      </c>
      <c r="B1808" s="4">
        <v>53.143734856035117</v>
      </c>
      <c r="C1808" s="4">
        <v>171873.51643673499</v>
      </c>
      <c r="D1808" s="4">
        <v>100126.22847353711</v>
      </c>
      <c r="E1808" s="4">
        <v>71747.287963197901</v>
      </c>
      <c r="F1808" s="4">
        <v>0</v>
      </c>
      <c r="G1808" s="4">
        <v>4885.0516312755444</v>
      </c>
      <c r="H1808" s="4">
        <v>4938.1953661315792</v>
      </c>
      <c r="I1808" s="4">
        <v>34374.703287347002</v>
      </c>
      <c r="J1808" s="4">
        <v>29436.50792121542</v>
      </c>
    </row>
    <row r="1809" spans="1:10">
      <c r="A1809" s="1">
        <v>46181.836805555547</v>
      </c>
      <c r="B1809">
        <v>73.361310790107993</v>
      </c>
      <c r="C1809">
        <v>171835.26622172419</v>
      </c>
      <c r="D1809">
        <v>100117.2121539988</v>
      </c>
      <c r="E1809">
        <v>71718.054067725476</v>
      </c>
      <c r="F1809">
        <v>0</v>
      </c>
      <c r="G1809">
        <v>4885.0516312755444</v>
      </c>
      <c r="H1809">
        <v>4958.4129420656527</v>
      </c>
      <c r="I1809">
        <v>34367.053244344846</v>
      </c>
      <c r="J1809">
        <v>29408.640302279189</v>
      </c>
    </row>
    <row r="1810" spans="1:10">
      <c r="A1810" s="1">
        <v>46181.837500000001</v>
      </c>
      <c r="B1810">
        <v>71.653465119838415</v>
      </c>
      <c r="C1810">
        <v>171818.94142831769</v>
      </c>
      <c r="D1810">
        <v>100108.19583446041</v>
      </c>
      <c r="E1810">
        <v>71710.745593857369</v>
      </c>
      <c r="F1810">
        <v>0</v>
      </c>
      <c r="G1810">
        <v>4885.0516312755444</v>
      </c>
      <c r="H1810">
        <v>4956.7050963953816</v>
      </c>
      <c r="I1810">
        <v>34363.788285663548</v>
      </c>
      <c r="J1810">
        <v>29407.083189268171</v>
      </c>
    </row>
    <row r="1811" spans="1:10">
      <c r="A1811" s="1">
        <v>46181.838194444441</v>
      </c>
      <c r="B1811">
        <v>49.72804351551919</v>
      </c>
      <c r="C1811">
        <v>171840.86684992211</v>
      </c>
      <c r="D1811">
        <v>100108.19583446041</v>
      </c>
      <c r="E1811">
        <v>71732.671015461689</v>
      </c>
      <c r="F1811">
        <v>0</v>
      </c>
      <c r="G1811">
        <v>4885.0516312755444</v>
      </c>
      <c r="H1811">
        <v>4934.7796747910634</v>
      </c>
      <c r="I1811">
        <v>34368.173369984412</v>
      </c>
      <c r="J1811">
        <v>29433.39369519335</v>
      </c>
    </row>
    <row r="1812" spans="1:10">
      <c r="A1812" s="3">
        <v>46181.838888888888</v>
      </c>
      <c r="B1812" s="4">
        <v>64.344991251738932</v>
      </c>
      <c r="C1812" s="4">
        <v>171826.2499021859</v>
      </c>
      <c r="D1812" s="4">
        <v>100108.19583446041</v>
      </c>
      <c r="E1812" s="4">
        <v>71718.054067725476</v>
      </c>
      <c r="F1812" s="4">
        <v>0</v>
      </c>
      <c r="G1812" s="4">
        <v>4885.0516312755444</v>
      </c>
      <c r="H1812" s="4">
        <v>4949.3966225272834</v>
      </c>
      <c r="I1812" s="4">
        <v>34365.249980437176</v>
      </c>
      <c r="J1812" s="4">
        <v>29415.853357909891</v>
      </c>
    </row>
    <row r="1813" spans="1:10">
      <c r="A1813" s="3">
        <v>46181.839583333327</v>
      </c>
      <c r="B1813" s="4">
        <v>49.72804351551919</v>
      </c>
      <c r="C1813" s="4">
        <v>171840.86684992211</v>
      </c>
      <c r="D1813" s="4">
        <v>100108.19583446041</v>
      </c>
      <c r="E1813" s="4">
        <v>71732.671015461689</v>
      </c>
      <c r="F1813" s="4">
        <v>0</v>
      </c>
      <c r="G1813" s="4">
        <v>4885.0516312755444</v>
      </c>
      <c r="H1813" s="4">
        <v>4934.7796747910634</v>
      </c>
      <c r="I1813" s="4">
        <v>34368.173369984412</v>
      </c>
      <c r="J1813" s="4">
        <v>29433.39369519335</v>
      </c>
    </row>
    <row r="1814" spans="1:10">
      <c r="A1814" s="1">
        <v>46181.840277777781</v>
      </c>
      <c r="B1814">
        <v>1.230754483181187</v>
      </c>
      <c r="C1814">
        <v>171763.1356654173</v>
      </c>
      <c r="D1814">
        <v>100045.08159769179</v>
      </c>
      <c r="E1814">
        <v>71718.054067725476</v>
      </c>
      <c r="F1814">
        <v>0</v>
      </c>
      <c r="G1814">
        <v>4885.0516312755444</v>
      </c>
      <c r="H1814">
        <v>4886.2823857587246</v>
      </c>
      <c r="I1814">
        <v>34352.627133083457</v>
      </c>
      <c r="J1814">
        <v>29466.34474732474</v>
      </c>
    </row>
    <row r="1815" spans="1:10">
      <c r="A1815" s="1">
        <v>46181.84097222222</v>
      </c>
      <c r="B1815">
        <v>-45.558688878895211</v>
      </c>
      <c r="C1815">
        <v>171701.72927431899</v>
      </c>
      <c r="D1815">
        <v>99990.98368046165</v>
      </c>
      <c r="E1815">
        <v>71710.745593857369</v>
      </c>
      <c r="F1815">
        <v>0</v>
      </c>
      <c r="G1815">
        <v>4885.0516312755444</v>
      </c>
      <c r="H1815">
        <v>4839.4929423966496</v>
      </c>
      <c r="I1815">
        <v>34340.345854863808</v>
      </c>
      <c r="J1815">
        <v>29500.852912467159</v>
      </c>
    </row>
    <row r="1816" spans="1:10">
      <c r="A1816" s="3">
        <v>46181.841666666667</v>
      </c>
      <c r="B1816" s="4">
        <v>-7.7855650551750557</v>
      </c>
      <c r="C1816" s="4">
        <v>171754.11934587889</v>
      </c>
      <c r="D1816" s="4">
        <v>100036.0652781535</v>
      </c>
      <c r="E1816" s="4">
        <v>71718.054067725476</v>
      </c>
      <c r="F1816" s="4">
        <v>0</v>
      </c>
      <c r="G1816" s="4">
        <v>4885.0516312755444</v>
      </c>
      <c r="H1816" s="4">
        <v>4877.2660662203698</v>
      </c>
      <c r="I1816" s="4">
        <v>34350.823869175787</v>
      </c>
      <c r="J1816" s="4">
        <v>29473.55780295542</v>
      </c>
    </row>
    <row r="1817" spans="1:10">
      <c r="A1817" s="1">
        <v>46181.842361111107</v>
      </c>
      <c r="B1817">
        <v>-46.035780065973199</v>
      </c>
      <c r="C1817">
        <v>171774.336921813</v>
      </c>
      <c r="D1817">
        <v>100027.04895861509</v>
      </c>
      <c r="E1817">
        <v>71747.287963197901</v>
      </c>
      <c r="F1817">
        <v>0</v>
      </c>
      <c r="G1817">
        <v>4885.0516312755444</v>
      </c>
      <c r="H1817">
        <v>4839.0158512095713</v>
      </c>
      <c r="I1817">
        <v>34354.867384362602</v>
      </c>
      <c r="J1817">
        <v>29515.851533153029</v>
      </c>
    </row>
    <row r="1818" spans="1:10">
      <c r="A1818" s="3">
        <v>46181.843055555553</v>
      </c>
      <c r="B1818" s="4">
        <v>-60.175636615104573</v>
      </c>
      <c r="C1818" s="4">
        <v>171716.3462220552</v>
      </c>
      <c r="D1818" s="4">
        <v>99990.98368046165</v>
      </c>
      <c r="E1818" s="4">
        <v>71725.362541593582</v>
      </c>
      <c r="F1818" s="4">
        <v>0</v>
      </c>
      <c r="G1818" s="4">
        <v>4885.0516312755444</v>
      </c>
      <c r="H1818" s="4">
        <v>4824.8759946604396</v>
      </c>
      <c r="I1818" s="4">
        <v>34343.269244411051</v>
      </c>
      <c r="J1818" s="4">
        <v>29518.39324975061</v>
      </c>
    </row>
    <row r="1819" spans="1:10">
      <c r="A1819" s="3">
        <v>46181.84375</v>
      </c>
      <c r="B1819" s="4">
        <v>-96.240914768567961</v>
      </c>
      <c r="C1819" s="4">
        <v>171680.2809439018</v>
      </c>
      <c r="D1819" s="4">
        <v>99954.918402308191</v>
      </c>
      <c r="E1819" s="4">
        <v>71725.362541593582</v>
      </c>
      <c r="F1819" s="4">
        <v>0</v>
      </c>
      <c r="G1819" s="4">
        <v>4885.0516312755444</v>
      </c>
      <c r="H1819" s="4">
        <v>4788.8107165069769</v>
      </c>
      <c r="I1819" s="4">
        <v>34336.056188780363</v>
      </c>
      <c r="J1819" s="4">
        <v>29547.245472273378</v>
      </c>
    </row>
    <row r="1820" spans="1:10">
      <c r="A1820" s="3">
        <v>46181.844444444447</v>
      </c>
      <c r="B1820" s="4">
        <v>-5.6006281978506891</v>
      </c>
      <c r="C1820" s="4">
        <v>171697.83649179139</v>
      </c>
      <c r="D1820" s="4">
        <v>100009.01631953839</v>
      </c>
      <c r="E1820" s="4">
        <v>71688.82017225305</v>
      </c>
      <c r="F1820" s="4">
        <v>0</v>
      </c>
      <c r="G1820" s="4">
        <v>4885.0516312755444</v>
      </c>
      <c r="H1820" s="4">
        <v>4879.4510030776937</v>
      </c>
      <c r="I1820" s="4">
        <v>34339.567298358277</v>
      </c>
      <c r="J1820" s="4">
        <v>29460.11629528059</v>
      </c>
    </row>
    <row r="1821" spans="1:10">
      <c r="A1821" s="3">
        <v>46181.845138888893</v>
      </c>
      <c r="B1821" s="4">
        <v>-11.20125639569099</v>
      </c>
      <c r="C1821" s="4">
        <v>171721.46975906601</v>
      </c>
      <c r="D1821" s="4">
        <v>100018.0326390767</v>
      </c>
      <c r="E1821" s="4">
        <v>71703.437119989263</v>
      </c>
      <c r="F1821" s="4">
        <v>0</v>
      </c>
      <c r="G1821" s="4">
        <v>4885.0516312755444</v>
      </c>
      <c r="H1821" s="4">
        <v>4873.850374879853</v>
      </c>
      <c r="I1821" s="4">
        <v>34344.293951813197</v>
      </c>
      <c r="J1821" s="4">
        <v>29470.44357693335</v>
      </c>
    </row>
    <row r="1822" spans="1:10">
      <c r="A1822" s="1">
        <v>46181.845833333333</v>
      </c>
      <c r="B1822">
        <v>0</v>
      </c>
      <c r="C1822">
        <v>0</v>
      </c>
      <c r="D1822">
        <v>0</v>
      </c>
      <c r="E1822">
        <v>0</v>
      </c>
      <c r="F1822">
        <v>-38.231960547675627</v>
      </c>
      <c r="G1822">
        <v>4846.8196707278676</v>
      </c>
      <c r="H1822">
        <v>4846.8196707278676</v>
      </c>
      <c r="I1822">
        <v>0</v>
      </c>
      <c r="J1822">
        <v>-4846.8196707278676</v>
      </c>
    </row>
    <row r="1823" spans="1:10">
      <c r="A1823" s="1">
        <v>46182.604166666657</v>
      </c>
      <c r="B1823">
        <v>0</v>
      </c>
      <c r="C1823">
        <v>171674.20322451679</v>
      </c>
      <c r="D1823">
        <v>71674.203224516838</v>
      </c>
      <c r="E1823">
        <v>100000</v>
      </c>
      <c r="F1823">
        <v>0</v>
      </c>
      <c r="G1823">
        <v>4846.8196707278676</v>
      </c>
      <c r="H1823">
        <v>4846.8196707278676</v>
      </c>
      <c r="I1823">
        <v>34334.840644903357</v>
      </c>
      <c r="J1823">
        <v>29488.020974175499</v>
      </c>
    </row>
    <row r="1824" spans="1:10">
      <c r="A1824" s="1">
        <v>46182.604861111111</v>
      </c>
      <c r="B1824">
        <v>-86.937744225048874</v>
      </c>
      <c r="C1824">
        <v>172123.93810998759</v>
      </c>
      <c r="D1824">
        <v>71855.601795139723</v>
      </c>
      <c r="E1824">
        <v>100268.3363148479</v>
      </c>
      <c r="F1824">
        <v>0</v>
      </c>
      <c r="G1824">
        <v>4846.8196707278676</v>
      </c>
      <c r="H1824">
        <v>4759.8819265028196</v>
      </c>
      <c r="I1824">
        <v>34424.78762199753</v>
      </c>
      <c r="J1824">
        <v>29664.905695494708</v>
      </c>
    </row>
    <row r="1825" spans="1:10">
      <c r="A1825" s="3">
        <v>46182.605555555558</v>
      </c>
      <c r="B1825" s="4">
        <v>175.14570542101819</v>
      </c>
      <c r="C1825" s="4">
        <v>171992.46163119009</v>
      </c>
      <c r="D1825" s="4">
        <v>71920.905280563966</v>
      </c>
      <c r="E1825" s="4">
        <v>100071.5563506261</v>
      </c>
      <c r="F1825" s="4">
        <v>0</v>
      </c>
      <c r="G1825" s="4">
        <v>4846.8196707278676</v>
      </c>
      <c r="H1825" s="4">
        <v>5021.9653761488862</v>
      </c>
      <c r="I1825" s="4">
        <v>34398.492326238018</v>
      </c>
      <c r="J1825" s="4">
        <v>29376.52695008913</v>
      </c>
    </row>
    <row r="1826" spans="1:10">
      <c r="A1826" s="3">
        <v>46182.606249999997</v>
      </c>
      <c r="B1826" s="4">
        <v>-4.1131402818718934</v>
      </c>
      <c r="C1826" s="4">
        <v>172636.10081768761</v>
      </c>
      <c r="D1826" s="4">
        <v>72153.095450961264</v>
      </c>
      <c r="E1826" s="4">
        <v>100483.0053667263</v>
      </c>
      <c r="F1826" s="4">
        <v>0</v>
      </c>
      <c r="G1826" s="4">
        <v>4846.8196707278676</v>
      </c>
      <c r="H1826" s="4">
        <v>4842.7065304459966</v>
      </c>
      <c r="I1826" s="4">
        <v>34527.220163537517</v>
      </c>
      <c r="J1826" s="4">
        <v>29684.513633091519</v>
      </c>
    </row>
    <row r="1827" spans="1:10">
      <c r="A1827" s="3">
        <v>46182.606944444437</v>
      </c>
      <c r="B1827" s="4">
        <v>168.02333227002839</v>
      </c>
      <c r="C1827" s="4">
        <v>172522.01188773499</v>
      </c>
      <c r="D1827" s="4">
        <v>72182.119222260924</v>
      </c>
      <c r="E1827" s="4">
        <v>100339.89266547409</v>
      </c>
      <c r="F1827" s="4">
        <v>0</v>
      </c>
      <c r="G1827" s="4">
        <v>4846.8196707278676</v>
      </c>
      <c r="H1827" s="4">
        <v>5014.8430029978972</v>
      </c>
      <c r="I1827" s="4">
        <v>34504.402377546998</v>
      </c>
      <c r="J1827" s="4">
        <v>29489.559374549099</v>
      </c>
    </row>
    <row r="1828" spans="1:10">
      <c r="A1828" s="3">
        <v>46182.607638888891</v>
      </c>
      <c r="B1828" s="4">
        <v>0</v>
      </c>
      <c r="C1828" s="4">
        <v>0</v>
      </c>
      <c r="D1828" s="4">
        <v>0</v>
      </c>
      <c r="E1828" s="4">
        <v>0</v>
      </c>
      <c r="F1828" s="4">
        <v>233.19975761756589</v>
      </c>
      <c r="G1828" s="4">
        <v>5080.0194283454348</v>
      </c>
      <c r="H1828" s="4">
        <v>5080.0194283454348</v>
      </c>
      <c r="I1828" s="4">
        <v>0</v>
      </c>
      <c r="J1828" s="4">
        <v>-5080.0194283454348</v>
      </c>
    </row>
    <row r="1829" spans="1:10">
      <c r="A1829" s="3">
        <v>46182.807638888888</v>
      </c>
      <c r="B1829" s="4">
        <v>0</v>
      </c>
      <c r="C1829" s="4">
        <v>171674.20322451679</v>
      </c>
      <c r="D1829" s="4">
        <v>100000</v>
      </c>
      <c r="E1829" s="4">
        <v>71674.203224516838</v>
      </c>
      <c r="F1829" s="4">
        <v>0</v>
      </c>
      <c r="G1829" s="4">
        <v>5080.0194283454348</v>
      </c>
      <c r="H1829" s="4">
        <v>5080.0194283454348</v>
      </c>
      <c r="I1829" s="4">
        <v>34334.840644903357</v>
      </c>
      <c r="J1829" s="4">
        <v>29254.821216557932</v>
      </c>
    </row>
    <row r="1830" spans="1:10">
      <c r="A1830" s="3">
        <v>46182.808333333327</v>
      </c>
      <c r="B1830" s="4">
        <v>58.947116502076327</v>
      </c>
      <c r="C1830" s="4">
        <v>171776.73453270301</v>
      </c>
      <c r="D1830" s="4">
        <v>100080.73921234409</v>
      </c>
      <c r="E1830" s="4">
        <v>71695.995320358896</v>
      </c>
      <c r="F1830" s="4">
        <v>0</v>
      </c>
      <c r="G1830" s="4">
        <v>5080.0194283454348</v>
      </c>
      <c r="H1830" s="4">
        <v>5138.9665448475107</v>
      </c>
      <c r="I1830" s="4">
        <v>34355.346906540603</v>
      </c>
      <c r="J1830" s="4">
        <v>29216.380361693089</v>
      </c>
    </row>
    <row r="1831" spans="1:10">
      <c r="A1831" s="3">
        <v>46182.809027777781</v>
      </c>
      <c r="B1831" s="4">
        <v>116.6233067192926</v>
      </c>
      <c r="C1831" s="4">
        <v>171790.82653123609</v>
      </c>
      <c r="D1831" s="4">
        <v>100116.6233067193</v>
      </c>
      <c r="E1831" s="4">
        <v>71674.203224516838</v>
      </c>
      <c r="F1831" s="4">
        <v>0</v>
      </c>
      <c r="G1831" s="4">
        <v>5080.0194283454348</v>
      </c>
      <c r="H1831" s="4">
        <v>5196.6427350647273</v>
      </c>
      <c r="I1831" s="4">
        <v>34358.165306247232</v>
      </c>
      <c r="J1831" s="4">
        <v>29161.522571182501</v>
      </c>
    </row>
    <row r="1832" spans="1:10">
      <c r="A1832" s="3">
        <v>46182.80972222222</v>
      </c>
      <c r="B1832" s="4">
        <v>98.681259531712058</v>
      </c>
      <c r="C1832" s="4">
        <v>171772.8844840485</v>
      </c>
      <c r="D1832" s="4">
        <v>100098.6812595317</v>
      </c>
      <c r="E1832" s="4">
        <v>71674.203224516838</v>
      </c>
      <c r="F1832" s="4">
        <v>0</v>
      </c>
      <c r="G1832" s="4">
        <v>5080.0194283454348</v>
      </c>
      <c r="H1832" s="4">
        <v>5178.7006878771472</v>
      </c>
      <c r="I1832" s="4">
        <v>34354.576896809704</v>
      </c>
      <c r="J1832" s="4">
        <v>29175.876208932561</v>
      </c>
    </row>
    <row r="1833" spans="1:10">
      <c r="A1833" s="1">
        <v>46182.810416666667</v>
      </c>
      <c r="B1833">
        <v>84.153195637012033</v>
      </c>
      <c r="C1833">
        <v>171787.41254794321</v>
      </c>
      <c r="D1833">
        <v>100098.6812595317</v>
      </c>
      <c r="E1833">
        <v>71688.731288411538</v>
      </c>
      <c r="F1833">
        <v>0</v>
      </c>
      <c r="G1833">
        <v>5080.0194283454348</v>
      </c>
      <c r="H1833">
        <v>5164.1726239824466</v>
      </c>
      <c r="I1833">
        <v>34357.482509588648</v>
      </c>
      <c r="J1833">
        <v>29193.309885606199</v>
      </c>
    </row>
    <row r="1834" spans="1:10">
      <c r="A1834" s="3">
        <v>46182.811111111107</v>
      </c>
      <c r="B1834" s="4">
        <v>129.00831360596979</v>
      </c>
      <c r="C1834" s="4">
        <v>171832.26766591219</v>
      </c>
      <c r="D1834" s="4">
        <v>100143.5363775007</v>
      </c>
      <c r="E1834" s="4">
        <v>71688.731288411538</v>
      </c>
      <c r="F1834" s="4">
        <v>0</v>
      </c>
      <c r="G1834" s="4">
        <v>5080.0194283454348</v>
      </c>
      <c r="H1834" s="4">
        <v>5209.0277419514041</v>
      </c>
      <c r="I1834" s="4">
        <v>34366.453533182437</v>
      </c>
      <c r="J1834" s="4">
        <v>29157.425791231039</v>
      </c>
    </row>
    <row r="1835" spans="1:10">
      <c r="A1835" s="1">
        <v>46182.811805555553</v>
      </c>
      <c r="B1835">
        <v>114.48024971126971</v>
      </c>
      <c r="C1835">
        <v>171846.79572980691</v>
      </c>
      <c r="D1835">
        <v>100143.5363775007</v>
      </c>
      <c r="E1835">
        <v>71703.259352306239</v>
      </c>
      <c r="F1835">
        <v>0</v>
      </c>
      <c r="G1835">
        <v>5080.0194283454348</v>
      </c>
      <c r="H1835">
        <v>5194.4996780567044</v>
      </c>
      <c r="I1835">
        <v>34369.359145961382</v>
      </c>
      <c r="J1835">
        <v>29174.85946790468</v>
      </c>
    </row>
    <row r="1836" spans="1:10">
      <c r="A1836" s="3">
        <v>46182.8125</v>
      </c>
      <c r="B1836" s="4">
        <v>80.739212344131531</v>
      </c>
      <c r="C1836" s="4">
        <v>171754.94243686099</v>
      </c>
      <c r="D1836" s="4">
        <v>100080.73921234409</v>
      </c>
      <c r="E1836" s="4">
        <v>71674.203224516838</v>
      </c>
      <c r="F1836" s="4">
        <v>0</v>
      </c>
      <c r="G1836" s="4">
        <v>5080.0194283454348</v>
      </c>
      <c r="H1836" s="4">
        <v>5160.7586406895662</v>
      </c>
      <c r="I1836" s="4">
        <v>34350.988487372197</v>
      </c>
      <c r="J1836" s="4">
        <v>29190.229846682629</v>
      </c>
    </row>
    <row r="1837" spans="1:10">
      <c r="A1837" s="3">
        <v>46182.813194444447</v>
      </c>
      <c r="B1837" s="4">
        <v>73.911245758368082</v>
      </c>
      <c r="C1837" s="4">
        <v>171690.0022146964</v>
      </c>
      <c r="D1837" s="4">
        <v>100044.855117969</v>
      </c>
      <c r="E1837" s="4">
        <v>71645.147096727422</v>
      </c>
      <c r="F1837" s="4">
        <v>0</v>
      </c>
      <c r="G1837" s="4">
        <v>5080.0194283454348</v>
      </c>
      <c r="H1837" s="4">
        <v>5153.9306741038026</v>
      </c>
      <c r="I1837" s="4">
        <v>34338.000442939279</v>
      </c>
      <c r="J1837" s="4">
        <v>29184.069768835481</v>
      </c>
    </row>
    <row r="1838" spans="1:10">
      <c r="A1838" s="3">
        <v>46182.813888888893</v>
      </c>
      <c r="B1838" s="4">
        <v>32.47011108228056</v>
      </c>
      <c r="C1838" s="4">
        <v>171677.6172078097</v>
      </c>
      <c r="D1838" s="4">
        <v>100017.94204718759</v>
      </c>
      <c r="E1838" s="4">
        <v>71659.675160622137</v>
      </c>
      <c r="F1838" s="4">
        <v>0</v>
      </c>
      <c r="G1838" s="4">
        <v>5080.0194283454348</v>
      </c>
      <c r="H1838" s="4">
        <v>5112.4895394277146</v>
      </c>
      <c r="I1838" s="4">
        <v>34335.523441561942</v>
      </c>
      <c r="J1838" s="4">
        <v>29223.03390213423</v>
      </c>
    </row>
    <row r="1839" spans="1:10">
      <c r="A1839" s="1">
        <v>46182.814583333333</v>
      </c>
      <c r="B1839">
        <v>30.763119435851841</v>
      </c>
      <c r="C1839">
        <v>171661.3821522686</v>
      </c>
      <c r="D1839">
        <v>100008.9710235938</v>
      </c>
      <c r="E1839">
        <v>71652.411128674779</v>
      </c>
      <c r="F1839">
        <v>0</v>
      </c>
      <c r="G1839">
        <v>5080.0194283454348</v>
      </c>
      <c r="H1839">
        <v>5110.7825477812867</v>
      </c>
      <c r="I1839">
        <v>34332.27643045372</v>
      </c>
      <c r="J1839">
        <v>29221.493882672428</v>
      </c>
    </row>
    <row r="1840" spans="1:10">
      <c r="A1840" s="1">
        <v>46182.81527777778</v>
      </c>
      <c r="B1840">
        <v>68.354205457454384</v>
      </c>
      <c r="C1840">
        <v>171713.50130218489</v>
      </c>
      <c r="D1840">
        <v>100053.82614156271</v>
      </c>
      <c r="E1840">
        <v>71659.675160622137</v>
      </c>
      <c r="F1840">
        <v>0</v>
      </c>
      <c r="G1840">
        <v>5080.0194283454348</v>
      </c>
      <c r="H1840">
        <v>5148.3736338028893</v>
      </c>
      <c r="I1840">
        <v>34342.700260436977</v>
      </c>
      <c r="J1840">
        <v>29194.326626634091</v>
      </c>
    </row>
    <row r="1841" spans="1:10">
      <c r="A1841" s="1">
        <v>46182.815972222219</v>
      </c>
      <c r="B1841">
        <v>71.768188750334886</v>
      </c>
      <c r="C1841">
        <v>171745.97141326719</v>
      </c>
      <c r="D1841">
        <v>100071.7681887503</v>
      </c>
      <c r="E1841">
        <v>71674.203224516838</v>
      </c>
      <c r="F1841">
        <v>0</v>
      </c>
      <c r="G1841">
        <v>5080.0194283454348</v>
      </c>
      <c r="H1841">
        <v>5151.7876170957697</v>
      </c>
      <c r="I1841">
        <v>34349.194282653443</v>
      </c>
      <c r="J1841">
        <v>29197.406665557672</v>
      </c>
    </row>
    <row r="1842" spans="1:10">
      <c r="A1842" s="3">
        <v>46182.816666666673</v>
      </c>
      <c r="B1842" s="4">
        <v>62.797165156550989</v>
      </c>
      <c r="C1842" s="4">
        <v>171737.0003896734</v>
      </c>
      <c r="D1842" s="4">
        <v>100062.7971651565</v>
      </c>
      <c r="E1842" s="4">
        <v>71674.203224516838</v>
      </c>
      <c r="F1842" s="4">
        <v>0</v>
      </c>
      <c r="G1842" s="4">
        <v>5080.0194283454348</v>
      </c>
      <c r="H1842" s="4">
        <v>5142.8165935019861</v>
      </c>
      <c r="I1842" s="4">
        <v>34347.400077934682</v>
      </c>
      <c r="J1842" s="4">
        <v>29204.5834844327</v>
      </c>
    </row>
    <row r="1843" spans="1:10">
      <c r="A1843" s="1">
        <v>46182.817361111112</v>
      </c>
      <c r="B1843">
        <v>57.240124855634861</v>
      </c>
      <c r="C1843">
        <v>171760.49947716191</v>
      </c>
      <c r="D1843">
        <v>100071.7681887503</v>
      </c>
      <c r="E1843">
        <v>71688.731288411538</v>
      </c>
      <c r="F1843">
        <v>0</v>
      </c>
      <c r="G1843">
        <v>5080.0194283454348</v>
      </c>
      <c r="H1843">
        <v>5137.25955320107</v>
      </c>
      <c r="I1843">
        <v>34352.099895432373</v>
      </c>
      <c r="J1843">
        <v>29214.840342231299</v>
      </c>
    </row>
    <row r="1844" spans="1:10">
      <c r="A1844" s="1">
        <v>46182.818055555559</v>
      </c>
      <c r="B1844">
        <v>0</v>
      </c>
      <c r="C1844">
        <v>0</v>
      </c>
      <c r="D1844">
        <v>0</v>
      </c>
      <c r="E1844">
        <v>0</v>
      </c>
      <c r="F1844">
        <v>92.508671190728421</v>
      </c>
      <c r="G1844">
        <v>5172.5280995361636</v>
      </c>
      <c r="H1844">
        <v>5172.5280995361636</v>
      </c>
      <c r="I1844">
        <v>0</v>
      </c>
      <c r="J1844">
        <v>-5172.5280995361636</v>
      </c>
    </row>
    <row r="1845" spans="1:10">
      <c r="A1845" s="1">
        <v>46184.618750000001</v>
      </c>
      <c r="B1845">
        <v>0</v>
      </c>
      <c r="C1845">
        <v>171674.20322451679</v>
      </c>
      <c r="D1845">
        <v>100000</v>
      </c>
      <c r="E1845">
        <v>71674.203224516838</v>
      </c>
      <c r="F1845">
        <v>0</v>
      </c>
      <c r="G1845">
        <v>5172.5280995361636</v>
      </c>
      <c r="H1845">
        <v>5172.5280995361636</v>
      </c>
      <c r="I1845">
        <v>34334.840644903357</v>
      </c>
      <c r="J1845">
        <v>29162.3125453672</v>
      </c>
    </row>
    <row r="1846" spans="1:10">
      <c r="A1846" s="3">
        <v>46184.619444444441</v>
      </c>
      <c r="B1846" s="4">
        <v>44.640211347190963</v>
      </c>
      <c r="C1846" s="4">
        <v>171647.17639934321</v>
      </c>
      <c r="D1846" s="4">
        <v>100008.80669308671</v>
      </c>
      <c r="E1846" s="4">
        <v>71638.369706256402</v>
      </c>
      <c r="F1846" s="4">
        <v>0</v>
      </c>
      <c r="G1846" s="4">
        <v>5172.5280995361636</v>
      </c>
      <c r="H1846" s="4">
        <v>5217.1683108833549</v>
      </c>
      <c r="I1846" s="4">
        <v>34329.43527986863</v>
      </c>
      <c r="J1846" s="4">
        <v>29112.266968985281</v>
      </c>
    </row>
    <row r="1847" spans="1:10">
      <c r="A1847" s="3">
        <v>46184.620138888888</v>
      </c>
      <c r="B1847" s="4">
        <v>19.25337560815883</v>
      </c>
      <c r="C1847" s="4">
        <v>171707.79000742911</v>
      </c>
      <c r="D1847" s="4">
        <v>100026.42007926021</v>
      </c>
      <c r="E1847" s="4">
        <v>71681.369928168919</v>
      </c>
      <c r="F1847" s="4">
        <v>0</v>
      </c>
      <c r="G1847" s="4">
        <v>5172.5280995361636</v>
      </c>
      <c r="H1847" s="4">
        <v>5191.781475144322</v>
      </c>
      <c r="I1847" s="4">
        <v>34341.558001485828</v>
      </c>
      <c r="J1847" s="4">
        <v>29149.776526341509</v>
      </c>
    </row>
    <row r="1848" spans="1:10">
      <c r="A1848" s="3">
        <v>46184.620833333327</v>
      </c>
      <c r="B1848" s="4">
        <v>7.5932012598556753</v>
      </c>
      <c r="C1848" s="4">
        <v>171825.13049881841</v>
      </c>
      <c r="D1848" s="4">
        <v>100079.26023778071</v>
      </c>
      <c r="E1848" s="4">
        <v>71745.870261037693</v>
      </c>
      <c r="F1848" s="4">
        <v>0</v>
      </c>
      <c r="G1848" s="4">
        <v>5172.5280995361636</v>
      </c>
      <c r="H1848" s="4">
        <v>5180.1213007960196</v>
      </c>
      <c r="I1848" s="4">
        <v>34365.026099763687</v>
      </c>
      <c r="J1848" s="4">
        <v>29184.904798967669</v>
      </c>
    </row>
    <row r="1849" spans="1:10">
      <c r="A1849" s="3">
        <v>46184.621527777781</v>
      </c>
      <c r="B1849" s="4">
        <v>-109.7472901294026</v>
      </c>
      <c r="C1849" s="4">
        <v>171836.79067316669</v>
      </c>
      <c r="D1849" s="4">
        <v>100026.42007926021</v>
      </c>
      <c r="E1849" s="4">
        <v>71810.370593906482</v>
      </c>
      <c r="F1849" s="4">
        <v>0</v>
      </c>
      <c r="G1849" s="4">
        <v>5172.5280995361636</v>
      </c>
      <c r="H1849" s="4">
        <v>5062.7808094067614</v>
      </c>
      <c r="I1849" s="4">
        <v>34367.358134633338</v>
      </c>
      <c r="J1849" s="4">
        <v>29304.577325226579</v>
      </c>
    </row>
    <row r="1850" spans="1:10">
      <c r="A1850" s="3">
        <v>46184.62222222222</v>
      </c>
      <c r="B1850" s="4">
        <v>-78.407242565185271</v>
      </c>
      <c r="C1850" s="4">
        <v>171911.13094264339</v>
      </c>
      <c r="D1850" s="4">
        <v>100079.26023778071</v>
      </c>
      <c r="E1850" s="4">
        <v>71831.87070486274</v>
      </c>
      <c r="F1850" s="4">
        <v>0</v>
      </c>
      <c r="G1850" s="4">
        <v>5172.5280995361636</v>
      </c>
      <c r="H1850" s="4">
        <v>5094.1208569709779</v>
      </c>
      <c r="I1850" s="4">
        <v>34382.226188528693</v>
      </c>
      <c r="J1850" s="4">
        <v>29288.105331557719</v>
      </c>
    </row>
    <row r="1851" spans="1:10">
      <c r="A1851" s="1">
        <v>46184.622916666667</v>
      </c>
      <c r="B1851">
        <v>-74.520517782413378</v>
      </c>
      <c r="C1851">
        <v>171872.01744551369</v>
      </c>
      <c r="D1851">
        <v>100061.64685160721</v>
      </c>
      <c r="E1851">
        <v>71810.370593906482</v>
      </c>
      <c r="F1851">
        <v>0</v>
      </c>
      <c r="G1851">
        <v>5172.5280995361636</v>
      </c>
      <c r="H1851">
        <v>5098.0075817537499</v>
      </c>
      <c r="I1851">
        <v>34374.40348910274</v>
      </c>
      <c r="J1851">
        <v>29276.39590734899</v>
      </c>
    </row>
    <row r="1852" spans="1:10">
      <c r="A1852" s="3">
        <v>46184.623611111107</v>
      </c>
      <c r="B1852" s="4">
        <v>-53.020406826153163</v>
      </c>
      <c r="C1852" s="4">
        <v>171850.5173345574</v>
      </c>
      <c r="D1852" s="4">
        <v>100061.64685160721</v>
      </c>
      <c r="E1852" s="4">
        <v>71788.870482950224</v>
      </c>
      <c r="F1852" s="4">
        <v>0</v>
      </c>
      <c r="G1852" s="4">
        <v>5172.5280995361636</v>
      </c>
      <c r="H1852" s="4">
        <v>5119.5076927100108</v>
      </c>
      <c r="I1852" s="4">
        <v>34370.103466911489</v>
      </c>
      <c r="J1852" s="4">
        <v>29250.59577420148</v>
      </c>
    </row>
    <row r="1853" spans="1:10">
      <c r="A1853" s="1">
        <v>46184.624305555553</v>
      </c>
      <c r="B1853">
        <v>-52.413660912712032</v>
      </c>
      <c r="C1853">
        <v>171779.45704395001</v>
      </c>
      <c r="D1853">
        <v>100026.42007926021</v>
      </c>
      <c r="E1853">
        <v>71753.036964689789</v>
      </c>
      <c r="F1853">
        <v>0</v>
      </c>
      <c r="G1853">
        <v>5172.5280995361636</v>
      </c>
      <c r="H1853">
        <v>5120.1144386234519</v>
      </c>
      <c r="I1853">
        <v>34355.891408790012</v>
      </c>
      <c r="J1853">
        <v>29235.77697016656</v>
      </c>
    </row>
    <row r="1854" spans="1:10">
      <c r="A1854" s="3">
        <v>46184.625</v>
      </c>
      <c r="B1854" s="4">
        <v>-34.800274739223681</v>
      </c>
      <c r="C1854" s="4">
        <v>171797.07043012351</v>
      </c>
      <c r="D1854" s="4">
        <v>100044.03346543371</v>
      </c>
      <c r="E1854" s="4">
        <v>71753.036964689789</v>
      </c>
      <c r="F1854" s="4">
        <v>0</v>
      </c>
      <c r="G1854" s="4">
        <v>5172.5280995361636</v>
      </c>
      <c r="H1854" s="4">
        <v>5137.7278247969398</v>
      </c>
      <c r="I1854" s="4">
        <v>34359.414086024713</v>
      </c>
      <c r="J1854" s="4">
        <v>29221.686261227769</v>
      </c>
    </row>
    <row r="1855" spans="1:10">
      <c r="A1855" s="3">
        <v>46184.625694444447</v>
      </c>
      <c r="B1855" s="4">
        <v>4.1329740848493088</v>
      </c>
      <c r="C1855" s="4">
        <v>172022.3379739018</v>
      </c>
      <c r="D1855" s="4">
        <v>100176.1338617349</v>
      </c>
      <c r="E1855" s="4">
        <v>71846.204112166903</v>
      </c>
      <c r="F1855" s="4">
        <v>0</v>
      </c>
      <c r="G1855" s="4">
        <v>5172.5280995361636</v>
      </c>
      <c r="H1855" s="4">
        <v>5176.6610736210132</v>
      </c>
      <c r="I1855" s="4">
        <v>34404.46759478037</v>
      </c>
      <c r="J1855" s="4">
        <v>29227.80652115936</v>
      </c>
    </row>
    <row r="1856" spans="1:10">
      <c r="A1856" s="1">
        <v>46184.626388888893</v>
      </c>
      <c r="B1856">
        <v>53.266656128243099</v>
      </c>
      <c r="C1856">
        <v>171885.13736099101</v>
      </c>
      <c r="D1856">
        <v>100132.1003963012</v>
      </c>
      <c r="E1856">
        <v>71753.036964689789</v>
      </c>
      <c r="F1856">
        <v>0</v>
      </c>
      <c r="G1856">
        <v>5172.5280995361636</v>
      </c>
      <c r="H1856">
        <v>5225.7947556644067</v>
      </c>
      <c r="I1856">
        <v>34377.027472198199</v>
      </c>
      <c r="J1856">
        <v>29151.232716533788</v>
      </c>
    </row>
    <row r="1857" spans="1:10">
      <c r="A1857" s="3">
        <v>46184.627083333333</v>
      </c>
      <c r="B1857" s="4">
        <v>1.0332435212168389</v>
      </c>
      <c r="C1857" s="4">
        <v>171761.23691186309</v>
      </c>
      <c r="D1857" s="4">
        <v>100044.03346543371</v>
      </c>
      <c r="E1857" s="4">
        <v>71717.203446429354</v>
      </c>
      <c r="F1857" s="4">
        <v>0</v>
      </c>
      <c r="G1857" s="4">
        <v>5172.5280995361636</v>
      </c>
      <c r="H1857" s="4">
        <v>5173.5613430573803</v>
      </c>
      <c r="I1857" s="4">
        <v>34352.247382372618</v>
      </c>
      <c r="J1857" s="4">
        <v>29178.686039315238</v>
      </c>
    </row>
    <row r="1858" spans="1:10">
      <c r="A1858" s="3">
        <v>46184.62777777778</v>
      </c>
      <c r="B1858" s="4">
        <v>-210.3273905606809</v>
      </c>
      <c r="C1858" s="4">
        <v>171549.87627778121</v>
      </c>
      <c r="D1858" s="4">
        <v>99832.672831351825</v>
      </c>
      <c r="E1858" s="4">
        <v>71717.203446429354</v>
      </c>
      <c r="F1858" s="4">
        <v>0</v>
      </c>
      <c r="G1858" s="4">
        <v>5172.5280995361636</v>
      </c>
      <c r="H1858" s="4">
        <v>4962.2007089754816</v>
      </c>
      <c r="I1858" s="4">
        <v>34309.975255556237</v>
      </c>
      <c r="J1858" s="4">
        <v>29347.774546580749</v>
      </c>
    </row>
    <row r="1859" spans="1:10">
      <c r="A1859" s="1">
        <v>46184.628472222219</v>
      </c>
      <c r="B1859">
        <v>-248.04714755785909</v>
      </c>
      <c r="C1859">
        <v>171182.48815278799</v>
      </c>
      <c r="D1859">
        <v>99630.118890356665</v>
      </c>
      <c r="E1859">
        <v>71552.36926243137</v>
      </c>
      <c r="F1859">
        <v>0</v>
      </c>
      <c r="G1859">
        <v>5172.5280995361636</v>
      </c>
      <c r="H1859">
        <v>4924.4809519783048</v>
      </c>
      <c r="I1859">
        <v>34236.497630557613</v>
      </c>
      <c r="J1859">
        <v>29312.016678579301</v>
      </c>
    </row>
    <row r="1860" spans="1:10">
      <c r="A1860" s="3">
        <v>46184.629166666673</v>
      </c>
      <c r="B1860" s="4">
        <v>-231.647253211253</v>
      </c>
      <c r="C1860" s="4">
        <v>171342.22212017639</v>
      </c>
      <c r="D1860" s="4">
        <v>99718.185821224135</v>
      </c>
      <c r="E1860" s="4">
        <v>71624.036298952225</v>
      </c>
      <c r="F1860" s="4">
        <v>0</v>
      </c>
      <c r="G1860" s="4">
        <v>5172.5280995361636</v>
      </c>
      <c r="H1860" s="4">
        <v>4940.8808463249106</v>
      </c>
      <c r="I1860" s="4">
        <v>34268.444424035282</v>
      </c>
      <c r="J1860" s="4">
        <v>29327.56357771036</v>
      </c>
    </row>
    <row r="1861" spans="1:10">
      <c r="A1861" s="1">
        <v>46184.629861111112</v>
      </c>
      <c r="B1861">
        <v>-167.93391456161169</v>
      </c>
      <c r="C1861">
        <v>171577.93634647611</v>
      </c>
      <c r="D1861">
        <v>99867.89960369881</v>
      </c>
      <c r="E1861">
        <v>71710.036742777273</v>
      </c>
      <c r="F1861">
        <v>0</v>
      </c>
      <c r="G1861">
        <v>5172.5280995361636</v>
      </c>
      <c r="H1861">
        <v>5004.5941849745523</v>
      </c>
      <c r="I1861">
        <v>34315.587269295218</v>
      </c>
      <c r="J1861">
        <v>29310.993084320671</v>
      </c>
    </row>
    <row r="1862" spans="1:10">
      <c r="A1862" s="3">
        <v>46184.630555555559</v>
      </c>
      <c r="B1862" s="4">
        <v>-131.06715277996449</v>
      </c>
      <c r="C1862" s="4">
        <v>171629.1365155619</v>
      </c>
      <c r="D1862" s="4">
        <v>99911.933069132545</v>
      </c>
      <c r="E1862" s="4">
        <v>71717.203446429354</v>
      </c>
      <c r="F1862" s="4">
        <v>0</v>
      </c>
      <c r="G1862" s="4">
        <v>5172.5280995361636</v>
      </c>
      <c r="H1862" s="4">
        <v>5041.4609467561986</v>
      </c>
      <c r="I1862" s="4">
        <v>34325.827303112383</v>
      </c>
      <c r="J1862" s="4">
        <v>29284.366356356189</v>
      </c>
    </row>
    <row r="1863" spans="1:10">
      <c r="A1863" s="1">
        <v>46184.631249999999</v>
      </c>
      <c r="B1863">
        <v>-110.1737877371681</v>
      </c>
      <c r="C1863">
        <v>171678.696695213</v>
      </c>
      <c r="D1863">
        <v>99947.159841479515</v>
      </c>
      <c r="E1863">
        <v>71731.536853733531</v>
      </c>
      <c r="F1863">
        <v>0</v>
      </c>
      <c r="G1863">
        <v>5172.5280995361636</v>
      </c>
      <c r="H1863">
        <v>5062.3543117989957</v>
      </c>
      <c r="I1863">
        <v>34335.739339042608</v>
      </c>
      <c r="J1863">
        <v>29273.38502724361</v>
      </c>
    </row>
    <row r="1864" spans="1:10">
      <c r="A1864" s="1">
        <v>46184.631944444453</v>
      </c>
      <c r="B1864">
        <v>-149.71378247468229</v>
      </c>
      <c r="C1864">
        <v>171524.4894420421</v>
      </c>
      <c r="D1864">
        <v>99850.28621752531</v>
      </c>
      <c r="E1864">
        <v>71674.203224516838</v>
      </c>
      <c r="F1864">
        <v>0</v>
      </c>
      <c r="G1864">
        <v>5172.5280995361636</v>
      </c>
      <c r="H1864">
        <v>5022.8143170614812</v>
      </c>
      <c r="I1864">
        <v>34304.897888408428</v>
      </c>
      <c r="J1864">
        <v>29282.08357134695</v>
      </c>
    </row>
    <row r="1865" spans="1:10">
      <c r="A1865" s="1">
        <v>46184.632638888892</v>
      </c>
      <c r="B1865">
        <v>-195.3872373430697</v>
      </c>
      <c r="C1865">
        <v>171464.4825798696</v>
      </c>
      <c r="D1865">
        <v>99797.44605900484</v>
      </c>
      <c r="E1865">
        <v>71667.036520864742</v>
      </c>
      <c r="F1865">
        <v>0</v>
      </c>
      <c r="G1865">
        <v>5172.5280995361636</v>
      </c>
      <c r="H1865">
        <v>4977.1408621930941</v>
      </c>
      <c r="I1865">
        <v>34292.896515973916</v>
      </c>
      <c r="J1865">
        <v>29315.75565378082</v>
      </c>
    </row>
    <row r="1866" spans="1:10">
      <c r="A1866" s="3">
        <v>46184.633333333331</v>
      </c>
      <c r="B1866" s="4">
        <v>-164.9001849943709</v>
      </c>
      <c r="C1866" s="4">
        <v>171222.63489343901</v>
      </c>
      <c r="D1866" s="4">
        <v>99691.7657419639</v>
      </c>
      <c r="E1866" s="4">
        <v>71530.869151475112</v>
      </c>
      <c r="F1866" s="4">
        <v>0</v>
      </c>
      <c r="G1866" s="4">
        <v>5172.5280995361636</v>
      </c>
      <c r="H1866" s="4">
        <v>5007.627914541793</v>
      </c>
      <c r="I1866" s="4">
        <v>34244.526978687813</v>
      </c>
      <c r="J1866" s="4">
        <v>29236.899064146011</v>
      </c>
    </row>
    <row r="1867" spans="1:10">
      <c r="A1867" s="3">
        <v>46184.634027777778</v>
      </c>
      <c r="B1867" s="4">
        <v>-213.8536187320766</v>
      </c>
      <c r="C1867" s="4">
        <v>171130.68123778881</v>
      </c>
      <c r="D1867" s="4">
        <v>99621.31219726993</v>
      </c>
      <c r="E1867" s="4">
        <v>71509.369040518839</v>
      </c>
      <c r="F1867" s="4">
        <v>0</v>
      </c>
      <c r="G1867" s="4">
        <v>5172.5280995361636</v>
      </c>
      <c r="H1867" s="4">
        <v>4958.6744808040867</v>
      </c>
      <c r="I1867" s="4">
        <v>34226.136247557763</v>
      </c>
      <c r="J1867" s="4">
        <v>29267.46176675367</v>
      </c>
    </row>
    <row r="1868" spans="1:10">
      <c r="A1868" s="1">
        <v>46184.634722222218</v>
      </c>
      <c r="B1868">
        <v>-203.83343381844389</v>
      </c>
      <c r="C1868">
        <v>170997.36734966069</v>
      </c>
      <c r="D1868">
        <v>99559.665345662695</v>
      </c>
      <c r="E1868">
        <v>71437.702003997983</v>
      </c>
      <c r="F1868">
        <v>0</v>
      </c>
      <c r="G1868">
        <v>5172.5280995361636</v>
      </c>
      <c r="H1868">
        <v>4968.6946657177205</v>
      </c>
      <c r="I1868">
        <v>34199.473469932127</v>
      </c>
      <c r="J1868">
        <v>29230.77880421442</v>
      </c>
    </row>
    <row r="1869" spans="1:10">
      <c r="A1869" s="1">
        <v>46184.635416666657</v>
      </c>
      <c r="B1869">
        <v>-242.34018503474121</v>
      </c>
      <c r="C1869">
        <v>170930.193783836</v>
      </c>
      <c r="D1869">
        <v>99506.825187142225</v>
      </c>
      <c r="E1869">
        <v>71423.368596693806</v>
      </c>
      <c r="F1869">
        <v>0</v>
      </c>
      <c r="G1869">
        <v>5172.5280995361636</v>
      </c>
      <c r="H1869">
        <v>4930.1879145014227</v>
      </c>
      <c r="I1869">
        <v>34186.038756767208</v>
      </c>
      <c r="J1869">
        <v>29255.85084226578</v>
      </c>
    </row>
    <row r="1870" spans="1:10">
      <c r="A1870" s="3">
        <v>46184.636111111111</v>
      </c>
      <c r="B1870" s="4">
        <v>-264.87353951220808</v>
      </c>
      <c r="C1870" s="4">
        <v>170864.660207446</v>
      </c>
      <c r="D1870" s="4">
        <v>99462.791721708491</v>
      </c>
      <c r="E1870" s="4">
        <v>71401.868485737548</v>
      </c>
      <c r="F1870" s="4">
        <v>0</v>
      </c>
      <c r="G1870" s="4">
        <v>5172.5280995361636</v>
      </c>
      <c r="H1870" s="4">
        <v>4907.6545600239551</v>
      </c>
      <c r="I1870" s="4">
        <v>34172.932041489214</v>
      </c>
      <c r="J1870" s="4">
        <v>29265.277481465251</v>
      </c>
    </row>
    <row r="1871" spans="1:10">
      <c r="A1871" s="3">
        <v>46184.636805555558</v>
      </c>
      <c r="B1871" s="4">
        <v>-300.28056016488301</v>
      </c>
      <c r="C1871" s="4">
        <v>171058.5877036601</v>
      </c>
      <c r="D1871" s="4">
        <v>99542.05195948921</v>
      </c>
      <c r="E1871" s="4">
        <v>71516.535744170935</v>
      </c>
      <c r="F1871" s="4">
        <v>0</v>
      </c>
      <c r="G1871" s="4">
        <v>5172.5280995361636</v>
      </c>
      <c r="H1871" s="4">
        <v>4872.2475393712803</v>
      </c>
      <c r="I1871" s="4">
        <v>34211.717540732017</v>
      </c>
      <c r="J1871" s="4">
        <v>29339.47000136074</v>
      </c>
    </row>
    <row r="1872" spans="1:10">
      <c r="A1872" s="1">
        <v>46184.637499999997</v>
      </c>
      <c r="B1872">
        <v>-266.69377725255413</v>
      </c>
      <c r="C1872">
        <v>171077.84107926831</v>
      </c>
      <c r="D1872">
        <v>99568.472038749445</v>
      </c>
      <c r="E1872">
        <v>71509.369040518839</v>
      </c>
      <c r="F1872">
        <v>0</v>
      </c>
      <c r="G1872">
        <v>5172.5280995361636</v>
      </c>
      <c r="H1872">
        <v>4905.8343222836093</v>
      </c>
      <c r="I1872">
        <v>34215.568215853658</v>
      </c>
      <c r="J1872">
        <v>29309.73389357005</v>
      </c>
    </row>
    <row r="1873" spans="1:10">
      <c r="A1873" s="1">
        <v>46184.638194444437</v>
      </c>
      <c r="B1873">
        <v>-245.80041220974749</v>
      </c>
      <c r="C1873">
        <v>171127.40125891939</v>
      </c>
      <c r="D1873">
        <v>99603.69881109643</v>
      </c>
      <c r="E1873">
        <v>71523.702447823016</v>
      </c>
      <c r="F1873">
        <v>0</v>
      </c>
      <c r="G1873">
        <v>5172.5280995361636</v>
      </c>
      <c r="H1873">
        <v>4926.7276873264163</v>
      </c>
      <c r="I1873">
        <v>34225.480251783891</v>
      </c>
      <c r="J1873">
        <v>29298.752564457471</v>
      </c>
    </row>
    <row r="1874" spans="1:10">
      <c r="A1874" s="1">
        <v>46184.638888888891</v>
      </c>
      <c r="B1874">
        <v>-196.84697847202929</v>
      </c>
      <c r="C1874">
        <v>171219.3549145697</v>
      </c>
      <c r="D1874">
        <v>99674.1523557904</v>
      </c>
      <c r="E1874">
        <v>71545.202558779274</v>
      </c>
      <c r="F1874">
        <v>0</v>
      </c>
      <c r="G1874">
        <v>5172.5280995361636</v>
      </c>
      <c r="H1874">
        <v>4975.6811210641335</v>
      </c>
      <c r="I1874">
        <v>34243.870982913933</v>
      </c>
      <c r="J1874">
        <v>29268.189861849802</v>
      </c>
    </row>
    <row r="1875" spans="1:10">
      <c r="A1875" s="1">
        <v>46184.63958333333</v>
      </c>
      <c r="B1875">
        <v>-206.08016916654529</v>
      </c>
      <c r="C1875">
        <v>171052.4542435293</v>
      </c>
      <c r="D1875">
        <v>99586.085424922945</v>
      </c>
      <c r="E1875">
        <v>71466.368818606323</v>
      </c>
      <c r="F1875">
        <v>0</v>
      </c>
      <c r="G1875">
        <v>5172.5280995361636</v>
      </c>
      <c r="H1875">
        <v>4966.447930369618</v>
      </c>
      <c r="I1875">
        <v>34210.490848705856</v>
      </c>
      <c r="J1875">
        <v>29244.042918336239</v>
      </c>
    </row>
    <row r="1876" spans="1:10">
      <c r="A1876" s="3">
        <v>46184.640277777777</v>
      </c>
      <c r="B1876" s="4">
        <v>-309.08725325163351</v>
      </c>
      <c r="C1876" s="4">
        <v>171049.78101057341</v>
      </c>
      <c r="D1876" s="4">
        <v>99533.24526640246</v>
      </c>
      <c r="E1876" s="4">
        <v>71516.535744170935</v>
      </c>
      <c r="F1876" s="4">
        <v>0</v>
      </c>
      <c r="G1876" s="4">
        <v>5172.5280995361636</v>
      </c>
      <c r="H1876" s="4">
        <v>4863.4408462845304</v>
      </c>
      <c r="I1876" s="4">
        <v>34209.956202114678</v>
      </c>
      <c r="J1876" s="4">
        <v>29346.51535583015</v>
      </c>
    </row>
    <row r="1877" spans="1:10">
      <c r="A1877" s="3">
        <v>46184.640972222223</v>
      </c>
      <c r="B1877" s="4">
        <v>-259.28082429839668</v>
      </c>
      <c r="C1877" s="4">
        <v>171457.92262213101</v>
      </c>
      <c r="D1877" s="4">
        <v>99762.219286657855</v>
      </c>
      <c r="E1877" s="4">
        <v>71695.703335473096</v>
      </c>
      <c r="F1877" s="4">
        <v>0</v>
      </c>
      <c r="G1877" s="4">
        <v>5172.5280995361636</v>
      </c>
      <c r="H1877" s="4">
        <v>4913.2472752377671</v>
      </c>
      <c r="I1877" s="4">
        <v>34291.584524426187</v>
      </c>
      <c r="J1877" s="4">
        <v>29378.337249188429</v>
      </c>
    </row>
    <row r="1878" spans="1:10">
      <c r="A1878" s="3">
        <v>46184.64166666667</v>
      </c>
      <c r="B1878" s="4">
        <v>-240.02744869023789</v>
      </c>
      <c r="C1878" s="4">
        <v>171491.5094050433</v>
      </c>
      <c r="D1878" s="4">
        <v>99788.639365918105</v>
      </c>
      <c r="E1878" s="4">
        <v>71702.870039125177</v>
      </c>
      <c r="F1878" s="4">
        <v>0</v>
      </c>
      <c r="G1878" s="4">
        <v>5172.5280995361636</v>
      </c>
      <c r="H1878" s="4">
        <v>4932.5006508459264</v>
      </c>
      <c r="I1878" s="4">
        <v>34298.301881008658</v>
      </c>
      <c r="J1878" s="4">
        <v>29365.801230162731</v>
      </c>
    </row>
    <row r="1879" spans="1:10">
      <c r="A1879" s="3">
        <v>46184.642361111109</v>
      </c>
      <c r="B1879" s="4">
        <v>-233.8939885593646</v>
      </c>
      <c r="C1879" s="4">
        <v>171397.30901404491</v>
      </c>
      <c r="D1879" s="4">
        <v>99744.60590048437</v>
      </c>
      <c r="E1879" s="4">
        <v>71652.703113560579</v>
      </c>
      <c r="F1879" s="4">
        <v>0</v>
      </c>
      <c r="G1879" s="4">
        <v>5172.5280995361636</v>
      </c>
      <c r="H1879" s="4">
        <v>4938.6341109767991</v>
      </c>
      <c r="I1879" s="4">
        <v>34279.46180280899</v>
      </c>
      <c r="J1879" s="4">
        <v>29340.82769183219</v>
      </c>
    </row>
    <row r="1880" spans="1:10">
      <c r="A1880" s="1">
        <v>46184.643055555563</v>
      </c>
      <c r="B1880">
        <v>-318.0741946440595</v>
      </c>
      <c r="C1880">
        <v>171270.12858604771</v>
      </c>
      <c r="D1880">
        <v>99638.925583443415</v>
      </c>
      <c r="E1880">
        <v>71631.203002604321</v>
      </c>
      <c r="F1880">
        <v>0</v>
      </c>
      <c r="G1880">
        <v>5172.5280995361636</v>
      </c>
      <c r="H1880">
        <v>4854.4539048921042</v>
      </c>
      <c r="I1880">
        <v>34254.025717209552</v>
      </c>
      <c r="J1880">
        <v>29399.571812317448</v>
      </c>
    </row>
    <row r="1881" spans="1:10">
      <c r="A1881" s="3">
        <v>46184.643750000003</v>
      </c>
      <c r="B1881" s="4">
        <v>-294.93409425313899</v>
      </c>
      <c r="C1881" s="4">
        <v>171264.60187183029</v>
      </c>
      <c r="D1881" s="4">
        <v>99647.732276530165</v>
      </c>
      <c r="E1881" s="4">
        <v>71616.869595300144</v>
      </c>
      <c r="F1881" s="4">
        <v>0</v>
      </c>
      <c r="G1881" s="4">
        <v>5172.5280995361636</v>
      </c>
      <c r="H1881" s="4">
        <v>4877.5940052830247</v>
      </c>
      <c r="I1881" s="4">
        <v>34252.920374366062</v>
      </c>
      <c r="J1881" s="4">
        <v>29375.326369083039</v>
      </c>
    </row>
    <row r="1882" spans="1:10">
      <c r="A1882" s="1">
        <v>46184.644444444442</v>
      </c>
      <c r="B1882">
        <v>-294.507596645386</v>
      </c>
      <c r="C1882">
        <v>171422.69584978401</v>
      </c>
      <c r="D1882">
        <v>99726.99251431087</v>
      </c>
      <c r="E1882">
        <v>71695.703335473096</v>
      </c>
      <c r="F1882">
        <v>0</v>
      </c>
      <c r="G1882">
        <v>5172.5280995361636</v>
      </c>
      <c r="H1882">
        <v>4878.0205028907776</v>
      </c>
      <c r="I1882">
        <v>34284.539169956792</v>
      </c>
      <c r="J1882">
        <v>29406.518667066019</v>
      </c>
    </row>
    <row r="1883" spans="1:10">
      <c r="A1883" s="1">
        <v>46184.645138888889</v>
      </c>
      <c r="B1883">
        <v>-276.28746455843378</v>
      </c>
      <c r="C1883">
        <v>171369.24894535009</v>
      </c>
      <c r="D1883">
        <v>99709.379128137385</v>
      </c>
      <c r="E1883">
        <v>71659.869817212661</v>
      </c>
      <c r="F1883">
        <v>0</v>
      </c>
      <c r="G1883">
        <v>5172.5280995361636</v>
      </c>
      <c r="H1883">
        <v>4896.2406349777302</v>
      </c>
      <c r="I1883">
        <v>34273.849789070016</v>
      </c>
      <c r="J1883">
        <v>29377.60915409229</v>
      </c>
    </row>
    <row r="1884" spans="1:10">
      <c r="A1884" s="1">
        <v>46184.645833333343</v>
      </c>
      <c r="B1884">
        <v>-296.57408368779932</v>
      </c>
      <c r="C1884">
        <v>171248.62847509151</v>
      </c>
      <c r="D1884">
        <v>99638.925583443415</v>
      </c>
      <c r="E1884">
        <v>71609.702891648063</v>
      </c>
      <c r="F1884">
        <v>0</v>
      </c>
      <c r="G1884">
        <v>5172.5280995361636</v>
      </c>
      <c r="H1884">
        <v>4875.9540158483642</v>
      </c>
      <c r="I1884">
        <v>34249.7256950183</v>
      </c>
      <c r="J1884">
        <v>29373.771679169931</v>
      </c>
    </row>
    <row r="1885" spans="1:10">
      <c r="A1885" s="3">
        <v>46184.646527777782</v>
      </c>
      <c r="B1885" s="4">
        <v>-285.52065525293727</v>
      </c>
      <c r="C1885" s="4">
        <v>171202.34827430971</v>
      </c>
      <c r="D1885" s="4">
        <v>99621.31219726993</v>
      </c>
      <c r="E1885" s="4">
        <v>71581.036077039709</v>
      </c>
      <c r="F1885" s="4">
        <v>0</v>
      </c>
      <c r="G1885" s="4">
        <v>5172.5280995361636</v>
      </c>
      <c r="H1885" s="4">
        <v>4887.0074442832274</v>
      </c>
      <c r="I1885" s="4">
        <v>34240.469654861932</v>
      </c>
      <c r="J1885" s="4">
        <v>29353.462210578709</v>
      </c>
    </row>
    <row r="1886" spans="1:10">
      <c r="A1886" s="3">
        <v>46184.647222222222</v>
      </c>
      <c r="B1886" s="4">
        <v>0</v>
      </c>
      <c r="C1886" s="4">
        <v>0</v>
      </c>
      <c r="D1886" s="4">
        <v>0</v>
      </c>
      <c r="E1886" s="4">
        <v>0</v>
      </c>
      <c r="F1886" s="4">
        <v>-318.37341003825918</v>
      </c>
      <c r="G1886" s="4">
        <v>4854.1546894979047</v>
      </c>
      <c r="H1886" s="4">
        <v>4854.1546894979047</v>
      </c>
      <c r="I1886" s="4">
        <v>0</v>
      </c>
      <c r="J1886" s="4">
        <v>-4854.1546894979047</v>
      </c>
    </row>
    <row r="1887" spans="1:10">
      <c r="A1887" s="3">
        <v>46185.604166666657</v>
      </c>
      <c r="B1887" s="4">
        <v>0</v>
      </c>
      <c r="C1887" s="4">
        <v>171674.20322451679</v>
      </c>
      <c r="D1887" s="4">
        <v>71674.203224516838</v>
      </c>
      <c r="E1887" s="4">
        <v>100000</v>
      </c>
      <c r="F1887" s="4">
        <v>0</v>
      </c>
      <c r="G1887" s="4">
        <v>4854.1546894979047</v>
      </c>
      <c r="H1887" s="4">
        <v>4854.1546894979047</v>
      </c>
      <c r="I1887" s="4">
        <v>34334.840644903357</v>
      </c>
      <c r="J1887" s="4">
        <v>29480.685955405461</v>
      </c>
    </row>
    <row r="1888" spans="1:10">
      <c r="A1888" s="1">
        <v>46185.604861111111</v>
      </c>
      <c r="B1888">
        <v>-3.2962537240091478</v>
      </c>
      <c r="C1888">
        <v>172014.19567659439</v>
      </c>
      <c r="D1888">
        <v>71842.551323693609</v>
      </c>
      <c r="E1888">
        <v>100171.6443529008</v>
      </c>
      <c r="F1888">
        <v>0</v>
      </c>
      <c r="G1888">
        <v>4854.1546894979047</v>
      </c>
      <c r="H1888">
        <v>4850.8584357738964</v>
      </c>
      <c r="I1888">
        <v>34402.839135318878</v>
      </c>
      <c r="J1888">
        <v>29551.98069954498</v>
      </c>
    </row>
    <row r="1889" spans="1:10">
      <c r="A1889" s="1">
        <v>46185.605555555558</v>
      </c>
      <c r="B1889">
        <v>-207.78217704162179</v>
      </c>
      <c r="C1889">
        <v>172358.97168255929</v>
      </c>
      <c r="D1889">
        <v>71912.696365017269</v>
      </c>
      <c r="E1889">
        <v>100446.27531754209</v>
      </c>
      <c r="F1889">
        <v>0</v>
      </c>
      <c r="G1889">
        <v>4854.1546894979047</v>
      </c>
      <c r="H1889">
        <v>4646.3725124562816</v>
      </c>
      <c r="I1889">
        <v>34471.79433651187</v>
      </c>
      <c r="J1889">
        <v>29825.421824055589</v>
      </c>
    </row>
    <row r="1890" spans="1:10">
      <c r="A1890" s="1">
        <v>46185.606249999997</v>
      </c>
      <c r="B1890">
        <v>-380.9138301057443</v>
      </c>
      <c r="C1890">
        <v>172391.81325297611</v>
      </c>
      <c r="D1890">
        <v>71842.551323693609</v>
      </c>
      <c r="E1890">
        <v>100549.2619292825</v>
      </c>
      <c r="F1890">
        <v>0</v>
      </c>
      <c r="G1890">
        <v>4854.1546894979047</v>
      </c>
      <c r="H1890">
        <v>4473.24085939216</v>
      </c>
      <c r="I1890">
        <v>34478.362650595227</v>
      </c>
      <c r="J1890">
        <v>30005.12179120307</v>
      </c>
    </row>
    <row r="1891" spans="1:10">
      <c r="A1891" s="1">
        <v>46185.606944444437</v>
      </c>
      <c r="B1891">
        <v>-427.94523548594509</v>
      </c>
      <c r="C1891">
        <v>172859.71490629829</v>
      </c>
      <c r="D1891">
        <v>72052.986447664603</v>
      </c>
      <c r="E1891">
        <v>100806.7284586337</v>
      </c>
      <c r="F1891">
        <v>0</v>
      </c>
      <c r="G1891">
        <v>4854.1546894979047</v>
      </c>
      <c r="H1891">
        <v>4426.2094540119597</v>
      </c>
      <c r="I1891">
        <v>34571.942981259657</v>
      </c>
      <c r="J1891">
        <v>30145.73352724771</v>
      </c>
    </row>
    <row r="1892" spans="1:10">
      <c r="A1892" s="3">
        <v>46185.607638888891</v>
      </c>
      <c r="B1892" s="4">
        <v>-429.43253564928779</v>
      </c>
      <c r="C1892" s="4">
        <v>172720.91212381431</v>
      </c>
      <c r="D1892" s="4">
        <v>71982.841406340944</v>
      </c>
      <c r="E1892" s="4">
        <v>100738.0707174734</v>
      </c>
      <c r="F1892" s="4">
        <v>0</v>
      </c>
      <c r="G1892" s="4">
        <v>4854.1546894979047</v>
      </c>
      <c r="H1892" s="4">
        <v>4424.7221538486156</v>
      </c>
      <c r="I1892" s="4">
        <v>34544.182424762868</v>
      </c>
      <c r="J1892" s="4">
        <v>30119.460270914249</v>
      </c>
    </row>
    <row r="1893" spans="1:10">
      <c r="A1893" s="3">
        <v>46185.60833333333</v>
      </c>
      <c r="B1893" s="4">
        <v>-301.36250770604659</v>
      </c>
      <c r="C1893" s="4">
        <v>172368.3779636354</v>
      </c>
      <c r="D1893" s="4">
        <v>71870.609340223076</v>
      </c>
      <c r="E1893" s="4">
        <v>100497.7686234123</v>
      </c>
      <c r="F1893" s="4">
        <v>0</v>
      </c>
      <c r="G1893" s="4">
        <v>4854.1546894979047</v>
      </c>
      <c r="H1893" s="4">
        <v>4552.7921817918577</v>
      </c>
      <c r="I1893" s="4">
        <v>34473.675592727079</v>
      </c>
      <c r="J1893" s="4">
        <v>29920.883410935221</v>
      </c>
    </row>
    <row r="1894" spans="1:10">
      <c r="A1894" s="3">
        <v>46185.609027777777</v>
      </c>
      <c r="B1894" s="4">
        <v>-535.55457441511157</v>
      </c>
      <c r="C1894" s="4">
        <v>172855.0921791096</v>
      </c>
      <c r="D1894" s="4">
        <v>71996.87041460567</v>
      </c>
      <c r="E1894" s="4">
        <v>100858.22176450391</v>
      </c>
      <c r="F1894" s="4">
        <v>0</v>
      </c>
      <c r="G1894" s="4">
        <v>4854.1546894979047</v>
      </c>
      <c r="H1894" s="4">
        <v>4318.6001150827933</v>
      </c>
      <c r="I1894" s="4">
        <v>34571.018435821927</v>
      </c>
      <c r="J1894" s="4">
        <v>30252.418320739129</v>
      </c>
    </row>
    <row r="1895" spans="1:10">
      <c r="A1895" s="1">
        <v>46185.609722222223</v>
      </c>
      <c r="B1895">
        <v>-534.81092433344634</v>
      </c>
      <c r="C1895">
        <v>172924.49357035159</v>
      </c>
      <c r="D1895">
        <v>72031.942935267492</v>
      </c>
      <c r="E1895">
        <v>100892.5506350841</v>
      </c>
      <c r="F1895">
        <v>0</v>
      </c>
      <c r="G1895">
        <v>4854.1546894979047</v>
      </c>
      <c r="H1895">
        <v>4319.3437651644581</v>
      </c>
      <c r="I1895">
        <v>34584.898714070318</v>
      </c>
      <c r="J1895">
        <v>30265.554948905869</v>
      </c>
    </row>
    <row r="1896" spans="1:10">
      <c r="A1896" s="1">
        <v>46185.61041666667</v>
      </c>
      <c r="B1896">
        <v>-585.39975342335697</v>
      </c>
      <c r="C1896">
        <v>172736.58925894109</v>
      </c>
      <c r="D1896">
        <v>71912.696365017269</v>
      </c>
      <c r="E1896">
        <v>100823.8928939238</v>
      </c>
      <c r="F1896">
        <v>0</v>
      </c>
      <c r="G1896">
        <v>4854.1546894979047</v>
      </c>
      <c r="H1896">
        <v>4268.7549360745479</v>
      </c>
      <c r="I1896">
        <v>34547.317851788212</v>
      </c>
      <c r="J1896">
        <v>30278.562915713661</v>
      </c>
    </row>
    <row r="1897" spans="1:10">
      <c r="A1897" s="1">
        <v>46185.611111111109</v>
      </c>
      <c r="B1897">
        <v>-408.81101993656222</v>
      </c>
      <c r="C1897">
        <v>172054.95622792389</v>
      </c>
      <c r="D1897">
        <v>71660.174216252097</v>
      </c>
      <c r="E1897">
        <v>100394.78201167181</v>
      </c>
      <c r="F1897">
        <v>0</v>
      </c>
      <c r="G1897">
        <v>4854.1546894979047</v>
      </c>
      <c r="H1897">
        <v>4445.3436695613427</v>
      </c>
      <c r="I1897">
        <v>34410.991245584788</v>
      </c>
      <c r="J1897">
        <v>29965.64757602345</v>
      </c>
    </row>
    <row r="1898" spans="1:10">
      <c r="A1898" s="3">
        <v>46185.611805555563</v>
      </c>
      <c r="B1898" s="4">
        <v>-362.10126795367518</v>
      </c>
      <c r="C1898" s="4">
        <v>172204.65259164729</v>
      </c>
      <c r="D1898" s="4">
        <v>71758.377274105223</v>
      </c>
      <c r="E1898" s="4">
        <v>100446.27531754209</v>
      </c>
      <c r="F1898" s="4">
        <v>0</v>
      </c>
      <c r="G1898" s="4">
        <v>4854.1546894979047</v>
      </c>
      <c r="H1898" s="4">
        <v>4492.0534215442294</v>
      </c>
      <c r="I1898" s="4">
        <v>34440.930518329456</v>
      </c>
      <c r="J1898" s="4">
        <v>29948.877096785229</v>
      </c>
    </row>
    <row r="1899" spans="1:10">
      <c r="A1899" s="3">
        <v>46185.612500000003</v>
      </c>
      <c r="B1899" s="4">
        <v>-400.38962899018128</v>
      </c>
      <c r="C1899" s="4">
        <v>172355.17301880161</v>
      </c>
      <c r="D1899" s="4">
        <v>71814.493307164143</v>
      </c>
      <c r="E1899" s="4">
        <v>100540.67971163749</v>
      </c>
      <c r="F1899" s="4">
        <v>0</v>
      </c>
      <c r="G1899" s="4">
        <v>4854.1546894979047</v>
      </c>
      <c r="H1899" s="4">
        <v>4453.7650605077233</v>
      </c>
      <c r="I1899" s="4">
        <v>34471.03460376033</v>
      </c>
      <c r="J1899" s="4">
        <v>30017.269543252609</v>
      </c>
    </row>
    <row r="1900" spans="1:10">
      <c r="A1900" s="1">
        <v>46185.613194444442</v>
      </c>
      <c r="B1900">
        <v>-329.42052423550541</v>
      </c>
      <c r="C1900">
        <v>172340.31994710589</v>
      </c>
      <c r="D1900">
        <v>71842.551323693609</v>
      </c>
      <c r="E1900">
        <v>100497.7686234123</v>
      </c>
      <c r="F1900">
        <v>0</v>
      </c>
      <c r="G1900">
        <v>4854.1546894979047</v>
      </c>
      <c r="H1900">
        <v>4524.7341652623991</v>
      </c>
      <c r="I1900">
        <v>34468.063989421178</v>
      </c>
      <c r="J1900">
        <v>29943.32982415878</v>
      </c>
    </row>
    <row r="1901" spans="1:10">
      <c r="A1901" s="1">
        <v>46185.613888888889</v>
      </c>
      <c r="B1901">
        <v>-371.66837572836658</v>
      </c>
      <c r="C1901">
        <v>172607.03193083449</v>
      </c>
      <c r="D1901">
        <v>71954.783389811477</v>
      </c>
      <c r="E1901">
        <v>100652.248541023</v>
      </c>
      <c r="F1901">
        <v>0</v>
      </c>
      <c r="G1901">
        <v>4854.1546894979047</v>
      </c>
      <c r="H1901">
        <v>4482.4863137695384</v>
      </c>
      <c r="I1901">
        <v>34521.406386166891</v>
      </c>
      <c r="J1901">
        <v>30038.920072397352</v>
      </c>
    </row>
    <row r="1902" spans="1:10">
      <c r="A1902" s="1">
        <v>46185.614583333343</v>
      </c>
      <c r="B1902">
        <v>-391.96823804378829</v>
      </c>
      <c r="C1902">
        <v>172655.38980967939</v>
      </c>
      <c r="D1902">
        <v>71968.812398076203</v>
      </c>
      <c r="E1902">
        <v>100686.5774116032</v>
      </c>
      <c r="F1902">
        <v>0</v>
      </c>
      <c r="G1902">
        <v>4854.1546894979047</v>
      </c>
      <c r="H1902">
        <v>4462.1864514541166</v>
      </c>
      <c r="I1902">
        <v>34531.077961935873</v>
      </c>
      <c r="J1902">
        <v>30068.891510481761</v>
      </c>
    </row>
    <row r="1903" spans="1:10">
      <c r="A1903" s="1">
        <v>46185.615277777782</v>
      </c>
      <c r="B1903">
        <v>-214.87709452330091</v>
      </c>
      <c r="C1903">
        <v>172506.35668268829</v>
      </c>
      <c r="D1903">
        <v>71982.841406340944</v>
      </c>
      <c r="E1903">
        <v>100523.5152763474</v>
      </c>
      <c r="F1903">
        <v>0</v>
      </c>
      <c r="G1903">
        <v>4854.1546894979047</v>
      </c>
      <c r="H1903">
        <v>4639.2775949746037</v>
      </c>
      <c r="I1903">
        <v>34501.271336537669</v>
      </c>
      <c r="J1903">
        <v>29861.99374156307</v>
      </c>
    </row>
    <row r="1904" spans="1:10">
      <c r="A1904" s="1">
        <v>46185.615972222222</v>
      </c>
      <c r="B1904">
        <v>0</v>
      </c>
      <c r="C1904">
        <v>0</v>
      </c>
      <c r="D1904">
        <v>0</v>
      </c>
      <c r="E1904">
        <v>0</v>
      </c>
      <c r="F1904">
        <v>-259.35133272321991</v>
      </c>
      <c r="G1904">
        <v>4594.8033567746843</v>
      </c>
      <c r="H1904">
        <v>4594.8033567746843</v>
      </c>
      <c r="I1904">
        <v>0</v>
      </c>
      <c r="J1904">
        <v>-4594.8033567746843</v>
      </c>
    </row>
    <row r="1905" spans="1:10">
      <c r="A1905" s="1">
        <v>46185.748611111107</v>
      </c>
      <c r="B1905">
        <v>0</v>
      </c>
      <c r="C1905">
        <v>171674.20322451679</v>
      </c>
      <c r="D1905">
        <v>100000</v>
      </c>
      <c r="E1905">
        <v>71674.203224516838</v>
      </c>
      <c r="F1905">
        <v>0</v>
      </c>
      <c r="G1905">
        <v>4594.8033567746843</v>
      </c>
      <c r="H1905">
        <v>4594.8033567746843</v>
      </c>
      <c r="I1905">
        <v>34334.840644903357</v>
      </c>
      <c r="J1905">
        <v>29740.037288128678</v>
      </c>
    </row>
    <row r="1906" spans="1:10">
      <c r="A1906" s="1">
        <v>46185.749305555553</v>
      </c>
      <c r="B1906">
        <v>-25.577628101288379</v>
      </c>
      <c r="C1906">
        <v>171648.62559641551</v>
      </c>
      <c r="D1906">
        <v>99974.42237189872</v>
      </c>
      <c r="E1906">
        <v>71674.203224516838</v>
      </c>
      <c r="F1906">
        <v>0</v>
      </c>
      <c r="G1906">
        <v>4594.8033567746843</v>
      </c>
      <c r="H1906">
        <v>4569.2257286733957</v>
      </c>
      <c r="I1906">
        <v>34329.72511928311</v>
      </c>
      <c r="J1906">
        <v>29760.499390609719</v>
      </c>
    </row>
    <row r="1907" spans="1:10">
      <c r="A1907" s="3">
        <v>46185.75</v>
      </c>
      <c r="B1907" s="4">
        <v>2.3030305487174911</v>
      </c>
      <c r="C1907" s="4">
        <v>171620.74493776559</v>
      </c>
      <c r="D1907" s="4">
        <v>99974.42237189872</v>
      </c>
      <c r="E1907" s="4">
        <v>71646.322565866838</v>
      </c>
      <c r="F1907" s="4">
        <v>0</v>
      </c>
      <c r="G1907" s="4">
        <v>4594.8033567746843</v>
      </c>
      <c r="H1907" s="4">
        <v>4597.1063873234016</v>
      </c>
      <c r="I1907" s="4">
        <v>34324.148987553112</v>
      </c>
      <c r="J1907" s="4">
        <v>29727.04260022971</v>
      </c>
    </row>
    <row r="1908" spans="1:10">
      <c r="A1908" s="3">
        <v>46185.750694444447</v>
      </c>
      <c r="B1908" s="4">
        <v>14.74872151879415</v>
      </c>
      <c r="C1908" s="4">
        <v>171744.7132633357</v>
      </c>
      <c r="D1908" s="4">
        <v>100042.6293801688</v>
      </c>
      <c r="E1908" s="4">
        <v>71702.083883166852</v>
      </c>
      <c r="F1908" s="4">
        <v>0</v>
      </c>
      <c r="G1908" s="4">
        <v>4594.8033567746843</v>
      </c>
      <c r="H1908" s="4">
        <v>4609.5520782934782</v>
      </c>
      <c r="I1908" s="4">
        <v>34348.942652667138</v>
      </c>
      <c r="J1908" s="4">
        <v>29739.390574373661</v>
      </c>
    </row>
    <row r="1909" spans="1:10">
      <c r="A1909" s="1">
        <v>46185.751388888893</v>
      </c>
      <c r="B1909">
        <v>-27.13333947254878</v>
      </c>
      <c r="C1909">
        <v>171633.12955571929</v>
      </c>
      <c r="D1909">
        <v>99965.896495864945</v>
      </c>
      <c r="E1909">
        <v>71667.233059854334</v>
      </c>
      <c r="F1909">
        <v>0</v>
      </c>
      <c r="G1909">
        <v>4594.8033567746843</v>
      </c>
      <c r="H1909">
        <v>4567.6700173021354</v>
      </c>
      <c r="I1909">
        <v>34326.625911143863</v>
      </c>
      <c r="J1909">
        <v>29758.955893841721</v>
      </c>
    </row>
    <row r="1910" spans="1:10">
      <c r="A1910" s="3">
        <v>46185.752083333333</v>
      </c>
      <c r="B1910" s="4">
        <v>-30.2447622150674</v>
      </c>
      <c r="C1910" s="4">
        <v>171602.1374743268</v>
      </c>
      <c r="D1910" s="4">
        <v>99948.844743797425</v>
      </c>
      <c r="E1910" s="4">
        <v>71653.292730529327</v>
      </c>
      <c r="F1910" s="4">
        <v>0</v>
      </c>
      <c r="G1910" s="4">
        <v>4594.8033567746843</v>
      </c>
      <c r="H1910" s="4">
        <v>4564.5585945596167</v>
      </c>
      <c r="I1910" s="4">
        <v>34320.427494865347</v>
      </c>
      <c r="J1910" s="4">
        <v>29755.868900305741</v>
      </c>
    </row>
    <row r="1911" spans="1:10">
      <c r="A1911" s="1">
        <v>46185.75277777778</v>
      </c>
      <c r="B1911">
        <v>-45.740802911340637</v>
      </c>
      <c r="C1911">
        <v>171600.58176295549</v>
      </c>
      <c r="D1911">
        <v>99940.318867763664</v>
      </c>
      <c r="E1911">
        <v>71660.262895191845</v>
      </c>
      <c r="F1911">
        <v>0</v>
      </c>
      <c r="G1911">
        <v>4594.8033567746843</v>
      </c>
      <c r="H1911">
        <v>4549.062553863344</v>
      </c>
      <c r="I1911">
        <v>34320.116352591103</v>
      </c>
      <c r="J1911">
        <v>29771.05379872776</v>
      </c>
    </row>
    <row r="1912" spans="1:10">
      <c r="A1912" s="3">
        <v>46185.753472222219</v>
      </c>
      <c r="B1912" s="4">
        <v>-34.103504135055204</v>
      </c>
      <c r="C1912" s="4">
        <v>171640.09972038181</v>
      </c>
      <c r="D1912" s="4">
        <v>99965.896495864945</v>
      </c>
      <c r="E1912" s="4">
        <v>71674.203224516838</v>
      </c>
      <c r="F1912" s="4">
        <v>0</v>
      </c>
      <c r="G1912" s="4">
        <v>4594.8033567746843</v>
      </c>
      <c r="H1912" s="4">
        <v>4560.6998526396292</v>
      </c>
      <c r="I1912" s="4">
        <v>34328.019944076361</v>
      </c>
      <c r="J1912" s="4">
        <v>29767.32009143673</v>
      </c>
    </row>
    <row r="1913" spans="1:10">
      <c r="A1913" s="1">
        <v>46185.754166666673</v>
      </c>
      <c r="B1913">
        <v>54.266678945095357</v>
      </c>
      <c r="C1913">
        <v>171756.35056211191</v>
      </c>
      <c r="D1913">
        <v>100068.2070082701</v>
      </c>
      <c r="E1913">
        <v>71688.143553841845</v>
      </c>
      <c r="F1913">
        <v>0</v>
      </c>
      <c r="G1913">
        <v>4594.8033567746843</v>
      </c>
      <c r="H1913">
        <v>4649.0700357197793</v>
      </c>
      <c r="I1913">
        <v>34351.27011242239</v>
      </c>
      <c r="J1913">
        <v>29702.200076702611</v>
      </c>
    </row>
    <row r="1914" spans="1:10">
      <c r="A1914" s="3">
        <v>46185.754861111112</v>
      </c>
      <c r="B1914" s="4">
        <v>5.4755263075702416</v>
      </c>
      <c r="C1914" s="4">
        <v>171805.14171474951</v>
      </c>
      <c r="D1914" s="4">
        <v>100068.2070082701</v>
      </c>
      <c r="E1914" s="4">
        <v>71736.934706479369</v>
      </c>
      <c r="F1914" s="4">
        <v>0</v>
      </c>
      <c r="G1914" s="4">
        <v>4594.8033567746843</v>
      </c>
      <c r="H1914" s="4">
        <v>4600.2788830822547</v>
      </c>
      <c r="I1914" s="4">
        <v>34361.028342949889</v>
      </c>
      <c r="J1914" s="4">
        <v>29760.749459867631</v>
      </c>
    </row>
    <row r="1915" spans="1:10">
      <c r="A1915" s="1">
        <v>46185.755555555559</v>
      </c>
      <c r="B1915">
        <v>38.77063824882211</v>
      </c>
      <c r="C1915">
        <v>171754.7948507407</v>
      </c>
      <c r="D1915">
        <v>100059.68113223631</v>
      </c>
      <c r="E1915">
        <v>71695.113718504348</v>
      </c>
      <c r="F1915">
        <v>0</v>
      </c>
      <c r="G1915">
        <v>4594.8033567746843</v>
      </c>
      <c r="H1915">
        <v>4633.5739950235075</v>
      </c>
      <c r="I1915">
        <v>34350.958970148138</v>
      </c>
      <c r="J1915">
        <v>29717.384975124631</v>
      </c>
    </row>
    <row r="1916" spans="1:10">
      <c r="A1916" s="3">
        <v>46185.756249999999</v>
      </c>
      <c r="B1916" s="4">
        <v>30.244762215055282</v>
      </c>
      <c r="C1916" s="4">
        <v>171746.26897470691</v>
      </c>
      <c r="D1916" s="4">
        <v>100051.1552562026</v>
      </c>
      <c r="E1916" s="4">
        <v>71695.113718504348</v>
      </c>
      <c r="F1916" s="4">
        <v>0</v>
      </c>
      <c r="G1916" s="4">
        <v>4594.8033567746843</v>
      </c>
      <c r="H1916" s="4">
        <v>4625.0481189897391</v>
      </c>
      <c r="I1916" s="4">
        <v>34349.253794941382</v>
      </c>
      <c r="J1916" s="4">
        <v>29724.205675951642</v>
      </c>
    </row>
    <row r="1917" spans="1:10">
      <c r="A1917" s="3">
        <v>46185.756944444453</v>
      </c>
      <c r="B1917" s="4">
        <v>-17.799071244990749</v>
      </c>
      <c r="C1917" s="4">
        <v>171726.1057998969</v>
      </c>
      <c r="D1917" s="4">
        <v>100017.05175206751</v>
      </c>
      <c r="E1917" s="4">
        <v>71709.054047829355</v>
      </c>
      <c r="F1917" s="4">
        <v>0</v>
      </c>
      <c r="G1917" s="4">
        <v>4594.8033567746843</v>
      </c>
      <c r="H1917" s="4">
        <v>4577.0042855296933</v>
      </c>
      <c r="I1917" s="4">
        <v>34345.221159979374</v>
      </c>
      <c r="J1917" s="4">
        <v>29768.216874449681</v>
      </c>
    </row>
    <row r="1918" spans="1:10">
      <c r="A1918" s="1">
        <v>46185.757638888892</v>
      </c>
      <c r="B1918">
        <v>13.19301014753373</v>
      </c>
      <c r="C1918">
        <v>171729.21722263939</v>
      </c>
      <c r="D1918">
        <v>100034.103504135</v>
      </c>
      <c r="E1918">
        <v>71695.113718504348</v>
      </c>
      <c r="F1918">
        <v>0</v>
      </c>
      <c r="G1918">
        <v>4594.8033567746843</v>
      </c>
      <c r="H1918">
        <v>4607.9963669222179</v>
      </c>
      <c r="I1918">
        <v>34345.843444527884</v>
      </c>
      <c r="J1918">
        <v>29737.84707760566</v>
      </c>
    </row>
    <row r="1919" spans="1:10">
      <c r="A1919" s="3">
        <v>46185.758333333331</v>
      </c>
      <c r="B1919" s="4">
        <v>-6.1617724687151991</v>
      </c>
      <c r="C1919" s="4">
        <v>171765.62375732319</v>
      </c>
      <c r="D1919" s="4">
        <v>100042.6293801688</v>
      </c>
      <c r="E1919" s="4">
        <v>71722.994377154362</v>
      </c>
      <c r="F1919" s="4">
        <v>0</v>
      </c>
      <c r="G1919" s="4">
        <v>4594.8033567746843</v>
      </c>
      <c r="H1919" s="4">
        <v>4588.6415843059694</v>
      </c>
      <c r="I1919" s="4">
        <v>34353.124751464638</v>
      </c>
      <c r="J1919" s="4">
        <v>29764.483167158669</v>
      </c>
    </row>
    <row r="1920" spans="1:10">
      <c r="A1920" s="1">
        <v>46185.759027777778</v>
      </c>
      <c r="B1920">
        <v>21.718886181300569</v>
      </c>
      <c r="C1920">
        <v>171737.74309867321</v>
      </c>
      <c r="D1920">
        <v>100042.6293801688</v>
      </c>
      <c r="E1920">
        <v>71695.113718504348</v>
      </c>
      <c r="F1920">
        <v>0</v>
      </c>
      <c r="G1920">
        <v>4594.8033567746843</v>
      </c>
      <c r="H1920">
        <v>4616.5222429559844</v>
      </c>
      <c r="I1920">
        <v>34347.54861973464</v>
      </c>
      <c r="J1920">
        <v>29731.02637677866</v>
      </c>
    </row>
    <row r="1921" spans="1:10">
      <c r="A1921" s="3">
        <v>46185.759722222218</v>
      </c>
      <c r="B1921" s="4">
        <v>0</v>
      </c>
      <c r="C1921" s="4">
        <v>0</v>
      </c>
      <c r="D1921" s="4">
        <v>0</v>
      </c>
      <c r="E1921" s="4">
        <v>0</v>
      </c>
      <c r="F1921" s="4">
        <v>-22.701804806648269</v>
      </c>
      <c r="G1921" s="4">
        <v>4572.1015519680359</v>
      </c>
      <c r="H1921" s="4">
        <v>4572.1015519680359</v>
      </c>
      <c r="I1921" s="4">
        <v>0</v>
      </c>
      <c r="J1921" s="4">
        <v>-4572.1015519680359</v>
      </c>
    </row>
    <row r="1922" spans="1:10">
      <c r="A1922" s="3">
        <v>46188.854861111111</v>
      </c>
      <c r="B1922" s="4">
        <v>0</v>
      </c>
      <c r="C1922" s="4">
        <v>171674.20322451679</v>
      </c>
      <c r="D1922" s="4">
        <v>71674.203224516838</v>
      </c>
      <c r="E1922" s="4">
        <v>100000</v>
      </c>
      <c r="F1922" s="4">
        <v>0</v>
      </c>
      <c r="G1922" s="4">
        <v>4572.1015519680359</v>
      </c>
      <c r="H1922" s="4">
        <v>4572.1015519680359</v>
      </c>
      <c r="I1922" s="4">
        <v>34334.840644903357</v>
      </c>
      <c r="J1922" s="4">
        <v>29762.739092935331</v>
      </c>
    </row>
    <row r="1923" spans="1:10">
      <c r="A1923" s="1">
        <v>46188.855555555558</v>
      </c>
      <c r="B1923">
        <v>63.493980733129078</v>
      </c>
      <c r="C1923">
        <v>171772.20376149559</v>
      </c>
      <c r="D1923">
        <v>71754.950483372799</v>
      </c>
      <c r="E1923">
        <v>100017.25327812279</v>
      </c>
      <c r="F1923">
        <v>0</v>
      </c>
      <c r="G1923">
        <v>4572.1015519680359</v>
      </c>
      <c r="H1923">
        <v>4635.5955327011652</v>
      </c>
      <c r="I1923">
        <v>34354.440752299131</v>
      </c>
      <c r="J1923">
        <v>29718.84521959797</v>
      </c>
    </row>
    <row r="1924" spans="1:10">
      <c r="A1924" s="1">
        <v>46188.856249999997</v>
      </c>
      <c r="B1924">
        <v>13.770555723112439</v>
      </c>
      <c r="C1924">
        <v>171601.70738962569</v>
      </c>
      <c r="D1924">
        <v>71644.840584932841</v>
      </c>
      <c r="E1924">
        <v>99956.866804692894</v>
      </c>
      <c r="F1924">
        <v>0</v>
      </c>
      <c r="G1924">
        <v>4572.1015519680359</v>
      </c>
      <c r="H1924">
        <v>4585.8721076911479</v>
      </c>
      <c r="I1924">
        <v>34320.341477925147</v>
      </c>
      <c r="J1924">
        <v>29734.469370234001</v>
      </c>
    </row>
    <row r="1925" spans="1:10">
      <c r="A1925" s="1">
        <v>46188.856944444437</v>
      </c>
      <c r="B1925">
        <v>121.6837109287829</v>
      </c>
      <c r="C1925">
        <v>171640.60743234001</v>
      </c>
      <c r="D1925">
        <v>71718.247183892818</v>
      </c>
      <c r="E1925">
        <v>99922.360248447207</v>
      </c>
      <c r="F1925">
        <v>0</v>
      </c>
      <c r="G1925">
        <v>4572.1015519680359</v>
      </c>
      <c r="H1925">
        <v>4693.7852628968176</v>
      </c>
      <c r="I1925">
        <v>34328.121486468008</v>
      </c>
      <c r="J1925">
        <v>29634.33622357119</v>
      </c>
    </row>
    <row r="1926" spans="1:10">
      <c r="A1926" s="3">
        <v>46188.857638888891</v>
      </c>
      <c r="B1926" s="4">
        <v>103.14445364050751</v>
      </c>
      <c r="C1926" s="4">
        <v>171673.82800942031</v>
      </c>
      <c r="D1926" s="4">
        <v>71725.587843788817</v>
      </c>
      <c r="E1926" s="4">
        <v>99948.240165631461</v>
      </c>
      <c r="F1926" s="4">
        <v>0</v>
      </c>
      <c r="G1926" s="4">
        <v>4572.1015519680359</v>
      </c>
      <c r="H1926" s="4">
        <v>4675.2460056085438</v>
      </c>
      <c r="I1926" s="4">
        <v>34334.765601884057</v>
      </c>
      <c r="J1926" s="4">
        <v>29659.51959627551</v>
      </c>
    </row>
    <row r="1927" spans="1:10">
      <c r="A1927" s="1">
        <v>46188.85833333333</v>
      </c>
      <c r="B1927">
        <v>-15.96729895742706</v>
      </c>
      <c r="C1927">
        <v>171675.48920368229</v>
      </c>
      <c r="D1927">
        <v>71666.862564620838</v>
      </c>
      <c r="E1927">
        <v>100008.6266390614</v>
      </c>
      <c r="F1927">
        <v>0</v>
      </c>
      <c r="G1927">
        <v>4572.1015519680359</v>
      </c>
      <c r="H1927">
        <v>4556.1342530106094</v>
      </c>
      <c r="I1927">
        <v>34335.097840736453</v>
      </c>
      <c r="J1927">
        <v>29778.963587725841</v>
      </c>
    </row>
    <row r="1928" spans="1:10">
      <c r="A1928" s="3">
        <v>46188.859027777777</v>
      </c>
      <c r="B1928" s="4">
        <v>-19.07480626059807</v>
      </c>
      <c r="C1928" s="4">
        <v>171517.10219327349</v>
      </c>
      <c r="D1928" s="4">
        <v>71586.115305764863</v>
      </c>
      <c r="E1928" s="4">
        <v>99930.986887508625</v>
      </c>
      <c r="F1928" s="4">
        <v>0</v>
      </c>
      <c r="G1928" s="4">
        <v>4572.1015519680359</v>
      </c>
      <c r="H1928" s="4">
        <v>4553.0267457074378</v>
      </c>
      <c r="I1928" s="4">
        <v>34303.420438654699</v>
      </c>
      <c r="J1928" s="4">
        <v>29750.393692947258</v>
      </c>
    </row>
    <row r="1929" spans="1:10">
      <c r="A1929" s="1">
        <v>46188.859722222223</v>
      </c>
      <c r="B1929">
        <v>-58.350064071430452</v>
      </c>
      <c r="C1929">
        <v>171512.3334917083</v>
      </c>
      <c r="D1929">
        <v>71564.093326076865</v>
      </c>
      <c r="E1929">
        <v>99948.240165631461</v>
      </c>
      <c r="F1929">
        <v>0</v>
      </c>
      <c r="G1929">
        <v>4572.1015519680359</v>
      </c>
      <c r="H1929">
        <v>4513.7514878966058</v>
      </c>
      <c r="I1929">
        <v>34302.466698341668</v>
      </c>
      <c r="J1929">
        <v>29788.715210445062</v>
      </c>
    </row>
    <row r="1930" spans="1:10">
      <c r="A1930" s="3">
        <v>46188.86041666667</v>
      </c>
      <c r="B1930" s="4">
        <v>-6.0546807305654324</v>
      </c>
      <c r="C1930" s="4">
        <v>171650.89526566339</v>
      </c>
      <c r="D1930" s="4">
        <v>71659.521904724839</v>
      </c>
      <c r="E1930" s="4">
        <v>99991.373360938567</v>
      </c>
      <c r="F1930" s="4">
        <v>0</v>
      </c>
      <c r="G1930" s="4">
        <v>4572.1015519680359</v>
      </c>
      <c r="H1930" s="4">
        <v>4566.0468712374704</v>
      </c>
      <c r="I1930" s="4">
        <v>34330.179053132677</v>
      </c>
      <c r="J1930" s="4">
        <v>29764.132181895209</v>
      </c>
    </row>
    <row r="1931" spans="1:10">
      <c r="A1931" s="1">
        <v>46188.861111111109</v>
      </c>
      <c r="B1931">
        <v>-1.2859791654251089</v>
      </c>
      <c r="C1931">
        <v>171690.17052347431</v>
      </c>
      <c r="D1931">
        <v>71681.543884412837</v>
      </c>
      <c r="E1931">
        <v>100008.6266390614</v>
      </c>
      <c r="F1931">
        <v>0</v>
      </c>
      <c r="G1931">
        <v>4572.1015519680359</v>
      </c>
      <c r="H1931">
        <v>4570.8155728026104</v>
      </c>
      <c r="I1931">
        <v>34338.034104694852</v>
      </c>
      <c r="J1931">
        <v>29767.218531892238</v>
      </c>
    </row>
    <row r="1932" spans="1:10">
      <c r="A1932" s="1">
        <v>46188.861805555563</v>
      </c>
      <c r="B1932">
        <v>60.011258333401599</v>
      </c>
      <c r="C1932">
        <v>171716.96120472741</v>
      </c>
      <c r="D1932">
        <v>71725.587843788817</v>
      </c>
      <c r="E1932">
        <v>99991.373360938567</v>
      </c>
      <c r="F1932">
        <v>0</v>
      </c>
      <c r="G1932">
        <v>4572.1015519680359</v>
      </c>
      <c r="H1932">
        <v>4632.1128103014371</v>
      </c>
      <c r="I1932">
        <v>34343.392240945483</v>
      </c>
      <c r="J1932">
        <v>29711.279430644041</v>
      </c>
    </row>
    <row r="1933" spans="1:10">
      <c r="A1933" s="1">
        <v>46188.862500000003</v>
      </c>
      <c r="B1933">
        <v>-6.4298958271218956</v>
      </c>
      <c r="C1933">
        <v>171754.0397193039</v>
      </c>
      <c r="D1933">
        <v>71710.906523996819</v>
      </c>
      <c r="E1933">
        <v>100043.13319530711</v>
      </c>
      <c r="F1933">
        <v>0</v>
      </c>
      <c r="G1933">
        <v>4572.1015519680359</v>
      </c>
      <c r="H1933">
        <v>4565.6716561409139</v>
      </c>
      <c r="I1933">
        <v>34350.807943860789</v>
      </c>
      <c r="J1933">
        <v>29785.136287719881</v>
      </c>
    </row>
    <row r="1934" spans="1:10">
      <c r="A1934" s="3">
        <v>46188.863194444442</v>
      </c>
      <c r="B1934" s="4">
        <v>-24.969153115386909</v>
      </c>
      <c r="C1934" s="4">
        <v>171787.26029638419</v>
      </c>
      <c r="D1934" s="4">
        <v>71718.247183892818</v>
      </c>
      <c r="E1934" s="4">
        <v>100069.0131124914</v>
      </c>
      <c r="F1934" s="4">
        <v>0</v>
      </c>
      <c r="G1934" s="4">
        <v>4572.1015519680359</v>
      </c>
      <c r="H1934" s="4">
        <v>4547.1323988526492</v>
      </c>
      <c r="I1934" s="4">
        <v>34357.452059276839</v>
      </c>
      <c r="J1934" s="4">
        <v>29810.319660424189</v>
      </c>
    </row>
    <row r="1935" spans="1:10">
      <c r="A1935" s="1">
        <v>46188.863888888889</v>
      </c>
      <c r="B1935">
        <v>-142.41971145133991</v>
      </c>
      <c r="C1935">
        <v>171669.80973804821</v>
      </c>
      <c r="D1935">
        <v>71600.796625556861</v>
      </c>
      <c r="E1935">
        <v>100069.0131124914</v>
      </c>
      <c r="F1935">
        <v>0</v>
      </c>
      <c r="G1935">
        <v>4572.1015519680359</v>
      </c>
      <c r="H1935">
        <v>4429.681840516696</v>
      </c>
      <c r="I1935">
        <v>34333.961947609649</v>
      </c>
      <c r="J1935">
        <v>29904.280107092949</v>
      </c>
    </row>
    <row r="1936" spans="1:10">
      <c r="A1936" s="3">
        <v>46188.864583333343</v>
      </c>
      <c r="B1936" s="4">
        <v>-134.16828748647029</v>
      </c>
      <c r="C1936" s="4">
        <v>171764.32755262731</v>
      </c>
      <c r="D1936" s="4">
        <v>71652.18124482884</v>
      </c>
      <c r="E1936" s="4">
        <v>100112.1463077985</v>
      </c>
      <c r="F1936" s="4">
        <v>0</v>
      </c>
      <c r="G1936" s="4">
        <v>4572.1015519680359</v>
      </c>
      <c r="H1936" s="4">
        <v>4437.9332644815659</v>
      </c>
      <c r="I1936" s="4">
        <v>34352.865510525473</v>
      </c>
      <c r="J1936" s="4">
        <v>29914.9322460439</v>
      </c>
    </row>
    <row r="1937" spans="1:10">
      <c r="A1937" s="1">
        <v>46188.865277777782</v>
      </c>
      <c r="B1937">
        <v>-136.74024581731871</v>
      </c>
      <c r="C1937">
        <v>171796.2621505422</v>
      </c>
      <c r="D1937">
        <v>71666.862564620838</v>
      </c>
      <c r="E1937">
        <v>100129.3995859213</v>
      </c>
      <c r="F1937">
        <v>0</v>
      </c>
      <c r="G1937">
        <v>4572.1015519680359</v>
      </c>
      <c r="H1937">
        <v>4435.3613061507176</v>
      </c>
      <c r="I1937">
        <v>34359.252430108427</v>
      </c>
      <c r="J1937">
        <v>29923.891123957721</v>
      </c>
    </row>
    <row r="1938" spans="1:10">
      <c r="A1938" s="3">
        <v>46188.865972222222</v>
      </c>
      <c r="B1938" s="4">
        <v>-181.69496926217229</v>
      </c>
      <c r="C1938" s="4">
        <v>171665.0410364831</v>
      </c>
      <c r="D1938" s="4">
        <v>71578.774645868878</v>
      </c>
      <c r="E1938" s="4">
        <v>100086.2663906142</v>
      </c>
      <c r="F1938" s="4">
        <v>0</v>
      </c>
      <c r="G1938" s="4">
        <v>4572.1015519680359</v>
      </c>
      <c r="H1938" s="4">
        <v>4390.4065827058639</v>
      </c>
      <c r="I1938" s="4">
        <v>34333.008207296618</v>
      </c>
      <c r="J1938" s="4">
        <v>29942.601624590749</v>
      </c>
    </row>
    <row r="1939" spans="1:10">
      <c r="A1939" s="3">
        <v>46188.866666666669</v>
      </c>
      <c r="B1939" s="4">
        <v>-180.78420519330359</v>
      </c>
      <c r="C1939" s="4">
        <v>171752.2181911662</v>
      </c>
      <c r="D1939" s="4">
        <v>71622.818605244844</v>
      </c>
      <c r="E1939" s="4">
        <v>100129.3995859213</v>
      </c>
      <c r="F1939" s="4">
        <v>0</v>
      </c>
      <c r="G1939" s="4">
        <v>4572.1015519680359</v>
      </c>
      <c r="H1939" s="4">
        <v>4391.317346774732</v>
      </c>
      <c r="I1939" s="4">
        <v>34350.443638233242</v>
      </c>
      <c r="J1939" s="4">
        <v>29959.126291458499</v>
      </c>
    </row>
    <row r="1940" spans="1:10">
      <c r="A1940" s="1">
        <v>46188.867361111108</v>
      </c>
      <c r="B1940">
        <v>-242.45665778868681</v>
      </c>
      <c r="C1940">
        <v>171828.57196355349</v>
      </c>
      <c r="D1940">
        <v>71630.159265140843</v>
      </c>
      <c r="E1940">
        <v>100198.41269841271</v>
      </c>
      <c r="F1940">
        <v>0</v>
      </c>
      <c r="G1940">
        <v>4572.1015519680359</v>
      </c>
      <c r="H1940">
        <v>4329.6448941793487</v>
      </c>
      <c r="I1940">
        <v>34365.71439271071</v>
      </c>
      <c r="J1940">
        <v>30036.06949853136</v>
      </c>
    </row>
    <row r="1941" spans="1:10">
      <c r="A1941" s="3">
        <v>46188.868055555547</v>
      </c>
      <c r="B1941" s="4">
        <v>-328.1329520855727</v>
      </c>
      <c r="C1941" s="4">
        <v>171415.08338492259</v>
      </c>
      <c r="D1941" s="4">
        <v>71380.576828676945</v>
      </c>
      <c r="E1941" s="4">
        <v>100034.5065562457</v>
      </c>
      <c r="F1941" s="4">
        <v>0</v>
      </c>
      <c r="G1941" s="4">
        <v>4572.1015519680359</v>
      </c>
      <c r="H1941" s="4">
        <v>4243.9685998824634</v>
      </c>
      <c r="I1941" s="4">
        <v>34283.016676984516</v>
      </c>
      <c r="J1941" s="4">
        <v>30039.048077102059</v>
      </c>
    </row>
    <row r="1942" spans="1:10">
      <c r="A1942" s="1">
        <v>46188.868750000001</v>
      </c>
      <c r="B1942">
        <v>-367.40820989641742</v>
      </c>
      <c r="C1942">
        <v>171410.31468335749</v>
      </c>
      <c r="D1942">
        <v>71358.554848988948</v>
      </c>
      <c r="E1942">
        <v>100051.75983436849</v>
      </c>
      <c r="F1942">
        <v>0</v>
      </c>
      <c r="G1942">
        <v>4572.1015519680359</v>
      </c>
      <c r="H1942">
        <v>4204.6933420716186</v>
      </c>
      <c r="I1942">
        <v>34282.0629366715</v>
      </c>
      <c r="J1942">
        <v>30077.369594599881</v>
      </c>
    </row>
    <row r="1943" spans="1:10">
      <c r="A1943" s="1">
        <v>46188.869444444441</v>
      </c>
      <c r="B1943">
        <v>-446.11905939384832</v>
      </c>
      <c r="C1943">
        <v>171107.31121826309</v>
      </c>
      <c r="D1943">
        <v>71167.697691693029</v>
      </c>
      <c r="E1943">
        <v>99939.613526570043</v>
      </c>
      <c r="F1943">
        <v>0</v>
      </c>
      <c r="G1943">
        <v>4572.1015519680359</v>
      </c>
      <c r="H1943">
        <v>4125.9824925741877</v>
      </c>
      <c r="I1943">
        <v>34221.462243652612</v>
      </c>
      <c r="J1943">
        <v>30095.479751078419</v>
      </c>
    </row>
    <row r="1944" spans="1:10">
      <c r="A1944" s="3">
        <v>46188.870138888888</v>
      </c>
      <c r="B1944" s="4">
        <v>-341.6886265879175</v>
      </c>
      <c r="C1944" s="4">
        <v>171090.96870420911</v>
      </c>
      <c r="D1944" s="4">
        <v>71211.741651069009</v>
      </c>
      <c r="E1944" s="4">
        <v>99879.227053140101</v>
      </c>
      <c r="F1944" s="4">
        <v>0</v>
      </c>
      <c r="G1944" s="4">
        <v>4572.1015519680359</v>
      </c>
      <c r="H1944" s="4">
        <v>4230.4129253801184</v>
      </c>
      <c r="I1944" s="4">
        <v>34218.193740841823</v>
      </c>
      <c r="J1944" s="4">
        <v>29987.780815461709</v>
      </c>
    </row>
    <row r="1945" spans="1:10">
      <c r="A1945" s="3">
        <v>46188.870833333327</v>
      </c>
      <c r="B1945" s="4">
        <v>-392.16248179102439</v>
      </c>
      <c r="C1945" s="4">
        <v>171126.76123962019</v>
      </c>
      <c r="D1945" s="4">
        <v>71204.40099117301</v>
      </c>
      <c r="E1945" s="4">
        <v>99922.360248447207</v>
      </c>
      <c r="F1945" s="4">
        <v>0</v>
      </c>
      <c r="G1945" s="4">
        <v>4572.1015519680359</v>
      </c>
      <c r="H1945" s="4">
        <v>4179.9390701770117</v>
      </c>
      <c r="I1945" s="4">
        <v>34225.352247924042</v>
      </c>
      <c r="J1945" s="4">
        <v>30045.413177747028</v>
      </c>
    </row>
    <row r="1946" spans="1:10">
      <c r="A1946" s="3">
        <v>46188.871527777781</v>
      </c>
      <c r="B1946" s="4">
        <v>-283.49889639227399</v>
      </c>
      <c r="C1946" s="4">
        <v>170959.3723750535</v>
      </c>
      <c r="D1946" s="4">
        <v>71175.038351589013</v>
      </c>
      <c r="E1946" s="4">
        <v>99784.334023464457</v>
      </c>
      <c r="F1946" s="4">
        <v>0</v>
      </c>
      <c r="G1946" s="4">
        <v>4572.1015519680359</v>
      </c>
      <c r="H1946" s="4">
        <v>4288.6026555757617</v>
      </c>
      <c r="I1946" s="4">
        <v>34191.874475010693</v>
      </c>
      <c r="J1946" s="4">
        <v>29903.271819434929</v>
      </c>
    </row>
    <row r="1947" spans="1:10">
      <c r="A1947" s="3">
        <v>46188.87222222222</v>
      </c>
      <c r="B1947" s="4">
        <v>-306.05642505258908</v>
      </c>
      <c r="C1947" s="4">
        <v>170747.0287870419</v>
      </c>
      <c r="D1947" s="4">
        <v>71057.587793253071</v>
      </c>
      <c r="E1947" s="4">
        <v>99689.440993788812</v>
      </c>
      <c r="F1947" s="4">
        <v>0</v>
      </c>
      <c r="G1947" s="4">
        <v>4572.1015519680359</v>
      </c>
      <c r="H1947" s="4">
        <v>4266.0451269154464</v>
      </c>
      <c r="I1947" s="4">
        <v>34149.405757408378</v>
      </c>
      <c r="J1947" s="4">
        <v>29883.360630492931</v>
      </c>
    </row>
    <row r="1948" spans="1:10">
      <c r="A1948" s="1">
        <v>46188.872916666667</v>
      </c>
      <c r="B1948">
        <v>-329.36438390599449</v>
      </c>
      <c r="C1948">
        <v>170740.9741063113</v>
      </c>
      <c r="D1948">
        <v>71042.906473461073</v>
      </c>
      <c r="E1948">
        <v>99698.06763285023</v>
      </c>
      <c r="F1948">
        <v>0</v>
      </c>
      <c r="G1948">
        <v>4572.1015519680359</v>
      </c>
      <c r="H1948">
        <v>4242.7371680620417</v>
      </c>
      <c r="I1948">
        <v>34148.194821262259</v>
      </c>
      <c r="J1948">
        <v>29905.457653200221</v>
      </c>
    </row>
    <row r="1949" spans="1:10">
      <c r="A1949" s="1">
        <v>46188.873611111107</v>
      </c>
      <c r="B1949">
        <v>-323.30970317542898</v>
      </c>
      <c r="C1949">
        <v>170764.28206516471</v>
      </c>
      <c r="D1949">
        <v>71057.587793253071</v>
      </c>
      <c r="E1949">
        <v>99706.694271911663</v>
      </c>
      <c r="F1949">
        <v>0</v>
      </c>
      <c r="G1949">
        <v>4572.1015519680359</v>
      </c>
      <c r="H1949">
        <v>4248.7918487926072</v>
      </c>
      <c r="I1949">
        <v>34152.856413032947</v>
      </c>
      <c r="J1949">
        <v>29904.06456424034</v>
      </c>
    </row>
    <row r="1950" spans="1:10">
      <c r="A1950" s="1">
        <v>46188.874305555553</v>
      </c>
      <c r="B1950">
        <v>0</v>
      </c>
      <c r="C1950">
        <v>0</v>
      </c>
      <c r="D1950">
        <v>0</v>
      </c>
      <c r="E1950">
        <v>0</v>
      </c>
      <c r="F1950">
        <v>-274.6244881297448</v>
      </c>
      <c r="G1950">
        <v>4297.4770638382906</v>
      </c>
      <c r="H1950">
        <v>4297.4770638382906</v>
      </c>
      <c r="I1950">
        <v>0</v>
      </c>
      <c r="J1950">
        <v>-4297.4770638382906</v>
      </c>
    </row>
    <row r="1951" spans="1:10">
      <c r="A1951" s="1">
        <v>46189.868055555547</v>
      </c>
      <c r="B1951">
        <v>0</v>
      </c>
      <c r="C1951">
        <v>171674.20322451679</v>
      </c>
      <c r="D1951">
        <v>71674.203224516838</v>
      </c>
      <c r="E1951">
        <v>100000</v>
      </c>
      <c r="F1951">
        <v>0</v>
      </c>
      <c r="G1951">
        <v>4297.4770638382906</v>
      </c>
      <c r="H1951">
        <v>4297.4770638382906</v>
      </c>
      <c r="I1951">
        <v>34334.840644903357</v>
      </c>
      <c r="J1951">
        <v>30037.36358106507</v>
      </c>
    </row>
    <row r="1952" spans="1:10">
      <c r="A1952" s="1">
        <v>46189.868750000001</v>
      </c>
      <c r="B1952">
        <v>-35.139141838412748</v>
      </c>
      <c r="C1952">
        <v>171826.17073346939</v>
      </c>
      <c r="D1952">
        <v>71732.6174080739</v>
      </c>
      <c r="E1952">
        <v>100093.55332539551</v>
      </c>
      <c r="F1952">
        <v>0</v>
      </c>
      <c r="G1952">
        <v>4297.4770638382906</v>
      </c>
      <c r="H1952">
        <v>4262.3379219998778</v>
      </c>
      <c r="I1952">
        <v>34365.234146693867</v>
      </c>
      <c r="J1952">
        <v>30102.896224693999</v>
      </c>
    </row>
    <row r="1953" spans="1:10">
      <c r="A1953" s="1">
        <v>46189.869444444441</v>
      </c>
      <c r="B1953">
        <v>-24.228144437999621</v>
      </c>
      <c r="C1953">
        <v>171786.05264429041</v>
      </c>
      <c r="D1953">
        <v>71718.013862184642</v>
      </c>
      <c r="E1953">
        <v>100068.0387821058</v>
      </c>
      <c r="F1953">
        <v>0</v>
      </c>
      <c r="G1953">
        <v>4297.4770638382906</v>
      </c>
      <c r="H1953">
        <v>4273.248919400291</v>
      </c>
      <c r="I1953">
        <v>34357.210528858093</v>
      </c>
      <c r="J1953">
        <v>30083.96160945779</v>
      </c>
    </row>
    <row r="1954" spans="1:10">
      <c r="A1954" s="1">
        <v>46189.870138888888</v>
      </c>
      <c r="B1954">
        <v>-61.940083979754917</v>
      </c>
      <c r="C1954">
        <v>171765.35040027511</v>
      </c>
      <c r="D1954">
        <v>71688.80677040611</v>
      </c>
      <c r="E1954">
        <v>100076.543629869</v>
      </c>
      <c r="F1954">
        <v>0</v>
      </c>
      <c r="G1954">
        <v>4297.4770638382906</v>
      </c>
      <c r="H1954">
        <v>4235.5369798585361</v>
      </c>
      <c r="I1954">
        <v>34353.070080055033</v>
      </c>
      <c r="J1954">
        <v>30117.533100196499</v>
      </c>
    </row>
    <row r="1955" spans="1:10">
      <c r="A1955" s="3">
        <v>46189.870833333327</v>
      </c>
      <c r="B1955" s="4">
        <v>-23.025069619418979</v>
      </c>
      <c r="C1955" s="4">
        <v>171770.24602358259</v>
      </c>
      <c r="D1955" s="4">
        <v>71710.712089239998</v>
      </c>
      <c r="E1955" s="4">
        <v>100059.5339343426</v>
      </c>
      <c r="F1955" s="4">
        <v>0</v>
      </c>
      <c r="G1955" s="4">
        <v>4297.4770638382906</v>
      </c>
      <c r="H1955" s="4">
        <v>4274.4519942188717</v>
      </c>
      <c r="I1955" s="4">
        <v>34354.049204716517</v>
      </c>
      <c r="J1955" s="4">
        <v>30079.59721049765</v>
      </c>
    </row>
    <row r="1956" spans="1:10">
      <c r="A1956" s="3">
        <v>46189.871527777781</v>
      </c>
      <c r="B1956" s="4">
        <v>-62.893186699105087</v>
      </c>
      <c r="C1956" s="4">
        <v>172087.5815125583</v>
      </c>
      <c r="D1956" s="4">
        <v>71849.44577518804</v>
      </c>
      <c r="E1956" s="4">
        <v>100238.13573737031</v>
      </c>
      <c r="F1956" s="4">
        <v>0</v>
      </c>
      <c r="G1956" s="4">
        <v>4297.4770638382906</v>
      </c>
      <c r="H1956" s="4">
        <v>4234.5838771391846</v>
      </c>
      <c r="I1956" s="4">
        <v>34417.516302511671</v>
      </c>
      <c r="J1956" s="4">
        <v>30182.932425372481</v>
      </c>
    </row>
    <row r="1957" spans="1:10">
      <c r="A1957" s="1">
        <v>46189.87222222222</v>
      </c>
      <c r="B1957">
        <v>11.24429353272734</v>
      </c>
      <c r="C1957">
        <v>172042.651124105</v>
      </c>
      <c r="D1957">
        <v>71864.049321077298</v>
      </c>
      <c r="E1957">
        <v>100178.6018030277</v>
      </c>
      <c r="F1957">
        <v>0</v>
      </c>
      <c r="G1957">
        <v>4297.4770638382906</v>
      </c>
      <c r="H1957">
        <v>4308.7213573710178</v>
      </c>
      <c r="I1957">
        <v>34408.530224821006</v>
      </c>
      <c r="J1957">
        <v>30099.808867449989</v>
      </c>
    </row>
    <row r="1958" spans="1:10">
      <c r="A1958" s="3">
        <v>46189.872916666667</v>
      </c>
      <c r="B1958" s="4">
        <v>-51.982189298702338</v>
      </c>
      <c r="C1958" s="4">
        <v>172047.46342337941</v>
      </c>
      <c r="D1958" s="4">
        <v>71834.842229298767</v>
      </c>
      <c r="E1958" s="4">
        <v>100212.6211940806</v>
      </c>
      <c r="F1958" s="4">
        <v>0</v>
      </c>
      <c r="G1958" s="4">
        <v>4297.4770638382906</v>
      </c>
      <c r="H1958" s="4">
        <v>4245.4948745395886</v>
      </c>
      <c r="I1958" s="4">
        <v>34409.492684675883</v>
      </c>
      <c r="J1958" s="4">
        <v>30163.99781013629</v>
      </c>
    </row>
    <row r="1959" spans="1:10">
      <c r="A1959" s="1">
        <v>46189.873611111107</v>
      </c>
      <c r="B1959">
        <v>-18.046122278882311</v>
      </c>
      <c r="C1959">
        <v>171911.30253513469</v>
      </c>
      <c r="D1959">
        <v>71783.729818686334</v>
      </c>
      <c r="E1959">
        <v>100127.5727164484</v>
      </c>
      <c r="F1959">
        <v>0</v>
      </c>
      <c r="G1959">
        <v>4297.4770638382906</v>
      </c>
      <c r="H1959">
        <v>4279.430941559408</v>
      </c>
      <c r="I1959">
        <v>34382.260507026942</v>
      </c>
      <c r="J1959">
        <v>30102.829565467531</v>
      </c>
    </row>
    <row r="1960" spans="1:10">
      <c r="A1960" s="3">
        <v>46189.874305555553</v>
      </c>
      <c r="B1960" s="4">
        <v>-67.872134039641736</v>
      </c>
      <c r="C1960" s="4">
        <v>171946.5250010062</v>
      </c>
      <c r="D1960" s="4">
        <v>71776.428045741704</v>
      </c>
      <c r="E1960" s="4">
        <v>100170.0969552645</v>
      </c>
      <c r="F1960" s="4">
        <v>0</v>
      </c>
      <c r="G1960" s="4">
        <v>4297.4770638382906</v>
      </c>
      <c r="H1960" s="4">
        <v>4229.6049297986492</v>
      </c>
      <c r="I1960" s="4">
        <v>34389.305000201239</v>
      </c>
      <c r="J1960" s="4">
        <v>30159.700070402589</v>
      </c>
    </row>
    <row r="1961" spans="1:10">
      <c r="A1961" s="3">
        <v>46190.604166666657</v>
      </c>
      <c r="B1961" s="4">
        <v>-249.83318942389789</v>
      </c>
      <c r="C1961" s="4">
        <v>172478.97115773291</v>
      </c>
      <c r="D1961" s="4">
        <v>71951.670596412907</v>
      </c>
      <c r="E1961" s="4">
        <v>100527.30056131999</v>
      </c>
      <c r="F1961" s="4">
        <v>0</v>
      </c>
      <c r="G1961" s="4">
        <v>4297.4770638382906</v>
      </c>
      <c r="H1961" s="4">
        <v>4047.6438744143929</v>
      </c>
      <c r="I1961" s="4">
        <v>34495.794231546577</v>
      </c>
      <c r="J1961" s="4">
        <v>30448.150357132181</v>
      </c>
    </row>
    <row r="1962" spans="1:10">
      <c r="A1962" s="3">
        <v>46190.604861111111</v>
      </c>
      <c r="B1962" s="4">
        <v>-127.7759028699942</v>
      </c>
      <c r="C1962" s="4">
        <v>173043.28052797451</v>
      </c>
      <c r="D1962" s="4">
        <v>72294.853924810654</v>
      </c>
      <c r="E1962" s="4">
        <v>100748.4266031638</v>
      </c>
      <c r="F1962" s="4">
        <v>0</v>
      </c>
      <c r="G1962" s="4">
        <v>4297.4770638382906</v>
      </c>
      <c r="H1962" s="4">
        <v>4169.7011609682968</v>
      </c>
      <c r="I1962" s="4">
        <v>34608.656105594899</v>
      </c>
      <c r="J1962" s="4">
        <v>30438.954944626599</v>
      </c>
    </row>
    <row r="1963" spans="1:10">
      <c r="A1963" s="1">
        <v>46190.605555555558</v>
      </c>
      <c r="B1963">
        <v>-151.92072327492039</v>
      </c>
      <c r="C1963">
        <v>173257.2714449398</v>
      </c>
      <c r="D1963">
        <v>72389.776973090877</v>
      </c>
      <c r="E1963">
        <v>100867.494471849</v>
      </c>
      <c r="F1963">
        <v>0</v>
      </c>
      <c r="G1963">
        <v>4297.4770638382906</v>
      </c>
      <c r="H1963">
        <v>4145.5563405633702</v>
      </c>
      <c r="I1963">
        <v>34651.454288987967</v>
      </c>
      <c r="J1963">
        <v>30505.897948424601</v>
      </c>
    </row>
    <row r="1964" spans="1:10">
      <c r="A1964" s="3">
        <v>46190.606249999997</v>
      </c>
      <c r="B1964" s="4">
        <v>-344.25629350564958</v>
      </c>
      <c r="C1964" s="4">
        <v>172996.89709260329</v>
      </c>
      <c r="D1964" s="4">
        <v>72163.422011807255</v>
      </c>
      <c r="E1964" s="4">
        <v>100833.4750807961</v>
      </c>
      <c r="F1964" s="4">
        <v>0</v>
      </c>
      <c r="G1964" s="4">
        <v>4297.4770638382906</v>
      </c>
      <c r="H1964" s="4">
        <v>3953.2207703326412</v>
      </c>
      <c r="I1964" s="4">
        <v>34599.379418520657</v>
      </c>
      <c r="J1964" s="4">
        <v>30646.158648188019</v>
      </c>
    </row>
    <row r="1965" spans="1:10">
      <c r="A1965" s="3">
        <v>46190.606944444437</v>
      </c>
      <c r="B1965" s="4">
        <v>-132.75485021053089</v>
      </c>
      <c r="C1965" s="4">
        <v>172902.22401642229</v>
      </c>
      <c r="D1965" s="4">
        <v>72221.836195364318</v>
      </c>
      <c r="E1965" s="4">
        <v>100680.387821058</v>
      </c>
      <c r="F1965" s="4">
        <v>0</v>
      </c>
      <c r="G1965" s="4">
        <v>4297.4770638382906</v>
      </c>
      <c r="H1965" s="4">
        <v>4164.7222136277596</v>
      </c>
      <c r="I1965" s="4">
        <v>34580.444803284467</v>
      </c>
      <c r="J1965" s="4">
        <v>30415.722589656711</v>
      </c>
    </row>
    <row r="1966" spans="1:10">
      <c r="A1966" s="3">
        <v>46190.607638888891</v>
      </c>
      <c r="B1966" s="4">
        <v>-164.2847675931672</v>
      </c>
      <c r="C1966" s="4">
        <v>173006.7716632513</v>
      </c>
      <c r="D1966" s="4">
        <v>72258.345060087478</v>
      </c>
      <c r="E1966" s="4">
        <v>100748.4266031638</v>
      </c>
      <c r="F1966" s="4">
        <v>0</v>
      </c>
      <c r="G1966" s="4">
        <v>4297.4770638382906</v>
      </c>
      <c r="H1966" s="4">
        <v>4133.1922962451245</v>
      </c>
      <c r="I1966" s="4">
        <v>34601.354332650248</v>
      </c>
      <c r="J1966" s="4">
        <v>30468.16203640513</v>
      </c>
    </row>
    <row r="1967" spans="1:10">
      <c r="A1967" s="3">
        <v>46190.60833333333</v>
      </c>
      <c r="B1967" s="4">
        <v>-171.5032165047202</v>
      </c>
      <c r="C1967" s="4">
        <v>173101.61138749839</v>
      </c>
      <c r="D1967" s="4">
        <v>72302.155697755268</v>
      </c>
      <c r="E1967" s="4">
        <v>100799.4556897432</v>
      </c>
      <c r="F1967" s="4">
        <v>0</v>
      </c>
      <c r="G1967" s="4">
        <v>4297.4770638382906</v>
      </c>
      <c r="H1967" s="4">
        <v>4125.9738473335701</v>
      </c>
      <c r="I1967" s="4">
        <v>34620.32227749969</v>
      </c>
      <c r="J1967" s="4">
        <v>30494.348430166119</v>
      </c>
    </row>
    <row r="1968" spans="1:10">
      <c r="A1968" s="1">
        <v>46190.609027777777</v>
      </c>
      <c r="B1968">
        <v>-219.00640266136921</v>
      </c>
      <c r="C1968">
        <v>173003.0791147624</v>
      </c>
      <c r="D1968">
        <v>72229.137968308947</v>
      </c>
      <c r="E1968">
        <v>100773.94114645349</v>
      </c>
      <c r="F1968">
        <v>0</v>
      </c>
      <c r="G1968">
        <v>4297.4770638382906</v>
      </c>
      <c r="H1968">
        <v>4078.470661176922</v>
      </c>
      <c r="I1968">
        <v>34600.615822952488</v>
      </c>
      <c r="J1968">
        <v>30522.14516177557</v>
      </c>
    </row>
    <row r="1969" spans="1:10">
      <c r="A1969" s="3">
        <v>46190.609722222223</v>
      </c>
      <c r="B1969" s="4">
        <v>-311.19000517209429</v>
      </c>
      <c r="C1969" s="4">
        <v>173285.10881383359</v>
      </c>
      <c r="D1969" s="4">
        <v>72324.06101658917</v>
      </c>
      <c r="E1969" s="4">
        <v>100961.04779724441</v>
      </c>
      <c r="F1969" s="4">
        <v>0</v>
      </c>
      <c r="G1969" s="4">
        <v>4297.4770638382906</v>
      </c>
      <c r="H1969" s="4">
        <v>3986.287058666197</v>
      </c>
      <c r="I1969" s="4">
        <v>34657.021762766723</v>
      </c>
      <c r="J1969" s="4">
        <v>30670.734704100531</v>
      </c>
    </row>
    <row r="1970" spans="1:10">
      <c r="A1970" s="1">
        <v>46190.61041666667</v>
      </c>
      <c r="B1970">
        <v>-181.29446311962599</v>
      </c>
      <c r="C1970">
        <v>173023.78135877769</v>
      </c>
      <c r="D1970">
        <v>72258.345060087478</v>
      </c>
      <c r="E1970">
        <v>100765.4362986903</v>
      </c>
      <c r="F1970">
        <v>0</v>
      </c>
      <c r="G1970">
        <v>4297.4770638382906</v>
      </c>
      <c r="H1970">
        <v>4116.1826007186646</v>
      </c>
      <c r="I1970">
        <v>34604.756271755548</v>
      </c>
      <c r="J1970">
        <v>30488.57367103688</v>
      </c>
    </row>
    <row r="1971" spans="1:10">
      <c r="A1971" s="1">
        <v>46190.611111111109</v>
      </c>
      <c r="B1971">
        <v>-234.7296993361515</v>
      </c>
      <c r="C1971">
        <v>173106.42368677279</v>
      </c>
      <c r="D1971">
        <v>72272.948605976751</v>
      </c>
      <c r="E1971">
        <v>100833.4750807961</v>
      </c>
      <c r="F1971">
        <v>0</v>
      </c>
      <c r="G1971">
        <v>4297.4770638382906</v>
      </c>
      <c r="H1971">
        <v>4062.7473645021391</v>
      </c>
      <c r="I1971">
        <v>34621.284737354566</v>
      </c>
      <c r="J1971">
        <v>30558.537372852428</v>
      </c>
    </row>
    <row r="1972" spans="1:10">
      <c r="A1972" s="3">
        <v>46190.611805555563</v>
      </c>
      <c r="B1972" s="4">
        <v>0</v>
      </c>
      <c r="C1972" s="4">
        <v>0</v>
      </c>
      <c r="D1972" s="4">
        <v>0</v>
      </c>
      <c r="E1972" s="4">
        <v>0</v>
      </c>
      <c r="F1972" s="4">
        <v>-147.79154486232721</v>
      </c>
      <c r="G1972" s="4">
        <v>4149.6855189759644</v>
      </c>
      <c r="H1972" s="4">
        <v>4149.6855189759644</v>
      </c>
      <c r="I1972" s="4">
        <v>0</v>
      </c>
      <c r="J1972" s="4">
        <v>-4149.6855189759644</v>
      </c>
    </row>
    <row r="1973" spans="1:10">
      <c r="A1973" s="3">
        <v>46191.813194444447</v>
      </c>
      <c r="B1973" s="4">
        <v>0</v>
      </c>
      <c r="C1973" s="4">
        <v>171674.20322451679</v>
      </c>
      <c r="D1973" s="4">
        <v>71674.203224516838</v>
      </c>
      <c r="E1973" s="4">
        <v>100000</v>
      </c>
      <c r="F1973" s="4">
        <v>0</v>
      </c>
      <c r="G1973" s="4">
        <v>4149.6855189759644</v>
      </c>
      <c r="H1973" s="4">
        <v>4149.6855189759644</v>
      </c>
      <c r="I1973" s="4">
        <v>34334.840644903357</v>
      </c>
      <c r="J1973" s="4">
        <v>30185.155125927398</v>
      </c>
    </row>
    <row r="1974" spans="1:10">
      <c r="A1974" s="1">
        <v>46191.813888888893</v>
      </c>
      <c r="B1974">
        <v>27.238156841533758</v>
      </c>
      <c r="C1974">
        <v>171736.01056293299</v>
      </c>
      <c r="D1974">
        <v>71718.725972145694</v>
      </c>
      <c r="E1974">
        <v>100017.2845907873</v>
      </c>
      <c r="F1974">
        <v>0</v>
      </c>
      <c r="G1974">
        <v>4149.6855189759644</v>
      </c>
      <c r="H1974">
        <v>4176.9236758174966</v>
      </c>
      <c r="I1974">
        <v>34347.202112586609</v>
      </c>
      <c r="J1974">
        <v>30170.278436769109</v>
      </c>
    </row>
    <row r="1975" spans="1:10">
      <c r="A1975" s="3">
        <v>46191.814583333333</v>
      </c>
      <c r="B1975" s="4">
        <v>-48.098826790348497</v>
      </c>
      <c r="C1975" s="4">
        <v>171781.66571481229</v>
      </c>
      <c r="D1975" s="4">
        <v>71703.885056269413</v>
      </c>
      <c r="E1975" s="4">
        <v>100077.78065854291</v>
      </c>
      <c r="F1975" s="4">
        <v>0</v>
      </c>
      <c r="G1975" s="4">
        <v>4149.6855189759644</v>
      </c>
      <c r="H1975" s="4">
        <v>4101.586692185615</v>
      </c>
      <c r="I1975" s="4">
        <v>34356.333142962467</v>
      </c>
      <c r="J1975" s="4">
        <v>30254.746450776849</v>
      </c>
    </row>
    <row r="1976" spans="1:10">
      <c r="A1976" s="1">
        <v>46191.81527777778</v>
      </c>
      <c r="B1976">
        <v>-65.383417577658179</v>
      </c>
      <c r="C1976">
        <v>171798.9503055996</v>
      </c>
      <c r="D1976">
        <v>71703.885056269413</v>
      </c>
      <c r="E1976">
        <v>100095.0652493302</v>
      </c>
      <c r="F1976">
        <v>0</v>
      </c>
      <c r="G1976">
        <v>4149.6855189759644</v>
      </c>
      <c r="H1976">
        <v>4084.3021013983048</v>
      </c>
      <c r="I1976">
        <v>34359.790061119929</v>
      </c>
      <c r="J1976">
        <v>30275.48795972162</v>
      </c>
    </row>
    <row r="1977" spans="1:10">
      <c r="A1977" s="1">
        <v>46191.815972222219</v>
      </c>
      <c r="B1977">
        <v>-107.46249029548591</v>
      </c>
      <c r="C1977">
        <v>171722.3020513072</v>
      </c>
      <c r="D1977">
        <v>71644.521392764262</v>
      </c>
      <c r="E1977">
        <v>100077.78065854291</v>
      </c>
      <c r="F1977">
        <v>0</v>
      </c>
      <c r="G1977">
        <v>4149.6855189759644</v>
      </c>
      <c r="H1977">
        <v>4042.223028680477</v>
      </c>
      <c r="I1977">
        <v>34344.460410261432</v>
      </c>
      <c r="J1977">
        <v>30302.237381580959</v>
      </c>
    </row>
    <row r="1978" spans="1:10">
      <c r="A1978" s="3">
        <v>46191.816666666673</v>
      </c>
      <c r="B1978" s="4">
        <v>-170.49166616716619</v>
      </c>
      <c r="C1978" s="4">
        <v>171711.12664779741</v>
      </c>
      <c r="D1978" s="4">
        <v>71607.419103073553</v>
      </c>
      <c r="E1978" s="4">
        <v>100103.7075447239</v>
      </c>
      <c r="F1978" s="4">
        <v>0</v>
      </c>
      <c r="G1978" s="4">
        <v>4149.6855189759644</v>
      </c>
      <c r="H1978" s="4">
        <v>3979.1938528087981</v>
      </c>
      <c r="I1978" s="4">
        <v>34342.225329559493</v>
      </c>
      <c r="J1978" s="4">
        <v>30363.03147675069</v>
      </c>
    </row>
    <row r="1979" spans="1:10">
      <c r="A1979" s="1">
        <v>46191.817361111112</v>
      </c>
      <c r="B1979">
        <v>-200.17349791974021</v>
      </c>
      <c r="C1979">
        <v>171681.44481604491</v>
      </c>
      <c r="D1979">
        <v>71577.737271320992</v>
      </c>
      <c r="E1979">
        <v>100103.7075447239</v>
      </c>
      <c r="F1979">
        <v>0</v>
      </c>
      <c r="G1979">
        <v>4149.6855189759644</v>
      </c>
      <c r="H1979">
        <v>3949.5120210562241</v>
      </c>
      <c r="I1979">
        <v>34336.288963208979</v>
      </c>
      <c r="J1979">
        <v>30386.776942152759</v>
      </c>
    </row>
    <row r="1980" spans="1:10">
      <c r="A1980" s="1">
        <v>46191.818055555559</v>
      </c>
      <c r="B1980">
        <v>-203.92844349133301</v>
      </c>
      <c r="C1980">
        <v>171625.83609811129</v>
      </c>
      <c r="D1980">
        <v>71548.055439568416</v>
      </c>
      <c r="E1980">
        <v>100077.78065854291</v>
      </c>
      <c r="F1980">
        <v>0</v>
      </c>
      <c r="G1980">
        <v>4149.6855189759644</v>
      </c>
      <c r="H1980">
        <v>3945.7570754846311</v>
      </c>
      <c r="I1980">
        <v>34325.167219622257</v>
      </c>
      <c r="J1980">
        <v>30379.41014413763</v>
      </c>
    </row>
    <row r="1981" spans="1:10">
      <c r="A1981" s="1">
        <v>46191.818749999999</v>
      </c>
      <c r="B1981">
        <v>-195.28614809768419</v>
      </c>
      <c r="C1981">
        <v>171617.19380271769</v>
      </c>
      <c r="D1981">
        <v>71548.055439568416</v>
      </c>
      <c r="E1981">
        <v>100069.13836314929</v>
      </c>
      <c r="F1981">
        <v>0</v>
      </c>
      <c r="G1981">
        <v>4149.6855189759644</v>
      </c>
      <c r="H1981">
        <v>3954.3993708782791</v>
      </c>
      <c r="I1981">
        <v>34323.438760543533</v>
      </c>
      <c r="J1981">
        <v>30369.039389665249</v>
      </c>
    </row>
    <row r="1982" spans="1:10">
      <c r="A1982" s="3">
        <v>46191.819444444453</v>
      </c>
      <c r="B1982" s="4">
        <v>-208.90522651845109</v>
      </c>
      <c r="C1982" s="4">
        <v>171586.29013350961</v>
      </c>
      <c r="D1982" s="4">
        <v>71525.794065753988</v>
      </c>
      <c r="E1982" s="4">
        <v>100060.49606775559</v>
      </c>
      <c r="F1982" s="4">
        <v>0</v>
      </c>
      <c r="G1982" s="4">
        <v>4149.6855189759644</v>
      </c>
      <c r="H1982" s="4">
        <v>3940.780292457513</v>
      </c>
      <c r="I1982" s="4">
        <v>34317.258026701922</v>
      </c>
      <c r="J1982" s="4">
        <v>30376.47773424441</v>
      </c>
    </row>
    <row r="1983" spans="1:10">
      <c r="A1983" s="3">
        <v>46191.820138888892</v>
      </c>
      <c r="B1983" s="4">
        <v>-194.0643106421694</v>
      </c>
      <c r="C1983" s="4">
        <v>171601.13104938591</v>
      </c>
      <c r="D1983" s="4">
        <v>71540.634981630283</v>
      </c>
      <c r="E1983" s="4">
        <v>100060.49606775559</v>
      </c>
      <c r="F1983" s="4">
        <v>0</v>
      </c>
      <c r="G1983" s="4">
        <v>4149.6855189759644</v>
      </c>
      <c r="H1983" s="4">
        <v>3955.6212083337941</v>
      </c>
      <c r="I1983" s="4">
        <v>34320.226209877183</v>
      </c>
      <c r="J1983" s="4">
        <v>30364.605001543379</v>
      </c>
    </row>
    <row r="1984" spans="1:10">
      <c r="A1984" s="3">
        <v>46191.820833333331</v>
      </c>
      <c r="B1984" s="4">
        <v>-160.7169665230526</v>
      </c>
      <c r="C1984" s="4">
        <v>171582.62462114301</v>
      </c>
      <c r="D1984" s="4">
        <v>71548.055439568416</v>
      </c>
      <c r="E1984" s="4">
        <v>100034.5691815746</v>
      </c>
      <c r="F1984" s="4">
        <v>0</v>
      </c>
      <c r="G1984" s="4">
        <v>4149.6855189759644</v>
      </c>
      <c r="H1984" s="4">
        <v>3988.9685524529109</v>
      </c>
      <c r="I1984" s="4">
        <v>34316.524924228608</v>
      </c>
      <c r="J1984" s="4">
        <v>30327.5563717757</v>
      </c>
    </row>
    <row r="1985" spans="1:10">
      <c r="A1985" s="1">
        <v>46191.821527777778</v>
      </c>
      <c r="B1985">
        <v>-154.51834604043191</v>
      </c>
      <c r="C1985">
        <v>171606.10783241299</v>
      </c>
      <c r="D1985">
        <v>71562.896355444696</v>
      </c>
      <c r="E1985">
        <v>100043.2114769683</v>
      </c>
      <c r="F1985">
        <v>0</v>
      </c>
      <c r="G1985">
        <v>4149.6855189759644</v>
      </c>
      <c r="H1985">
        <v>3995.1671729355321</v>
      </c>
      <c r="I1985">
        <v>34321.2215664826</v>
      </c>
      <c r="J1985">
        <v>30326.054393547071</v>
      </c>
    </row>
    <row r="1986" spans="1:10">
      <c r="A1986" s="1">
        <v>46191.822222222218</v>
      </c>
      <c r="B1986">
        <v>-176.77971985485971</v>
      </c>
      <c r="C1986">
        <v>171583.84645859859</v>
      </c>
      <c r="D1986">
        <v>71540.634981630283</v>
      </c>
      <c r="E1986">
        <v>100043.2114769683</v>
      </c>
      <c r="F1986">
        <v>0</v>
      </c>
      <c r="G1986">
        <v>4149.6855189759644</v>
      </c>
      <c r="H1986">
        <v>3972.9057991211039</v>
      </c>
      <c r="I1986">
        <v>34316.769291719713</v>
      </c>
      <c r="J1986">
        <v>30343.863492598612</v>
      </c>
    </row>
    <row r="1987" spans="1:10">
      <c r="A1987" s="3">
        <v>46191.822916666657</v>
      </c>
      <c r="B1987" s="4">
        <v>-202.70660603583039</v>
      </c>
      <c r="C1987" s="4">
        <v>171609.77334477959</v>
      </c>
      <c r="D1987" s="4">
        <v>71540.634981630283</v>
      </c>
      <c r="E1987" s="4">
        <v>100069.13836314929</v>
      </c>
      <c r="F1987" s="4">
        <v>0</v>
      </c>
      <c r="G1987" s="4">
        <v>4149.6855189759644</v>
      </c>
      <c r="H1987" s="4">
        <v>3946.9789129401329</v>
      </c>
      <c r="I1987" s="4">
        <v>34321.954668955907</v>
      </c>
      <c r="J1987" s="4">
        <v>30374.975756015781</v>
      </c>
    </row>
    <row r="1988" spans="1:10">
      <c r="A1988" s="3">
        <v>46191.823611111111</v>
      </c>
      <c r="B1988" s="4">
        <v>-174.15717853370899</v>
      </c>
      <c r="C1988" s="4">
        <v>171759.31490779281</v>
      </c>
      <c r="D1988" s="4">
        <v>71629.680476887981</v>
      </c>
      <c r="E1988" s="4">
        <v>100129.6344309049</v>
      </c>
      <c r="F1988" s="4">
        <v>0</v>
      </c>
      <c r="G1988" s="4">
        <v>4149.6855189759644</v>
      </c>
      <c r="H1988" s="4">
        <v>3975.5283404422539</v>
      </c>
      <c r="I1988" s="4">
        <v>34351.862981558566</v>
      </c>
      <c r="J1988" s="4">
        <v>30376.334641116311</v>
      </c>
    </row>
    <row r="1989" spans="1:10">
      <c r="A1989" s="1">
        <v>46191.824305555558</v>
      </c>
      <c r="B1989">
        <v>-165.514883140048</v>
      </c>
      <c r="C1989">
        <v>171750.67261239921</v>
      </c>
      <c r="D1989">
        <v>71629.680476887981</v>
      </c>
      <c r="E1989">
        <v>100120.9921355112</v>
      </c>
      <c r="F1989">
        <v>0</v>
      </c>
      <c r="G1989">
        <v>4149.6855189759644</v>
      </c>
      <c r="H1989">
        <v>3984.1706358359161</v>
      </c>
      <c r="I1989">
        <v>34350.134522479842</v>
      </c>
      <c r="J1989">
        <v>30365.96388664392</v>
      </c>
    </row>
    <row r="1990" spans="1:10">
      <c r="A1990" s="3">
        <v>46191.824999999997</v>
      </c>
      <c r="B1990" s="4">
        <v>-175.2895827841738</v>
      </c>
      <c r="C1990" s="4">
        <v>171879.17463905361</v>
      </c>
      <c r="D1990" s="4">
        <v>71689.044140393118</v>
      </c>
      <c r="E1990" s="4">
        <v>100190.1304986605</v>
      </c>
      <c r="F1990" s="4">
        <v>0</v>
      </c>
      <c r="G1990" s="4">
        <v>4149.6855189759644</v>
      </c>
      <c r="H1990" s="4">
        <v>3974.39593619179</v>
      </c>
      <c r="I1990" s="4">
        <v>34375.83492781072</v>
      </c>
      <c r="J1990" s="4">
        <v>30401.438991618928</v>
      </c>
    </row>
    <row r="1991" spans="1:10">
      <c r="A1991" s="1">
        <v>46191.825694444437</v>
      </c>
      <c r="B1991">
        <v>-180.26636581127971</v>
      </c>
      <c r="C1991">
        <v>171839.62867445179</v>
      </c>
      <c r="D1991">
        <v>71666.78276657869</v>
      </c>
      <c r="E1991">
        <v>100172.8459078731</v>
      </c>
      <c r="F1991">
        <v>0</v>
      </c>
      <c r="G1991">
        <v>4149.6855189759644</v>
      </c>
      <c r="H1991">
        <v>3969.4191531646838</v>
      </c>
      <c r="I1991">
        <v>34367.92573489037</v>
      </c>
      <c r="J1991">
        <v>30398.506581725691</v>
      </c>
    </row>
    <row r="1992" spans="1:10">
      <c r="A1992" s="1">
        <v>46191.826388888891</v>
      </c>
      <c r="B1992">
        <v>-175.2895827841738</v>
      </c>
      <c r="C1992">
        <v>171879.17463905361</v>
      </c>
      <c r="D1992">
        <v>71689.044140393118</v>
      </c>
      <c r="E1992">
        <v>100190.1304986605</v>
      </c>
      <c r="F1992">
        <v>0</v>
      </c>
      <c r="G1992">
        <v>4149.6855189759644</v>
      </c>
      <c r="H1992">
        <v>3974.39593619179</v>
      </c>
      <c r="I1992">
        <v>34375.83492781072</v>
      </c>
      <c r="J1992">
        <v>30401.438991618928</v>
      </c>
    </row>
    <row r="1993" spans="1:10">
      <c r="A1993" s="1">
        <v>46191.82708333333</v>
      </c>
      <c r="B1993">
        <v>-140.63096800448159</v>
      </c>
      <c r="C1993">
        <v>171948.40243540789</v>
      </c>
      <c r="D1993">
        <v>71740.987345960122</v>
      </c>
      <c r="E1993">
        <v>100207.41508944779</v>
      </c>
      <c r="F1993">
        <v>0</v>
      </c>
      <c r="G1993">
        <v>4149.6855189759644</v>
      </c>
      <c r="H1993">
        <v>4009.0545509714821</v>
      </c>
      <c r="I1993">
        <v>34389.680487081583</v>
      </c>
      <c r="J1993">
        <v>30380.625936110089</v>
      </c>
    </row>
    <row r="1994" spans="1:10">
      <c r="A1994" s="1">
        <v>46191.827777777777</v>
      </c>
      <c r="B1994">
        <v>0</v>
      </c>
      <c r="C1994">
        <v>0</v>
      </c>
      <c r="D1994">
        <v>0</v>
      </c>
      <c r="E1994">
        <v>0</v>
      </c>
      <c r="F1994">
        <v>-197.25213188003741</v>
      </c>
      <c r="G1994">
        <v>3952.4333870959258</v>
      </c>
      <c r="H1994">
        <v>3952.4333870959258</v>
      </c>
      <c r="I1994">
        <v>0</v>
      </c>
      <c r="J1994">
        <v>-3952.4333870959258</v>
      </c>
    </row>
    <row r="1995" spans="1:10">
      <c r="A1995" s="1">
        <v>46195.866666666669</v>
      </c>
      <c r="B1995">
        <v>0</v>
      </c>
      <c r="C1995">
        <v>171674.20322451679</v>
      </c>
      <c r="D1995">
        <v>71674.203224516838</v>
      </c>
      <c r="E1995">
        <v>100000</v>
      </c>
      <c r="F1995">
        <v>0</v>
      </c>
      <c r="G1995">
        <v>3952.4333870959258</v>
      </c>
      <c r="H1995">
        <v>3952.4333870959258</v>
      </c>
      <c r="I1995">
        <v>34334.840644903357</v>
      </c>
      <c r="J1995">
        <v>30382.407257807441</v>
      </c>
    </row>
    <row r="1996" spans="1:10">
      <c r="A1996" s="3">
        <v>46195.867361111108</v>
      </c>
      <c r="B1996" s="4">
        <v>-27.880683376788479</v>
      </c>
      <c r="C1996" s="4">
        <v>171731.5885711537</v>
      </c>
      <c r="D1996" s="4">
        <v>71688.955556146859</v>
      </c>
      <c r="E1996" s="4">
        <v>100042.6330150068</v>
      </c>
      <c r="F1996" s="4">
        <v>0</v>
      </c>
      <c r="G1996" s="4">
        <v>3952.4333870959258</v>
      </c>
      <c r="H1996" s="4">
        <v>3924.5527037191382</v>
      </c>
      <c r="I1996" s="4">
        <v>34346.31771423074</v>
      </c>
      <c r="J1996" s="4">
        <v>30421.765010511601</v>
      </c>
    </row>
    <row r="1997" spans="1:10">
      <c r="A1997" s="1">
        <v>46195.868055555547</v>
      </c>
      <c r="B1997">
        <v>52.783597891470222</v>
      </c>
      <c r="C1997">
        <v>171709.93361640559</v>
      </c>
      <c r="D1997">
        <v>71718.46021940693</v>
      </c>
      <c r="E1997">
        <v>99991.473396998641</v>
      </c>
      <c r="F1997">
        <v>0</v>
      </c>
      <c r="G1997">
        <v>3952.4333870959258</v>
      </c>
      <c r="H1997">
        <v>4005.2169849873972</v>
      </c>
      <c r="I1997">
        <v>34341.986723281123</v>
      </c>
      <c r="J1997">
        <v>30336.769738293719</v>
      </c>
    </row>
    <row r="1998" spans="1:10">
      <c r="A1998" s="3">
        <v>46195.868750000001</v>
      </c>
      <c r="B1998" s="4">
        <v>120.52287920544831</v>
      </c>
      <c r="C1998" s="4">
        <v>171538.9280136814</v>
      </c>
      <c r="D1998" s="4">
        <v>71666.82705870182</v>
      </c>
      <c r="E1998" s="4">
        <v>99872.100954979542</v>
      </c>
      <c r="F1998" s="4">
        <v>0</v>
      </c>
      <c r="G1998" s="4">
        <v>3952.4333870959258</v>
      </c>
      <c r="H1998" s="4">
        <v>4072.9562663013739</v>
      </c>
      <c r="I1998" s="4">
        <v>34307.78560273628</v>
      </c>
      <c r="J1998" s="4">
        <v>30234.829336434901</v>
      </c>
    </row>
    <row r="1999" spans="1:10">
      <c r="A1999" s="1">
        <v>46195.869444444441</v>
      </c>
      <c r="B1999">
        <v>127.89904502046871</v>
      </c>
      <c r="C1999">
        <v>171546.30417949639</v>
      </c>
      <c r="D1999">
        <v>71674.203224516838</v>
      </c>
      <c r="E1999">
        <v>99872.100954979542</v>
      </c>
      <c r="F1999">
        <v>0</v>
      </c>
      <c r="G1999">
        <v>3952.4333870959258</v>
      </c>
      <c r="H1999">
        <v>4080.332432116395</v>
      </c>
      <c r="I1999">
        <v>34309.260835899273</v>
      </c>
      <c r="J1999">
        <v>30228.92840378288</v>
      </c>
    </row>
    <row r="2000" spans="1:10">
      <c r="A2000" s="3">
        <v>46195.870138888888</v>
      </c>
      <c r="B2000" s="4">
        <v>0</v>
      </c>
      <c r="C2000" s="4">
        <v>0</v>
      </c>
      <c r="D2000" s="4">
        <v>0</v>
      </c>
      <c r="E2000" s="4">
        <v>0</v>
      </c>
      <c r="F2000" s="4">
        <v>87.817087051353951</v>
      </c>
      <c r="G2000" s="4">
        <v>4040.2504741472799</v>
      </c>
      <c r="H2000" s="4">
        <v>4040.2504741472799</v>
      </c>
      <c r="I2000" s="4">
        <v>0</v>
      </c>
      <c r="J2000" s="4">
        <v>-4040.2504741472799</v>
      </c>
    </row>
    <row r="2001" spans="1:10">
      <c r="A2001" s="3">
        <v>46197.604166666657</v>
      </c>
      <c r="B2001" s="4">
        <v>0</v>
      </c>
      <c r="C2001" s="4">
        <v>220191.17343944349</v>
      </c>
      <c r="D2001" s="4">
        <v>120191.1734394435</v>
      </c>
      <c r="E2001" s="4">
        <v>100000</v>
      </c>
      <c r="F2001" s="4">
        <v>0</v>
      </c>
      <c r="G2001" s="4">
        <v>4040.2504741472799</v>
      </c>
      <c r="H2001" s="4">
        <v>4040.2504741472799</v>
      </c>
      <c r="I2001" s="4">
        <v>44038.234687888696</v>
      </c>
      <c r="J2001" s="4">
        <v>39997.984213741423</v>
      </c>
    </row>
    <row r="2002" spans="1:10">
      <c r="A2002" s="1">
        <v>46197.604861111111</v>
      </c>
      <c r="B2002">
        <v>203.3140677088372</v>
      </c>
      <c r="C2002">
        <v>220188.47892346131</v>
      </c>
      <c r="D2002">
        <v>120291.4832153068</v>
      </c>
      <c r="E2002">
        <v>99896.9957081545</v>
      </c>
      <c r="F2002">
        <v>0</v>
      </c>
      <c r="G2002">
        <v>4040.2504741472799</v>
      </c>
      <c r="H2002">
        <v>4243.564541856118</v>
      </c>
      <c r="I2002">
        <v>44037.69578469226</v>
      </c>
      <c r="J2002">
        <v>39794.131242836142</v>
      </c>
    </row>
    <row r="2003" spans="1:10">
      <c r="A2003" s="1">
        <v>46197.605555555558</v>
      </c>
      <c r="B2003">
        <v>126.0608488247141</v>
      </c>
      <c r="C2003">
        <v>220265.7321423454</v>
      </c>
      <c r="D2003">
        <v>120291.4832153068</v>
      </c>
      <c r="E2003">
        <v>99974.248927038629</v>
      </c>
      <c r="F2003">
        <v>0</v>
      </c>
      <c r="G2003">
        <v>4040.2504741472799</v>
      </c>
      <c r="H2003">
        <v>4166.3113229719947</v>
      </c>
      <c r="I2003">
        <v>44053.146428469088</v>
      </c>
      <c r="J2003">
        <v>39886.835105497092</v>
      </c>
    </row>
    <row r="2004" spans="1:10">
      <c r="A2004" s="3">
        <v>46197.606249999997</v>
      </c>
      <c r="B2004" s="4">
        <v>114.58258463918069</v>
      </c>
      <c r="C2004" s="4">
        <v>220237.0864961856</v>
      </c>
      <c r="D2004" s="4">
        <v>120271.4212601341</v>
      </c>
      <c r="E2004" s="4">
        <v>99965.665236051485</v>
      </c>
      <c r="F2004" s="4">
        <v>0</v>
      </c>
      <c r="G2004" s="4">
        <v>4040.2504741472799</v>
      </c>
      <c r="H2004" s="4">
        <v>4154.8330587864612</v>
      </c>
      <c r="I2004" s="4">
        <v>44047.417299237131</v>
      </c>
      <c r="J2004" s="4">
        <v>39892.584240450669</v>
      </c>
    </row>
    <row r="2005" spans="1:10">
      <c r="A2005" s="1">
        <v>46197.606944444437</v>
      </c>
      <c r="B2005">
        <v>406.4280782014032</v>
      </c>
      <c r="C2005">
        <v>219945.2410026234</v>
      </c>
      <c r="D2005">
        <v>120271.4212601341</v>
      </c>
      <c r="E2005">
        <v>99673.819742489271</v>
      </c>
      <c r="F2005">
        <v>0</v>
      </c>
      <c r="G2005">
        <v>4040.2504741472799</v>
      </c>
      <c r="H2005">
        <v>4446.6785523486833</v>
      </c>
      <c r="I2005">
        <v>43989.048200524681</v>
      </c>
      <c r="J2005">
        <v>39542.369648175998</v>
      </c>
    </row>
    <row r="2006" spans="1:10">
      <c r="A2006" s="1">
        <v>46197.607638888891</v>
      </c>
      <c r="B2006">
        <v>0</v>
      </c>
      <c r="C2006">
        <v>0</v>
      </c>
      <c r="D2006">
        <v>0</v>
      </c>
      <c r="E2006">
        <v>0</v>
      </c>
      <c r="F2006">
        <v>508.26348491779009</v>
      </c>
      <c r="G2006">
        <v>4548.5139590650706</v>
      </c>
      <c r="H2006">
        <v>4548.5139590650706</v>
      </c>
      <c r="I2006">
        <v>0</v>
      </c>
      <c r="J2006">
        <v>-4548.5139590650706</v>
      </c>
    </row>
    <row r="2007" spans="1:10">
      <c r="A2007" s="1">
        <v>46198.604861111111</v>
      </c>
      <c r="B2007">
        <v>0</v>
      </c>
      <c r="C2007">
        <v>220191.17343944349</v>
      </c>
      <c r="D2007">
        <v>100000</v>
      </c>
      <c r="E2007">
        <v>120191.1734394435</v>
      </c>
      <c r="F2007">
        <v>0</v>
      </c>
      <c r="G2007">
        <v>4548.5139590650706</v>
      </c>
      <c r="H2007">
        <v>4548.5139590650706</v>
      </c>
      <c r="I2007">
        <v>44038.234687888696</v>
      </c>
      <c r="J2007">
        <v>39489.720728823617</v>
      </c>
    </row>
    <row r="2008" spans="1:10">
      <c r="A2008" s="3">
        <v>46198.605555555558</v>
      </c>
      <c r="B2008" s="4">
        <v>39.873264220843623</v>
      </c>
      <c r="C2008" s="4">
        <v>220409.34249416291</v>
      </c>
      <c r="D2008" s="4">
        <v>100129.0211594701</v>
      </c>
      <c r="E2008" s="4">
        <v>120280.3213346928</v>
      </c>
      <c r="F2008" s="4">
        <v>0</v>
      </c>
      <c r="G2008" s="4">
        <v>4548.5139590650706</v>
      </c>
      <c r="H2008" s="4">
        <v>4588.3872232859139</v>
      </c>
      <c r="I2008" s="4">
        <v>44081.868498832577</v>
      </c>
      <c r="J2008" s="4">
        <v>39493.48127554667</v>
      </c>
    </row>
    <row r="2009" spans="1:10">
      <c r="A2009" s="1">
        <v>46198.606249999997</v>
      </c>
      <c r="B2009">
        <v>-6.5195553151145731</v>
      </c>
      <c r="C2009">
        <v>220283.70710107201</v>
      </c>
      <c r="D2009">
        <v>100043.0070531567</v>
      </c>
      <c r="E2009">
        <v>120240.70004791531</v>
      </c>
      <c r="F2009">
        <v>0</v>
      </c>
      <c r="G2009">
        <v>4548.5139590650706</v>
      </c>
      <c r="H2009">
        <v>4541.9944037499563</v>
      </c>
      <c r="I2009">
        <v>44056.741420214406</v>
      </c>
      <c r="J2009">
        <v>39514.747016464447</v>
      </c>
    </row>
    <row r="2010" spans="1:10">
      <c r="A2010" s="1">
        <v>46198.606944444437</v>
      </c>
      <c r="B2010">
        <v>11.209232757395251</v>
      </c>
      <c r="C2010">
        <v>220162.76138542339</v>
      </c>
      <c r="D2010">
        <v>99991.398589368648</v>
      </c>
      <c r="E2010">
        <v>120171.3627960547</v>
      </c>
      <c r="F2010">
        <v>0</v>
      </c>
      <c r="G2010">
        <v>4548.5139590650706</v>
      </c>
      <c r="H2010">
        <v>4559.7231918224661</v>
      </c>
      <c r="I2010">
        <v>44032.552277084673</v>
      </c>
      <c r="J2010">
        <v>39472.829085262209</v>
      </c>
    </row>
    <row r="2011" spans="1:10">
      <c r="A2011" s="3">
        <v>46198.607638888891</v>
      </c>
      <c r="B2011" s="4">
        <v>-115.73007139654349</v>
      </c>
      <c r="C2011" s="4">
        <v>220134.8752982131</v>
      </c>
      <c r="D2011" s="4">
        <v>99913.985893686564</v>
      </c>
      <c r="E2011" s="4">
        <v>120220.88940452661</v>
      </c>
      <c r="F2011" s="4">
        <v>0</v>
      </c>
      <c r="G2011" s="4">
        <v>4548.5139590650706</v>
      </c>
      <c r="H2011" s="4">
        <v>4432.7838876685273</v>
      </c>
      <c r="I2011" s="4">
        <v>44026.975059642631</v>
      </c>
      <c r="J2011" s="4">
        <v>39594.191171974097</v>
      </c>
    </row>
    <row r="2012" spans="1:10">
      <c r="A2012" s="1">
        <v>46198.60833333333</v>
      </c>
      <c r="B2012">
        <v>-48.22269740880617</v>
      </c>
      <c r="C2012">
        <v>220222.1933155896</v>
      </c>
      <c r="D2012">
        <v>99991.398589368648</v>
      </c>
      <c r="E2012">
        <v>120230.79472622091</v>
      </c>
      <c r="F2012">
        <v>0</v>
      </c>
      <c r="G2012">
        <v>4548.5139590650706</v>
      </c>
      <c r="H2012">
        <v>4500.2912616562644</v>
      </c>
      <c r="I2012">
        <v>44044.438663117908</v>
      </c>
      <c r="J2012">
        <v>39544.147401461647</v>
      </c>
    </row>
    <row r="2013" spans="1:10">
      <c r="A2013" s="3">
        <v>46198.609027777777</v>
      </c>
      <c r="B2013" s="4">
        <v>95.393461197975938</v>
      </c>
      <c r="C2013" s="4">
        <v>220405.4307609738</v>
      </c>
      <c r="D2013" s="4">
        <v>100154.8253913642</v>
      </c>
      <c r="E2013" s="4">
        <v>120250.60536960969</v>
      </c>
      <c r="F2013" s="4">
        <v>0</v>
      </c>
      <c r="G2013" s="4">
        <v>4548.5139590650706</v>
      </c>
      <c r="H2013" s="4">
        <v>4643.9074202630463</v>
      </c>
      <c r="I2013" s="4">
        <v>44081.086152194774</v>
      </c>
      <c r="J2013" s="4">
        <v>39437.178731931723</v>
      </c>
    </row>
    <row r="2014" spans="1:10">
      <c r="A2014" s="1">
        <v>46198.609722222223</v>
      </c>
      <c r="B2014">
        <v>-268.49561936753059</v>
      </c>
      <c r="C2014">
        <v>220734.91419901399</v>
      </c>
      <c r="D2014">
        <v>100137.62257010151</v>
      </c>
      <c r="E2014">
        <v>120597.2916289125</v>
      </c>
      <c r="F2014">
        <v>0</v>
      </c>
      <c r="G2014">
        <v>4548.5139590650706</v>
      </c>
      <c r="H2014">
        <v>4280.0183396975399</v>
      </c>
      <c r="I2014">
        <v>44146.982839802797</v>
      </c>
      <c r="J2014">
        <v>39866.964500105263</v>
      </c>
    </row>
    <row r="2015" spans="1:10">
      <c r="A2015" s="3">
        <v>46198.61041666667</v>
      </c>
      <c r="B2015" s="4">
        <v>-715.28702923366552</v>
      </c>
      <c r="C2015" s="4">
        <v>221456.9507490831</v>
      </c>
      <c r="D2015" s="4">
        <v>100275.245140203</v>
      </c>
      <c r="E2015" s="4">
        <v>121181.7056088801</v>
      </c>
      <c r="F2015" s="4">
        <v>0</v>
      </c>
      <c r="G2015" s="4">
        <v>4548.5139590650706</v>
      </c>
      <c r="H2015" s="4">
        <v>3833.226929831405</v>
      </c>
      <c r="I2015" s="4">
        <v>44291.390149816623</v>
      </c>
      <c r="J2015" s="4">
        <v>40458.163219985217</v>
      </c>
    </row>
    <row r="2016" spans="1:10">
      <c r="A2016" s="1">
        <v>46198.611111111109</v>
      </c>
      <c r="B2016">
        <v>-575.56059189289522</v>
      </c>
      <c r="C2016">
        <v>221041.97917153939</v>
      </c>
      <c r="D2016">
        <v>100137.62257010151</v>
      </c>
      <c r="E2016">
        <v>120904.3566014379</v>
      </c>
      <c r="F2016">
        <v>0</v>
      </c>
      <c r="G2016">
        <v>4548.5139590650706</v>
      </c>
      <c r="H2016">
        <v>3972.9533671721761</v>
      </c>
      <c r="I2016">
        <v>44208.395834307878</v>
      </c>
      <c r="J2016">
        <v>40235.442467135697</v>
      </c>
    </row>
    <row r="2017" spans="1:10">
      <c r="A2017" s="3">
        <v>46198.611805555563</v>
      </c>
      <c r="B2017" s="4">
        <v>-569.56700338759288</v>
      </c>
      <c r="C2017" s="4">
        <v>221087.59404682211</v>
      </c>
      <c r="D2017" s="4">
        <v>100163.42680199551</v>
      </c>
      <c r="E2017" s="4">
        <v>120924.1672448266</v>
      </c>
      <c r="F2017" s="4">
        <v>0</v>
      </c>
      <c r="G2017" s="4">
        <v>4548.5139590650706</v>
      </c>
      <c r="H2017" s="4">
        <v>3978.946955677477</v>
      </c>
      <c r="I2017" s="4">
        <v>44217.518809364417</v>
      </c>
      <c r="J2017" s="4">
        <v>40238.571853686954</v>
      </c>
    </row>
    <row r="2018" spans="1:10">
      <c r="A2018" s="1">
        <v>46198.612500000003</v>
      </c>
      <c r="B2018">
        <v>-554.97200425095457</v>
      </c>
      <c r="C2018">
        <v>221141.8103327362</v>
      </c>
      <c r="D2018">
        <v>100197.8324445209</v>
      </c>
      <c r="E2018">
        <v>120943.9778882153</v>
      </c>
      <c r="F2018">
        <v>0</v>
      </c>
      <c r="G2018">
        <v>4548.5139590650706</v>
      </c>
      <c r="H2018">
        <v>3993.5419548141158</v>
      </c>
      <c r="I2018">
        <v>44228.362066547248</v>
      </c>
      <c r="J2018">
        <v>40234.820111733126</v>
      </c>
    </row>
    <row r="2019" spans="1:10">
      <c r="A2019" s="1">
        <v>46198.613194444442</v>
      </c>
      <c r="B2019">
        <v>-642.81598843723498</v>
      </c>
      <c r="C2019">
        <v>221212.4514956598</v>
      </c>
      <c r="D2019">
        <v>100189.23103388961</v>
      </c>
      <c r="E2019">
        <v>121023.2204617703</v>
      </c>
      <c r="F2019">
        <v>0</v>
      </c>
      <c r="G2019">
        <v>4548.5139590650706</v>
      </c>
      <c r="H2019">
        <v>3905.6979706278362</v>
      </c>
      <c r="I2019">
        <v>44242.490299131969</v>
      </c>
      <c r="J2019">
        <v>40336.792328504132</v>
      </c>
    </row>
    <row r="2020" spans="1:10">
      <c r="A2020" s="3">
        <v>46198.613888888889</v>
      </c>
      <c r="B2020" s="4">
        <v>-572.17482551363821</v>
      </c>
      <c r="C2020" s="4">
        <v>221124.6075114735</v>
      </c>
      <c r="D2020" s="4">
        <v>100180.6296232582</v>
      </c>
      <c r="E2020" s="4">
        <v>120943.9778882153</v>
      </c>
      <c r="F2020" s="4">
        <v>0</v>
      </c>
      <c r="G2020" s="4">
        <v>4548.5139590650706</v>
      </c>
      <c r="H2020" s="4">
        <v>3976.339133551432</v>
      </c>
      <c r="I2020" s="4">
        <v>44224.92150229471</v>
      </c>
      <c r="J2020" s="4">
        <v>40248.582368743278</v>
      </c>
    </row>
    <row r="2021" spans="1:10">
      <c r="A2021" s="1">
        <v>46198.614583333343</v>
      </c>
      <c r="B2021">
        <v>-617.78970079641306</v>
      </c>
      <c r="C2021">
        <v>221118.61392296819</v>
      </c>
      <c r="D2021">
        <v>100154.8253913642</v>
      </c>
      <c r="E2021">
        <v>120963.78853160411</v>
      </c>
      <c r="F2021">
        <v>0</v>
      </c>
      <c r="G2021">
        <v>4548.5139590650706</v>
      </c>
      <c r="H2021">
        <v>3930.7242582686581</v>
      </c>
      <c r="I2021">
        <v>44223.72278459365</v>
      </c>
      <c r="J2021">
        <v>40292.998526324991</v>
      </c>
    </row>
    <row r="2022" spans="1:10">
      <c r="A2022" s="3">
        <v>46198.615277777782</v>
      </c>
      <c r="B2022" s="4">
        <v>-474.95148644281443</v>
      </c>
      <c r="C2022" s="4">
        <v>221182.2095637669</v>
      </c>
      <c r="D2022" s="4">
        <v>100258.04231894029</v>
      </c>
      <c r="E2022" s="4">
        <v>120924.1672448266</v>
      </c>
      <c r="F2022" s="4">
        <v>0</v>
      </c>
      <c r="G2022" s="4">
        <v>4548.5139590650706</v>
      </c>
      <c r="H2022" s="4">
        <v>4073.5624726222559</v>
      </c>
      <c r="I2022" s="4">
        <v>44236.441912753377</v>
      </c>
      <c r="J2022" s="4">
        <v>40162.879440131117</v>
      </c>
    </row>
    <row r="2023" spans="1:10">
      <c r="A2023" s="1">
        <v>46198.615972222222</v>
      </c>
      <c r="B2023">
        <v>-493.98418557834589</v>
      </c>
      <c r="C2023">
        <v>221321.66201174119</v>
      </c>
      <c r="D2023">
        <v>100318.2521933597</v>
      </c>
      <c r="E2023">
        <v>121003.40981838149</v>
      </c>
      <c r="F2023">
        <v>0</v>
      </c>
      <c r="G2023">
        <v>4548.5139590650706</v>
      </c>
      <c r="H2023">
        <v>4054.529773486724</v>
      </c>
      <c r="I2023">
        <v>44264.332402348249</v>
      </c>
      <c r="J2023">
        <v>40209.802628861522</v>
      </c>
    </row>
    <row r="2024" spans="1:10">
      <c r="A2024" s="1">
        <v>46198.616666666669</v>
      </c>
      <c r="B2024">
        <v>-557.57982637700184</v>
      </c>
      <c r="C2024">
        <v>221178.82379738771</v>
      </c>
      <c r="D2024">
        <v>100215.0352657836</v>
      </c>
      <c r="E2024">
        <v>120963.78853160411</v>
      </c>
      <c r="F2024">
        <v>0</v>
      </c>
      <c r="G2024">
        <v>4548.5139590650706</v>
      </c>
      <c r="H2024">
        <v>3990.934132688069</v>
      </c>
      <c r="I2024">
        <v>44235.764759477534</v>
      </c>
      <c r="J2024">
        <v>40244.830626789473</v>
      </c>
    </row>
    <row r="2025" spans="1:10">
      <c r="A2025" s="3">
        <v>46198.617361111108</v>
      </c>
      <c r="B2025" s="4">
        <v>-537.76918298825876</v>
      </c>
      <c r="C2025" s="4">
        <v>221159.01315399891</v>
      </c>
      <c r="D2025" s="4">
        <v>100215.0352657836</v>
      </c>
      <c r="E2025" s="4">
        <v>120943.9778882153</v>
      </c>
      <c r="F2025" s="4">
        <v>0</v>
      </c>
      <c r="G2025" s="4">
        <v>4548.5139590650706</v>
      </c>
      <c r="H2025" s="4">
        <v>4010.7447760768118</v>
      </c>
      <c r="I2025" s="4">
        <v>44231.802630799793</v>
      </c>
      <c r="J2025" s="4">
        <v>40221.057854722967</v>
      </c>
    </row>
    <row r="2026" spans="1:10">
      <c r="A2026" s="1">
        <v>46198.618055555547</v>
      </c>
      <c r="B2026">
        <v>-616.75977909981793</v>
      </c>
      <c r="C2026">
        <v>221496.0460690507</v>
      </c>
      <c r="D2026">
        <v>100344.0564252537</v>
      </c>
      <c r="E2026">
        <v>121151.989643797</v>
      </c>
      <c r="F2026">
        <v>0</v>
      </c>
      <c r="G2026">
        <v>4548.5139590650706</v>
      </c>
      <c r="H2026">
        <v>3931.7541799652531</v>
      </c>
      <c r="I2026">
        <v>44299.209213810151</v>
      </c>
      <c r="J2026">
        <v>40367.455033844897</v>
      </c>
    </row>
    <row r="2027" spans="1:10">
      <c r="A2027" s="3">
        <v>46198.618750000001</v>
      </c>
      <c r="B2027" s="4">
        <v>-684.01517564415769</v>
      </c>
      <c r="C2027" s="4">
        <v>221666.51839317119</v>
      </c>
      <c r="D2027" s="4">
        <v>100395.6648890418</v>
      </c>
      <c r="E2027" s="4">
        <v>121270.85350412939</v>
      </c>
      <c r="F2027" s="4">
        <v>0</v>
      </c>
      <c r="G2027" s="4">
        <v>4548.5139590650706</v>
      </c>
      <c r="H2027" s="4">
        <v>3864.4987834209128</v>
      </c>
      <c r="I2027" s="4">
        <v>44333.303678634249</v>
      </c>
      <c r="J2027" s="4">
        <v>40468.804895213339</v>
      </c>
    </row>
    <row r="2028" spans="1:10">
      <c r="A2028" s="1">
        <v>46198.619444444441</v>
      </c>
      <c r="B2028">
        <v>-771.08121557721233</v>
      </c>
      <c r="C2028">
        <v>221856.8013606804</v>
      </c>
      <c r="D2028">
        <v>100447.2733528299</v>
      </c>
      <c r="E2028">
        <v>121409.5280078505</v>
      </c>
      <c r="F2028">
        <v>0</v>
      </c>
      <c r="G2028">
        <v>4548.5139590650706</v>
      </c>
      <c r="H2028">
        <v>3777.4327434878578</v>
      </c>
      <c r="I2028">
        <v>44371.36027213608</v>
      </c>
      <c r="J2028">
        <v>40593.927528648223</v>
      </c>
    </row>
    <row r="2029" spans="1:10">
      <c r="A2029" s="3">
        <v>46198.620138888888</v>
      </c>
      <c r="B2029" s="4">
        <v>-663.17461055881927</v>
      </c>
      <c r="C2029" s="4">
        <v>222024.139895865</v>
      </c>
      <c r="D2029" s="4">
        <v>100584.8959229313</v>
      </c>
      <c r="E2029" s="4">
        <v>121439.2439729336</v>
      </c>
      <c r="F2029" s="4">
        <v>0</v>
      </c>
      <c r="G2029" s="4">
        <v>4548.5139590650706</v>
      </c>
      <c r="H2029" s="4">
        <v>3885.339348506252</v>
      </c>
      <c r="I2029" s="4">
        <v>44404.827979173002</v>
      </c>
      <c r="J2029" s="4">
        <v>40519.488630666747</v>
      </c>
    </row>
    <row r="2030" spans="1:10">
      <c r="A2030" s="3">
        <v>46198.620833333327</v>
      </c>
      <c r="B2030" s="4">
        <v>-723.3844849782181</v>
      </c>
      <c r="C2030" s="4">
        <v>221963.93002144559</v>
      </c>
      <c r="D2030" s="4">
        <v>100524.686048512</v>
      </c>
      <c r="E2030" s="4">
        <v>121439.2439729336</v>
      </c>
      <c r="F2030" s="4">
        <v>0</v>
      </c>
      <c r="G2030" s="4">
        <v>4548.5139590650706</v>
      </c>
      <c r="H2030" s="4">
        <v>3825.129474086852</v>
      </c>
      <c r="I2030" s="4">
        <v>44392.786004289133</v>
      </c>
      <c r="J2030" s="4">
        <v>40567.656530202272</v>
      </c>
    </row>
    <row r="2031" spans="1:10">
      <c r="A2031" s="3">
        <v>46198.621527777781</v>
      </c>
      <c r="B2031" s="4">
        <v>-715.56101860009403</v>
      </c>
      <c r="C2031" s="4">
        <v>221852.88962749139</v>
      </c>
      <c r="D2031" s="4">
        <v>100473.0775847239</v>
      </c>
      <c r="E2031" s="4">
        <v>121379.8120427675</v>
      </c>
      <c r="F2031" s="4">
        <v>0</v>
      </c>
      <c r="G2031" s="4">
        <v>4548.5139590650706</v>
      </c>
      <c r="H2031" s="4">
        <v>3832.952940464977</v>
      </c>
      <c r="I2031" s="4">
        <v>44370.577925498277</v>
      </c>
      <c r="J2031" s="4">
        <v>40537.624985033297</v>
      </c>
    </row>
    <row r="2032" spans="1:10">
      <c r="A2032" s="1">
        <v>46198.62222222222</v>
      </c>
      <c r="B2032">
        <v>-648.83158886556635</v>
      </c>
      <c r="C2032">
        <v>221820.56584028219</v>
      </c>
      <c r="D2032">
        <v>100490.2804059866</v>
      </c>
      <c r="E2032">
        <v>121330.2854342956</v>
      </c>
      <c r="F2032">
        <v>0</v>
      </c>
      <c r="G2032">
        <v>4548.5139590650706</v>
      </c>
      <c r="H2032">
        <v>3899.682370199504</v>
      </c>
      <c r="I2032">
        <v>44364.113168056443</v>
      </c>
      <c r="J2032">
        <v>40464.430797856941</v>
      </c>
    </row>
    <row r="2033" spans="1:10">
      <c r="A2033" s="3">
        <v>46198.622916666667</v>
      </c>
      <c r="B2033" s="4">
        <v>-672.55396544337873</v>
      </c>
      <c r="C2033" s="4">
        <v>221895.89668064809</v>
      </c>
      <c r="D2033" s="4">
        <v>100516.0846378806</v>
      </c>
      <c r="E2033" s="4">
        <v>121379.8120427675</v>
      </c>
      <c r="F2033" s="4">
        <v>0</v>
      </c>
      <c r="G2033" s="4">
        <v>4548.5139590650706</v>
      </c>
      <c r="H2033" s="4">
        <v>3875.9599936216919</v>
      </c>
      <c r="I2033" s="4">
        <v>44379.179336129608</v>
      </c>
      <c r="J2033" s="4">
        <v>40503.219342507917</v>
      </c>
    </row>
    <row r="2034" spans="1:10">
      <c r="A2034" s="1">
        <v>46198.623611111107</v>
      </c>
      <c r="B2034">
        <v>-629.54691228666343</v>
      </c>
      <c r="C2034">
        <v>221938.90373380479</v>
      </c>
      <c r="D2034">
        <v>100559.09169103731</v>
      </c>
      <c r="E2034">
        <v>121379.8120427675</v>
      </c>
      <c r="F2034">
        <v>0</v>
      </c>
      <c r="G2034">
        <v>4548.5139590650706</v>
      </c>
      <c r="H2034">
        <v>3918.9670467784072</v>
      </c>
      <c r="I2034">
        <v>44387.780746760953</v>
      </c>
      <c r="J2034">
        <v>40468.813699982536</v>
      </c>
    </row>
    <row r="2035" spans="1:10">
      <c r="A2035" s="1">
        <v>46198.624305555553</v>
      </c>
      <c r="B2035">
        <v>-662.39666630560964</v>
      </c>
      <c r="C2035">
        <v>222143.78170045061</v>
      </c>
      <c r="D2035">
        <v>100645.1057973508</v>
      </c>
      <c r="E2035">
        <v>121498.67590309979</v>
      </c>
      <c r="F2035">
        <v>0</v>
      </c>
      <c r="G2035">
        <v>4548.5139590650706</v>
      </c>
      <c r="H2035">
        <v>3886.1172927594612</v>
      </c>
      <c r="I2035">
        <v>44428.756340090127</v>
      </c>
      <c r="J2035">
        <v>40542.639047330667</v>
      </c>
    </row>
    <row r="2036" spans="1:10">
      <c r="A2036" s="3">
        <v>46198.625</v>
      </c>
      <c r="B2036" s="4">
        <v>-718.4428300925681</v>
      </c>
      <c r="C2036" s="4">
        <v>222285.841970551</v>
      </c>
      <c r="D2036" s="4">
        <v>100688.1128505075</v>
      </c>
      <c r="E2036" s="4">
        <v>121597.7291200435</v>
      </c>
      <c r="F2036" s="4">
        <v>0</v>
      </c>
      <c r="G2036" s="4">
        <v>4548.5139590650706</v>
      </c>
      <c r="H2036" s="4">
        <v>3830.0711289725018</v>
      </c>
      <c r="I2036" s="4">
        <v>44457.168394110202</v>
      </c>
      <c r="J2036" s="4">
        <v>40627.097265137701</v>
      </c>
    </row>
    <row r="2037" spans="1:10">
      <c r="A2037" s="1">
        <v>46198.625694444447</v>
      </c>
      <c r="B2037">
        <v>-754.40436112435475</v>
      </c>
      <c r="C2037">
        <v>222012.1527188544</v>
      </c>
      <c r="D2037">
        <v>100533.28745914331</v>
      </c>
      <c r="E2037">
        <v>121478.86525971111</v>
      </c>
      <c r="F2037">
        <v>0</v>
      </c>
      <c r="G2037">
        <v>4548.5139590650706</v>
      </c>
      <c r="H2037">
        <v>3794.109597940716</v>
      </c>
      <c r="I2037">
        <v>44402.430543770883</v>
      </c>
      <c r="J2037">
        <v>40608.320945830157</v>
      </c>
    </row>
    <row r="2038" spans="1:10">
      <c r="A2038" s="1">
        <v>46198.626388888893</v>
      </c>
      <c r="B2038">
        <v>-780.48258238481492</v>
      </c>
      <c r="C2038">
        <v>222382.2873653686</v>
      </c>
      <c r="D2038">
        <v>100705.31567177019</v>
      </c>
      <c r="E2038">
        <v>121676.9716935984</v>
      </c>
      <c r="F2038">
        <v>0</v>
      </c>
      <c r="G2038">
        <v>4548.5139590650706</v>
      </c>
      <c r="H2038">
        <v>3768.031376680256</v>
      </c>
      <c r="I2038">
        <v>44476.457473073729</v>
      </c>
      <c r="J2038">
        <v>40708.426096393472</v>
      </c>
    </row>
    <row r="2039" spans="1:10">
      <c r="A2039" s="3">
        <v>46198.627083333333</v>
      </c>
      <c r="B2039" s="4">
        <v>-755.73028411042151</v>
      </c>
      <c r="C2039" s="4">
        <v>222684.3886710853</v>
      </c>
      <c r="D2039" s="4">
        <v>100868.7424737657</v>
      </c>
      <c r="E2039" s="4">
        <v>121815.6461973196</v>
      </c>
      <c r="F2039" s="4">
        <v>0</v>
      </c>
      <c r="G2039" s="4">
        <v>4548.5139590650706</v>
      </c>
      <c r="H2039" s="4">
        <v>3792.7836749546491</v>
      </c>
      <c r="I2039" s="4">
        <v>44536.877734217058</v>
      </c>
      <c r="J2039" s="4">
        <v>40744.09405926241</v>
      </c>
    </row>
    <row r="2040" spans="1:10">
      <c r="A2040" s="1">
        <v>46198.62777777778</v>
      </c>
      <c r="B2040">
        <v>-979.64094989178659</v>
      </c>
      <c r="C2040">
        <v>222856.69087307859</v>
      </c>
      <c r="D2040">
        <v>100842.9382418717</v>
      </c>
      <c r="E2040">
        <v>122013.75263120689</v>
      </c>
      <c r="F2040">
        <v>0</v>
      </c>
      <c r="G2040">
        <v>4548.5139590650706</v>
      </c>
      <c r="H2040">
        <v>3568.8730091732841</v>
      </c>
      <c r="I2040">
        <v>44571.338174615717</v>
      </c>
      <c r="J2040">
        <v>41002.465165442431</v>
      </c>
    </row>
    <row r="2041" spans="1:10">
      <c r="A2041" s="3">
        <v>46198.628472222219</v>
      </c>
      <c r="B2041" s="4">
        <v>-885.80337720020577</v>
      </c>
      <c r="C2041" s="4">
        <v>222831.66458543771</v>
      </c>
      <c r="D2041" s="4">
        <v>100877.34388439701</v>
      </c>
      <c r="E2041" s="4">
        <v>121954.32070104071</v>
      </c>
      <c r="F2041" s="4">
        <v>0</v>
      </c>
      <c r="G2041" s="4">
        <v>4548.5139590650706</v>
      </c>
      <c r="H2041" s="4">
        <v>3662.7105818648652</v>
      </c>
      <c r="I2041" s="4">
        <v>44566.332917087551</v>
      </c>
      <c r="J2041" s="4">
        <v>40903.622335222688</v>
      </c>
    </row>
    <row r="2042" spans="1:10">
      <c r="A2042" s="3">
        <v>46198.629166666673</v>
      </c>
      <c r="B2042" s="4">
        <v>-986.16050520688896</v>
      </c>
      <c r="C2042" s="4">
        <v>222949.22453470709</v>
      </c>
      <c r="D2042" s="4">
        <v>100885.9452950284</v>
      </c>
      <c r="E2042" s="4">
        <v>122063.2792396787</v>
      </c>
      <c r="F2042" s="4">
        <v>0</v>
      </c>
      <c r="G2042" s="4">
        <v>4548.5139590650706</v>
      </c>
      <c r="H2042" s="4">
        <v>3562.3534538581821</v>
      </c>
      <c r="I2042" s="4">
        <v>44589.844906941398</v>
      </c>
      <c r="J2042" s="4">
        <v>41027.491453083247</v>
      </c>
    </row>
    <row r="2043" spans="1:10">
      <c r="A2043" s="1">
        <v>46198.629861111112</v>
      </c>
      <c r="B2043">
        <v>-958.00042863019542</v>
      </c>
      <c r="C2043">
        <v>222680.22496045279</v>
      </c>
      <c r="D2043">
        <v>100765.5255461896</v>
      </c>
      <c r="E2043">
        <v>121914.6994142632</v>
      </c>
      <c r="F2043">
        <v>0</v>
      </c>
      <c r="G2043">
        <v>4548.5139590650706</v>
      </c>
      <c r="H2043">
        <v>3590.5135304348751</v>
      </c>
      <c r="I2043">
        <v>44536.044992090567</v>
      </c>
      <c r="J2043">
        <v>40945.531461655693</v>
      </c>
    </row>
    <row r="2044" spans="1:10">
      <c r="A2044" s="3">
        <v>46198.630555555559</v>
      </c>
      <c r="B2044" s="4">
        <v>-868.32656657109351</v>
      </c>
      <c r="C2044" s="4">
        <v>222452.92852829219</v>
      </c>
      <c r="D2044" s="4">
        <v>100696.7142611388</v>
      </c>
      <c r="E2044" s="4">
        <v>121756.21426715339</v>
      </c>
      <c r="F2044" s="4">
        <v>0</v>
      </c>
      <c r="G2044" s="4">
        <v>4548.5139590650706</v>
      </c>
      <c r="H2044" s="4">
        <v>3680.1873924939769</v>
      </c>
      <c r="I2044" s="4">
        <v>44490.585705658443</v>
      </c>
      <c r="J2044" s="4">
        <v>40810.398313164464</v>
      </c>
    </row>
    <row r="2045" spans="1:10">
      <c r="A2045" s="1">
        <v>46198.631249999999</v>
      </c>
      <c r="B2045">
        <v>-773.45907218291734</v>
      </c>
      <c r="C2045">
        <v>222805.33438673391</v>
      </c>
      <c r="D2045">
        <v>100920.3509375538</v>
      </c>
      <c r="E2045">
        <v>121884.9834491801</v>
      </c>
      <c r="F2045">
        <v>0</v>
      </c>
      <c r="G2045">
        <v>4548.5139590650706</v>
      </c>
      <c r="H2045">
        <v>3775.0548868821529</v>
      </c>
      <c r="I2045">
        <v>44561.066877346777</v>
      </c>
      <c r="J2045">
        <v>40786.011990464627</v>
      </c>
    </row>
    <row r="2046" spans="1:10">
      <c r="A2046" s="3">
        <v>46198.631944444453</v>
      </c>
      <c r="B2046" s="4">
        <v>0</v>
      </c>
      <c r="C2046" s="4">
        <v>0</v>
      </c>
      <c r="D2046" s="4">
        <v>0</v>
      </c>
      <c r="E2046" s="4">
        <v>0</v>
      </c>
      <c r="F2046" s="4">
        <v>-843.02033199064465</v>
      </c>
      <c r="G2046" s="4">
        <v>3705.4936270744261</v>
      </c>
      <c r="H2046" s="4">
        <v>3705.4936270744261</v>
      </c>
      <c r="I2046" s="4">
        <v>0</v>
      </c>
      <c r="J2046" s="4">
        <v>-3705.4936270744261</v>
      </c>
    </row>
    <row r="2047" spans="1:10">
      <c r="A2047" s="3">
        <v>46198.871527777781</v>
      </c>
      <c r="B2047" s="4">
        <v>0</v>
      </c>
      <c r="C2047" s="4">
        <v>220191.17343944349</v>
      </c>
      <c r="D2047" s="4">
        <v>100000</v>
      </c>
      <c r="E2047" s="4">
        <v>120191.1734394435</v>
      </c>
      <c r="F2047" s="4">
        <v>0</v>
      </c>
      <c r="G2047" s="4">
        <v>3705.4936270744261</v>
      </c>
      <c r="H2047" s="4">
        <v>3705.4936270744261</v>
      </c>
      <c r="I2047" s="4">
        <v>44038.234687888696</v>
      </c>
      <c r="J2047" s="4">
        <v>40332.741060814267</v>
      </c>
    </row>
    <row r="2048" spans="1:10">
      <c r="A2048" s="3">
        <v>46198.87222222222</v>
      </c>
      <c r="B2048" s="4">
        <v>-25.790921595587111</v>
      </c>
      <c r="C2048" s="4">
        <v>220165.3825178479</v>
      </c>
      <c r="D2048" s="4">
        <v>99974.209078404412</v>
      </c>
      <c r="E2048" s="4">
        <v>120191.1734394435</v>
      </c>
      <c r="F2048" s="4">
        <v>0</v>
      </c>
      <c r="G2048" s="4">
        <v>3705.4936270744261</v>
      </c>
      <c r="H2048" s="4">
        <v>3679.7027054788391</v>
      </c>
      <c r="I2048" s="4">
        <v>44033.07650356958</v>
      </c>
      <c r="J2048" s="4">
        <v>40353.373798090739</v>
      </c>
    </row>
    <row r="2049" spans="1:10">
      <c r="A2049" s="3">
        <v>46198.872916666667</v>
      </c>
      <c r="B2049" s="4">
        <v>92.149554426440545</v>
      </c>
      <c r="C2049" s="4">
        <v>220047.44204182591</v>
      </c>
      <c r="D2049" s="4">
        <v>99974.209078404412</v>
      </c>
      <c r="E2049" s="4">
        <v>120073.2329634214</v>
      </c>
      <c r="F2049" s="4">
        <v>0</v>
      </c>
      <c r="G2049" s="4">
        <v>3705.4936270744261</v>
      </c>
      <c r="H2049" s="4">
        <v>3797.6431815008659</v>
      </c>
      <c r="I2049" s="4">
        <v>44009.48840836517</v>
      </c>
      <c r="J2049" s="4">
        <v>40211.845226864301</v>
      </c>
    </row>
    <row r="2050" spans="1:10">
      <c r="A2050" s="1">
        <v>46198.873611111107</v>
      </c>
      <c r="B2050">
        <v>-7.3199345460491827</v>
      </c>
      <c r="C2050">
        <v>219889.00231484239</v>
      </c>
      <c r="D2050">
        <v>99845.254470426415</v>
      </c>
      <c r="E2050">
        <v>120043.74784441591</v>
      </c>
      <c r="F2050">
        <v>0</v>
      </c>
      <c r="G2050">
        <v>3705.4936270744261</v>
      </c>
      <c r="H2050">
        <v>3698.1736925283772</v>
      </c>
      <c r="I2050">
        <v>43977.800462968473</v>
      </c>
      <c r="J2050">
        <v>40279.626770440103</v>
      </c>
    </row>
    <row r="2051" spans="1:10">
      <c r="A2051" s="1">
        <v>46198.874305555553</v>
      </c>
      <c r="B2051">
        <v>-87.246777971118092</v>
      </c>
      <c r="C2051">
        <v>220398.77785152741</v>
      </c>
      <c r="D2051">
        <v>100060.1788170564</v>
      </c>
      <c r="E2051">
        <v>120338.599034471</v>
      </c>
      <c r="F2051">
        <v>0</v>
      </c>
      <c r="G2051">
        <v>3705.4936270744261</v>
      </c>
      <c r="H2051">
        <v>3618.2468491033078</v>
      </c>
      <c r="I2051">
        <v>44079.755570305482</v>
      </c>
      <c r="J2051">
        <v>40461.508721202183</v>
      </c>
    </row>
    <row r="2052" spans="1:10">
      <c r="A2052" s="1">
        <v>46199.604166666657</v>
      </c>
      <c r="B2052">
        <v>397.92359607246658</v>
      </c>
      <c r="C2052">
        <v>220549.78354350859</v>
      </c>
      <c r="D2052">
        <v>100378.2668500688</v>
      </c>
      <c r="E2052">
        <v>120171.5166934398</v>
      </c>
      <c r="F2052">
        <v>0</v>
      </c>
      <c r="G2052">
        <v>3705.4936270744261</v>
      </c>
      <c r="H2052">
        <v>4103.4172231468929</v>
      </c>
      <c r="I2052">
        <v>44109.956708701713</v>
      </c>
      <c r="J2052">
        <v>40006.539485554822</v>
      </c>
    </row>
    <row r="2053" spans="1:10">
      <c r="A2053" s="1">
        <v>46199.604861111111</v>
      </c>
      <c r="B2053">
        <v>138.8286211623429</v>
      </c>
      <c r="C2053">
        <v>220035.15087055069</v>
      </c>
      <c r="D2053">
        <v>99991.403026134809</v>
      </c>
      <c r="E2053">
        <v>120043.74784441591</v>
      </c>
      <c r="F2053">
        <v>0</v>
      </c>
      <c r="G2053">
        <v>3705.4936270744261</v>
      </c>
      <c r="H2053">
        <v>3844.3222482367692</v>
      </c>
      <c r="I2053">
        <v>44007.03017411015</v>
      </c>
      <c r="J2053">
        <v>40162.707925873379</v>
      </c>
    </row>
    <row r="2054" spans="1:10">
      <c r="A2054" s="1">
        <v>46199.605555555558</v>
      </c>
      <c r="B2054">
        <v>103.3006069299031</v>
      </c>
      <c r="C2054">
        <v>219468.89071421919</v>
      </c>
      <c r="D2054">
        <v>99690.508940852815</v>
      </c>
      <c r="E2054">
        <v>119778.3817733664</v>
      </c>
      <c r="F2054">
        <v>0</v>
      </c>
      <c r="G2054">
        <v>3705.4936270744261</v>
      </c>
      <c r="H2054">
        <v>3808.7942340043292</v>
      </c>
      <c r="I2054">
        <v>43893.778142843839</v>
      </c>
      <c r="J2054">
        <v>40084.983908839509</v>
      </c>
    </row>
    <row r="2055" spans="1:10">
      <c r="A2055" s="3">
        <v>46199.606249999997</v>
      </c>
      <c r="B2055" s="4">
        <v>-58.78767728098984</v>
      </c>
      <c r="C2055" s="4">
        <v>219149.54846197899</v>
      </c>
      <c r="D2055" s="4">
        <v>99449.793672627246</v>
      </c>
      <c r="E2055" s="4">
        <v>119699.7547893517</v>
      </c>
      <c r="F2055" s="4">
        <v>0</v>
      </c>
      <c r="G2055" s="4">
        <v>3705.4936270744261</v>
      </c>
      <c r="H2055" s="4">
        <v>3646.705949793436</v>
      </c>
      <c r="I2055" s="4">
        <v>43829.909692395799</v>
      </c>
      <c r="J2055" s="4">
        <v>40183.20374260236</v>
      </c>
    </row>
    <row r="2056" spans="1:10">
      <c r="A2056" s="1">
        <v>46199.606944444437</v>
      </c>
      <c r="B2056">
        <v>-234.48981226864089</v>
      </c>
      <c r="C2056">
        <v>219445.60823107939</v>
      </c>
      <c r="D2056">
        <v>99509.972489683627</v>
      </c>
      <c r="E2056">
        <v>119935.6357413957</v>
      </c>
      <c r="F2056">
        <v>0</v>
      </c>
      <c r="G2056">
        <v>3705.4936270744261</v>
      </c>
      <c r="H2056">
        <v>3471.0038148057852</v>
      </c>
      <c r="I2056">
        <v>43889.121646215877</v>
      </c>
      <c r="J2056">
        <v>40418.117831410091</v>
      </c>
    </row>
    <row r="2057" spans="1:10">
      <c r="A2057" s="3">
        <v>46199.607638888891</v>
      </c>
      <c r="B2057" s="4">
        <v>-250.36108049738789</v>
      </c>
      <c r="C2057" s="4">
        <v>218859.6913287442</v>
      </c>
      <c r="D2057" s="4">
        <v>99209.078404401662</v>
      </c>
      <c r="E2057" s="4">
        <v>119650.61292434249</v>
      </c>
      <c r="F2057" s="4">
        <v>0</v>
      </c>
      <c r="G2057" s="4">
        <v>3705.4936270744261</v>
      </c>
      <c r="H2057" s="4">
        <v>3455.1325465770378</v>
      </c>
      <c r="I2057" s="4">
        <v>43771.938265748839</v>
      </c>
      <c r="J2057" s="4">
        <v>40316.805719171804</v>
      </c>
    </row>
    <row r="2058" spans="1:10">
      <c r="A2058" s="1">
        <v>46199.60833333333</v>
      </c>
      <c r="B2058">
        <v>-91.989813787650348</v>
      </c>
      <c r="C2058">
        <v>219371.88402351999</v>
      </c>
      <c r="D2058">
        <v>99544.360385144435</v>
      </c>
      <c r="E2058">
        <v>119827.5236383756</v>
      </c>
      <c r="F2058">
        <v>0</v>
      </c>
      <c r="G2058">
        <v>3705.4936270744261</v>
      </c>
      <c r="H2058">
        <v>3613.5038132867762</v>
      </c>
      <c r="I2058">
        <v>43874.376804703999</v>
      </c>
      <c r="J2058">
        <v>40260.872991417222</v>
      </c>
    </row>
    <row r="2059" spans="1:10">
      <c r="A2059" s="1">
        <v>46199.609027777777</v>
      </c>
      <c r="B2059">
        <v>-152.12299066154679</v>
      </c>
      <c r="C2059">
        <v>219036.5564025947</v>
      </c>
      <c r="D2059">
        <v>99346.62998624485</v>
      </c>
      <c r="E2059">
        <v>119689.9264163499</v>
      </c>
      <c r="F2059">
        <v>0</v>
      </c>
      <c r="G2059">
        <v>3705.4936270744261</v>
      </c>
      <c r="H2059">
        <v>3553.3706364128789</v>
      </c>
      <c r="I2059">
        <v>43807.311280518938</v>
      </c>
      <c r="J2059">
        <v>40253.940644106056</v>
      </c>
    </row>
    <row r="2060" spans="1:10">
      <c r="A2060" s="3">
        <v>46199.609722222223</v>
      </c>
      <c r="B2060" s="4">
        <v>-187.69664507648039</v>
      </c>
      <c r="C2060" s="4">
        <v>218745.44505013211</v>
      </c>
      <c r="D2060" s="4">
        <v>99183.287482806059</v>
      </c>
      <c r="E2060" s="4">
        <v>119562.15756732599</v>
      </c>
      <c r="F2060" s="4">
        <v>0</v>
      </c>
      <c r="G2060" s="4">
        <v>3705.4936270744261</v>
      </c>
      <c r="H2060" s="4">
        <v>3517.7969819979462</v>
      </c>
      <c r="I2060" s="4">
        <v>43749.089010026422</v>
      </c>
      <c r="J2060" s="4">
        <v>40231.292028028467</v>
      </c>
    </row>
    <row r="2061" spans="1:10">
      <c r="A2061" s="1">
        <v>46199.61041666667</v>
      </c>
      <c r="B2061">
        <v>-252.82387877067299</v>
      </c>
      <c r="C2061">
        <v>218896.54202247821</v>
      </c>
      <c r="D2061">
        <v>99226.272352132059</v>
      </c>
      <c r="E2061">
        <v>119670.2696703462</v>
      </c>
      <c r="F2061">
        <v>0</v>
      </c>
      <c r="G2061">
        <v>3705.4936270744261</v>
      </c>
      <c r="H2061">
        <v>3452.6697483037528</v>
      </c>
      <c r="I2061">
        <v>43779.308404495649</v>
      </c>
      <c r="J2061">
        <v>40326.638656191892</v>
      </c>
    </row>
    <row r="2062" spans="1:10">
      <c r="A2062" s="3">
        <v>46199.611111111109</v>
      </c>
      <c r="B2062" s="4">
        <v>-380.61554788577303</v>
      </c>
      <c r="C2062" s="4">
        <v>219161.88527343661</v>
      </c>
      <c r="D2062" s="4">
        <v>99295.048143053646</v>
      </c>
      <c r="E2062" s="4">
        <v>119866.8371303829</v>
      </c>
      <c r="F2062" s="4">
        <v>0</v>
      </c>
      <c r="G2062" s="4">
        <v>3705.4936270744261</v>
      </c>
      <c r="H2062" s="4">
        <v>3324.8780791886529</v>
      </c>
      <c r="I2062" s="4">
        <v>43832.377054687313</v>
      </c>
      <c r="J2062" s="4">
        <v>40507.49897549866</v>
      </c>
    </row>
    <row r="2063" spans="1:10">
      <c r="A2063" s="3">
        <v>46199.611805555563</v>
      </c>
      <c r="B2063" s="4">
        <v>-329.03370469457428</v>
      </c>
      <c r="C2063" s="4">
        <v>219213.4671166277</v>
      </c>
      <c r="D2063" s="4">
        <v>99346.62998624485</v>
      </c>
      <c r="E2063" s="4">
        <v>119866.8371303829</v>
      </c>
      <c r="F2063" s="4">
        <v>0</v>
      </c>
      <c r="G2063" s="4">
        <v>3705.4936270744261</v>
      </c>
      <c r="H2063" s="4">
        <v>3376.4599223798518</v>
      </c>
      <c r="I2063" s="4">
        <v>43842.693423325552</v>
      </c>
      <c r="J2063" s="4">
        <v>40466.233500945687</v>
      </c>
    </row>
    <row r="2064" spans="1:10">
      <c r="A2064" s="1">
        <v>46199.612500000003</v>
      </c>
      <c r="B2064">
        <v>-430.92035175784321</v>
      </c>
      <c r="C2064">
        <v>218816.7292795094</v>
      </c>
      <c r="D2064">
        <v>99097.317744154061</v>
      </c>
      <c r="E2064">
        <v>119719.41153535539</v>
      </c>
      <c r="F2064">
        <v>0</v>
      </c>
      <c r="G2064">
        <v>3705.4936270744261</v>
      </c>
      <c r="H2064">
        <v>3274.573275316583</v>
      </c>
      <c r="I2064">
        <v>43763.345855901891</v>
      </c>
      <c r="J2064">
        <v>40488.772580585312</v>
      </c>
    </row>
    <row r="2065" spans="1:10">
      <c r="A2065" s="3">
        <v>46199.613194444442</v>
      </c>
      <c r="B2065" s="4">
        <v>-391.53839947674408</v>
      </c>
      <c r="C2065" s="4">
        <v>218364.69258169879</v>
      </c>
      <c r="D2065" s="4">
        <v>98890.990371389271</v>
      </c>
      <c r="E2065" s="4">
        <v>119473.70221030949</v>
      </c>
      <c r="F2065" s="4">
        <v>0</v>
      </c>
      <c r="G2065" s="4">
        <v>3705.4936270744261</v>
      </c>
      <c r="H2065" s="4">
        <v>3313.9552275976821</v>
      </c>
      <c r="I2065" s="4">
        <v>43672.938516339753</v>
      </c>
      <c r="J2065" s="4">
        <v>40358.983288742071</v>
      </c>
    </row>
    <row r="2066" spans="1:10">
      <c r="A2066" s="1">
        <v>46199.613888888889</v>
      </c>
      <c r="B2066">
        <v>-627.41935152078531</v>
      </c>
      <c r="C2066">
        <v>218600.57353374281</v>
      </c>
      <c r="D2066">
        <v>98890.990371389271</v>
      </c>
      <c r="E2066">
        <v>119709.58316235351</v>
      </c>
      <c r="F2066">
        <v>0</v>
      </c>
      <c r="G2066">
        <v>3705.4936270744261</v>
      </c>
      <c r="H2066">
        <v>3078.0742755536412</v>
      </c>
      <c r="I2066">
        <v>43720.114706748573</v>
      </c>
      <c r="J2066">
        <v>40642.040431194917</v>
      </c>
    </row>
    <row r="2067" spans="1:10">
      <c r="A2067" s="3">
        <v>46199.614583333343</v>
      </c>
      <c r="B2067" s="4">
        <v>-582.0401441952713</v>
      </c>
      <c r="C2067" s="4">
        <v>219019.43091513799</v>
      </c>
      <c r="D2067" s="4">
        <v>99123.108665749649</v>
      </c>
      <c r="E2067" s="4">
        <v>119896.32224938839</v>
      </c>
      <c r="F2067" s="4">
        <v>0</v>
      </c>
      <c r="G2067" s="4">
        <v>3705.4936270744261</v>
      </c>
      <c r="H2067" s="4">
        <v>3123.4534828791552</v>
      </c>
      <c r="I2067" s="4">
        <v>43803.886183027607</v>
      </c>
      <c r="J2067" s="4">
        <v>40680.432700148463</v>
      </c>
    </row>
    <row r="2068" spans="1:10">
      <c r="A2068" s="1">
        <v>46199.615277777782</v>
      </c>
      <c r="B2068">
        <v>-701.21201935393549</v>
      </c>
      <c r="C2068">
        <v>219155.7967380271</v>
      </c>
      <c r="D2068">
        <v>99131.705639614855</v>
      </c>
      <c r="E2068">
        <v>120024.0910984123</v>
      </c>
      <c r="F2068">
        <v>0</v>
      </c>
      <c r="G2068">
        <v>3705.4936270744261</v>
      </c>
      <c r="H2068">
        <v>3004.2816077204911</v>
      </c>
      <c r="I2068">
        <v>43831.159347605433</v>
      </c>
      <c r="J2068">
        <v>40826.877739884927</v>
      </c>
    </row>
    <row r="2069" spans="1:10">
      <c r="A2069" s="1">
        <v>46199.615972222222</v>
      </c>
      <c r="B2069">
        <v>-655.76435175465554</v>
      </c>
      <c r="C2069">
        <v>219161.93091361909</v>
      </c>
      <c r="D2069">
        <v>99157.496561210457</v>
      </c>
      <c r="E2069">
        <v>120004.4343524086</v>
      </c>
      <c r="F2069">
        <v>0</v>
      </c>
      <c r="G2069">
        <v>3705.4936270744261</v>
      </c>
      <c r="H2069">
        <v>3049.7292753197712</v>
      </c>
      <c r="I2069">
        <v>43832.386182723807</v>
      </c>
      <c r="J2069">
        <v>40782.656907404053</v>
      </c>
    </row>
    <row r="2070" spans="1:10">
      <c r="A2070" s="3">
        <v>46199.616666666669</v>
      </c>
      <c r="B2070" s="4">
        <v>-697.54064203527389</v>
      </c>
      <c r="C2070" s="4">
        <v>219238.09509936039</v>
      </c>
      <c r="D2070" s="4">
        <v>99174.690508940854</v>
      </c>
      <c r="E2070" s="4">
        <v>120063.4045904196</v>
      </c>
      <c r="F2070" s="4">
        <v>0</v>
      </c>
      <c r="G2070" s="4">
        <v>3705.4936270744261</v>
      </c>
      <c r="H2070" s="4">
        <v>3007.9529850391518</v>
      </c>
      <c r="I2070" s="4">
        <v>43847.619019872087</v>
      </c>
      <c r="J2070" s="4">
        <v>40839.666034832939</v>
      </c>
    </row>
    <row r="2071" spans="1:10">
      <c r="A2071" s="3">
        <v>46199.617361111108</v>
      </c>
      <c r="B2071" s="4">
        <v>-638.57040402426003</v>
      </c>
      <c r="C2071" s="4">
        <v>219179.12486134941</v>
      </c>
      <c r="D2071" s="4">
        <v>99174.690508940854</v>
      </c>
      <c r="E2071" s="4">
        <v>120004.4343524086</v>
      </c>
      <c r="F2071" s="4">
        <v>0</v>
      </c>
      <c r="G2071" s="4">
        <v>3705.4936270744261</v>
      </c>
      <c r="H2071" s="4">
        <v>3066.9232230501661</v>
      </c>
      <c r="I2071" s="4">
        <v>43835.824972269889</v>
      </c>
      <c r="J2071" s="4">
        <v>40768.901749219724</v>
      </c>
    </row>
    <row r="2072" spans="1:10">
      <c r="A2072" s="1">
        <v>46199.618055555547</v>
      </c>
      <c r="B2072">
        <v>-723.35438372213309</v>
      </c>
      <c r="C2072">
        <v>219349.87857969929</v>
      </c>
      <c r="D2072">
        <v>99217.675378266853</v>
      </c>
      <c r="E2072">
        <v>120132.20320143249</v>
      </c>
      <c r="F2072">
        <v>0</v>
      </c>
      <c r="G2072">
        <v>3705.4936270744261</v>
      </c>
      <c r="H2072">
        <v>2982.1392433522929</v>
      </c>
      <c r="I2072">
        <v>43869.975715939872</v>
      </c>
      <c r="J2072">
        <v>40887.836472587573</v>
      </c>
    </row>
    <row r="2073" spans="1:10">
      <c r="A2073" s="1">
        <v>46199.618750000001</v>
      </c>
      <c r="B2073">
        <v>-789.64455627919619</v>
      </c>
      <c r="C2073">
        <v>219106.6776931092</v>
      </c>
      <c r="D2073">
        <v>99062.929848693268</v>
      </c>
      <c r="E2073">
        <v>120043.74784441591</v>
      </c>
      <c r="F2073">
        <v>0</v>
      </c>
      <c r="G2073">
        <v>3705.4936270744261</v>
      </c>
      <c r="H2073">
        <v>2915.8490707952301</v>
      </c>
      <c r="I2073">
        <v>43821.335538621854</v>
      </c>
      <c r="J2073">
        <v>40905.486467826617</v>
      </c>
    </row>
    <row r="2074" spans="1:10">
      <c r="A2074" s="3">
        <v>46199.619444444441</v>
      </c>
      <c r="B2074" s="4">
        <v>-778.5847841407334</v>
      </c>
      <c r="C2074" s="4">
        <v>219078.42397324031</v>
      </c>
      <c r="D2074" s="4">
        <v>99054.332874828062</v>
      </c>
      <c r="E2074" s="4">
        <v>120024.0910984123</v>
      </c>
      <c r="F2074" s="4">
        <v>0</v>
      </c>
      <c r="G2074" s="4">
        <v>3705.4936270744261</v>
      </c>
      <c r="H2074" s="4">
        <v>2926.908842933693</v>
      </c>
      <c r="I2074" s="4">
        <v>43815.684794648063</v>
      </c>
      <c r="J2074" s="4">
        <v>40888.775951714371</v>
      </c>
    </row>
    <row r="2075" spans="1:10">
      <c r="A2075" s="1">
        <v>46199.620138888888</v>
      </c>
      <c r="B2075">
        <v>0</v>
      </c>
      <c r="C2075">
        <v>0</v>
      </c>
      <c r="D2075">
        <v>0</v>
      </c>
      <c r="E2075">
        <v>0</v>
      </c>
      <c r="F2075">
        <v>-480.9871041065187</v>
      </c>
      <c r="G2075">
        <v>3224.506522967908</v>
      </c>
      <c r="H2075">
        <v>3224.506522967908</v>
      </c>
      <c r="I2075">
        <v>0</v>
      </c>
      <c r="J2075">
        <v>-3224.506522967908</v>
      </c>
    </row>
    <row r="2076" spans="1:10">
      <c r="A2076" s="1">
        <v>46199.850694444453</v>
      </c>
      <c r="B2076">
        <v>0</v>
      </c>
      <c r="C2076">
        <v>220191.17343944349</v>
      </c>
      <c r="D2076">
        <v>120191.1734394435</v>
      </c>
      <c r="E2076">
        <v>100000</v>
      </c>
      <c r="F2076">
        <v>0</v>
      </c>
      <c r="G2076">
        <v>3224.506522967908</v>
      </c>
      <c r="H2076">
        <v>3224.506522967908</v>
      </c>
      <c r="I2076">
        <v>44038.234687888696</v>
      </c>
      <c r="J2076">
        <v>40813.728164920787</v>
      </c>
    </row>
    <row r="2077" spans="1:10">
      <c r="A2077" s="3">
        <v>46199.851388888892</v>
      </c>
      <c r="B2077" s="4">
        <v>-74.093536628776462</v>
      </c>
      <c r="C2077" s="4">
        <v>220186.12875487751</v>
      </c>
      <c r="D2077" s="4">
        <v>120151.60432884609</v>
      </c>
      <c r="E2077" s="4">
        <v>100034.52442603141</v>
      </c>
      <c r="F2077" s="4">
        <v>0</v>
      </c>
      <c r="G2077" s="4">
        <v>3224.506522967908</v>
      </c>
      <c r="H2077" s="4">
        <v>3150.4129863391308</v>
      </c>
      <c r="I2077" s="4">
        <v>44037.225750975507</v>
      </c>
      <c r="J2077" s="4">
        <v>40886.812764636386</v>
      </c>
    </row>
    <row r="2078" spans="1:10">
      <c r="A2078" s="1">
        <v>46199.852083333331</v>
      </c>
      <c r="B2078">
        <v>-50.525467905644561</v>
      </c>
      <c r="C2078">
        <v>220261.4834626478</v>
      </c>
      <c r="D2078">
        <v>120201.0657170928</v>
      </c>
      <c r="E2078">
        <v>100060.41774555499</v>
      </c>
      <c r="F2078">
        <v>0</v>
      </c>
      <c r="G2078">
        <v>3224.506522967908</v>
      </c>
      <c r="H2078">
        <v>3173.9810550622628</v>
      </c>
      <c r="I2078">
        <v>44052.296692529562</v>
      </c>
      <c r="J2078">
        <v>40878.315637467298</v>
      </c>
    </row>
    <row r="2079" spans="1:10">
      <c r="A2079" s="3">
        <v>46199.852777777778</v>
      </c>
      <c r="B2079" s="4">
        <v>68.37895536892151</v>
      </c>
      <c r="C2079" s="4">
        <v>220518.48559004799</v>
      </c>
      <c r="D2079" s="4">
        <v>120389.0189924302</v>
      </c>
      <c r="E2079" s="4">
        <v>100129.46659761779</v>
      </c>
      <c r="F2079" s="4">
        <v>0</v>
      </c>
      <c r="G2079" s="4">
        <v>3224.506522967908</v>
      </c>
      <c r="H2079" s="4">
        <v>3292.8854783368288</v>
      </c>
      <c r="I2079" s="4">
        <v>44103.697118009608</v>
      </c>
      <c r="J2079" s="4">
        <v>40810.811639672778</v>
      </c>
    </row>
    <row r="2080" spans="1:10">
      <c r="A2080" s="3">
        <v>46199.853472222218</v>
      </c>
      <c r="B2080" s="4">
        <v>21.045726440153128</v>
      </c>
      <c r="C2080" s="4">
        <v>220229.48137889931</v>
      </c>
      <c r="D2080" s="4">
        <v>120220.8502723915</v>
      </c>
      <c r="E2080" s="4">
        <v>100008.63110650791</v>
      </c>
      <c r="F2080" s="4">
        <v>0</v>
      </c>
      <c r="G2080" s="4">
        <v>3224.506522967908</v>
      </c>
      <c r="H2080" s="4">
        <v>3245.552249408061</v>
      </c>
      <c r="I2080" s="4">
        <v>44045.896275779873</v>
      </c>
      <c r="J2080" s="4">
        <v>40800.344026371808</v>
      </c>
    </row>
    <row r="2081" spans="1:10">
      <c r="A2081" s="3">
        <v>46199.854166666657</v>
      </c>
      <c r="B2081" s="4">
        <v>0</v>
      </c>
      <c r="C2081" s="4">
        <v>0</v>
      </c>
      <c r="D2081" s="4">
        <v>0</v>
      </c>
      <c r="E2081" s="4">
        <v>0</v>
      </c>
      <c r="F2081" s="4">
        <v>47.135222472243299</v>
      </c>
      <c r="G2081" s="4">
        <v>3271.6417454401512</v>
      </c>
      <c r="H2081" s="4">
        <v>3271.6417454401512</v>
      </c>
      <c r="I2081" s="4">
        <v>0</v>
      </c>
      <c r="J2081" s="4">
        <v>-3271.6417454401512</v>
      </c>
    </row>
    <row r="2082" spans="1:10">
      <c r="A2082" s="3">
        <v>46203.604166666657</v>
      </c>
      <c r="B2082" s="4">
        <v>0</v>
      </c>
      <c r="C2082" s="4">
        <v>220191.17343944349</v>
      </c>
      <c r="D2082" s="4">
        <v>120191.1734394435</v>
      </c>
      <c r="E2082" s="4">
        <v>100000</v>
      </c>
      <c r="F2082" s="4">
        <v>0</v>
      </c>
      <c r="G2082" s="4">
        <v>3271.6417454401512</v>
      </c>
      <c r="H2082" s="4">
        <v>3271.6417454401512</v>
      </c>
      <c r="I2082" s="4">
        <v>44038.234687888696</v>
      </c>
      <c r="J2082" s="4">
        <v>40766.592942448537</v>
      </c>
    </row>
    <row r="2083" spans="1:10">
      <c r="A2083" s="1">
        <v>46203.604861111111</v>
      </c>
      <c r="B2083">
        <v>135.3038581933105</v>
      </c>
      <c r="C2083">
        <v>220135.25608946639</v>
      </c>
      <c r="D2083">
        <v>120230.86669355159</v>
      </c>
      <c r="E2083">
        <v>99904.389395914826</v>
      </c>
      <c r="F2083">
        <v>0</v>
      </c>
      <c r="G2083">
        <v>3271.6417454401512</v>
      </c>
      <c r="H2083">
        <v>3406.9456036334609</v>
      </c>
      <c r="I2083">
        <v>44027.051217893277</v>
      </c>
      <c r="J2083">
        <v>40620.105614259817</v>
      </c>
    </row>
    <row r="2084" spans="1:10">
      <c r="A2084" s="3">
        <v>46203.605555555558</v>
      </c>
      <c r="B2084" s="4">
        <v>336.52016999068081</v>
      </c>
      <c r="C2084" s="4">
        <v>219814.96001534461</v>
      </c>
      <c r="D2084" s="4">
        <v>120171.32681238939</v>
      </c>
      <c r="E2084" s="4">
        <v>99643.633202955243</v>
      </c>
      <c r="F2084" s="4">
        <v>0</v>
      </c>
      <c r="G2084" s="4">
        <v>3271.6417454401512</v>
      </c>
      <c r="H2084" s="4">
        <v>3608.161915430831</v>
      </c>
      <c r="I2084" s="4">
        <v>43962.992003068917</v>
      </c>
      <c r="J2084" s="4">
        <v>40354.830087638104</v>
      </c>
    </row>
    <row r="2085" spans="1:10">
      <c r="A2085" s="3">
        <v>46203.606249999997</v>
      </c>
      <c r="B2085" s="4">
        <v>170.64567138775021</v>
      </c>
      <c r="C2085" s="4">
        <v>218988.50316124409</v>
      </c>
      <c r="D2085" s="4">
        <v>119675.1611360377</v>
      </c>
      <c r="E2085" s="4">
        <v>99313.342025206439</v>
      </c>
      <c r="F2085" s="4">
        <v>0</v>
      </c>
      <c r="G2085" s="4">
        <v>3271.6417454401512</v>
      </c>
      <c r="H2085" s="4">
        <v>3442.2874168279009</v>
      </c>
      <c r="I2085" s="4">
        <v>43797.700632248823</v>
      </c>
      <c r="J2085" s="4">
        <v>40355.413215420922</v>
      </c>
    </row>
    <row r="2086" spans="1:10">
      <c r="A2086" s="3">
        <v>46203.606944444437</v>
      </c>
      <c r="B2086" s="4">
        <v>-77.652537088042266</v>
      </c>
      <c r="C2086" s="4">
        <v>219157.41486150361</v>
      </c>
      <c r="D2086" s="4">
        <v>119635.46788192949</v>
      </c>
      <c r="E2086" s="4">
        <v>99521.946979574102</v>
      </c>
      <c r="F2086" s="4">
        <v>0</v>
      </c>
      <c r="G2086" s="4">
        <v>3271.6417454401512</v>
      </c>
      <c r="H2086" s="4">
        <v>3193.989208352109</v>
      </c>
      <c r="I2086" s="4">
        <v>43831.482972300728</v>
      </c>
      <c r="J2086" s="4">
        <v>40637.493763948623</v>
      </c>
    </row>
    <row r="2087" spans="1:10">
      <c r="A2087" s="3">
        <v>46203.607638888891</v>
      </c>
      <c r="B2087" s="4">
        <v>78.729388587716016</v>
      </c>
      <c r="C2087" s="4">
        <v>219139.95932520629</v>
      </c>
      <c r="D2087" s="4">
        <v>119704.9310766188</v>
      </c>
      <c r="E2087" s="4">
        <v>99435.02824858758</v>
      </c>
      <c r="F2087" s="4">
        <v>0</v>
      </c>
      <c r="G2087" s="4">
        <v>3271.6417454401512</v>
      </c>
      <c r="H2087" s="4">
        <v>3350.3711340278669</v>
      </c>
      <c r="I2087" s="4">
        <v>43827.991865041273</v>
      </c>
      <c r="J2087" s="4">
        <v>40477.620731013412</v>
      </c>
    </row>
    <row r="2088" spans="1:10">
      <c r="A2088" s="3">
        <v>46203.60833333333</v>
      </c>
      <c r="B2088" s="4">
        <v>292.04473436897769</v>
      </c>
      <c r="C2088" s="4">
        <v>219422.8096557768</v>
      </c>
      <c r="D2088" s="4">
        <v>119953.0139147946</v>
      </c>
      <c r="E2088" s="4">
        <v>99469.795740982183</v>
      </c>
      <c r="F2088" s="4">
        <v>0</v>
      </c>
      <c r="G2088" s="4">
        <v>3271.6417454401512</v>
      </c>
      <c r="H2088" s="4">
        <v>3563.6864798091278</v>
      </c>
      <c r="I2088" s="4">
        <v>43884.56193115536</v>
      </c>
      <c r="J2088" s="4">
        <v>40320.875451346234</v>
      </c>
    </row>
    <row r="2089" spans="1:10">
      <c r="A2089" s="1">
        <v>46203.609027777777</v>
      </c>
      <c r="B2089">
        <v>0</v>
      </c>
      <c r="C2089">
        <v>0</v>
      </c>
      <c r="D2089">
        <v>0</v>
      </c>
      <c r="E2089">
        <v>0</v>
      </c>
      <c r="F2089">
        <v>548.8117128867699</v>
      </c>
      <c r="G2089">
        <v>3820.453458326921</v>
      </c>
      <c r="H2089">
        <v>3820.453458326921</v>
      </c>
      <c r="I2089">
        <v>0</v>
      </c>
      <c r="J2089">
        <v>-3820.453458326921</v>
      </c>
    </row>
    <row r="2090" spans="1:10">
      <c r="A2090" s="1">
        <v>46204.604166666657</v>
      </c>
      <c r="B2090">
        <v>0</v>
      </c>
      <c r="C2090">
        <v>220191.17343944349</v>
      </c>
      <c r="D2090">
        <v>120191.1734394435</v>
      </c>
      <c r="E2090">
        <v>100000</v>
      </c>
      <c r="F2090">
        <v>0</v>
      </c>
      <c r="G2090">
        <v>3820.453458326921</v>
      </c>
      <c r="H2090">
        <v>3820.453458326921</v>
      </c>
      <c r="I2090">
        <v>44038.234687888696</v>
      </c>
      <c r="J2090">
        <v>40217.781229561777</v>
      </c>
    </row>
    <row r="2091" spans="1:10">
      <c r="A2091" s="1">
        <v>46204.604861111111</v>
      </c>
      <c r="B2091">
        <v>-11.15854867618555</v>
      </c>
      <c r="C2091">
        <v>219724.513839611</v>
      </c>
      <c r="D2091">
        <v>119952.2643651891</v>
      </c>
      <c r="E2091">
        <v>99772.249474421886</v>
      </c>
      <c r="F2091">
        <v>0</v>
      </c>
      <c r="G2091">
        <v>3820.453458326921</v>
      </c>
      <c r="H2091">
        <v>3809.294909650735</v>
      </c>
      <c r="I2091">
        <v>43944.902767922213</v>
      </c>
      <c r="J2091">
        <v>40135.607858271469</v>
      </c>
    </row>
    <row r="2092" spans="1:10">
      <c r="A2092" s="3">
        <v>46204.605555555558</v>
      </c>
      <c r="B2092" s="4">
        <v>106.7058078204527</v>
      </c>
      <c r="C2092" s="4">
        <v>219965.01309449589</v>
      </c>
      <c r="D2092" s="4">
        <v>120131.44617087991</v>
      </c>
      <c r="E2092" s="4">
        <v>99833.566923615988</v>
      </c>
      <c r="F2092" s="4">
        <v>0</v>
      </c>
      <c r="G2092" s="4">
        <v>3820.453458326921</v>
      </c>
      <c r="H2092" s="4">
        <v>3927.1592661473728</v>
      </c>
      <c r="I2092" s="4">
        <v>43993.002618899183</v>
      </c>
      <c r="J2092" s="4">
        <v>40065.843352751806</v>
      </c>
    </row>
    <row r="2093" spans="1:10">
      <c r="A2093" s="3">
        <v>46204.606249999997</v>
      </c>
      <c r="B2093" s="4">
        <v>120.64944628860199</v>
      </c>
      <c r="C2093" s="4">
        <v>220329.34215693039</v>
      </c>
      <c r="D2093" s="4">
        <v>120320.58252133121</v>
      </c>
      <c r="E2093" s="4">
        <v>100008.7596355992</v>
      </c>
      <c r="F2093" s="4">
        <v>0</v>
      </c>
      <c r="G2093" s="4">
        <v>3820.453458326921</v>
      </c>
      <c r="H2093" s="4">
        <v>3941.1029046155231</v>
      </c>
      <c r="I2093" s="4">
        <v>44065.868431386079</v>
      </c>
      <c r="J2093" s="4">
        <v>40124.765526770563</v>
      </c>
    </row>
    <row r="2094" spans="1:10">
      <c r="A2094" s="1">
        <v>46204.606944444437</v>
      </c>
      <c r="B2094">
        <v>87.587261237438383</v>
      </c>
      <c r="C2094">
        <v>219665.58620873981</v>
      </c>
      <c r="D2094">
        <v>119972.1734547103</v>
      </c>
      <c r="E2094">
        <v>99693.412754029443</v>
      </c>
      <c r="F2094">
        <v>0</v>
      </c>
      <c r="G2094">
        <v>3820.453458326921</v>
      </c>
      <c r="H2094">
        <v>3908.0407195643588</v>
      </c>
      <c r="I2094">
        <v>43933.117241747961</v>
      </c>
      <c r="J2094">
        <v>40025.076522183597</v>
      </c>
    </row>
    <row r="2095" spans="1:10">
      <c r="A2095" s="1">
        <v>46204.607638888891</v>
      </c>
      <c r="B2095">
        <v>162.8483488997077</v>
      </c>
      <c r="C2095">
        <v>219968.59782198019</v>
      </c>
      <c r="D2095">
        <v>120161.3098051617</v>
      </c>
      <c r="E2095">
        <v>99807.288016818507</v>
      </c>
      <c r="F2095">
        <v>0</v>
      </c>
      <c r="G2095">
        <v>3820.453458326921</v>
      </c>
      <c r="H2095">
        <v>3983.3018072266282</v>
      </c>
      <c r="I2095">
        <v>43993.719564396037</v>
      </c>
      <c r="J2095">
        <v>40010.417757169424</v>
      </c>
    </row>
    <row r="2096" spans="1:10">
      <c r="A2096" s="3">
        <v>46204.60833333333</v>
      </c>
      <c r="B2096" s="4">
        <v>187.9323465357495</v>
      </c>
      <c r="C2096" s="4">
        <v>219923.60473482299</v>
      </c>
      <c r="D2096" s="4">
        <v>120151.35526040111</v>
      </c>
      <c r="E2096" s="4">
        <v>99772.249474421886</v>
      </c>
      <c r="F2096" s="4">
        <v>0</v>
      </c>
      <c r="G2096" s="4">
        <v>3820.453458326921</v>
      </c>
      <c r="H2096" s="4">
        <v>4008.3858048626698</v>
      </c>
      <c r="I2096" s="4">
        <v>43984.720946964597</v>
      </c>
      <c r="J2096" s="4">
        <v>39976.335142101932</v>
      </c>
    </row>
    <row r="2097" spans="1:10">
      <c r="A2097" s="1">
        <v>46204.609027777777</v>
      </c>
      <c r="B2097">
        <v>22.29890784406555</v>
      </c>
      <c r="C2097">
        <v>220248.5108896842</v>
      </c>
      <c r="D2097">
        <v>120230.9916184858</v>
      </c>
      <c r="E2097">
        <v>100017.5192711983</v>
      </c>
      <c r="F2097">
        <v>0</v>
      </c>
      <c r="G2097">
        <v>3820.453458326921</v>
      </c>
      <c r="H2097">
        <v>3842.7523661709861</v>
      </c>
      <c r="I2097">
        <v>44049.702177936837</v>
      </c>
      <c r="J2097">
        <v>40206.949811765859</v>
      </c>
    </row>
    <row r="2098" spans="1:10">
      <c r="A2098" s="3">
        <v>46204.609722222223</v>
      </c>
      <c r="B2098" s="4">
        <v>0</v>
      </c>
      <c r="C2098" s="4">
        <v>0</v>
      </c>
      <c r="D2098" s="4">
        <v>0</v>
      </c>
      <c r="E2098" s="4">
        <v>0</v>
      </c>
      <c r="F2098" s="4">
        <v>391.53162031279447</v>
      </c>
      <c r="G2098" s="4">
        <v>4211.9850786397146</v>
      </c>
      <c r="H2098" s="4">
        <v>4211.9850786397146</v>
      </c>
      <c r="I2098" s="4">
        <v>0</v>
      </c>
      <c r="J2098" s="4">
        <v>-4211.9850786397146</v>
      </c>
    </row>
    <row r="2099" spans="1:10">
      <c r="A2099" s="3">
        <v>46209.604166666657</v>
      </c>
      <c r="B2099" s="4">
        <v>0</v>
      </c>
      <c r="C2099" s="4">
        <v>220191.17343944349</v>
      </c>
      <c r="D2099" s="4">
        <v>100000</v>
      </c>
      <c r="E2099" s="4">
        <v>120191.1734394435</v>
      </c>
      <c r="F2099" s="4">
        <v>0</v>
      </c>
      <c r="G2099" s="4">
        <v>4211.9850786397146</v>
      </c>
      <c r="H2099" s="4">
        <v>4211.9850786397146</v>
      </c>
      <c r="I2099" s="4">
        <v>44038.234687888696</v>
      </c>
      <c r="J2099" s="4">
        <v>39826.249609248982</v>
      </c>
    </row>
    <row r="2100" spans="1:10">
      <c r="A2100" s="3">
        <v>46209.604861111111</v>
      </c>
      <c r="B2100" s="4">
        <v>-233.06767471027791</v>
      </c>
      <c r="C2100" s="4">
        <v>220744.4838244183</v>
      </c>
      <c r="D2100" s="4">
        <v>100160.1213551323</v>
      </c>
      <c r="E2100" s="4">
        <v>120584.362469286</v>
      </c>
      <c r="F2100" s="4">
        <v>0</v>
      </c>
      <c r="G2100" s="4">
        <v>4211.9850786397146</v>
      </c>
      <c r="H2100" s="4">
        <v>3978.9174039294371</v>
      </c>
      <c r="I2100" s="4">
        <v>44148.89676488367</v>
      </c>
      <c r="J2100" s="4">
        <v>40169.979360954232</v>
      </c>
    </row>
    <row r="2101" spans="1:10">
      <c r="A2101" s="3">
        <v>46209.605555555558</v>
      </c>
      <c r="B2101" s="4">
        <v>-119.72986242675449</v>
      </c>
      <c r="C2101" s="4">
        <v>220378.32281982069</v>
      </c>
      <c r="D2101" s="4">
        <v>100033.70975897519</v>
      </c>
      <c r="E2101" s="4">
        <v>120344.6130608454</v>
      </c>
      <c r="F2101" s="4">
        <v>0</v>
      </c>
      <c r="G2101" s="4">
        <v>4211.9850786397146</v>
      </c>
      <c r="H2101" s="4">
        <v>4092.25521621296</v>
      </c>
      <c r="I2101" s="4">
        <v>44075.664563964143</v>
      </c>
      <c r="J2101" s="4">
        <v>39983.409347751178</v>
      </c>
    </row>
    <row r="2102" spans="1:10">
      <c r="A2102" s="1">
        <v>46209.606249999997</v>
      </c>
      <c r="B2102">
        <v>326.92824624045721</v>
      </c>
      <c r="C2102">
        <v>220268.76230090571</v>
      </c>
      <c r="D2102">
        <v>100202.25855385129</v>
      </c>
      <c r="E2102">
        <v>120066.5037470543</v>
      </c>
      <c r="F2102">
        <v>0</v>
      </c>
      <c r="G2102">
        <v>4211.9850786397146</v>
      </c>
      <c r="H2102">
        <v>4538.9133248801718</v>
      </c>
      <c r="I2102">
        <v>44053.752460181138</v>
      </c>
      <c r="J2102">
        <v>39514.839135300957</v>
      </c>
    </row>
    <row r="2103" spans="1:10">
      <c r="A2103" s="3">
        <v>46209.606944444437</v>
      </c>
      <c r="B2103" s="4">
        <v>415.8527900537847</v>
      </c>
      <c r="C2103" s="4">
        <v>220280.96703401799</v>
      </c>
      <c r="D2103" s="4">
        <v>100252.8231923142</v>
      </c>
      <c r="E2103" s="4">
        <v>120028.1438417038</v>
      </c>
      <c r="F2103" s="4">
        <v>0</v>
      </c>
      <c r="G2103" s="4">
        <v>4211.9850786397146</v>
      </c>
      <c r="H2103" s="4">
        <v>4627.8378686934993</v>
      </c>
      <c r="I2103" s="4">
        <v>44056.193406803613</v>
      </c>
      <c r="J2103" s="4">
        <v>39428.355538110103</v>
      </c>
    </row>
    <row r="2104" spans="1:10">
      <c r="A2104" s="3">
        <v>46209.607638888891</v>
      </c>
      <c r="B2104" s="4">
        <v>632.06178303093907</v>
      </c>
      <c r="C2104" s="4">
        <v>220267.01659489219</v>
      </c>
      <c r="D2104" s="4">
        <v>100353.9524692398</v>
      </c>
      <c r="E2104" s="4">
        <v>119913.0641256524</v>
      </c>
      <c r="F2104" s="4">
        <v>0</v>
      </c>
      <c r="G2104" s="4">
        <v>4211.9850786397146</v>
      </c>
      <c r="H2104" s="4">
        <v>4844.0468616706539</v>
      </c>
      <c r="I2104" s="4">
        <v>44053.403318978439</v>
      </c>
      <c r="J2104" s="4">
        <v>39209.356457307782</v>
      </c>
    </row>
    <row r="2105" spans="1:10">
      <c r="A2105" s="3">
        <v>46209.60833333333</v>
      </c>
      <c r="B2105" s="4">
        <v>525.40570447775337</v>
      </c>
      <c r="C2105" s="4">
        <v>220946.73857602419</v>
      </c>
      <c r="D2105" s="4">
        <v>100640.48542052921</v>
      </c>
      <c r="E2105" s="4">
        <v>120306.253155495</v>
      </c>
      <c r="F2105" s="4">
        <v>0</v>
      </c>
      <c r="G2105" s="4">
        <v>4211.9850786397146</v>
      </c>
      <c r="H2105" s="4">
        <v>4737.3907831174683</v>
      </c>
      <c r="I2105" s="4">
        <v>44189.347715204844</v>
      </c>
      <c r="J2105" s="4">
        <v>39451.956932087378</v>
      </c>
    </row>
    <row r="2106" spans="1:10">
      <c r="A2106" s="1">
        <v>46209.609027777777</v>
      </c>
      <c r="B2106">
        <v>477.45582278963542</v>
      </c>
      <c r="C2106">
        <v>220994.6884577123</v>
      </c>
      <c r="D2106">
        <v>100640.48542052921</v>
      </c>
      <c r="E2106">
        <v>120354.20303718311</v>
      </c>
      <c r="F2106">
        <v>0</v>
      </c>
      <c r="G2106">
        <v>4211.9850786397146</v>
      </c>
      <c r="H2106">
        <v>4689.4409014293497</v>
      </c>
      <c r="I2106">
        <v>44198.937691542473</v>
      </c>
      <c r="J2106">
        <v>39509.496790113117</v>
      </c>
    </row>
    <row r="2107" spans="1:10">
      <c r="A2107" s="3">
        <v>46209.609722222223</v>
      </c>
      <c r="B2107" s="4">
        <v>540.51487795188928</v>
      </c>
      <c r="C2107" s="4">
        <v>221268.72699230231</v>
      </c>
      <c r="D2107" s="4">
        <v>100809.03421540539</v>
      </c>
      <c r="E2107" s="4">
        <v>120459.6927768969</v>
      </c>
      <c r="F2107" s="4">
        <v>0</v>
      </c>
      <c r="G2107" s="4">
        <v>4211.9850786397146</v>
      </c>
      <c r="H2107" s="4">
        <v>4752.4999565916041</v>
      </c>
      <c r="I2107" s="4">
        <v>44253.745398460458</v>
      </c>
      <c r="J2107" s="4">
        <v>39501.245441868858</v>
      </c>
    </row>
    <row r="2108" spans="1:10">
      <c r="A2108" s="1">
        <v>46209.61041666667</v>
      </c>
      <c r="B2108">
        <v>0</v>
      </c>
      <c r="C2108">
        <v>0</v>
      </c>
      <c r="D2108">
        <v>0</v>
      </c>
      <c r="E2108">
        <v>0</v>
      </c>
      <c r="F2108">
        <v>519.37965847271721</v>
      </c>
      <c r="G2108">
        <v>4731.3647371124316</v>
      </c>
      <c r="H2108">
        <v>4731.3647371124316</v>
      </c>
      <c r="I2108">
        <v>0</v>
      </c>
      <c r="J2108">
        <v>-4731.3647371124316</v>
      </c>
    </row>
    <row r="2109" spans="1:10">
      <c r="A2109" s="1">
        <v>46210.604861111111</v>
      </c>
      <c r="B2109">
        <v>0</v>
      </c>
      <c r="C2109">
        <v>220191.17343944349</v>
      </c>
      <c r="D2109">
        <v>120191.1734394435</v>
      </c>
      <c r="E2109">
        <v>100000</v>
      </c>
      <c r="F2109">
        <v>0</v>
      </c>
      <c r="G2109">
        <v>4731.3647371124316</v>
      </c>
      <c r="H2109">
        <v>4731.3647371124316</v>
      </c>
      <c r="I2109">
        <v>44038.234687888696</v>
      </c>
      <c r="J2109">
        <v>39306.869950776258</v>
      </c>
    </row>
    <row r="2110" spans="1:10">
      <c r="A2110" s="1">
        <v>46210.605555555558</v>
      </c>
      <c r="B2110">
        <v>165.27042399759841</v>
      </c>
      <c r="C2110">
        <v>220406.01425339479</v>
      </c>
      <c r="D2110">
        <v>120381.2290584179</v>
      </c>
      <c r="E2110">
        <v>100024.7851949769</v>
      </c>
      <c r="F2110">
        <v>0</v>
      </c>
      <c r="G2110">
        <v>4731.3647371124316</v>
      </c>
      <c r="H2110">
        <v>4896.6351611100299</v>
      </c>
      <c r="I2110">
        <v>44081.202850678957</v>
      </c>
      <c r="J2110">
        <v>39184.567689568918</v>
      </c>
    </row>
    <row r="2111" spans="1:10">
      <c r="A2111" s="1">
        <v>46210.606249999997</v>
      </c>
      <c r="B2111">
        <v>-135.44945022471211</v>
      </c>
      <c r="C2111">
        <v>220782.7563752069</v>
      </c>
      <c r="D2111">
        <v>120419.2401822128</v>
      </c>
      <c r="E2111">
        <v>100363.5161929941</v>
      </c>
      <c r="F2111">
        <v>0</v>
      </c>
      <c r="G2111">
        <v>4731.3647371124316</v>
      </c>
      <c r="H2111">
        <v>4595.91528688772</v>
      </c>
      <c r="I2111">
        <v>44156.551275041384</v>
      </c>
      <c r="J2111">
        <v>39560.635988153663</v>
      </c>
    </row>
    <row r="2112" spans="1:10">
      <c r="A2112" s="1">
        <v>46210.606944444437</v>
      </c>
      <c r="B2112">
        <v>-281.71431232484377</v>
      </c>
      <c r="C2112">
        <v>220586.92112315301</v>
      </c>
      <c r="D2112">
        <v>120248.19012513581</v>
      </c>
      <c r="E2112">
        <v>100338.7309980172</v>
      </c>
      <c r="F2112">
        <v>0</v>
      </c>
      <c r="G2112">
        <v>4731.3647371124316</v>
      </c>
      <c r="H2112">
        <v>4449.6504247875882</v>
      </c>
      <c r="I2112">
        <v>44117.384224630601</v>
      </c>
      <c r="J2112">
        <v>39667.733799843023</v>
      </c>
    </row>
    <row r="2113" spans="1:10">
      <c r="A2113" s="1">
        <v>46210.607638888891</v>
      </c>
      <c r="B2113">
        <v>61.980882851404317</v>
      </c>
      <c r="C2113">
        <v>220319.24817556649</v>
      </c>
      <c r="D2113">
        <v>120286.20124893069</v>
      </c>
      <c r="E2113">
        <v>100033.0469266358</v>
      </c>
      <c r="F2113">
        <v>0</v>
      </c>
      <c r="G2113">
        <v>4731.3647371124316</v>
      </c>
      <c r="H2113">
        <v>4793.3456199638358</v>
      </c>
      <c r="I2113">
        <v>44063.8496351133</v>
      </c>
      <c r="J2113">
        <v>39270.504015149461</v>
      </c>
    </row>
    <row r="2114" spans="1:10">
      <c r="A2114" s="3">
        <v>46210.60833333333</v>
      </c>
      <c r="B2114" s="4">
        <v>16.913285868845591</v>
      </c>
      <c r="C2114" s="4">
        <v>219927.18784890781</v>
      </c>
      <c r="D2114" s="4">
        <v>120067.6372871101</v>
      </c>
      <c r="E2114" s="4">
        <v>99859.550561797747</v>
      </c>
      <c r="F2114" s="4">
        <v>0</v>
      </c>
      <c r="G2114" s="4">
        <v>4731.3647371124316</v>
      </c>
      <c r="H2114" s="4">
        <v>4748.278022981277</v>
      </c>
      <c r="I2114" s="4">
        <v>43985.437569781563</v>
      </c>
      <c r="J2114" s="4">
        <v>39237.159546800292</v>
      </c>
    </row>
    <row r="2115" spans="1:10">
      <c r="A2115" s="1">
        <v>46210.609027777777</v>
      </c>
      <c r="B2115">
        <v>144.59819944095679</v>
      </c>
      <c r="C2115">
        <v>220236.63085897689</v>
      </c>
      <c r="D2115">
        <v>120286.20124893069</v>
      </c>
      <c r="E2115">
        <v>99950.429610046252</v>
      </c>
      <c r="F2115">
        <v>0</v>
      </c>
      <c r="G2115">
        <v>4731.3647371124316</v>
      </c>
      <c r="H2115">
        <v>4875.9629365533883</v>
      </c>
      <c r="I2115">
        <v>44047.326171795386</v>
      </c>
      <c r="J2115">
        <v>39171.363235242003</v>
      </c>
    </row>
    <row r="2116" spans="1:10">
      <c r="A2116" s="3">
        <v>46210.609722222223</v>
      </c>
      <c r="B2116" s="4">
        <v>69.85279195941331</v>
      </c>
      <c r="C2116" s="4">
        <v>220558.44857112531</v>
      </c>
      <c r="D2116" s="4">
        <v>120409.73740126409</v>
      </c>
      <c r="E2116" s="4">
        <v>100148.7111698612</v>
      </c>
      <c r="F2116" s="4">
        <v>0</v>
      </c>
      <c r="G2116" s="4">
        <v>4731.3647371124316</v>
      </c>
      <c r="H2116" s="4">
        <v>4801.2175290718451</v>
      </c>
      <c r="I2116" s="4">
        <v>44111.68971422506</v>
      </c>
      <c r="J2116" s="4">
        <v>39310.472185153223</v>
      </c>
    </row>
    <row r="2117" spans="1:10">
      <c r="A2117" s="1">
        <v>46210.61041666667</v>
      </c>
      <c r="B2117">
        <v>-19.005561897454921</v>
      </c>
      <c r="C2117">
        <v>220172.16787754599</v>
      </c>
      <c r="D2117">
        <v>120172.167877546</v>
      </c>
      <c r="E2117">
        <v>100000</v>
      </c>
      <c r="F2117">
        <v>0</v>
      </c>
      <c r="G2117">
        <v>4731.3647371124316</v>
      </c>
      <c r="H2117">
        <v>4712.3591752149769</v>
      </c>
      <c r="I2117">
        <v>44034.433575509203</v>
      </c>
      <c r="J2117">
        <v>39322.074400294223</v>
      </c>
    </row>
    <row r="2118" spans="1:10">
      <c r="A2118" s="3">
        <v>46210.611111111109</v>
      </c>
      <c r="B2118" s="4">
        <v>62.760527953280977</v>
      </c>
      <c r="C2118" s="4">
        <v>219824.323921131</v>
      </c>
      <c r="D2118" s="4">
        <v>120039.1289442639</v>
      </c>
      <c r="E2118" s="4">
        <v>99785.194976867147</v>
      </c>
      <c r="F2118" s="4">
        <v>0</v>
      </c>
      <c r="G2118" s="4">
        <v>4731.3647371124316</v>
      </c>
      <c r="H2118" s="4">
        <v>4794.1252650657116</v>
      </c>
      <c r="I2118" s="4">
        <v>43964.864784226207</v>
      </c>
      <c r="J2118" s="4">
        <v>39170.739519160503</v>
      </c>
    </row>
    <row r="2119" spans="1:10">
      <c r="A2119" s="3">
        <v>46210.611805555563</v>
      </c>
      <c r="B2119" s="4">
        <v>-29.78518295440637</v>
      </c>
      <c r="C2119" s="4">
        <v>219764.82513685909</v>
      </c>
      <c r="D2119" s="4">
        <v>119963.10669667411</v>
      </c>
      <c r="E2119" s="4">
        <v>99801.718440185054</v>
      </c>
      <c r="F2119" s="4">
        <v>0</v>
      </c>
      <c r="G2119" s="4">
        <v>4731.3647371124316</v>
      </c>
      <c r="H2119" s="4">
        <v>4701.5795541580264</v>
      </c>
      <c r="I2119" s="4">
        <v>43952.965027371829</v>
      </c>
      <c r="J2119" s="4">
        <v>39251.385473213813</v>
      </c>
    </row>
    <row r="2120" spans="1:10">
      <c r="A2120" s="1">
        <v>46210.612500000003</v>
      </c>
      <c r="B2120">
        <v>90.489225697573204</v>
      </c>
      <c r="C2120">
        <v>220347.7565184127</v>
      </c>
      <c r="D2120">
        <v>120314.7095917768</v>
      </c>
      <c r="E2120">
        <v>100033.0469266358</v>
      </c>
      <c r="F2120">
        <v>0</v>
      </c>
      <c r="G2120">
        <v>4731.3647371124316</v>
      </c>
      <c r="H2120">
        <v>4821.8539628100052</v>
      </c>
      <c r="I2120">
        <v>44069.551303682543</v>
      </c>
      <c r="J2120">
        <v>39247.697340872532</v>
      </c>
    </row>
    <row r="2121" spans="1:10">
      <c r="A2121" s="3">
        <v>46210.613194444442</v>
      </c>
      <c r="B2121" s="4">
        <v>-54.534587112804488</v>
      </c>
      <c r="C2121" s="4">
        <v>220169.68577896649</v>
      </c>
      <c r="D2121" s="4">
        <v>120153.1623156486</v>
      </c>
      <c r="E2121" s="4">
        <v>100016.52346331791</v>
      </c>
      <c r="F2121" s="4">
        <v>0</v>
      </c>
      <c r="G2121" s="4">
        <v>4731.3647371124316</v>
      </c>
      <c r="H2121" s="4">
        <v>4676.8301499996269</v>
      </c>
      <c r="I2121" s="4">
        <v>44033.937155793297</v>
      </c>
      <c r="J2121" s="4">
        <v>39357.107005793667</v>
      </c>
    </row>
    <row r="2122" spans="1:10">
      <c r="A2122" s="1">
        <v>46210.613888888889</v>
      </c>
      <c r="B2122">
        <v>-29.7493921359364</v>
      </c>
      <c r="C2122">
        <v>220144.9005839896</v>
      </c>
      <c r="D2122">
        <v>120153.1623156486</v>
      </c>
      <c r="E2122">
        <v>99991.73826834104</v>
      </c>
      <c r="F2122">
        <v>0</v>
      </c>
      <c r="G2122">
        <v>4731.3647371124316</v>
      </c>
      <c r="H2122">
        <v>4701.6153449764952</v>
      </c>
      <c r="I2122">
        <v>44028.980116797931</v>
      </c>
      <c r="J2122">
        <v>39327.364771821427</v>
      </c>
    </row>
    <row r="2123" spans="1:10">
      <c r="A2123" s="3">
        <v>46210.614583333343</v>
      </c>
      <c r="B2123" s="4">
        <v>-28.50834284616888</v>
      </c>
      <c r="C2123" s="4">
        <v>220162.66509659731</v>
      </c>
      <c r="D2123" s="4">
        <v>120162.66509659729</v>
      </c>
      <c r="E2123" s="4">
        <v>100000</v>
      </c>
      <c r="F2123" s="4">
        <v>0</v>
      </c>
      <c r="G2123" s="4">
        <v>4731.3647371124316</v>
      </c>
      <c r="H2123" s="4">
        <v>4702.8563942662631</v>
      </c>
      <c r="I2123" s="4">
        <v>44032.53301931946</v>
      </c>
      <c r="J2123" s="4">
        <v>39329.676625053187</v>
      </c>
    </row>
    <row r="2124" spans="1:10">
      <c r="A2124" s="3">
        <v>46210.615277777782</v>
      </c>
      <c r="B2124" s="4">
        <v>-102.0484918564148</v>
      </c>
      <c r="C2124" s="4">
        <v>220122.1718742229</v>
      </c>
      <c r="D2124" s="4">
        <v>120105.64841090501</v>
      </c>
      <c r="E2124" s="4">
        <v>100016.52346331791</v>
      </c>
      <c r="F2124" s="4">
        <v>0</v>
      </c>
      <c r="G2124" s="4">
        <v>4731.3647371124316</v>
      </c>
      <c r="H2124" s="4">
        <v>4629.3162452560173</v>
      </c>
      <c r="I2124" s="4">
        <v>44024.434374844583</v>
      </c>
      <c r="J2124" s="4">
        <v>39395.118129588562</v>
      </c>
    </row>
    <row r="2125" spans="1:10">
      <c r="A2125" s="1">
        <v>46210.615972222222</v>
      </c>
      <c r="B2125">
        <v>-96.658681327939078</v>
      </c>
      <c r="C2125">
        <v>220325.84324456629</v>
      </c>
      <c r="D2125">
        <v>120210.1790013409</v>
      </c>
      <c r="E2125">
        <v>100115.6642432254</v>
      </c>
      <c r="F2125">
        <v>0</v>
      </c>
      <c r="G2125">
        <v>4731.3647371124316</v>
      </c>
      <c r="H2125">
        <v>4634.7060557844916</v>
      </c>
      <c r="I2125">
        <v>44065.168648913263</v>
      </c>
      <c r="J2125">
        <v>39430.462593128766</v>
      </c>
    </row>
    <row r="2126" spans="1:10">
      <c r="A2126" s="3">
        <v>46210.616666666669</v>
      </c>
      <c r="B2126" s="4">
        <v>-104.1049770665407</v>
      </c>
      <c r="C2126" s="4">
        <v>220219.2561689202</v>
      </c>
      <c r="D2126" s="4">
        <v>120153.1623156486</v>
      </c>
      <c r="E2126" s="4">
        <v>100066.0938532716</v>
      </c>
      <c r="F2126" s="4">
        <v>0</v>
      </c>
      <c r="G2126" s="4">
        <v>4731.3647371124316</v>
      </c>
      <c r="H2126" s="4">
        <v>4627.2597600458912</v>
      </c>
      <c r="I2126" s="4">
        <v>44043.851233784037</v>
      </c>
      <c r="J2126" s="4">
        <v>39416.591473738154</v>
      </c>
    </row>
    <row r="2127" spans="1:10">
      <c r="A2127" s="1">
        <v>46210.617361111108</v>
      </c>
      <c r="B2127">
        <v>-139.63400228189019</v>
      </c>
      <c r="C2127">
        <v>220216.7740703407</v>
      </c>
      <c r="D2127">
        <v>120134.1567537511</v>
      </c>
      <c r="E2127">
        <v>100082.6173165895</v>
      </c>
      <c r="F2127">
        <v>0</v>
      </c>
      <c r="G2127">
        <v>4731.3647371124316</v>
      </c>
      <c r="H2127">
        <v>4591.7307348305412</v>
      </c>
      <c r="I2127">
        <v>44043.354814068138</v>
      </c>
      <c r="J2127">
        <v>39451.624079237597</v>
      </c>
    </row>
    <row r="2128" spans="1:10">
      <c r="A2128" s="3">
        <v>46210.618055555547</v>
      </c>
      <c r="B2128" s="4">
        <v>-127.6491227536295</v>
      </c>
      <c r="C2128" s="4">
        <v>220261.80587650469</v>
      </c>
      <c r="D2128" s="4">
        <v>120162.66509659729</v>
      </c>
      <c r="E2128" s="4">
        <v>100099.1407799075</v>
      </c>
      <c r="F2128" s="4">
        <v>0</v>
      </c>
      <c r="G2128" s="4">
        <v>4731.3647371124316</v>
      </c>
      <c r="H2128" s="4">
        <v>4603.7156143588018</v>
      </c>
      <c r="I2128" s="4">
        <v>44052.361175300954</v>
      </c>
      <c r="J2128" s="4">
        <v>39448.645560942146</v>
      </c>
    </row>
    <row r="2129" spans="1:10">
      <c r="A2129" s="3">
        <v>46210.618750000001</v>
      </c>
      <c r="B2129" s="4">
        <v>-266.04207574575219</v>
      </c>
      <c r="C2129" s="4">
        <v>220305.1710200097</v>
      </c>
      <c r="D2129" s="4">
        <v>120115.1511918537</v>
      </c>
      <c r="E2129" s="4">
        <v>100190.019828156</v>
      </c>
      <c r="F2129" s="4">
        <v>0</v>
      </c>
      <c r="G2129" s="4">
        <v>4731.3647371124316</v>
      </c>
      <c r="H2129" s="4">
        <v>4465.3226613666793</v>
      </c>
      <c r="I2129" s="4">
        <v>44061.034204001939</v>
      </c>
      <c r="J2129" s="4">
        <v>39595.711542635261</v>
      </c>
    </row>
    <row r="2130" spans="1:10">
      <c r="A2130" s="3">
        <v>46210.619444444441</v>
      </c>
      <c r="B2130" s="4">
        <v>-269.765223615053</v>
      </c>
      <c r="C2130" s="4">
        <v>220251.8774821866</v>
      </c>
      <c r="D2130" s="4">
        <v>120086.6428490075</v>
      </c>
      <c r="E2130" s="4">
        <v>100165.23463317911</v>
      </c>
      <c r="F2130" s="4">
        <v>0</v>
      </c>
      <c r="G2130" s="4">
        <v>4731.3647371124316</v>
      </c>
      <c r="H2130" s="4">
        <v>4461.5995134973782</v>
      </c>
      <c r="I2130" s="4">
        <v>44050.375496437329</v>
      </c>
      <c r="J2130" s="4">
        <v>39588.775982939951</v>
      </c>
    </row>
    <row r="2131" spans="1:10">
      <c r="A2131" s="1">
        <v>46210.620138888888</v>
      </c>
      <c r="B2131">
        <v>-240.44144484853749</v>
      </c>
      <c r="C2131">
        <v>220165.53701772771</v>
      </c>
      <c r="D2131">
        <v>120058.1345061613</v>
      </c>
      <c r="E2131">
        <v>100107.4025115664</v>
      </c>
      <c r="F2131">
        <v>0</v>
      </c>
      <c r="G2131">
        <v>4731.3647371124316</v>
      </c>
      <c r="H2131">
        <v>4490.9232922638939</v>
      </c>
      <c r="I2131">
        <v>44033.107403545553</v>
      </c>
      <c r="J2131">
        <v>39542.184111281662</v>
      </c>
    </row>
    <row r="2132" spans="1:10">
      <c r="A2132" s="1">
        <v>46210.620833333327</v>
      </c>
      <c r="B2132">
        <v>-196.65068797422799</v>
      </c>
      <c r="C2132">
        <v>220159.75738464831</v>
      </c>
      <c r="D2132">
        <v>120077.1400680588</v>
      </c>
      <c r="E2132">
        <v>100082.6173165895</v>
      </c>
      <c r="F2132">
        <v>0</v>
      </c>
      <c r="G2132">
        <v>4731.3647371124316</v>
      </c>
      <c r="H2132">
        <v>4534.7140491382033</v>
      </c>
      <c r="I2132">
        <v>44031.951476929673</v>
      </c>
      <c r="J2132">
        <v>39497.237427791457</v>
      </c>
    </row>
    <row r="2133" spans="1:10">
      <c r="A2133" s="3">
        <v>46210.621527777781</v>
      </c>
      <c r="B2133" s="4">
        <v>-397.41434636869423</v>
      </c>
      <c r="C2133" s="4">
        <v>220322.50991924791</v>
      </c>
      <c r="D2133" s="4">
        <v>120058.1345061613</v>
      </c>
      <c r="E2133" s="4">
        <v>100264.3754130866</v>
      </c>
      <c r="F2133" s="4">
        <v>0</v>
      </c>
      <c r="G2133" s="4">
        <v>4731.3647371124316</v>
      </c>
      <c r="H2133" s="4">
        <v>4333.9503907437374</v>
      </c>
      <c r="I2133" s="4">
        <v>44064.501983849586</v>
      </c>
      <c r="J2133" s="4">
        <v>39730.551593105847</v>
      </c>
    </row>
    <row r="2134" spans="1:10">
      <c r="A2134" s="1">
        <v>46210.62222222222</v>
      </c>
      <c r="B2134">
        <v>-195.79946123539969</v>
      </c>
      <c r="C2134">
        <v>220424.98402447379</v>
      </c>
      <c r="D2134">
        <v>120210.1790013409</v>
      </c>
      <c r="E2134">
        <v>100214.80502313279</v>
      </c>
      <c r="F2134">
        <v>0</v>
      </c>
      <c r="G2134">
        <v>4731.3647371124316</v>
      </c>
      <c r="H2134">
        <v>4535.565275877032</v>
      </c>
      <c r="I2134">
        <v>44084.996804894763</v>
      </c>
      <c r="J2134">
        <v>39549.431529017733</v>
      </c>
    </row>
    <row r="2135" spans="1:10">
      <c r="A2135" s="3">
        <v>46210.622916666667</v>
      </c>
      <c r="B2135" s="4">
        <v>0</v>
      </c>
      <c r="C2135" s="4">
        <v>0</v>
      </c>
      <c r="D2135" s="4">
        <v>0</v>
      </c>
      <c r="E2135" s="4">
        <v>0</v>
      </c>
      <c r="F2135" s="4">
        <v>-206.81109386316101</v>
      </c>
      <c r="G2135" s="4">
        <v>4524.5536432492709</v>
      </c>
      <c r="H2135" s="4">
        <v>4524.5536432492709</v>
      </c>
      <c r="I2135" s="4">
        <v>0</v>
      </c>
      <c r="J2135" s="4">
        <v>-4524.5536432492709</v>
      </c>
    </row>
    <row r="2136" spans="1:10">
      <c r="A2136" s="3">
        <v>46211.604166666657</v>
      </c>
      <c r="B2136" s="4">
        <v>0</v>
      </c>
      <c r="C2136" s="4">
        <v>220191.17343944349</v>
      </c>
      <c r="D2136" s="4">
        <v>120191.1734394435</v>
      </c>
      <c r="E2136" s="4">
        <v>100000</v>
      </c>
      <c r="F2136" s="4">
        <v>0</v>
      </c>
      <c r="G2136" s="4">
        <v>4524.5536432492709</v>
      </c>
      <c r="H2136" s="4">
        <v>4524.5536432492709</v>
      </c>
      <c r="I2136" s="4">
        <v>44038.234687888696</v>
      </c>
      <c r="J2136" s="4">
        <v>39513.681044639423</v>
      </c>
    </row>
    <row r="2137" spans="1:10">
      <c r="A2137" s="3">
        <v>46211.604861111111</v>
      </c>
      <c r="B2137" s="4">
        <v>-88.77717683261892</v>
      </c>
      <c r="C2137" s="4">
        <v>221013.9425151429</v>
      </c>
      <c r="D2137" s="4">
        <v>120558.16938887689</v>
      </c>
      <c r="E2137" s="4">
        <v>100455.77312626599</v>
      </c>
      <c r="F2137" s="4">
        <v>0</v>
      </c>
      <c r="G2137" s="4">
        <v>4524.5536432492709</v>
      </c>
      <c r="H2137" s="4">
        <v>4435.7764664166516</v>
      </c>
      <c r="I2137" s="4">
        <v>44202.788503028583</v>
      </c>
      <c r="J2137" s="4">
        <v>39767.01203661193</v>
      </c>
    </row>
    <row r="2138" spans="1:10">
      <c r="A2138" s="1">
        <v>46211.605555555558</v>
      </c>
      <c r="B2138">
        <v>84.650147896660826</v>
      </c>
      <c r="C2138">
        <v>220512.15039355209</v>
      </c>
      <c r="D2138">
        <v>120393.98699044609</v>
      </c>
      <c r="E2138">
        <v>100118.16340310599</v>
      </c>
      <c r="F2138">
        <v>0</v>
      </c>
      <c r="G2138">
        <v>4524.5536432492709</v>
      </c>
      <c r="H2138">
        <v>4609.203791145932</v>
      </c>
      <c r="I2138">
        <v>44102.430078710429</v>
      </c>
      <c r="J2138">
        <v>39493.226287564503</v>
      </c>
    </row>
    <row r="2139" spans="1:10">
      <c r="A2139" s="1">
        <v>46211.606249999997</v>
      </c>
      <c r="B2139">
        <v>-62.899481482728063</v>
      </c>
      <c r="C2139">
        <v>219925.70812406469</v>
      </c>
      <c r="D2139">
        <v>120026.9910410127</v>
      </c>
      <c r="E2139">
        <v>99898.71708305199</v>
      </c>
      <c r="F2139">
        <v>0</v>
      </c>
      <c r="G2139">
        <v>4524.5536432492709</v>
      </c>
      <c r="H2139">
        <v>4461.6541617665434</v>
      </c>
      <c r="I2139">
        <v>43985.141624812954</v>
      </c>
      <c r="J2139">
        <v>39523.487463046396</v>
      </c>
    </row>
    <row r="2140" spans="1:10">
      <c r="A2140" s="3">
        <v>46211.606944444437</v>
      </c>
      <c r="B2140" s="4">
        <v>-231.37405358718959</v>
      </c>
      <c r="C2140" s="4">
        <v>220635.01883217631</v>
      </c>
      <c r="D2140" s="4">
        <v>120297.4091090163</v>
      </c>
      <c r="E2140" s="4">
        <v>100337.60972316</v>
      </c>
      <c r="F2140" s="4">
        <v>0</v>
      </c>
      <c r="G2140" s="4">
        <v>4524.5536432492709</v>
      </c>
      <c r="H2140" s="4">
        <v>4293.1795896620824</v>
      </c>
      <c r="I2140" s="4">
        <v>44127.003766435257</v>
      </c>
      <c r="J2140" s="4">
        <v>39833.824176773182</v>
      </c>
    </row>
    <row r="2141" spans="1:10">
      <c r="A2141" s="3">
        <v>46211.607638888891</v>
      </c>
      <c r="B2141" s="4">
        <v>-190.47295562505491</v>
      </c>
      <c r="C2141" s="4">
        <v>220439.5931239264</v>
      </c>
      <c r="D2141" s="4">
        <v>120220.1468038724</v>
      </c>
      <c r="E2141" s="4">
        <v>100219.446320054</v>
      </c>
      <c r="F2141" s="4">
        <v>0</v>
      </c>
      <c r="G2141" s="4">
        <v>4524.5536432492709</v>
      </c>
      <c r="H2141" s="4">
        <v>4334.0806876242159</v>
      </c>
      <c r="I2141" s="4">
        <v>44087.918624785292</v>
      </c>
      <c r="J2141" s="4">
        <v>39753.837937161079</v>
      </c>
    </row>
    <row r="2142" spans="1:10">
      <c r="A2142" s="3">
        <v>46211.60833333333</v>
      </c>
      <c r="B2142" s="4">
        <v>-272.68801339376029</v>
      </c>
      <c r="C2142" s="4">
        <v>220154.8122322617</v>
      </c>
      <c r="D2142" s="4">
        <v>120036.6488291557</v>
      </c>
      <c r="E2142" s="4">
        <v>100118.16340310599</v>
      </c>
      <c r="F2142" s="4">
        <v>0</v>
      </c>
      <c r="G2142" s="4">
        <v>4524.5536432492709</v>
      </c>
      <c r="H2142" s="4">
        <v>4251.8656298555106</v>
      </c>
      <c r="I2142" s="4">
        <v>44030.962446452351</v>
      </c>
      <c r="J2142" s="4">
        <v>39779.096816596837</v>
      </c>
    </row>
    <row r="2143" spans="1:10">
      <c r="A2143" s="3">
        <v>46211.609027777777</v>
      </c>
      <c r="B2143" s="4">
        <v>-349.95031853764931</v>
      </c>
      <c r="C2143" s="4">
        <v>220077.5499271178</v>
      </c>
      <c r="D2143" s="4">
        <v>119959.3865240118</v>
      </c>
      <c r="E2143" s="4">
        <v>100118.16340310599</v>
      </c>
      <c r="F2143" s="4">
        <v>0</v>
      </c>
      <c r="G2143" s="4">
        <v>4524.5536432492709</v>
      </c>
      <c r="H2143" s="4">
        <v>4174.6033247116211</v>
      </c>
      <c r="I2143" s="4">
        <v>44015.509985423567</v>
      </c>
      <c r="J2143" s="4">
        <v>39840.906660711953</v>
      </c>
    </row>
    <row r="2144" spans="1:10">
      <c r="A2144" s="3">
        <v>46211.609722222223</v>
      </c>
      <c r="B2144" s="4">
        <v>-316.35449095941851</v>
      </c>
      <c r="C2144" s="4">
        <v>219773.536031536</v>
      </c>
      <c r="D2144" s="4">
        <v>119824.17749001</v>
      </c>
      <c r="E2144" s="4">
        <v>99949.358541525988</v>
      </c>
      <c r="F2144" s="4">
        <v>0</v>
      </c>
      <c r="G2144" s="4">
        <v>4524.5536432492709</v>
      </c>
      <c r="H2144" s="4">
        <v>4208.1991522898516</v>
      </c>
      <c r="I2144" s="4">
        <v>43954.707206307212</v>
      </c>
      <c r="J2144" s="4">
        <v>39746.508054017359</v>
      </c>
    </row>
    <row r="2145" spans="1:10">
      <c r="A2145" s="3">
        <v>46211.61041666667</v>
      </c>
      <c r="B2145" s="4">
        <v>-247.5324288945346</v>
      </c>
      <c r="C2145" s="4">
        <v>219859.23857975891</v>
      </c>
      <c r="D2145" s="4">
        <v>119901.4397951539</v>
      </c>
      <c r="E2145" s="4">
        <v>99957.798784604995</v>
      </c>
      <c r="F2145" s="4">
        <v>0</v>
      </c>
      <c r="G2145" s="4">
        <v>4524.5536432492709</v>
      </c>
      <c r="H2145" s="4">
        <v>4277.021214354736</v>
      </c>
      <c r="I2145" s="4">
        <v>43971.847715951793</v>
      </c>
      <c r="J2145" s="4">
        <v>39694.826501597046</v>
      </c>
    </row>
    <row r="2146" spans="1:10">
      <c r="A2146" s="1">
        <v>46211.611111111109</v>
      </c>
      <c r="B2146">
        <v>-345.16271065058248</v>
      </c>
      <c r="C2146">
        <v>220014.81559037289</v>
      </c>
      <c r="D2146">
        <v>119930.41315958289</v>
      </c>
      <c r="E2146">
        <v>100084.40243079</v>
      </c>
      <c r="F2146">
        <v>0</v>
      </c>
      <c r="G2146">
        <v>4524.5536432492709</v>
      </c>
      <c r="H2146">
        <v>4179.3909325986879</v>
      </c>
      <c r="I2146">
        <v>44002.963118074578</v>
      </c>
      <c r="J2146">
        <v>39823.572185475889</v>
      </c>
    </row>
    <row r="2147" spans="1:10">
      <c r="A2147" s="3">
        <v>46211.611805555563</v>
      </c>
      <c r="B2147" s="4">
        <v>-498.38720350548039</v>
      </c>
      <c r="C2147" s="4">
        <v>220013.51547293999</v>
      </c>
      <c r="D2147" s="4">
        <v>119853.15085443899</v>
      </c>
      <c r="E2147" s="4">
        <v>100160.364618501</v>
      </c>
      <c r="F2147" s="4">
        <v>0</v>
      </c>
      <c r="G2147" s="4">
        <v>4524.5536432492709</v>
      </c>
      <c r="H2147" s="4">
        <v>4026.1664397437899</v>
      </c>
      <c r="I2147" s="4">
        <v>44002.703094588003</v>
      </c>
      <c r="J2147" s="4">
        <v>39976.536654844211</v>
      </c>
    </row>
    <row r="2148" spans="1:10">
      <c r="A2148" s="1">
        <v>46211.612500000003</v>
      </c>
      <c r="B2148">
        <v>-444.34082694618138</v>
      </c>
      <c r="C2148">
        <v>219611.7887232333</v>
      </c>
      <c r="D2148">
        <v>119679.3106678653</v>
      </c>
      <c r="E2148">
        <v>99932.478055367988</v>
      </c>
      <c r="F2148">
        <v>0</v>
      </c>
      <c r="G2148">
        <v>4524.5536432492709</v>
      </c>
      <c r="H2148">
        <v>4080.2128163030889</v>
      </c>
      <c r="I2148">
        <v>43922.357744646659</v>
      </c>
      <c r="J2148">
        <v>39842.144928343572</v>
      </c>
    </row>
    <row r="2149" spans="1:10">
      <c r="A2149" s="3">
        <v>46211.613194444442</v>
      </c>
      <c r="B2149" s="4">
        <v>-650.72444077192245</v>
      </c>
      <c r="C2149" s="4">
        <v>219489.80754019751</v>
      </c>
      <c r="D2149" s="4">
        <v>119515.1282694345</v>
      </c>
      <c r="E2149" s="4">
        <v>99974.679270762994</v>
      </c>
      <c r="F2149" s="4">
        <v>0</v>
      </c>
      <c r="G2149" s="4">
        <v>4524.5536432492709</v>
      </c>
      <c r="H2149" s="4">
        <v>3873.8292024773482</v>
      </c>
      <c r="I2149" s="4">
        <v>43897.961508039509</v>
      </c>
      <c r="J2149" s="4">
        <v>40024.132305562161</v>
      </c>
    </row>
    <row r="2150" spans="1:10">
      <c r="A2150" s="3">
        <v>46211.613888888889</v>
      </c>
      <c r="B2150" s="4">
        <v>-766.45275374996493</v>
      </c>
      <c r="C2150" s="4">
        <v>219644.1670057475</v>
      </c>
      <c r="D2150" s="4">
        <v>119534.4438457205</v>
      </c>
      <c r="E2150" s="4">
        <v>100109.723160027</v>
      </c>
      <c r="F2150" s="4">
        <v>0</v>
      </c>
      <c r="G2150" s="4">
        <v>4524.5536432492709</v>
      </c>
      <c r="H2150" s="4">
        <v>3758.100889499306</v>
      </c>
      <c r="I2150" s="4">
        <v>43928.833401149503</v>
      </c>
      <c r="J2150" s="4">
        <v>40170.732511650203</v>
      </c>
    </row>
    <row r="2151" spans="1:10">
      <c r="A2151" s="1">
        <v>46211.614583333343</v>
      </c>
      <c r="B2151">
        <v>-758.26022777761887</v>
      </c>
      <c r="C2151">
        <v>219230.34737776979</v>
      </c>
      <c r="D2151">
        <v>119331.6302947178</v>
      </c>
      <c r="E2151">
        <v>99898.71708305199</v>
      </c>
      <c r="F2151">
        <v>0</v>
      </c>
      <c r="G2151">
        <v>4524.5536432492709</v>
      </c>
      <c r="H2151">
        <v>3766.2934154716522</v>
      </c>
      <c r="I2151">
        <v>43846.069475553973</v>
      </c>
      <c r="J2151">
        <v>40079.776060082317</v>
      </c>
    </row>
    <row r="2152" spans="1:10">
      <c r="A2152" s="3">
        <v>46211.615277777782</v>
      </c>
      <c r="B2152" s="4">
        <v>-842.58008619875102</v>
      </c>
      <c r="C2152" s="4">
        <v>219449.8762701927</v>
      </c>
      <c r="D2152" s="4">
        <v>119399.23481171871</v>
      </c>
      <c r="E2152" s="4">
        <v>100050.641458474</v>
      </c>
      <c r="F2152" s="4">
        <v>0</v>
      </c>
      <c r="G2152" s="4">
        <v>4524.5536432492709</v>
      </c>
      <c r="H2152" s="4">
        <v>3681.97355705052</v>
      </c>
      <c r="I2152" s="4">
        <v>43889.975254038553</v>
      </c>
      <c r="J2152" s="4">
        <v>40208.001696988031</v>
      </c>
    </row>
    <row r="2153" spans="1:10">
      <c r="A2153" s="1">
        <v>46211.615972222222</v>
      </c>
      <c r="B2153">
        <v>-629.05634672687142</v>
      </c>
      <c r="C2153">
        <v>219410.19271729459</v>
      </c>
      <c r="D2153">
        <v>119486.15490500561</v>
      </c>
      <c r="E2153">
        <v>99924.037812288982</v>
      </c>
      <c r="F2153">
        <v>0</v>
      </c>
      <c r="G2153">
        <v>4524.5536432492709</v>
      </c>
      <c r="H2153">
        <v>3895.4972965224001</v>
      </c>
      <c r="I2153">
        <v>43882.038543458912</v>
      </c>
      <c r="J2153">
        <v>39986.541246936511</v>
      </c>
    </row>
    <row r="2154" spans="1:10">
      <c r="A2154" s="1">
        <v>46211.616666666669</v>
      </c>
      <c r="B2154">
        <v>-775.14071393561687</v>
      </c>
      <c r="C2154">
        <v>219247.22786392781</v>
      </c>
      <c r="D2154">
        <v>119331.6302947178</v>
      </c>
      <c r="E2154">
        <v>99915.597569209989</v>
      </c>
      <c r="F2154">
        <v>0</v>
      </c>
      <c r="G2154">
        <v>4524.5536432492709</v>
      </c>
      <c r="H2154">
        <v>3749.4129293136539</v>
      </c>
      <c r="I2154">
        <v>43849.445572785567</v>
      </c>
      <c r="J2154">
        <v>40100.032643471917</v>
      </c>
    </row>
    <row r="2155" spans="1:10">
      <c r="A2155" s="1">
        <v>46211.617361111108</v>
      </c>
      <c r="B2155">
        <v>-635.06149967790896</v>
      </c>
      <c r="C2155">
        <v>219454.82902281749</v>
      </c>
      <c r="D2155">
        <v>119505.4704812915</v>
      </c>
      <c r="E2155">
        <v>99949.358541525988</v>
      </c>
      <c r="F2155">
        <v>0</v>
      </c>
      <c r="G2155">
        <v>4524.5536432492709</v>
      </c>
      <c r="H2155">
        <v>3889.4921435713618</v>
      </c>
      <c r="I2155">
        <v>43890.965804563522</v>
      </c>
      <c r="J2155">
        <v>40001.473660992153</v>
      </c>
    </row>
    <row r="2156" spans="1:10">
      <c r="A2156" s="1">
        <v>46211.618055555547</v>
      </c>
      <c r="B2156">
        <v>-907.91465780944657</v>
      </c>
      <c r="C2156">
        <v>219148.21489236999</v>
      </c>
      <c r="D2156">
        <v>119215.736837002</v>
      </c>
      <c r="E2156">
        <v>99932.478055367988</v>
      </c>
      <c r="F2156">
        <v>0</v>
      </c>
      <c r="G2156">
        <v>4524.5536432492709</v>
      </c>
      <c r="H2156">
        <v>3616.638985439824</v>
      </c>
      <c r="I2156">
        <v>43829.642978474003</v>
      </c>
      <c r="J2156">
        <v>40213.003993034181</v>
      </c>
    </row>
    <row r="2157" spans="1:10">
      <c r="A2157" s="1">
        <v>46211.618750000001</v>
      </c>
      <c r="B2157">
        <v>-833.08744279352675</v>
      </c>
      <c r="C2157">
        <v>219189.2811350699</v>
      </c>
      <c r="D2157">
        <v>119273.6835658599</v>
      </c>
      <c r="E2157">
        <v>99915.597569209989</v>
      </c>
      <c r="F2157">
        <v>0</v>
      </c>
      <c r="G2157">
        <v>4524.5536432492709</v>
      </c>
      <c r="H2157">
        <v>3691.466200455744</v>
      </c>
      <c r="I2157">
        <v>43837.856227013981</v>
      </c>
      <c r="J2157">
        <v>40146.390026558227</v>
      </c>
    </row>
    <row r="2158" spans="1:10">
      <c r="A2158" s="1">
        <v>46211.619444444441</v>
      </c>
      <c r="B2158">
        <v>-880.15883844447615</v>
      </c>
      <c r="C2158">
        <v>219159.09022557689</v>
      </c>
      <c r="D2158">
        <v>119235.05241328799</v>
      </c>
      <c r="E2158">
        <v>99924.037812288982</v>
      </c>
      <c r="F2158">
        <v>0</v>
      </c>
      <c r="G2158">
        <v>4524.5536432492709</v>
      </c>
      <c r="H2158">
        <v>3644.3948048047951</v>
      </c>
      <c r="I2158">
        <v>43831.818045115389</v>
      </c>
      <c r="J2158">
        <v>40187.423240310593</v>
      </c>
    </row>
    <row r="2159" spans="1:10">
      <c r="A2159" s="3">
        <v>46211.620138888888</v>
      </c>
      <c r="B2159" s="4">
        <v>-725.63422815671197</v>
      </c>
      <c r="C2159" s="4">
        <v>219313.61483586469</v>
      </c>
      <c r="D2159" s="4">
        <v>119389.57702357569</v>
      </c>
      <c r="E2159" s="4">
        <v>99924.037812288982</v>
      </c>
      <c r="F2159" s="4">
        <v>0</v>
      </c>
      <c r="G2159" s="4">
        <v>4524.5536432492709</v>
      </c>
      <c r="H2159" s="4">
        <v>3798.9194150925591</v>
      </c>
      <c r="I2159" s="4">
        <v>43862.722967172936</v>
      </c>
      <c r="J2159" s="4">
        <v>40063.803552080382</v>
      </c>
    </row>
    <row r="2160" spans="1:10">
      <c r="A2160" s="1">
        <v>46211.620833333327</v>
      </c>
      <c r="B2160">
        <v>-993.5346336634193</v>
      </c>
      <c r="C2160">
        <v>219214.51929193799</v>
      </c>
      <c r="D2160">
        <v>119206.079048859</v>
      </c>
      <c r="E2160">
        <v>100008.44024307901</v>
      </c>
      <c r="F2160">
        <v>0</v>
      </c>
      <c r="G2160">
        <v>4524.5536432492709</v>
      </c>
      <c r="H2160">
        <v>3531.019009585852</v>
      </c>
      <c r="I2160">
        <v>43842.90385838761</v>
      </c>
      <c r="J2160">
        <v>40311.884848801761</v>
      </c>
    </row>
    <row r="2161" spans="1:10">
      <c r="A2161" s="1">
        <v>46211.621527777781</v>
      </c>
      <c r="B2161">
        <v>-917.65501832130576</v>
      </c>
      <c r="C2161">
        <v>219003.43064259409</v>
      </c>
      <c r="D2161">
        <v>119138.4745318581</v>
      </c>
      <c r="E2161">
        <v>99864.956110735977</v>
      </c>
      <c r="F2161">
        <v>0</v>
      </c>
      <c r="G2161">
        <v>4524.5536432492709</v>
      </c>
      <c r="H2161">
        <v>3606.8986249279651</v>
      </c>
      <c r="I2161">
        <v>43800.686128518828</v>
      </c>
      <c r="J2161">
        <v>40193.787503590873</v>
      </c>
    </row>
    <row r="2162" spans="1:10">
      <c r="A2162" s="3">
        <v>46211.62222222222</v>
      </c>
      <c r="B2162" s="4">
        <v>-830.65235266557124</v>
      </c>
      <c r="C2162" s="4">
        <v>219225.47719751389</v>
      </c>
      <c r="D2162" s="4">
        <v>119292.9991421459</v>
      </c>
      <c r="E2162" s="4">
        <v>99932.478055367988</v>
      </c>
      <c r="F2162" s="4">
        <v>0</v>
      </c>
      <c r="G2162" s="4">
        <v>4524.5536432492709</v>
      </c>
      <c r="H2162" s="4">
        <v>3693.9012905836998</v>
      </c>
      <c r="I2162" s="4">
        <v>43845.095439502773</v>
      </c>
      <c r="J2162" s="4">
        <v>40151.194148919072</v>
      </c>
    </row>
    <row r="2163" spans="1:10">
      <c r="A2163" s="1">
        <v>46211.622916666667</v>
      </c>
      <c r="B2163">
        <v>-851.10290164662581</v>
      </c>
      <c r="C2163">
        <v>219323.19005163881</v>
      </c>
      <c r="D2163">
        <v>119331.6302947178</v>
      </c>
      <c r="E2163">
        <v>99991.559756920993</v>
      </c>
      <c r="F2163">
        <v>0</v>
      </c>
      <c r="G2163">
        <v>4524.5536432492709</v>
      </c>
      <c r="H2163">
        <v>3673.4507416026449</v>
      </c>
      <c r="I2163">
        <v>43864.638010327762</v>
      </c>
      <c r="J2163">
        <v>40191.187268725123</v>
      </c>
    </row>
    <row r="2164" spans="1:10">
      <c r="A2164" s="3">
        <v>46211.623611111107</v>
      </c>
      <c r="B2164" s="4">
        <v>-776.27568663071793</v>
      </c>
      <c r="C2164" s="4">
        <v>219364.2562943387</v>
      </c>
      <c r="D2164" s="4">
        <v>119389.57702357569</v>
      </c>
      <c r="E2164" s="4">
        <v>99974.679270762994</v>
      </c>
      <c r="F2164" s="4">
        <v>0</v>
      </c>
      <c r="G2164" s="4">
        <v>4524.5536432492709</v>
      </c>
      <c r="H2164" s="4">
        <v>3748.2779566185532</v>
      </c>
      <c r="I2164" s="4">
        <v>43872.851258867748</v>
      </c>
      <c r="J2164" s="4">
        <v>40124.573302249191</v>
      </c>
    </row>
    <row r="2165" spans="1:10">
      <c r="A2165" s="3">
        <v>46211.624305555553</v>
      </c>
      <c r="B2165" s="4">
        <v>-778.71077675869901</v>
      </c>
      <c r="C2165" s="4">
        <v>219328.06023189481</v>
      </c>
      <c r="D2165" s="4">
        <v>119370.2614472898</v>
      </c>
      <c r="E2165" s="4">
        <v>99957.798784604995</v>
      </c>
      <c r="F2165" s="4">
        <v>0</v>
      </c>
      <c r="G2165" s="4">
        <v>4524.5536432492709</v>
      </c>
      <c r="H2165" s="4">
        <v>3745.8428664905719</v>
      </c>
      <c r="I2165" s="4">
        <v>43865.612046378963</v>
      </c>
      <c r="J2165" s="4">
        <v>40119.769179888382</v>
      </c>
    </row>
    <row r="2166" spans="1:10">
      <c r="A2166" s="3">
        <v>46211.625</v>
      </c>
      <c r="B2166" s="4">
        <v>-737.64453405878714</v>
      </c>
      <c r="C2166" s="4">
        <v>219402.8874469107</v>
      </c>
      <c r="D2166" s="4">
        <v>119428.2081761477</v>
      </c>
      <c r="E2166" s="4">
        <v>99974.679270762994</v>
      </c>
      <c r="F2166" s="4">
        <v>0</v>
      </c>
      <c r="G2166" s="4">
        <v>4524.5536432492709</v>
      </c>
      <c r="H2166" s="4">
        <v>3786.9091091904838</v>
      </c>
      <c r="I2166" s="4">
        <v>43880.577489382144</v>
      </c>
      <c r="J2166" s="4">
        <v>40093.668380191652</v>
      </c>
    </row>
    <row r="2167" spans="1:10">
      <c r="A2167" s="6">
        <v>46211.625694444447</v>
      </c>
      <c r="B2167" s="7">
        <v>0</v>
      </c>
      <c r="C2167" s="7">
        <v>0</v>
      </c>
      <c r="D2167" s="7">
        <v>0</v>
      </c>
      <c r="E2167" s="7">
        <v>0</v>
      </c>
      <c r="F2167" s="7">
        <v>-729.67286605299068</v>
      </c>
      <c r="G2167" s="7">
        <v>3794.8807771962802</v>
      </c>
      <c r="H2167" s="10">
        <v>3794.8807771962802</v>
      </c>
      <c r="I2167" s="7">
        <v>0</v>
      </c>
      <c r="J2167" s="7">
        <v>-3794.8807771962802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463A-B15E-4C16-949B-275AEF902F57}">
  <dimension ref="A1:Q3343"/>
  <sheetViews>
    <sheetView tabSelected="1" workbookViewId="0">
      <selection activeCell="K16" sqref="K16"/>
    </sheetView>
  </sheetViews>
  <sheetFormatPr defaultRowHeight="14.4"/>
  <cols>
    <col min="1" max="1" width="18" customWidth="1"/>
    <col min="2" max="2" width="14.5546875" bestFit="1" customWidth="1"/>
    <col min="3" max="3" width="15.77734375" bestFit="1" customWidth="1"/>
    <col min="4" max="4" width="17.77734375" bestFit="1" customWidth="1"/>
    <col min="5" max="5" width="11.77734375" bestFit="1" customWidth="1"/>
    <col min="6" max="6" width="13.21875" bestFit="1" customWidth="1"/>
    <col min="7" max="7" width="16.21875" bestFit="1" customWidth="1"/>
    <col min="8" max="8" width="16.109375" bestFit="1" customWidth="1"/>
    <col min="11" max="11" width="16" bestFit="1" customWidth="1"/>
    <col min="12" max="12" width="10.44140625" bestFit="1" customWidth="1"/>
    <col min="13" max="13" width="13.77734375" bestFit="1" customWidth="1"/>
    <col min="17" max="17" width="12" bestFit="1" customWidth="1"/>
  </cols>
  <sheetData>
    <row r="1" spans="1:17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17">
      <c r="A2" s="1" cm="1">
        <f t="array" ref="A2:A3343">_xlfn._xlws.SORT(_xlfn.UNIQUE(_xlfn.VSTACK(Banks!A2:A3000,Energy!A2:A3000)))</f>
        <v>45960.5625</v>
      </c>
      <c r="B2" s="5">
        <f>_xlfn.XLOOKUP(A2,Banks!A:A,Banks!H:H,0,-1)</f>
        <v>0</v>
      </c>
      <c r="C2">
        <f>_xlfn.XLOOKUP(A2,Energy!A:A,Energy!H:H,0,-1)</f>
        <v>0</v>
      </c>
      <c r="D2">
        <f>B2+C2</f>
        <v>0</v>
      </c>
      <c r="E2">
        <f>_xlfn.XLOOKUP(A2,Banks!A:A,Banks!I:I,0)</f>
        <v>33348.602962298159</v>
      </c>
      <c r="F2">
        <f>_xlfn.XLOOKUP(A2,Energy!A:A,Energy!I:I,0)</f>
        <v>0</v>
      </c>
      <c r="G2">
        <f>F2+E2</f>
        <v>33348.602962298159</v>
      </c>
      <c r="H2">
        <f>G2-D2</f>
        <v>33348.602962298159</v>
      </c>
      <c r="I2" t="b">
        <f>AND(E2&gt;0,F2&gt;0)</f>
        <v>0</v>
      </c>
      <c r="L2">
        <f>MIN(H2:H3343)</f>
        <v>-17427.978822224064</v>
      </c>
    </row>
    <row r="3" spans="1:17">
      <c r="A3" s="1">
        <v>45960.563194444447</v>
      </c>
      <c r="B3" s="5">
        <f>_xlfn.XLOOKUP(A3,Banks!A:A,Banks!H:H,0,-1)</f>
        <v>32.641869726305337</v>
      </c>
      <c r="C3">
        <f>_xlfn.XLOOKUP(A3,Energy!A:A,Energy!H:H,0,-1)</f>
        <v>0</v>
      </c>
      <c r="D3">
        <f t="shared" ref="D3:D66" si="0">B3+C3</f>
        <v>32.641869726305337</v>
      </c>
      <c r="E3">
        <f>_xlfn.XLOOKUP(A3,Banks!A:A,Banks!I:I,0)</f>
        <v>33342.074588352887</v>
      </c>
      <c r="F3">
        <f>_xlfn.XLOOKUP(A3,Energy!A:A,Energy!I:I,0)</f>
        <v>0</v>
      </c>
      <c r="G3">
        <f t="shared" ref="G3:G66" si="1">F3+E3</f>
        <v>33342.074588352887</v>
      </c>
      <c r="H3">
        <f t="shared" ref="H3:H66" si="2">G3-D3</f>
        <v>33309.43271862658</v>
      </c>
      <c r="I3" t="b">
        <f t="shared" ref="I3:I66" si="3">AND(E3&gt;0,F3&gt;0)</f>
        <v>0</v>
      </c>
      <c r="L3" s="8">
        <f>MAX(H2:H3343)</f>
        <v>80993.120103940339</v>
      </c>
    </row>
    <row r="4" spans="1:17">
      <c r="A4" s="1">
        <v>45960.563888888893</v>
      </c>
      <c r="B4" s="5">
        <f>_xlfn.XLOOKUP(A4,Banks!A:A,Banks!H:H,0,-1)</f>
        <v>27.745589267365109</v>
      </c>
      <c r="C4">
        <f>_xlfn.XLOOKUP(A4,Energy!A:A,Energy!H:H,0,-1)</f>
        <v>0</v>
      </c>
      <c r="D4">
        <f t="shared" si="0"/>
        <v>27.745589267365109</v>
      </c>
      <c r="E4">
        <f>_xlfn.XLOOKUP(A4,Banks!A:A,Banks!I:I,0)</f>
        <v>33343.053844444687</v>
      </c>
      <c r="F4">
        <f>_xlfn.XLOOKUP(A4,Energy!A:A,Energy!I:I,0)</f>
        <v>0</v>
      </c>
      <c r="G4">
        <f t="shared" si="1"/>
        <v>33343.053844444687</v>
      </c>
      <c r="H4">
        <f t="shared" si="2"/>
        <v>33315.308255177319</v>
      </c>
      <c r="I4" t="b">
        <f t="shared" si="3"/>
        <v>0</v>
      </c>
    </row>
    <row r="5" spans="1:17">
      <c r="A5" s="1">
        <v>45960.564583333333</v>
      </c>
      <c r="B5" s="5">
        <f>_xlfn.XLOOKUP(A5,Banks!A:A,Banks!H:H,0,-1)</f>
        <v>204.01168578936199</v>
      </c>
      <c r="C5">
        <f>_xlfn.XLOOKUP(A5,Energy!A:A,Energy!H:H,0,-1)</f>
        <v>0</v>
      </c>
      <c r="D5">
        <f t="shared" si="0"/>
        <v>204.01168578936199</v>
      </c>
      <c r="E5">
        <f>_xlfn.XLOOKUP(A5,Banks!A:A,Banks!I:I,0)</f>
        <v>33307.800625140277</v>
      </c>
      <c r="F5">
        <f>_xlfn.XLOOKUP(A5,Energy!A:A,Energy!I:I,0)</f>
        <v>0</v>
      </c>
      <c r="G5">
        <f t="shared" si="1"/>
        <v>33307.800625140277</v>
      </c>
      <c r="H5">
        <f t="shared" si="2"/>
        <v>33103.788939350918</v>
      </c>
      <c r="I5" t="b">
        <f t="shared" si="3"/>
        <v>0</v>
      </c>
      <c r="L5" t="s">
        <v>18</v>
      </c>
      <c r="M5" s="9">
        <f>D3342/L3</f>
        <v>0.19074587340550012</v>
      </c>
    </row>
    <row r="6" spans="1:17">
      <c r="A6" s="1">
        <v>45960.56527777778</v>
      </c>
      <c r="B6" s="5">
        <f>_xlfn.XLOOKUP(A6,Banks!A:A,Banks!H:H,0,-1)</f>
        <v>-29.377682753659961</v>
      </c>
      <c r="C6">
        <f>_xlfn.XLOOKUP(A6,Energy!A:A,Energy!H:H,0,-1)</f>
        <v>0</v>
      </c>
      <c r="D6">
        <f t="shared" si="0"/>
        <v>-29.377682753659961</v>
      </c>
      <c r="E6">
        <f>_xlfn.XLOOKUP(A6,Banks!A:A,Banks!I:I,0)</f>
        <v>33354.47849884889</v>
      </c>
      <c r="F6">
        <f>_xlfn.XLOOKUP(A6,Energy!A:A,Energy!I:I,0)</f>
        <v>0</v>
      </c>
      <c r="G6">
        <f t="shared" si="1"/>
        <v>33354.47849884889</v>
      </c>
      <c r="H6">
        <f t="shared" si="2"/>
        <v>33383.856181602547</v>
      </c>
      <c r="I6" t="b">
        <f t="shared" si="3"/>
        <v>0</v>
      </c>
      <c r="Q6" s="9">
        <f>COUNTIF(I:I,TRUE)/COUNTA(I:I)</f>
        <v>3.6205864751645722E-2</v>
      </c>
    </row>
    <row r="7" spans="1:17">
      <c r="A7" s="1">
        <v>45960.565972222219</v>
      </c>
      <c r="B7" s="5">
        <f>_xlfn.XLOOKUP(A7,Banks!A:A,Banks!H:H,0,-1)</f>
        <v>-60.387458993651897</v>
      </c>
      <c r="C7">
        <f>_xlfn.XLOOKUP(A7,Energy!A:A,Energy!H:H,0,-1)</f>
        <v>0</v>
      </c>
      <c r="D7">
        <f t="shared" si="0"/>
        <v>-60.387458993651897</v>
      </c>
      <c r="E7">
        <f>_xlfn.XLOOKUP(A7,Banks!A:A,Banks!I:I,0)</f>
        <v>33360.680454096888</v>
      </c>
      <c r="F7">
        <f>_xlfn.XLOOKUP(A7,Energy!A:A,Energy!I:I,0)</f>
        <v>0</v>
      </c>
      <c r="G7">
        <f t="shared" si="1"/>
        <v>33360.680454096888</v>
      </c>
      <c r="H7">
        <f t="shared" si="2"/>
        <v>33421.067913090541</v>
      </c>
      <c r="I7" t="b">
        <f t="shared" si="3"/>
        <v>0</v>
      </c>
    </row>
    <row r="8" spans="1:17">
      <c r="A8" s="1">
        <v>45960.566666666673</v>
      </c>
      <c r="B8" s="5">
        <f>_xlfn.XLOOKUP(A8,Banks!A:A,Banks!H:H,0,-1)</f>
        <v>223.59680762514151</v>
      </c>
      <c r="C8">
        <f>_xlfn.XLOOKUP(A8,Energy!A:A,Energy!H:H,0,-1)</f>
        <v>0</v>
      </c>
      <c r="D8">
        <f t="shared" si="0"/>
        <v>223.59680762514151</v>
      </c>
      <c r="E8">
        <f>_xlfn.XLOOKUP(A8,Banks!A:A,Banks!I:I,0)</f>
        <v>33303.88360077313</v>
      </c>
      <c r="F8">
        <f>_xlfn.XLOOKUP(A8,Energy!A:A,Energy!I:I,0)</f>
        <v>0</v>
      </c>
      <c r="G8">
        <f t="shared" si="1"/>
        <v>33303.88360077313</v>
      </c>
      <c r="H8">
        <f t="shared" si="2"/>
        <v>33080.286793147985</v>
      </c>
      <c r="I8" t="b">
        <f t="shared" si="3"/>
        <v>0</v>
      </c>
      <c r="M8" t="s">
        <v>21</v>
      </c>
    </row>
    <row r="9" spans="1:17">
      <c r="A9" s="1">
        <v>45960.567361111112</v>
      </c>
      <c r="B9" s="5">
        <f>_xlfn.XLOOKUP(A9,Banks!A:A,Banks!H:H,0,-1)</f>
        <v>202.96120102328581</v>
      </c>
      <c r="C9">
        <f>_xlfn.XLOOKUP(A9,Energy!A:A,Energy!H:H,0,-1)</f>
        <v>0</v>
      </c>
      <c r="D9">
        <f t="shared" si="0"/>
        <v>202.96120102328581</v>
      </c>
      <c r="E9">
        <f>_xlfn.XLOOKUP(A9,Banks!A:A,Banks!I:I,0)</f>
        <v>0</v>
      </c>
      <c r="F9">
        <f>_xlfn.XLOOKUP(A9,Energy!A:A,Energy!I:I,0)</f>
        <v>0</v>
      </c>
      <c r="G9">
        <f t="shared" si="1"/>
        <v>0</v>
      </c>
      <c r="H9">
        <f t="shared" si="2"/>
        <v>-202.96120102328581</v>
      </c>
      <c r="I9" t="b">
        <f t="shared" si="3"/>
        <v>0</v>
      </c>
      <c r="K9" t="s">
        <v>19</v>
      </c>
      <c r="L9" s="8">
        <f>MAX(E:E)</f>
        <v>44589.844906941398</v>
      </c>
      <c r="M9" s="9">
        <f>D3342/L9</f>
        <v>0.34647134266344298</v>
      </c>
    </row>
    <row r="10" spans="1:17">
      <c r="A10" s="1">
        <v>45960.759722222218</v>
      </c>
      <c r="B10" s="5">
        <f>_xlfn.XLOOKUP(A10,Banks!A:A,Banks!H:H,0,-1)</f>
        <v>202.96120102328581</v>
      </c>
      <c r="C10">
        <f>_xlfn.XLOOKUP(A10,Energy!A:A,Energy!H:H,0,-1)</f>
        <v>0</v>
      </c>
      <c r="D10">
        <f t="shared" si="0"/>
        <v>202.96120102328581</v>
      </c>
      <c r="E10">
        <f>_xlfn.XLOOKUP(A10,Banks!A:A,Banks!I:I,0)</f>
        <v>0</v>
      </c>
      <c r="F10">
        <f>_xlfn.XLOOKUP(A10,Energy!A:A,Energy!I:I,0)</f>
        <v>32001.827912485249</v>
      </c>
      <c r="G10">
        <f t="shared" si="1"/>
        <v>32001.827912485249</v>
      </c>
      <c r="H10">
        <f t="shared" si="2"/>
        <v>31798.866711461964</v>
      </c>
      <c r="I10" t="b">
        <f t="shared" si="3"/>
        <v>0</v>
      </c>
      <c r="K10" t="s">
        <v>20</v>
      </c>
      <c r="L10" s="8">
        <f>MAX(F:F)</f>
        <v>44688.036840848923</v>
      </c>
      <c r="M10" s="9">
        <f>D3342/L10</f>
        <v>0.34571004962878088</v>
      </c>
    </row>
    <row r="11" spans="1:17">
      <c r="A11" s="1">
        <v>45960.760416666657</v>
      </c>
      <c r="B11" s="5">
        <f>_xlfn.XLOOKUP(A11,Banks!A:A,Banks!H:H,0,-1)</f>
        <v>202.96120102328581</v>
      </c>
      <c r="C11">
        <f>_xlfn.XLOOKUP(A11,Energy!A:A,Energy!H:H,0,-1)</f>
        <v>-17.244352474561151</v>
      </c>
      <c r="D11">
        <f t="shared" si="0"/>
        <v>185.71684854872467</v>
      </c>
      <c r="E11">
        <f>_xlfn.XLOOKUP(A11,Banks!A:A,Banks!I:I,0)</f>
        <v>0</v>
      </c>
      <c r="F11">
        <f>_xlfn.XLOOKUP(A11,Energy!A:A,Energy!I:I,0)</f>
        <v>32005.276782980171</v>
      </c>
      <c r="G11">
        <f t="shared" si="1"/>
        <v>32005.276782980171</v>
      </c>
      <c r="H11">
        <f t="shared" si="2"/>
        <v>31819.559934431447</v>
      </c>
      <c r="I11" t="b">
        <f t="shared" si="3"/>
        <v>0</v>
      </c>
    </row>
    <row r="12" spans="1:17">
      <c r="A12" s="1">
        <v>45960.761111111111</v>
      </c>
      <c r="B12" s="5">
        <f>_xlfn.XLOOKUP(A12,Banks!A:A,Banks!H:H,0,-1)</f>
        <v>202.96120102328581</v>
      </c>
      <c r="C12">
        <f>_xlfn.XLOOKUP(A12,Energy!A:A,Energy!H:H,0,-1)</f>
        <v>17.2443524745734</v>
      </c>
      <c r="D12">
        <f t="shared" si="0"/>
        <v>220.2055534978592</v>
      </c>
      <c r="E12">
        <f>_xlfn.XLOOKUP(A12,Banks!A:A,Banks!I:I,0)</f>
        <v>0</v>
      </c>
      <c r="F12">
        <f>_xlfn.XLOOKUP(A12,Energy!A:A,Energy!I:I,0)</f>
        <v>31998.379041990342</v>
      </c>
      <c r="G12">
        <f t="shared" si="1"/>
        <v>31998.379041990342</v>
      </c>
      <c r="H12">
        <f t="shared" si="2"/>
        <v>31778.173488492481</v>
      </c>
      <c r="I12" t="b">
        <f t="shared" si="3"/>
        <v>0</v>
      </c>
    </row>
    <row r="13" spans="1:17">
      <c r="A13" s="1">
        <v>45960.761805555558</v>
      </c>
      <c r="B13" s="5">
        <f>_xlfn.XLOOKUP(A13,Banks!A:A,Banks!H:H,0,-1)</f>
        <v>202.96120102328581</v>
      </c>
      <c r="C13">
        <f>_xlfn.XLOOKUP(A13,Energy!A:A,Energy!H:H,0,-1)</f>
        <v>-56.141166018807233</v>
      </c>
      <c r="D13">
        <f t="shared" si="0"/>
        <v>146.82003500447857</v>
      </c>
      <c r="E13">
        <f>_xlfn.XLOOKUP(A13,Banks!A:A,Banks!I:I,0)</f>
        <v>0</v>
      </c>
      <c r="F13">
        <f>_xlfn.XLOOKUP(A13,Energy!A:A,Energy!I:I,0)</f>
        <v>31997.497420271309</v>
      </c>
      <c r="G13">
        <f t="shared" si="1"/>
        <v>31997.497420271309</v>
      </c>
      <c r="H13">
        <f t="shared" si="2"/>
        <v>31850.67738526683</v>
      </c>
      <c r="I13" t="b">
        <f t="shared" si="3"/>
        <v>0</v>
      </c>
    </row>
    <row r="14" spans="1:17">
      <c r="A14" s="1">
        <v>45960.762499999997</v>
      </c>
      <c r="B14" s="5">
        <f>_xlfn.XLOOKUP(A14,Banks!A:A,Banks!H:H,0,-1)</f>
        <v>202.96120102328581</v>
      </c>
      <c r="C14">
        <f>_xlfn.XLOOKUP(A14,Energy!A:A,Energy!H:H,0,-1)</f>
        <v>-73.38551849336838</v>
      </c>
      <c r="D14">
        <f t="shared" si="0"/>
        <v>129.57568252991743</v>
      </c>
      <c r="E14">
        <f>_xlfn.XLOOKUP(A14,Banks!A:A,Banks!I:I,0)</f>
        <v>0</v>
      </c>
      <c r="F14">
        <f>_xlfn.XLOOKUP(A14,Energy!A:A,Energy!I:I,0)</f>
        <v>32000.946290766231</v>
      </c>
      <c r="G14">
        <f t="shared" si="1"/>
        <v>32000.946290766231</v>
      </c>
      <c r="H14">
        <f t="shared" si="2"/>
        <v>31871.370608236313</v>
      </c>
      <c r="I14" t="b">
        <f t="shared" si="3"/>
        <v>0</v>
      </c>
    </row>
    <row r="15" spans="1:17">
      <c r="A15" s="1">
        <v>45960.763194444437</v>
      </c>
      <c r="B15" s="5">
        <f>_xlfn.XLOOKUP(A15,Banks!A:A,Banks!H:H,0,-1)</f>
        <v>202.96120102328581</v>
      </c>
      <c r="C15">
        <f>_xlfn.XLOOKUP(A15,Energy!A:A,Energy!H:H,0,-1)</f>
        <v>26.1036898765628</v>
      </c>
      <c r="D15">
        <f t="shared" si="0"/>
        <v>229.06489089984862</v>
      </c>
      <c r="E15">
        <f>_xlfn.XLOOKUP(A15,Banks!A:A,Banks!I:I,0)</f>
        <v>0</v>
      </c>
      <c r="F15">
        <f>_xlfn.XLOOKUP(A15,Energy!A:A,Energy!I:I,0)</f>
        <v>32034.63961441987</v>
      </c>
      <c r="G15">
        <f t="shared" si="1"/>
        <v>32034.63961441987</v>
      </c>
      <c r="H15">
        <f t="shared" si="2"/>
        <v>31805.574723520022</v>
      </c>
      <c r="I15" t="b">
        <f t="shared" si="3"/>
        <v>0</v>
      </c>
    </row>
    <row r="16" spans="1:17">
      <c r="A16" s="1">
        <v>45960.763888888891</v>
      </c>
      <c r="B16" s="5">
        <f>_xlfn.XLOOKUP(A16,Banks!A:A,Banks!H:H,0,-1)</f>
        <v>202.96120102328581</v>
      </c>
      <c r="C16">
        <f>_xlfn.XLOOKUP(A16,Energy!A:A,Energy!H:H,0,-1)</f>
        <v>107.98202397191881</v>
      </c>
      <c r="D16">
        <f t="shared" si="0"/>
        <v>310.94322499520462</v>
      </c>
      <c r="E16">
        <f>_xlfn.XLOOKUP(A16,Banks!A:A,Banks!I:I,0)</f>
        <v>0</v>
      </c>
      <c r="F16">
        <f>_xlfn.XLOOKUP(A16,Energy!A:A,Energy!I:I,0)</f>
        <v>32013.077705794891</v>
      </c>
      <c r="G16">
        <f t="shared" si="1"/>
        <v>32013.077705794891</v>
      </c>
      <c r="H16">
        <f t="shared" si="2"/>
        <v>31702.134480799687</v>
      </c>
      <c r="I16" t="b">
        <f t="shared" si="3"/>
        <v>0</v>
      </c>
    </row>
    <row r="17" spans="1:9">
      <c r="A17" s="1">
        <v>45960.76458333333</v>
      </c>
      <c r="B17" s="5">
        <f>_xlfn.XLOOKUP(A17,Banks!A:A,Banks!H:H,0,-1)</f>
        <v>202.96120102328581</v>
      </c>
      <c r="C17">
        <f>_xlfn.XLOOKUP(A17,Energy!A:A,Energy!H:H,0,-1)</f>
        <v>163.92914903777739</v>
      </c>
      <c r="D17">
        <f t="shared" si="0"/>
        <v>366.8903500610632</v>
      </c>
      <c r="E17">
        <f>_xlfn.XLOOKUP(A17,Banks!A:A,Banks!I:I,0)</f>
        <v>0</v>
      </c>
      <c r="F17">
        <f>_xlfn.XLOOKUP(A17,Energy!A:A,Energy!I:I,0)</f>
        <v>31986.329555364031</v>
      </c>
      <c r="G17">
        <f t="shared" si="1"/>
        <v>31986.329555364031</v>
      </c>
      <c r="H17">
        <f t="shared" si="2"/>
        <v>31619.439205302966</v>
      </c>
      <c r="I17" t="b">
        <f t="shared" si="3"/>
        <v>0</v>
      </c>
    </row>
    <row r="18" spans="1:9">
      <c r="A18" s="1">
        <v>45960.765277777777</v>
      </c>
      <c r="B18" s="5">
        <f>_xlfn.XLOOKUP(A18,Banks!A:A,Banks!H:H,0,-1)</f>
        <v>202.96120102328581</v>
      </c>
      <c r="C18">
        <f>_xlfn.XLOOKUP(A18,Energy!A:A,Energy!H:H,0,-1)</f>
        <v>153.463346200008</v>
      </c>
      <c r="D18">
        <f t="shared" si="0"/>
        <v>356.42454722329381</v>
      </c>
      <c r="E18">
        <f>_xlfn.XLOOKUP(A18,Banks!A:A,Banks!I:I,0)</f>
        <v>0</v>
      </c>
      <c r="F18">
        <f>_xlfn.XLOOKUP(A18,Energy!A:A,Energy!I:I,0)</f>
        <v>0</v>
      </c>
      <c r="G18">
        <f t="shared" si="1"/>
        <v>0</v>
      </c>
      <c r="H18">
        <f t="shared" si="2"/>
        <v>-356.42454722329381</v>
      </c>
      <c r="I18" t="b">
        <f t="shared" si="3"/>
        <v>0</v>
      </c>
    </row>
    <row r="19" spans="1:9">
      <c r="A19" s="1">
        <v>45961.5625</v>
      </c>
      <c r="B19" s="5">
        <f>_xlfn.XLOOKUP(A19,Banks!A:A,Banks!H:H,0,-1)</f>
        <v>202.96120102328581</v>
      </c>
      <c r="C19">
        <f>_xlfn.XLOOKUP(A19,Energy!A:A,Energy!H:H,0,-1)</f>
        <v>153.463346200008</v>
      </c>
      <c r="D19">
        <f t="shared" si="0"/>
        <v>356.42454722329381</v>
      </c>
      <c r="E19">
        <f>_xlfn.XLOOKUP(A19,Banks!A:A,Banks!I:I,0)</f>
        <v>0</v>
      </c>
      <c r="F19">
        <f>_xlfn.XLOOKUP(A19,Energy!A:A,Energy!I:I,0)</f>
        <v>32001.827912485249</v>
      </c>
      <c r="G19">
        <f t="shared" si="1"/>
        <v>32001.827912485249</v>
      </c>
      <c r="H19">
        <f t="shared" si="2"/>
        <v>31645.403365261955</v>
      </c>
      <c r="I19" t="b">
        <f t="shared" si="3"/>
        <v>0</v>
      </c>
    </row>
    <row r="20" spans="1:9">
      <c r="A20" s="1">
        <v>45961.563194444447</v>
      </c>
      <c r="B20" s="5">
        <f>_xlfn.XLOOKUP(A20,Banks!A:A,Banks!H:H,0,-1)</f>
        <v>202.96120102328581</v>
      </c>
      <c r="C20">
        <f>_xlfn.XLOOKUP(A20,Energy!A:A,Energy!H:H,0,-1)</f>
        <v>524.81165145884484</v>
      </c>
      <c r="D20">
        <f t="shared" si="0"/>
        <v>727.7728524821307</v>
      </c>
      <c r="E20">
        <f>_xlfn.XLOOKUP(A20,Banks!A:A,Banks!I:I,0)</f>
        <v>0</v>
      </c>
      <c r="F20">
        <f>_xlfn.XLOOKUP(A20,Energy!A:A,Energy!I:I,0)</f>
        <v>32073.473075852238</v>
      </c>
      <c r="G20">
        <f t="shared" si="1"/>
        <v>32073.473075852238</v>
      </c>
      <c r="H20">
        <f t="shared" si="2"/>
        <v>31345.700223370106</v>
      </c>
      <c r="I20" t="b">
        <f t="shared" si="3"/>
        <v>0</v>
      </c>
    </row>
    <row r="21" spans="1:9">
      <c r="A21" s="1">
        <v>45961.563888888893</v>
      </c>
      <c r="B21" s="5">
        <f>_xlfn.XLOOKUP(A21,Banks!A:A,Banks!H:H,0,-1)</f>
        <v>202.96120102328581</v>
      </c>
      <c r="C21">
        <f>_xlfn.XLOOKUP(A21,Energy!A:A,Energy!H:H,0,-1)</f>
        <v>376.52478738213341</v>
      </c>
      <c r="D21">
        <f t="shared" si="0"/>
        <v>579.48598840541922</v>
      </c>
      <c r="E21">
        <f>_xlfn.XLOOKUP(A21,Banks!A:A,Banks!I:I,0)</f>
        <v>0</v>
      </c>
      <c r="F21">
        <f>_xlfn.XLOOKUP(A21,Energy!A:A,Energy!I:I,0)</f>
        <v>31955.45761431607</v>
      </c>
      <c r="G21">
        <f t="shared" si="1"/>
        <v>31955.45761431607</v>
      </c>
      <c r="H21">
        <f t="shared" si="2"/>
        <v>31375.97162591065</v>
      </c>
      <c r="I21" t="b">
        <f t="shared" si="3"/>
        <v>0</v>
      </c>
    </row>
    <row r="22" spans="1:9">
      <c r="A22" s="1">
        <v>45961.564583333333</v>
      </c>
      <c r="B22" s="5">
        <f>_xlfn.XLOOKUP(A22,Banks!A:A,Banks!H:H,0,-1)</f>
        <v>202.96120102328581</v>
      </c>
      <c r="C22">
        <f>_xlfn.XLOOKUP(A22,Energy!A:A,Energy!H:H,0,-1)</f>
        <v>525.35063297246256</v>
      </c>
      <c r="D22">
        <f t="shared" si="0"/>
        <v>728.31183399574843</v>
      </c>
      <c r="E22">
        <f>_xlfn.XLOOKUP(A22,Banks!A:A,Banks!I:I,0)</f>
        <v>0</v>
      </c>
      <c r="F22">
        <f>_xlfn.XLOOKUP(A22,Energy!A:A,Energy!I:I,0)</f>
        <v>31934.48249486179</v>
      </c>
      <c r="G22">
        <f t="shared" si="1"/>
        <v>31934.48249486179</v>
      </c>
      <c r="H22">
        <f t="shared" si="2"/>
        <v>31206.170660866042</v>
      </c>
      <c r="I22" t="b">
        <f t="shared" si="3"/>
        <v>0</v>
      </c>
    </row>
    <row r="23" spans="1:9">
      <c r="A23" s="1">
        <v>45961.56527777778</v>
      </c>
      <c r="B23" s="5">
        <f>_xlfn.XLOOKUP(A23,Banks!A:A,Banks!H:H,0,-1)</f>
        <v>202.96120102328581</v>
      </c>
      <c r="C23">
        <f>_xlfn.XLOOKUP(A23,Energy!A:A,Energy!H:H,0,-1)</f>
        <v>414.09811859591599</v>
      </c>
      <c r="D23">
        <f t="shared" si="0"/>
        <v>617.0593196192018</v>
      </c>
      <c r="E23">
        <f>_xlfn.XLOOKUP(A23,Banks!A:A,Banks!I:I,0)</f>
        <v>33348.602962298159</v>
      </c>
      <c r="F23">
        <f>_xlfn.XLOOKUP(A23,Energy!A:A,Energy!I:I,0)</f>
        <v>31796.754093856289</v>
      </c>
      <c r="G23">
        <f t="shared" si="1"/>
        <v>65145.357056154447</v>
      </c>
      <c r="H23">
        <f t="shared" si="2"/>
        <v>64528.297736535249</v>
      </c>
      <c r="I23" t="b">
        <f t="shared" si="3"/>
        <v>1</v>
      </c>
    </row>
    <row r="24" spans="1:9">
      <c r="A24" s="1">
        <v>45961.565972222219</v>
      </c>
      <c r="B24" s="5">
        <f>_xlfn.XLOOKUP(A24,Banks!A:A,Banks!H:H,0,-1)</f>
        <v>272.25903667459693</v>
      </c>
      <c r="C24">
        <f>_xlfn.XLOOKUP(A24,Energy!A:A,Energy!H:H,0,-1)</f>
        <v>396.51801926835827</v>
      </c>
      <c r="D24">
        <f t="shared" si="0"/>
        <v>668.77705594295526</v>
      </c>
      <c r="E24">
        <f>_xlfn.XLOOKUP(A24,Banks!A:A,Banks!I:I,0)</f>
        <v>33334.74339516789</v>
      </c>
      <c r="F24">
        <f>_xlfn.XLOOKUP(A24,Energy!A:A,Energy!I:I,0)</f>
        <v>31793.238073990771</v>
      </c>
      <c r="G24">
        <f t="shared" si="1"/>
        <v>65127.981469158665</v>
      </c>
      <c r="H24">
        <f t="shared" si="2"/>
        <v>64459.20441321571</v>
      </c>
      <c r="I24" t="b">
        <f t="shared" si="3"/>
        <v>1</v>
      </c>
    </row>
    <row r="25" spans="1:9">
      <c r="A25" s="1">
        <v>45961.566666666673</v>
      </c>
      <c r="B25" s="5">
        <f>_xlfn.XLOOKUP(A25,Banks!A:A,Banks!H:H,0,-1)</f>
        <v>338.79472262873003</v>
      </c>
      <c r="C25">
        <f>_xlfn.XLOOKUP(A25,Energy!A:A,Energy!H:H,0,-1)</f>
        <v>957.90904926155588</v>
      </c>
      <c r="D25">
        <f t="shared" si="0"/>
        <v>1296.7037718902859</v>
      </c>
      <c r="E25">
        <f>_xlfn.XLOOKUP(A25,Banks!A:A,Banks!I:I,0)</f>
        <v>33340.314960006937</v>
      </c>
      <c r="F25">
        <f>_xlfn.XLOOKUP(A25,Energy!A:A,Energy!I:I,0)</f>
        <v>0</v>
      </c>
      <c r="G25">
        <f t="shared" si="1"/>
        <v>33340.314960006937</v>
      </c>
      <c r="H25">
        <f t="shared" si="2"/>
        <v>32043.611188116651</v>
      </c>
      <c r="I25" t="b">
        <f t="shared" si="3"/>
        <v>0</v>
      </c>
    </row>
    <row r="26" spans="1:9">
      <c r="A26" s="1">
        <v>45961.567361111112</v>
      </c>
      <c r="B26" s="5">
        <f>_xlfn.XLOOKUP(A26,Banks!A:A,Banks!H:H,0,-1)</f>
        <v>540.55121042001531</v>
      </c>
      <c r="C26">
        <f>_xlfn.XLOOKUP(A26,Energy!A:A,Energy!H:H,0,-1)</f>
        <v>957.90904926155588</v>
      </c>
      <c r="D26">
        <f t="shared" si="0"/>
        <v>1498.4602596815712</v>
      </c>
      <c r="E26">
        <f>_xlfn.XLOOKUP(A26,Banks!A:A,Banks!I:I,0)</f>
        <v>33308.467582281963</v>
      </c>
      <c r="F26">
        <f>_xlfn.XLOOKUP(A26,Energy!A:A,Energy!I:I,0)</f>
        <v>0</v>
      </c>
      <c r="G26">
        <f t="shared" si="1"/>
        <v>33308.467582281963</v>
      </c>
      <c r="H26">
        <f t="shared" si="2"/>
        <v>31810.007322600391</v>
      </c>
      <c r="I26" t="b">
        <f t="shared" si="3"/>
        <v>0</v>
      </c>
    </row>
    <row r="27" spans="1:9">
      <c r="A27" s="1">
        <v>45961.568055555559</v>
      </c>
      <c r="B27" s="5">
        <f>_xlfn.XLOOKUP(A27,Banks!A:A,Banks!H:H,0,-1)</f>
        <v>570.76682429597793</v>
      </c>
      <c r="C27">
        <f>_xlfn.XLOOKUP(A27,Energy!A:A,Energy!H:H,0,-1)</f>
        <v>957.90904926155588</v>
      </c>
      <c r="D27">
        <f t="shared" si="0"/>
        <v>1528.6758735575338</v>
      </c>
      <c r="E27">
        <f>_xlfn.XLOOKUP(A27,Banks!A:A,Banks!I:I,0)</f>
        <v>33305.485870646757</v>
      </c>
      <c r="F27">
        <f>_xlfn.XLOOKUP(A27,Energy!A:A,Energy!I:I,0)</f>
        <v>0</v>
      </c>
      <c r="G27">
        <f t="shared" si="1"/>
        <v>33305.485870646757</v>
      </c>
      <c r="H27">
        <f t="shared" si="2"/>
        <v>31776.809997089222</v>
      </c>
      <c r="I27" t="b">
        <f t="shared" si="3"/>
        <v>0</v>
      </c>
    </row>
    <row r="28" spans="1:9">
      <c r="A28" s="1">
        <v>45961.568749999999</v>
      </c>
      <c r="B28" s="5">
        <f>_xlfn.XLOOKUP(A28,Banks!A:A,Banks!H:H,0,-1)</f>
        <v>601.08425079459391</v>
      </c>
      <c r="C28">
        <f>_xlfn.XLOOKUP(A28,Energy!A:A,Energy!H:H,0,-1)</f>
        <v>957.90904926155588</v>
      </c>
      <c r="D28">
        <f t="shared" si="0"/>
        <v>1558.9933000561498</v>
      </c>
      <c r="E28">
        <f>_xlfn.XLOOKUP(A28,Banks!A:A,Banks!I:I,0)</f>
        <v>0</v>
      </c>
      <c r="F28">
        <f>_xlfn.XLOOKUP(A28,Energy!A:A,Energy!I:I,0)</f>
        <v>0</v>
      </c>
      <c r="G28">
        <f t="shared" si="1"/>
        <v>0</v>
      </c>
      <c r="H28">
        <f t="shared" si="2"/>
        <v>-1558.9933000561498</v>
      </c>
      <c r="I28" t="b">
        <f t="shared" si="3"/>
        <v>0</v>
      </c>
    </row>
    <row r="29" spans="1:9">
      <c r="A29" s="1">
        <v>45961.725694444453</v>
      </c>
      <c r="B29" s="5">
        <f>_xlfn.XLOOKUP(A29,Banks!A:A,Banks!H:H,0,-1)</f>
        <v>601.08425079459391</v>
      </c>
      <c r="C29">
        <f>_xlfn.XLOOKUP(A29,Energy!A:A,Energy!H:H,0,-1)</f>
        <v>957.90904926155588</v>
      </c>
      <c r="D29">
        <f t="shared" si="0"/>
        <v>1558.9933000561498</v>
      </c>
      <c r="E29">
        <f>_xlfn.XLOOKUP(A29,Banks!A:A,Banks!I:I,0)</f>
        <v>33348.602962298159</v>
      </c>
      <c r="F29">
        <f>_xlfn.XLOOKUP(A29,Energy!A:A,Energy!I:I,0)</f>
        <v>0</v>
      </c>
      <c r="G29">
        <f t="shared" si="1"/>
        <v>33348.602962298159</v>
      </c>
      <c r="H29">
        <f t="shared" si="2"/>
        <v>31789.609662242008</v>
      </c>
      <c r="I29" t="b">
        <f t="shared" si="3"/>
        <v>0</v>
      </c>
    </row>
    <row r="30" spans="1:9">
      <c r="A30" s="1">
        <v>45961.726388888892</v>
      </c>
      <c r="B30" s="5">
        <f>_xlfn.XLOOKUP(A30,Banks!A:A,Banks!H:H,0,-1)</f>
        <v>601.08425079459391</v>
      </c>
      <c r="C30">
        <f>_xlfn.XLOOKUP(A30,Energy!A:A,Energy!H:H,0,-1)</f>
        <v>957.90904926155588</v>
      </c>
      <c r="D30">
        <f t="shared" si="0"/>
        <v>1558.9933000561498</v>
      </c>
      <c r="E30">
        <f>_xlfn.XLOOKUP(A30,Banks!A:A,Banks!I:I,0)</f>
        <v>33348.602962298159</v>
      </c>
      <c r="F30">
        <f>_xlfn.XLOOKUP(A30,Energy!A:A,Energy!I:I,0)</f>
        <v>0</v>
      </c>
      <c r="G30">
        <f t="shared" si="1"/>
        <v>33348.602962298159</v>
      </c>
      <c r="H30">
        <f t="shared" si="2"/>
        <v>31789.609662242008</v>
      </c>
      <c r="I30" t="b">
        <f t="shared" si="3"/>
        <v>0</v>
      </c>
    </row>
    <row r="31" spans="1:9">
      <c r="A31" s="1">
        <v>45961.727083333331</v>
      </c>
      <c r="B31" s="5">
        <f>_xlfn.XLOOKUP(A31,Banks!A:A,Banks!H:H,0,-1)</f>
        <v>667.02323540661996</v>
      </c>
      <c r="C31">
        <f>_xlfn.XLOOKUP(A31,Energy!A:A,Energy!H:H,0,-1)</f>
        <v>957.90904926155588</v>
      </c>
      <c r="D31">
        <f t="shared" si="0"/>
        <v>1624.9322846681757</v>
      </c>
      <c r="E31">
        <f>_xlfn.XLOOKUP(A31,Banks!A:A,Banks!I:I,0)</f>
        <v>33361.790759220567</v>
      </c>
      <c r="F31">
        <f>_xlfn.XLOOKUP(A31,Energy!A:A,Energy!I:I,0)</f>
        <v>0</v>
      </c>
      <c r="G31">
        <f t="shared" si="1"/>
        <v>33361.790759220567</v>
      </c>
      <c r="H31">
        <f t="shared" si="2"/>
        <v>31736.858474552391</v>
      </c>
      <c r="I31" t="b">
        <f t="shared" si="3"/>
        <v>0</v>
      </c>
    </row>
    <row r="32" spans="1:9">
      <c r="A32" s="1">
        <v>45961.727777777778</v>
      </c>
      <c r="B32" s="5">
        <f>_xlfn.XLOOKUP(A32,Banks!A:A,Banks!H:H,0,-1)</f>
        <v>667.02323540661996</v>
      </c>
      <c r="C32">
        <f>_xlfn.XLOOKUP(A32,Energy!A:A,Energy!H:H,0,-1)</f>
        <v>957.90904926155588</v>
      </c>
      <c r="D32">
        <f t="shared" si="0"/>
        <v>1624.9322846681757</v>
      </c>
      <c r="E32">
        <f>_xlfn.XLOOKUP(A32,Banks!A:A,Banks!I:I,0)</f>
        <v>33361.790759220567</v>
      </c>
      <c r="F32">
        <f>_xlfn.XLOOKUP(A32,Energy!A:A,Energy!I:I,0)</f>
        <v>0</v>
      </c>
      <c r="G32">
        <f t="shared" si="1"/>
        <v>33361.790759220567</v>
      </c>
      <c r="H32">
        <f t="shared" si="2"/>
        <v>31736.858474552391</v>
      </c>
      <c r="I32" t="b">
        <f t="shared" si="3"/>
        <v>0</v>
      </c>
    </row>
    <row r="33" spans="1:9">
      <c r="A33" s="1">
        <v>45961.728472222218</v>
      </c>
      <c r="B33" s="5">
        <f>_xlfn.XLOOKUP(A33,Banks!A:A,Banks!H:H,0,-1)</f>
        <v>628.2723069989587</v>
      </c>
      <c r="C33">
        <f>_xlfn.XLOOKUP(A33,Energy!A:A,Energy!H:H,0,-1)</f>
        <v>957.90904926155588</v>
      </c>
      <c r="D33">
        <f t="shared" si="0"/>
        <v>1586.1813562605146</v>
      </c>
      <c r="E33">
        <f>_xlfn.XLOOKUP(A33,Banks!A:A,Banks!I:I,0)</f>
        <v>33369.540944902103</v>
      </c>
      <c r="F33">
        <f>_xlfn.XLOOKUP(A33,Energy!A:A,Energy!I:I,0)</f>
        <v>0</v>
      </c>
      <c r="G33">
        <f t="shared" si="1"/>
        <v>33369.540944902103</v>
      </c>
      <c r="H33">
        <f t="shared" si="2"/>
        <v>31783.35958864159</v>
      </c>
      <c r="I33" t="b">
        <f t="shared" si="3"/>
        <v>0</v>
      </c>
    </row>
    <row r="34" spans="1:9">
      <c r="A34" s="1">
        <v>45961.729166666657</v>
      </c>
      <c r="B34" s="5">
        <f>_xlfn.XLOOKUP(A34,Banks!A:A,Banks!H:H,0,-1)</f>
        <v>584.67751254034442</v>
      </c>
      <c r="C34">
        <f>_xlfn.XLOOKUP(A34,Energy!A:A,Energy!H:H,0,-1)</f>
        <v>957.90904926155588</v>
      </c>
      <c r="D34">
        <f t="shared" si="0"/>
        <v>1542.5865618019002</v>
      </c>
      <c r="E34">
        <f>_xlfn.XLOOKUP(A34,Banks!A:A,Banks!I:I,0)</f>
        <v>33378.25990379382</v>
      </c>
      <c r="F34">
        <f>_xlfn.XLOOKUP(A34,Energy!A:A,Energy!I:I,0)</f>
        <v>0</v>
      </c>
      <c r="G34">
        <f t="shared" si="1"/>
        <v>33378.25990379382</v>
      </c>
      <c r="H34">
        <f t="shared" si="2"/>
        <v>31835.673341991918</v>
      </c>
      <c r="I34" t="b">
        <f t="shared" si="3"/>
        <v>0</v>
      </c>
    </row>
    <row r="35" spans="1:9">
      <c r="A35" s="1">
        <v>45961.729861111111</v>
      </c>
      <c r="B35" s="5">
        <f>_xlfn.XLOOKUP(A35,Banks!A:A,Banks!H:H,0,-1)</f>
        <v>586.29213455732884</v>
      </c>
      <c r="C35">
        <f>_xlfn.XLOOKUP(A35,Energy!A:A,Energy!H:H,0,-1)</f>
        <v>957.90904926155588</v>
      </c>
      <c r="D35">
        <f t="shared" si="0"/>
        <v>1544.2011838188846</v>
      </c>
      <c r="E35">
        <f>_xlfn.XLOOKUP(A35,Banks!A:A,Banks!I:I,0)</f>
        <v>33377.936979390433</v>
      </c>
      <c r="F35">
        <f>_xlfn.XLOOKUP(A35,Energy!A:A,Energy!I:I,0)</f>
        <v>0</v>
      </c>
      <c r="G35">
        <f t="shared" si="1"/>
        <v>33377.936979390433</v>
      </c>
      <c r="H35">
        <f t="shared" si="2"/>
        <v>31833.735795571549</v>
      </c>
      <c r="I35" t="b">
        <f t="shared" si="3"/>
        <v>0</v>
      </c>
    </row>
    <row r="36" spans="1:9">
      <c r="A36" s="1">
        <v>45961.730555555558</v>
      </c>
      <c r="B36" s="5">
        <f>_xlfn.XLOOKUP(A36,Banks!A:A,Banks!H:H,0,-1)</f>
        <v>586.29213455732884</v>
      </c>
      <c r="C36">
        <f>_xlfn.XLOOKUP(A36,Energy!A:A,Energy!H:H,0,-1)</f>
        <v>957.90904926155588</v>
      </c>
      <c r="D36">
        <f t="shared" si="0"/>
        <v>1544.2011838188846</v>
      </c>
      <c r="E36">
        <f>_xlfn.XLOOKUP(A36,Banks!A:A,Banks!I:I,0)</f>
        <v>33377.936979390433</v>
      </c>
      <c r="F36">
        <f>_xlfn.XLOOKUP(A36,Energy!A:A,Energy!I:I,0)</f>
        <v>0</v>
      </c>
      <c r="G36">
        <f t="shared" si="1"/>
        <v>33377.936979390433</v>
      </c>
      <c r="H36">
        <f t="shared" si="2"/>
        <v>31833.735795571549</v>
      </c>
      <c r="I36" t="b">
        <f t="shared" si="3"/>
        <v>0</v>
      </c>
    </row>
    <row r="37" spans="1:9">
      <c r="A37" s="1">
        <v>45961.731249999997</v>
      </c>
      <c r="B37" s="5">
        <f>_xlfn.XLOOKUP(A37,Banks!A:A,Banks!H:H,0,-1)</f>
        <v>544.17626696642014</v>
      </c>
      <c r="C37">
        <f>_xlfn.XLOOKUP(A37,Energy!A:A,Energy!H:H,0,-1)</f>
        <v>957.90904926155588</v>
      </c>
      <c r="D37">
        <f t="shared" si="0"/>
        <v>1502.0853162279759</v>
      </c>
      <c r="E37">
        <f>_xlfn.XLOOKUP(A37,Banks!A:A,Banks!I:I,0)</f>
        <v>33369.513805872237</v>
      </c>
      <c r="F37">
        <f>_xlfn.XLOOKUP(A37,Energy!A:A,Energy!I:I,0)</f>
        <v>0</v>
      </c>
      <c r="G37">
        <f t="shared" si="1"/>
        <v>33369.513805872237</v>
      </c>
      <c r="H37">
        <f t="shared" si="2"/>
        <v>31867.428489644262</v>
      </c>
      <c r="I37" t="b">
        <f t="shared" si="3"/>
        <v>0</v>
      </c>
    </row>
    <row r="38" spans="1:9">
      <c r="A38" s="1">
        <v>45961.731944444437</v>
      </c>
      <c r="B38" s="5">
        <f>_xlfn.XLOOKUP(A38,Banks!A:A,Banks!H:H,0,-1)</f>
        <v>544.17626696642014</v>
      </c>
      <c r="C38">
        <f>_xlfn.XLOOKUP(A38,Energy!A:A,Energy!H:H,0,-1)</f>
        <v>957.90904926155588</v>
      </c>
      <c r="D38">
        <f t="shared" si="0"/>
        <v>1502.0853162279759</v>
      </c>
      <c r="E38">
        <f>_xlfn.XLOOKUP(A38,Banks!A:A,Banks!I:I,0)</f>
        <v>33369.513805872237</v>
      </c>
      <c r="F38">
        <f>_xlfn.XLOOKUP(A38,Energy!A:A,Energy!I:I,0)</f>
        <v>0</v>
      </c>
      <c r="G38">
        <f t="shared" si="1"/>
        <v>33369.513805872237</v>
      </c>
      <c r="H38">
        <f t="shared" si="2"/>
        <v>31867.428489644262</v>
      </c>
      <c r="I38" t="b">
        <f t="shared" si="3"/>
        <v>0</v>
      </c>
    </row>
    <row r="39" spans="1:9">
      <c r="A39" s="1">
        <v>45961.732638888891</v>
      </c>
      <c r="B39" s="5">
        <f>_xlfn.XLOOKUP(A39,Banks!A:A,Banks!H:H,0,-1)</f>
        <v>557.63431516331434</v>
      </c>
      <c r="C39">
        <f>_xlfn.XLOOKUP(A39,Energy!A:A,Energy!H:H,0,-1)</f>
        <v>957.90904926155588</v>
      </c>
      <c r="D39">
        <f t="shared" si="0"/>
        <v>1515.5433644248701</v>
      </c>
      <c r="E39">
        <f>_xlfn.XLOOKUP(A39,Banks!A:A,Banks!I:I,0)</f>
        <v>33348.954858467019</v>
      </c>
      <c r="F39">
        <f>_xlfn.XLOOKUP(A39,Energy!A:A,Energy!I:I,0)</f>
        <v>0</v>
      </c>
      <c r="G39">
        <f t="shared" si="1"/>
        <v>33348.954858467019</v>
      </c>
      <c r="H39">
        <f t="shared" si="2"/>
        <v>31833.41149404215</v>
      </c>
      <c r="I39" t="b">
        <f t="shared" si="3"/>
        <v>0</v>
      </c>
    </row>
    <row r="40" spans="1:9">
      <c r="A40" s="1">
        <v>45961.73333333333</v>
      </c>
      <c r="B40" s="5">
        <f>_xlfn.XLOOKUP(A40,Banks!A:A,Banks!H:H,0,-1)</f>
        <v>557.63431516331434</v>
      </c>
      <c r="C40">
        <f>_xlfn.XLOOKUP(A40,Energy!A:A,Energy!H:H,0,-1)</f>
        <v>957.90904926155588</v>
      </c>
      <c r="D40">
        <f t="shared" si="0"/>
        <v>1515.5433644248701</v>
      </c>
      <c r="E40">
        <f>_xlfn.XLOOKUP(A40,Banks!A:A,Banks!I:I,0)</f>
        <v>33348.954858467019</v>
      </c>
      <c r="F40">
        <f>_xlfn.XLOOKUP(A40,Energy!A:A,Energy!I:I,0)</f>
        <v>0</v>
      </c>
      <c r="G40">
        <f t="shared" si="1"/>
        <v>33348.954858467019</v>
      </c>
      <c r="H40">
        <f t="shared" si="2"/>
        <v>31833.41149404215</v>
      </c>
      <c r="I40" t="b">
        <f t="shared" si="3"/>
        <v>0</v>
      </c>
    </row>
    <row r="41" spans="1:9">
      <c r="A41" s="1">
        <v>45961.734027777777</v>
      </c>
      <c r="B41" s="5">
        <f>_xlfn.XLOOKUP(A41,Banks!A:A,Banks!H:H,0,-1)</f>
        <v>506.15936588553609</v>
      </c>
      <c r="C41">
        <f>_xlfn.XLOOKUP(A41,Energy!A:A,Energy!H:H,0,-1)</f>
        <v>957.90904926155588</v>
      </c>
      <c r="D41">
        <f t="shared" si="0"/>
        <v>1464.0684151470919</v>
      </c>
      <c r="E41">
        <f>_xlfn.XLOOKUP(A41,Banks!A:A,Banks!I:I,0)</f>
        <v>33338.659868611467</v>
      </c>
      <c r="F41">
        <f>_xlfn.XLOOKUP(A41,Energy!A:A,Energy!I:I,0)</f>
        <v>0</v>
      </c>
      <c r="G41">
        <f t="shared" si="1"/>
        <v>33338.659868611467</v>
      </c>
      <c r="H41">
        <f t="shared" si="2"/>
        <v>31874.591453464374</v>
      </c>
      <c r="I41" t="b">
        <f t="shared" si="3"/>
        <v>0</v>
      </c>
    </row>
    <row r="42" spans="1:9">
      <c r="A42" s="1">
        <v>45961.734722222223</v>
      </c>
      <c r="B42" s="5">
        <f>_xlfn.XLOOKUP(A42,Banks!A:A,Banks!H:H,0,-1)</f>
        <v>557.82727042909062</v>
      </c>
      <c r="C42">
        <f>_xlfn.XLOOKUP(A42,Energy!A:A,Energy!H:H,0,-1)</f>
        <v>957.90904926155588</v>
      </c>
      <c r="D42">
        <f t="shared" si="0"/>
        <v>1515.7363196906465</v>
      </c>
      <c r="E42">
        <f>_xlfn.XLOOKUP(A42,Banks!A:A,Banks!I:I,0)</f>
        <v>33328.326287702752</v>
      </c>
      <c r="F42">
        <f>_xlfn.XLOOKUP(A42,Energy!A:A,Energy!I:I,0)</f>
        <v>0</v>
      </c>
      <c r="G42">
        <f t="shared" si="1"/>
        <v>33328.326287702752</v>
      </c>
      <c r="H42">
        <f t="shared" si="2"/>
        <v>31812.589968012104</v>
      </c>
      <c r="I42" t="b">
        <f t="shared" si="3"/>
        <v>0</v>
      </c>
    </row>
    <row r="43" spans="1:9">
      <c r="A43" s="1">
        <v>45961.73541666667</v>
      </c>
      <c r="B43" s="5">
        <f>_xlfn.XLOOKUP(A43,Banks!A:A,Banks!H:H,0,-1)</f>
        <v>632.09988321042601</v>
      </c>
      <c r="C43">
        <f>_xlfn.XLOOKUP(A43,Energy!A:A,Energy!H:H,0,-1)</f>
        <v>957.90904926155588</v>
      </c>
      <c r="D43">
        <f t="shared" si="0"/>
        <v>1590.008932471982</v>
      </c>
      <c r="E43">
        <f>_xlfn.XLOOKUP(A43,Banks!A:A,Banks!I:I,0)</f>
        <v>33313.471765146489</v>
      </c>
      <c r="F43">
        <f>_xlfn.XLOOKUP(A43,Energy!A:A,Energy!I:I,0)</f>
        <v>0</v>
      </c>
      <c r="G43">
        <f t="shared" si="1"/>
        <v>33313.471765146489</v>
      </c>
      <c r="H43">
        <f t="shared" si="2"/>
        <v>31723.462832674508</v>
      </c>
      <c r="I43" t="b">
        <f t="shared" si="3"/>
        <v>0</v>
      </c>
    </row>
    <row r="44" spans="1:9">
      <c r="A44" s="1">
        <v>45961.736111111109</v>
      </c>
      <c r="B44" s="5">
        <f>_xlfn.XLOOKUP(A44,Banks!A:A,Banks!H:H,0,-1)</f>
        <v>632.09988321042601</v>
      </c>
      <c r="C44">
        <f>_xlfn.XLOOKUP(A44,Energy!A:A,Energy!H:H,0,-1)</f>
        <v>957.90904926155588</v>
      </c>
      <c r="D44">
        <f t="shared" si="0"/>
        <v>1590.008932471982</v>
      </c>
      <c r="E44">
        <f>_xlfn.XLOOKUP(A44,Banks!A:A,Banks!I:I,0)</f>
        <v>33313.471765146489</v>
      </c>
      <c r="F44">
        <f>_xlfn.XLOOKUP(A44,Energy!A:A,Energy!I:I,0)</f>
        <v>0</v>
      </c>
      <c r="G44">
        <f t="shared" si="1"/>
        <v>33313.471765146489</v>
      </c>
      <c r="H44">
        <f t="shared" si="2"/>
        <v>31723.462832674508</v>
      </c>
      <c r="I44" t="b">
        <f t="shared" si="3"/>
        <v>0</v>
      </c>
    </row>
    <row r="45" spans="1:9">
      <c r="A45" s="1">
        <v>45961.736805555563</v>
      </c>
      <c r="B45" s="5">
        <f>_xlfn.XLOOKUP(A45,Banks!A:A,Banks!H:H,0,-1)</f>
        <v>604.84308616706107</v>
      </c>
      <c r="C45">
        <f>_xlfn.XLOOKUP(A45,Energy!A:A,Energy!H:H,0,-1)</f>
        <v>957.90904926155588</v>
      </c>
      <c r="D45">
        <f t="shared" si="0"/>
        <v>1562.7521354286168</v>
      </c>
      <c r="E45">
        <f>_xlfn.XLOOKUP(A45,Banks!A:A,Banks!I:I,0)</f>
        <v>0</v>
      </c>
      <c r="F45">
        <f>_xlfn.XLOOKUP(A45,Energy!A:A,Energy!I:I,0)</f>
        <v>0</v>
      </c>
      <c r="G45">
        <f t="shared" si="1"/>
        <v>0</v>
      </c>
      <c r="H45">
        <f t="shared" si="2"/>
        <v>-1562.7521354286168</v>
      </c>
      <c r="I45" t="b">
        <f t="shared" si="3"/>
        <v>0</v>
      </c>
    </row>
    <row r="46" spans="1:9">
      <c r="A46" s="1">
        <v>45964.604166666657</v>
      </c>
      <c r="B46" s="5">
        <f>_xlfn.XLOOKUP(A46,Banks!A:A,Banks!H:H,0,-1)</f>
        <v>604.84308616706107</v>
      </c>
      <c r="C46">
        <f>_xlfn.XLOOKUP(A46,Energy!A:A,Energy!H:H,0,-1)</f>
        <v>957.90904926155588</v>
      </c>
      <c r="D46">
        <f t="shared" si="0"/>
        <v>1562.7521354286168</v>
      </c>
      <c r="E46">
        <f>_xlfn.XLOOKUP(A46,Banks!A:A,Banks!I:I,0)</f>
        <v>33348.602962298159</v>
      </c>
      <c r="F46">
        <f>_xlfn.XLOOKUP(A46,Energy!A:A,Energy!I:I,0)</f>
        <v>32001.827912485249</v>
      </c>
      <c r="G46">
        <f t="shared" si="1"/>
        <v>65350.430874783407</v>
      </c>
      <c r="H46">
        <f t="shared" si="2"/>
        <v>63787.678739354793</v>
      </c>
      <c r="I46" t="b">
        <f t="shared" si="3"/>
        <v>1</v>
      </c>
    </row>
    <row r="47" spans="1:9">
      <c r="A47" s="1">
        <v>45964.604861111111</v>
      </c>
      <c r="B47" s="5">
        <f>_xlfn.XLOOKUP(A47,Banks!A:A,Banks!H:H,0,-1)</f>
        <v>637.00311446789328</v>
      </c>
      <c r="C47">
        <f>_xlfn.XLOOKUP(A47,Energy!A:A,Energy!H:H,0,-1)</f>
        <v>700.65964486124744</v>
      </c>
      <c r="D47">
        <f t="shared" si="0"/>
        <v>1337.6627593291407</v>
      </c>
      <c r="E47">
        <f>_xlfn.XLOOKUP(A47,Banks!A:A,Banks!I:I,0)</f>
        <v>33355.034967958323</v>
      </c>
      <c r="F47">
        <f>_xlfn.XLOOKUP(A47,Energy!A:A,Energy!I:I,0)</f>
        <v>31855.854775239091</v>
      </c>
      <c r="G47">
        <f t="shared" si="1"/>
        <v>65210.889743197418</v>
      </c>
      <c r="H47">
        <f t="shared" si="2"/>
        <v>63873.226983868277</v>
      </c>
      <c r="I47" t="b">
        <f t="shared" si="3"/>
        <v>1</v>
      </c>
    </row>
    <row r="48" spans="1:9">
      <c r="A48" s="1">
        <v>45964.605555555558</v>
      </c>
      <c r="B48" s="5">
        <f>_xlfn.XLOOKUP(A48,Banks!A:A,Banks!H:H,0,-1)</f>
        <v>694.89116540938028</v>
      </c>
      <c r="C48">
        <f>_xlfn.XLOOKUP(A48,Energy!A:A,Energy!H:H,0,-1)</f>
        <v>860.1371199372079</v>
      </c>
      <c r="D48">
        <f t="shared" si="0"/>
        <v>1555.0282853465883</v>
      </c>
      <c r="E48">
        <f>_xlfn.XLOOKUP(A48,Banks!A:A,Banks!I:I,0)</f>
        <v>33366.612578146618</v>
      </c>
      <c r="F48">
        <f>_xlfn.XLOOKUP(A48,Energy!A:A,Energy!I:I,0)</f>
        <v>31876.372470876871</v>
      </c>
      <c r="G48">
        <f t="shared" si="1"/>
        <v>65242.985049023489</v>
      </c>
      <c r="H48">
        <f t="shared" si="2"/>
        <v>63687.956763676899</v>
      </c>
      <c r="I48" t="b">
        <f t="shared" si="3"/>
        <v>1</v>
      </c>
    </row>
    <row r="49" spans="1:9">
      <c r="A49" s="1">
        <v>45964.606249999997</v>
      </c>
      <c r="B49" s="5">
        <f>_xlfn.XLOOKUP(A49,Banks!A:A,Banks!H:H,0,-1)</f>
        <v>378.11488664625062</v>
      </c>
      <c r="C49">
        <f>_xlfn.XLOOKUP(A49,Energy!A:A,Energy!H:H,0,-1)</f>
        <v>1037.567684724479</v>
      </c>
      <c r="D49">
        <f t="shared" si="0"/>
        <v>1415.6825713707296</v>
      </c>
      <c r="E49">
        <f>_xlfn.XLOOKUP(A49,Banks!A:A,Banks!I:I,0)</f>
        <v>33303.257322393991</v>
      </c>
      <c r="F49">
        <f>_xlfn.XLOOKUP(A49,Energy!A:A,Energy!I:I,0)</f>
        <v>31798.95580539704</v>
      </c>
      <c r="G49">
        <f t="shared" si="1"/>
        <v>65102.21312779103</v>
      </c>
      <c r="H49">
        <f t="shared" si="2"/>
        <v>63686.530556420301</v>
      </c>
      <c r="I49" t="b">
        <f t="shared" si="3"/>
        <v>1</v>
      </c>
    </row>
    <row r="50" spans="1:9">
      <c r="A50" s="1">
        <v>45964.606944444437</v>
      </c>
      <c r="B50" s="5">
        <f>_xlfn.XLOOKUP(A50,Banks!A:A,Banks!H:H,0,-1)</f>
        <v>479.36292485721629</v>
      </c>
      <c r="C50">
        <f>_xlfn.XLOOKUP(A50,Energy!A:A,Energy!H:H,0,-1)</f>
        <v>1273.626501763724</v>
      </c>
      <c r="D50">
        <f t="shared" si="0"/>
        <v>1752.9894266209403</v>
      </c>
      <c r="E50">
        <f>_xlfn.XLOOKUP(A50,Banks!A:A,Banks!I:I,0)</f>
        <v>33253.420488715041</v>
      </c>
      <c r="F50">
        <f>_xlfn.XLOOKUP(A50,Energy!A:A,Energy!I:I,0)</f>
        <v>31804.15723264217</v>
      </c>
      <c r="G50">
        <f t="shared" si="1"/>
        <v>65057.577721357215</v>
      </c>
      <c r="H50">
        <f t="shared" si="2"/>
        <v>63304.588294736277</v>
      </c>
      <c r="I50" t="b">
        <f t="shared" si="3"/>
        <v>1</v>
      </c>
    </row>
    <row r="51" spans="1:9">
      <c r="A51" s="1">
        <v>45964.607638888891</v>
      </c>
      <c r="B51" s="5">
        <f>_xlfn.XLOOKUP(A51,Banks!A:A,Banks!H:H,0,-1)</f>
        <v>599.7410117071995</v>
      </c>
      <c r="C51">
        <f>_xlfn.XLOOKUP(A51,Energy!A:A,Energy!H:H,0,-1)</f>
        <v>1416.6366820150361</v>
      </c>
      <c r="D51">
        <f t="shared" si="0"/>
        <v>2016.3776937222356</v>
      </c>
      <c r="E51">
        <f>_xlfn.XLOOKUP(A51,Banks!A:A,Banks!I:I,0)</f>
        <v>33251.213690589611</v>
      </c>
      <c r="F51">
        <f>_xlfn.XLOOKUP(A51,Energy!A:A,Energy!I:I,0)</f>
        <v>0</v>
      </c>
      <c r="G51">
        <f t="shared" si="1"/>
        <v>33251.213690589611</v>
      </c>
      <c r="H51">
        <f t="shared" si="2"/>
        <v>31234.835996867376</v>
      </c>
      <c r="I51" t="b">
        <f t="shared" si="3"/>
        <v>0</v>
      </c>
    </row>
    <row r="52" spans="1:9">
      <c r="A52" s="1">
        <v>45964.60833333333</v>
      </c>
      <c r="B52" s="5">
        <f>_xlfn.XLOOKUP(A52,Banks!A:A,Banks!H:H,0,-1)</f>
        <v>773.4051645316606</v>
      </c>
      <c r="C52">
        <f>_xlfn.XLOOKUP(A52,Energy!A:A,Energy!H:H,0,-1)</f>
        <v>1416.6366820150361</v>
      </c>
      <c r="D52">
        <f t="shared" si="0"/>
        <v>2190.0418465466964</v>
      </c>
      <c r="E52">
        <f>_xlfn.XLOOKUP(A52,Banks!A:A,Banks!I:I,0)</f>
        <v>33285.946521154503</v>
      </c>
      <c r="F52">
        <f>_xlfn.XLOOKUP(A52,Energy!A:A,Energy!I:I,0)</f>
        <v>0</v>
      </c>
      <c r="G52">
        <f t="shared" si="1"/>
        <v>33285.946521154503</v>
      </c>
      <c r="H52">
        <f t="shared" si="2"/>
        <v>31095.904674607806</v>
      </c>
      <c r="I52" t="b">
        <f t="shared" si="3"/>
        <v>0</v>
      </c>
    </row>
    <row r="53" spans="1:9">
      <c r="A53" s="1">
        <v>45964.609027777777</v>
      </c>
      <c r="B53" s="5">
        <f>_xlfn.XLOOKUP(A53,Banks!A:A,Banks!H:H,0,-1)</f>
        <v>718.73311642025317</v>
      </c>
      <c r="C53">
        <f>_xlfn.XLOOKUP(A53,Energy!A:A,Energy!H:H,0,-1)</f>
        <v>1416.6366820150361</v>
      </c>
      <c r="D53">
        <f t="shared" si="0"/>
        <v>2135.3697984352893</v>
      </c>
      <c r="E53">
        <f>_xlfn.XLOOKUP(A53,Banks!A:A,Banks!I:I,0)</f>
        <v>33275.012111532218</v>
      </c>
      <c r="F53">
        <f>_xlfn.XLOOKUP(A53,Energy!A:A,Energy!I:I,0)</f>
        <v>0</v>
      </c>
      <c r="G53">
        <f t="shared" si="1"/>
        <v>33275.012111532218</v>
      </c>
      <c r="H53">
        <f t="shared" si="2"/>
        <v>31139.642313096927</v>
      </c>
      <c r="I53" t="b">
        <f t="shared" si="3"/>
        <v>0</v>
      </c>
    </row>
    <row r="54" spans="1:9">
      <c r="A54" s="1">
        <v>45964.609722222223</v>
      </c>
      <c r="B54" s="5">
        <f>_xlfn.XLOOKUP(A54,Banks!A:A,Banks!H:H,0,-1)</f>
        <v>626.30313231094067</v>
      </c>
      <c r="C54">
        <f>_xlfn.XLOOKUP(A54,Energy!A:A,Energy!H:H,0,-1)</f>
        <v>1416.6366820150361</v>
      </c>
      <c r="D54">
        <f t="shared" si="0"/>
        <v>2042.9398143259768</v>
      </c>
      <c r="E54">
        <f>_xlfn.XLOOKUP(A54,Banks!A:A,Banks!I:I,0)</f>
        <v>33284.493300429851</v>
      </c>
      <c r="F54">
        <f>_xlfn.XLOOKUP(A54,Energy!A:A,Energy!I:I,0)</f>
        <v>0</v>
      </c>
      <c r="G54">
        <f t="shared" si="1"/>
        <v>33284.493300429851</v>
      </c>
      <c r="H54">
        <f t="shared" si="2"/>
        <v>31241.553486103876</v>
      </c>
      <c r="I54" t="b">
        <f t="shared" si="3"/>
        <v>0</v>
      </c>
    </row>
    <row r="55" spans="1:9">
      <c r="A55" s="1">
        <v>45964.61041666667</v>
      </c>
      <c r="B55" s="5">
        <f>_xlfn.XLOOKUP(A55,Banks!A:A,Banks!H:H,0,-1)</f>
        <v>944.71119785722965</v>
      </c>
      <c r="C55">
        <f>_xlfn.XLOOKUP(A55,Energy!A:A,Energy!H:H,0,-1)</f>
        <v>1416.6366820150361</v>
      </c>
      <c r="D55">
        <f t="shared" si="0"/>
        <v>2361.3478798722658</v>
      </c>
      <c r="E55">
        <f>_xlfn.XLOOKUP(A55,Banks!A:A,Banks!I:I,0)</f>
        <v>0</v>
      </c>
      <c r="F55">
        <f>_xlfn.XLOOKUP(A55,Energy!A:A,Energy!I:I,0)</f>
        <v>0</v>
      </c>
      <c r="G55">
        <f t="shared" si="1"/>
        <v>0</v>
      </c>
      <c r="H55">
        <f t="shared" si="2"/>
        <v>-2361.3478798722658</v>
      </c>
      <c r="I55" t="b">
        <f t="shared" si="3"/>
        <v>0</v>
      </c>
    </row>
    <row r="56" spans="1:9">
      <c r="A56" s="1">
        <v>45964.708333333343</v>
      </c>
      <c r="B56" s="5">
        <f>_xlfn.XLOOKUP(A56,Banks!A:A,Banks!H:H,0,-1)</f>
        <v>944.71119785722965</v>
      </c>
      <c r="C56">
        <f>_xlfn.XLOOKUP(A56,Energy!A:A,Energy!H:H,0,-1)</f>
        <v>1416.6366820150361</v>
      </c>
      <c r="D56">
        <f t="shared" si="0"/>
        <v>2361.3478798722658</v>
      </c>
      <c r="E56">
        <f>_xlfn.XLOOKUP(A56,Banks!A:A,Banks!I:I,0)</f>
        <v>0</v>
      </c>
      <c r="F56">
        <f>_xlfn.XLOOKUP(A56,Energy!A:A,Energy!I:I,0)</f>
        <v>32001.827912485249</v>
      </c>
      <c r="G56">
        <f t="shared" si="1"/>
        <v>32001.827912485249</v>
      </c>
      <c r="H56">
        <f t="shared" si="2"/>
        <v>29640.480032612984</v>
      </c>
      <c r="I56" t="b">
        <f t="shared" si="3"/>
        <v>0</v>
      </c>
    </row>
    <row r="57" spans="1:9">
      <c r="A57" s="1">
        <v>45964.709027777782</v>
      </c>
      <c r="B57" s="5">
        <f>_xlfn.XLOOKUP(A57,Banks!A:A,Banks!H:H,0,-1)</f>
        <v>944.71119785722965</v>
      </c>
      <c r="C57">
        <f>_xlfn.XLOOKUP(A57,Energy!A:A,Energy!H:H,0,-1)</f>
        <v>1526.740040058047</v>
      </c>
      <c r="D57">
        <f t="shared" si="0"/>
        <v>2471.4512379152766</v>
      </c>
      <c r="E57">
        <f>_xlfn.XLOOKUP(A57,Banks!A:A,Banks!I:I,0)</f>
        <v>0</v>
      </c>
      <c r="F57">
        <f>_xlfn.XLOOKUP(A57,Energy!A:A,Energy!I:I,0)</f>
        <v>31992.06267922742</v>
      </c>
      <c r="G57">
        <f t="shared" si="1"/>
        <v>31992.06267922742</v>
      </c>
      <c r="H57">
        <f t="shared" si="2"/>
        <v>29520.611441312143</v>
      </c>
      <c r="I57" t="b">
        <f t="shared" si="3"/>
        <v>0</v>
      </c>
    </row>
    <row r="58" spans="1:9">
      <c r="A58" s="1">
        <v>45964.709722222222</v>
      </c>
      <c r="B58" s="5">
        <f>_xlfn.XLOOKUP(A58,Banks!A:A,Banks!H:H,0,-1)</f>
        <v>944.71119785722965</v>
      </c>
      <c r="C58">
        <f>_xlfn.XLOOKUP(A58,Energy!A:A,Energy!H:H,0,-1)</f>
        <v>1589.997985869931</v>
      </c>
      <c r="D58">
        <f t="shared" si="0"/>
        <v>2534.7091837271605</v>
      </c>
      <c r="E58">
        <f>_xlfn.XLOOKUP(A58,Banks!A:A,Banks!I:I,0)</f>
        <v>0</v>
      </c>
      <c r="F58">
        <f>_xlfn.XLOOKUP(A58,Energy!A:A,Energy!I:I,0)</f>
        <v>32014.426628210091</v>
      </c>
      <c r="G58">
        <f t="shared" si="1"/>
        <v>32014.426628210091</v>
      </c>
      <c r="H58">
        <f t="shared" si="2"/>
        <v>29479.717444482929</v>
      </c>
      <c r="I58" t="b">
        <f t="shared" si="3"/>
        <v>0</v>
      </c>
    </row>
    <row r="59" spans="1:9">
      <c r="A59" s="1">
        <v>45964.710416666669</v>
      </c>
      <c r="B59" s="5">
        <f>_xlfn.XLOOKUP(A59,Banks!A:A,Banks!H:H,0,-1)</f>
        <v>944.71119785722965</v>
      </c>
      <c r="C59">
        <f>_xlfn.XLOOKUP(A59,Energy!A:A,Energy!H:H,0,-1)</f>
        <v>1546.228563188607</v>
      </c>
      <c r="D59">
        <f t="shared" si="0"/>
        <v>2490.9397610458368</v>
      </c>
      <c r="E59">
        <f>_xlfn.XLOOKUP(A59,Banks!A:A,Banks!I:I,0)</f>
        <v>0</v>
      </c>
      <c r="F59">
        <f>_xlfn.XLOOKUP(A59,Energy!A:A,Energy!I:I,0)</f>
        <v>32005.672743673829</v>
      </c>
      <c r="G59">
        <f t="shared" si="1"/>
        <v>32005.672743673829</v>
      </c>
      <c r="H59">
        <f t="shared" si="2"/>
        <v>29514.732982627993</v>
      </c>
      <c r="I59" t="b">
        <f t="shared" si="3"/>
        <v>0</v>
      </c>
    </row>
    <row r="60" spans="1:9">
      <c r="A60" s="1">
        <v>45964.711111111108</v>
      </c>
      <c r="B60" s="5">
        <f>_xlfn.XLOOKUP(A60,Banks!A:A,Banks!H:H,0,-1)</f>
        <v>944.71119785722965</v>
      </c>
      <c r="C60">
        <f>_xlfn.XLOOKUP(A60,Energy!A:A,Energy!H:H,0,-1)</f>
        <v>1417.278716613677</v>
      </c>
      <c r="D60">
        <f t="shared" si="0"/>
        <v>2361.9899144709066</v>
      </c>
      <c r="E60">
        <f>_xlfn.XLOOKUP(A60,Banks!A:A,Banks!I:I,0)</f>
        <v>0</v>
      </c>
      <c r="F60">
        <f>_xlfn.XLOOKUP(A60,Energy!A:A,Energy!I:I,0)</f>
        <v>31971.936298142231</v>
      </c>
      <c r="G60">
        <f t="shared" si="1"/>
        <v>31971.936298142231</v>
      </c>
      <c r="H60">
        <f t="shared" si="2"/>
        <v>29609.946383671326</v>
      </c>
      <c r="I60" t="b">
        <f t="shared" si="3"/>
        <v>0</v>
      </c>
    </row>
    <row r="61" spans="1:9">
      <c r="A61" s="1">
        <v>45964.711805555547</v>
      </c>
      <c r="B61" s="5">
        <f>_xlfn.XLOOKUP(A61,Banks!A:A,Banks!H:H,0,-1)</f>
        <v>944.71119785722965</v>
      </c>
      <c r="C61">
        <f>_xlfn.XLOOKUP(A61,Energy!A:A,Energy!H:H,0,-1)</f>
        <v>1386.6401207367469</v>
      </c>
      <c r="D61">
        <f t="shared" si="0"/>
        <v>2331.3513185939764</v>
      </c>
      <c r="E61">
        <f>_xlfn.XLOOKUP(A61,Banks!A:A,Banks!I:I,0)</f>
        <v>0</v>
      </c>
      <c r="F61">
        <f>_xlfn.XLOOKUP(A61,Energy!A:A,Energy!I:I,0)</f>
        <v>31965.80857896684</v>
      </c>
      <c r="G61">
        <f t="shared" si="1"/>
        <v>31965.80857896684</v>
      </c>
      <c r="H61">
        <f t="shared" si="2"/>
        <v>29634.457260372863</v>
      </c>
      <c r="I61" t="b">
        <f t="shared" si="3"/>
        <v>0</v>
      </c>
    </row>
    <row r="62" spans="1:9">
      <c r="A62" s="1">
        <v>45964.712500000001</v>
      </c>
      <c r="B62" s="5">
        <f>_xlfn.XLOOKUP(A62,Banks!A:A,Banks!H:H,0,-1)</f>
        <v>944.71119785722965</v>
      </c>
      <c r="C62">
        <f>_xlfn.XLOOKUP(A62,Energy!A:A,Energy!H:H,0,-1)</f>
        <v>1391.168129969258</v>
      </c>
      <c r="D62">
        <f t="shared" si="0"/>
        <v>2335.8793278264875</v>
      </c>
      <c r="E62">
        <f>_xlfn.XLOOKUP(A62,Banks!A:A,Banks!I:I,0)</f>
        <v>0</v>
      </c>
      <c r="F62">
        <f>_xlfn.XLOOKUP(A62,Energy!A:A,Energy!I:I,0)</f>
        <v>31959.65064639859</v>
      </c>
      <c r="G62">
        <f t="shared" si="1"/>
        <v>31959.65064639859</v>
      </c>
      <c r="H62">
        <f t="shared" si="2"/>
        <v>29623.7713185721</v>
      </c>
      <c r="I62" t="b">
        <f t="shared" si="3"/>
        <v>0</v>
      </c>
    </row>
    <row r="63" spans="1:9">
      <c r="A63" s="1">
        <v>45964.713194444441</v>
      </c>
      <c r="B63" s="5">
        <f>_xlfn.XLOOKUP(A63,Banks!A:A,Banks!H:H,0,-1)</f>
        <v>944.71119785722965</v>
      </c>
      <c r="C63">
        <f>_xlfn.XLOOKUP(A63,Energy!A:A,Energy!H:H,0,-1)</f>
        <v>1471.8960781125691</v>
      </c>
      <c r="D63">
        <f t="shared" si="0"/>
        <v>2416.6072759697986</v>
      </c>
      <c r="E63">
        <f>_xlfn.XLOOKUP(A63,Banks!A:A,Banks!I:I,0)</f>
        <v>0</v>
      </c>
      <c r="F63">
        <f>_xlfn.XLOOKUP(A63,Energy!A:A,Energy!I:I,0)</f>
        <v>31987.27447945124</v>
      </c>
      <c r="G63">
        <f t="shared" si="1"/>
        <v>31987.27447945124</v>
      </c>
      <c r="H63">
        <f t="shared" si="2"/>
        <v>29570.66720348144</v>
      </c>
      <c r="I63" t="b">
        <f t="shared" si="3"/>
        <v>0</v>
      </c>
    </row>
    <row r="64" spans="1:9">
      <c r="A64" s="1">
        <v>45964.713888888888</v>
      </c>
      <c r="B64" s="5">
        <f>_xlfn.XLOOKUP(A64,Banks!A:A,Banks!H:H,0,-1)</f>
        <v>944.71119785722965</v>
      </c>
      <c r="C64">
        <f>_xlfn.XLOOKUP(A64,Energy!A:A,Energy!H:H,0,-1)</f>
        <v>1491.1957675376609</v>
      </c>
      <c r="D64">
        <f t="shared" si="0"/>
        <v>2435.9069653948904</v>
      </c>
      <c r="E64">
        <f>_xlfn.XLOOKUP(A64,Banks!A:A,Banks!I:I,0)</f>
        <v>0</v>
      </c>
      <c r="F64">
        <f>_xlfn.XLOOKUP(A64,Energy!A:A,Energy!I:I,0)</f>
        <v>32009.676195175009</v>
      </c>
      <c r="G64">
        <f t="shared" si="1"/>
        <v>32009.676195175009</v>
      </c>
      <c r="H64">
        <f t="shared" si="2"/>
        <v>29573.769229780119</v>
      </c>
      <c r="I64" t="b">
        <f t="shared" si="3"/>
        <v>0</v>
      </c>
    </row>
    <row r="65" spans="1:9">
      <c r="A65" s="1">
        <v>45964.714583333327</v>
      </c>
      <c r="B65" s="5">
        <f>_xlfn.XLOOKUP(A65,Banks!A:A,Banks!H:H,0,-1)</f>
        <v>944.71119785722965</v>
      </c>
      <c r="C65">
        <f>_xlfn.XLOOKUP(A65,Energy!A:A,Energy!H:H,0,-1)</f>
        <v>1385.7714856915441</v>
      </c>
      <c r="D65">
        <f t="shared" si="0"/>
        <v>2330.4826835487738</v>
      </c>
      <c r="E65">
        <f>_xlfn.XLOOKUP(A65,Banks!A:A,Banks!I:I,0)</f>
        <v>0</v>
      </c>
      <c r="F65">
        <f>_xlfn.XLOOKUP(A65,Energy!A:A,Energy!I:I,0)</f>
        <v>32006.250174842698</v>
      </c>
      <c r="G65">
        <f t="shared" si="1"/>
        <v>32006.250174842698</v>
      </c>
      <c r="H65">
        <f t="shared" si="2"/>
        <v>29675.767491293926</v>
      </c>
      <c r="I65" t="b">
        <f t="shared" si="3"/>
        <v>0</v>
      </c>
    </row>
    <row r="66" spans="1:9">
      <c r="A66" s="1">
        <v>45964.715277777781</v>
      </c>
      <c r="B66" s="5">
        <f>_xlfn.XLOOKUP(A66,Banks!A:A,Banks!H:H,0,-1)</f>
        <v>944.71119785722965</v>
      </c>
      <c r="C66">
        <f>_xlfn.XLOOKUP(A66,Energy!A:A,Energy!H:H,0,-1)</f>
        <v>1434.2577513108461</v>
      </c>
      <c r="D66">
        <f t="shared" si="0"/>
        <v>2378.9689491680756</v>
      </c>
      <c r="E66">
        <f>_xlfn.XLOOKUP(A66,Banks!A:A,Banks!I:I,0)</f>
        <v>0</v>
      </c>
      <c r="F66">
        <f>_xlfn.XLOOKUP(A66,Energy!A:A,Energy!I:I,0)</f>
        <v>32000.054475533339</v>
      </c>
      <c r="G66">
        <f t="shared" si="1"/>
        <v>32000.054475533339</v>
      </c>
      <c r="H66">
        <f t="shared" si="2"/>
        <v>29621.085526365263</v>
      </c>
      <c r="I66" t="b">
        <f t="shared" si="3"/>
        <v>0</v>
      </c>
    </row>
    <row r="67" spans="1:9">
      <c r="A67" s="1">
        <v>45964.71597222222</v>
      </c>
      <c r="B67" s="5">
        <f>_xlfn.XLOOKUP(A67,Banks!A:A,Banks!H:H,0,-1)</f>
        <v>944.71119785722965</v>
      </c>
      <c r="C67">
        <f>_xlfn.XLOOKUP(A67,Energy!A:A,Energy!H:H,0,-1)</f>
        <v>1416.6366820150361</v>
      </c>
      <c r="D67">
        <f t="shared" ref="D67:D130" si="4">B67+C67</f>
        <v>2361.3478798722658</v>
      </c>
      <c r="E67">
        <f>_xlfn.XLOOKUP(A67,Banks!A:A,Banks!I:I,0)</f>
        <v>0</v>
      </c>
      <c r="F67">
        <f>_xlfn.XLOOKUP(A67,Energy!A:A,Energy!I:I,0)</f>
        <v>32001.827912485249</v>
      </c>
      <c r="G67">
        <f t="shared" ref="G67:G130" si="5">F67+E67</f>
        <v>32001.827912485249</v>
      </c>
      <c r="H67">
        <f t="shared" ref="H67:H130" si="6">G67-D67</f>
        <v>29640.480032612984</v>
      </c>
      <c r="I67" t="b">
        <f t="shared" ref="I67:I130" si="7">AND(E67&gt;0,F67&gt;0)</f>
        <v>0</v>
      </c>
    </row>
    <row r="68" spans="1:9">
      <c r="A68" s="1">
        <v>45964.716666666667</v>
      </c>
      <c r="B68" s="5">
        <f>_xlfn.XLOOKUP(A68,Banks!A:A,Banks!H:H,0,-1)</f>
        <v>944.71119785722965</v>
      </c>
      <c r="C68">
        <f>_xlfn.XLOOKUP(A68,Energy!A:A,Energy!H:H,0,-1)</f>
        <v>1368.225949877926</v>
      </c>
      <c r="D68">
        <f t="shared" si="4"/>
        <v>2312.9371477351556</v>
      </c>
      <c r="E68">
        <f>_xlfn.XLOOKUP(A68,Banks!A:A,Banks!I:I,0)</f>
        <v>0</v>
      </c>
      <c r="F68">
        <f>_xlfn.XLOOKUP(A68,Energy!A:A,Energy!I:I,0)</f>
        <v>32004.50695128366</v>
      </c>
      <c r="G68">
        <f t="shared" si="5"/>
        <v>32004.50695128366</v>
      </c>
      <c r="H68">
        <f t="shared" si="6"/>
        <v>29691.569803548504</v>
      </c>
      <c r="I68" t="b">
        <f t="shared" si="7"/>
        <v>0</v>
      </c>
    </row>
    <row r="69" spans="1:9">
      <c r="A69" s="1">
        <v>45964.717361111107</v>
      </c>
      <c r="B69" s="5">
        <f>_xlfn.XLOOKUP(A69,Banks!A:A,Banks!H:H,0,-1)</f>
        <v>944.71119785722965</v>
      </c>
      <c r="C69">
        <f>_xlfn.XLOOKUP(A69,Energy!A:A,Energy!H:H,0,-1)</f>
        <v>1503.76009322562</v>
      </c>
      <c r="D69">
        <f t="shared" si="4"/>
        <v>2448.4712910828498</v>
      </c>
      <c r="E69">
        <f>_xlfn.XLOOKUP(A69,Banks!A:A,Banks!I:I,0)</f>
        <v>0</v>
      </c>
      <c r="F69">
        <f>_xlfn.XLOOKUP(A69,Energy!A:A,Energy!I:I,0)</f>
        <v>32038.67731436796</v>
      </c>
      <c r="G69">
        <f t="shared" si="5"/>
        <v>32038.67731436796</v>
      </c>
      <c r="H69">
        <f t="shared" si="6"/>
        <v>29590.206023285111</v>
      </c>
      <c r="I69" t="b">
        <f t="shared" si="7"/>
        <v>0</v>
      </c>
    </row>
    <row r="70" spans="1:9">
      <c r="A70" s="1">
        <v>45964.718055555553</v>
      </c>
      <c r="B70" s="5">
        <f>_xlfn.XLOOKUP(A70,Banks!A:A,Banks!H:H,0,-1)</f>
        <v>944.71119785722965</v>
      </c>
      <c r="C70">
        <f>_xlfn.XLOOKUP(A70,Energy!A:A,Energy!H:H,0,-1)</f>
        <v>1502.3362928057679</v>
      </c>
      <c r="D70">
        <f t="shared" si="4"/>
        <v>2447.0474906629975</v>
      </c>
      <c r="E70">
        <f>_xlfn.XLOOKUP(A70,Banks!A:A,Banks!I:I,0)</f>
        <v>0</v>
      </c>
      <c r="F70">
        <f>_xlfn.XLOOKUP(A70,Energy!A:A,Energy!I:I,0)</f>
        <v>0</v>
      </c>
      <c r="G70">
        <f t="shared" si="5"/>
        <v>0</v>
      </c>
      <c r="H70">
        <f t="shared" si="6"/>
        <v>-2447.0474906629975</v>
      </c>
      <c r="I70" t="b">
        <f t="shared" si="7"/>
        <v>0</v>
      </c>
    </row>
    <row r="71" spans="1:9">
      <c r="A71" s="1">
        <v>45965.604166666657</v>
      </c>
      <c r="B71" s="5">
        <f>_xlfn.XLOOKUP(A71,Banks!A:A,Banks!H:H,0,-1)</f>
        <v>944.71119785722965</v>
      </c>
      <c r="C71">
        <f>_xlfn.XLOOKUP(A71,Energy!A:A,Energy!H:H,0,-1)</f>
        <v>1502.3362928057679</v>
      </c>
      <c r="D71">
        <f t="shared" si="4"/>
        <v>2447.0474906629975</v>
      </c>
      <c r="E71">
        <f>_xlfn.XLOOKUP(A71,Banks!A:A,Banks!I:I,0)</f>
        <v>0</v>
      </c>
      <c r="F71">
        <f>_xlfn.XLOOKUP(A71,Energy!A:A,Energy!I:I,0)</f>
        <v>32001.827912485249</v>
      </c>
      <c r="G71">
        <f t="shared" si="5"/>
        <v>32001.827912485249</v>
      </c>
      <c r="H71">
        <f t="shared" si="6"/>
        <v>29554.780421822252</v>
      </c>
      <c r="I71" t="b">
        <f t="shared" si="7"/>
        <v>0</v>
      </c>
    </row>
    <row r="72" spans="1:9">
      <c r="A72" s="1">
        <v>45965.604861111111</v>
      </c>
      <c r="B72" s="5">
        <f>_xlfn.XLOOKUP(A72,Banks!A:A,Banks!H:H,0,-1)</f>
        <v>944.71119785722965</v>
      </c>
      <c r="C72">
        <f>_xlfn.XLOOKUP(A72,Energy!A:A,Energy!H:H,0,-1)</f>
        <v>1930.2767014506051</v>
      </c>
      <c r="D72">
        <f t="shared" si="4"/>
        <v>2874.9878993078346</v>
      </c>
      <c r="E72">
        <f>_xlfn.XLOOKUP(A72,Banks!A:A,Banks!I:I,0)</f>
        <v>0</v>
      </c>
      <c r="F72">
        <f>_xlfn.XLOOKUP(A72,Energy!A:A,Energy!I:I,0)</f>
        <v>31957.122834605099</v>
      </c>
      <c r="G72">
        <f t="shared" si="5"/>
        <v>31957.122834605099</v>
      </c>
      <c r="H72">
        <f t="shared" si="6"/>
        <v>29082.134935297265</v>
      </c>
      <c r="I72" t="b">
        <f t="shared" si="7"/>
        <v>0</v>
      </c>
    </row>
    <row r="73" spans="1:9">
      <c r="A73" s="1">
        <v>45965.605555555558</v>
      </c>
      <c r="B73" s="5">
        <f>_xlfn.XLOOKUP(A73,Banks!A:A,Banks!H:H,0,-1)</f>
        <v>944.71119785722965</v>
      </c>
      <c r="C73">
        <f>_xlfn.XLOOKUP(A73,Energy!A:A,Energy!H:H,0,-1)</f>
        <v>2148.4761005830728</v>
      </c>
      <c r="D73">
        <f t="shared" si="4"/>
        <v>3093.1872984403026</v>
      </c>
      <c r="E73">
        <f>_xlfn.XLOOKUP(A73,Banks!A:A,Banks!I:I,0)</f>
        <v>0</v>
      </c>
      <c r="F73">
        <f>_xlfn.XLOOKUP(A73,Energy!A:A,Energy!I:I,0)</f>
        <v>31833.49446898745</v>
      </c>
      <c r="G73">
        <f t="shared" si="5"/>
        <v>31833.49446898745</v>
      </c>
      <c r="H73">
        <f t="shared" si="6"/>
        <v>28740.307170547148</v>
      </c>
      <c r="I73" t="b">
        <f t="shared" si="7"/>
        <v>0</v>
      </c>
    </row>
    <row r="74" spans="1:9">
      <c r="A74" s="1">
        <v>45965.606249999997</v>
      </c>
      <c r="B74" s="5">
        <f>_xlfn.XLOOKUP(A74,Banks!A:A,Banks!H:H,0,-1)</f>
        <v>944.71119785722965</v>
      </c>
      <c r="C74">
        <f>_xlfn.XLOOKUP(A74,Energy!A:A,Energy!H:H,0,-1)</f>
        <v>1871.452452865537</v>
      </c>
      <c r="D74">
        <f t="shared" si="4"/>
        <v>2816.1636507227668</v>
      </c>
      <c r="E74">
        <f>_xlfn.XLOOKUP(A74,Banks!A:A,Banks!I:I,0)</f>
        <v>33348.602962298159</v>
      </c>
      <c r="F74">
        <f>_xlfn.XLOOKUP(A74,Energy!A:A,Energy!I:I,0)</f>
        <v>31808.021951786581</v>
      </c>
      <c r="G74">
        <f t="shared" si="5"/>
        <v>65156.624914084736</v>
      </c>
      <c r="H74">
        <f t="shared" si="6"/>
        <v>62340.461263361969</v>
      </c>
      <c r="I74" t="b">
        <f t="shared" si="7"/>
        <v>1</v>
      </c>
    </row>
    <row r="75" spans="1:9">
      <c r="A75" s="1">
        <v>45965.606944444437</v>
      </c>
      <c r="B75" s="5">
        <f>_xlfn.XLOOKUP(A75,Banks!A:A,Banks!H:H,0,-1)</f>
        <v>1016.742576323763</v>
      </c>
      <c r="C75">
        <f>_xlfn.XLOOKUP(A75,Energy!A:A,Energy!H:H,0,-1)</f>
        <v>1925.5717121059549</v>
      </c>
      <c r="D75">
        <f t="shared" si="4"/>
        <v>2942.3142884297181</v>
      </c>
      <c r="E75">
        <f>_xlfn.XLOOKUP(A75,Banks!A:A,Banks!I:I,0)</f>
        <v>33342.702730803569</v>
      </c>
      <c r="F75">
        <f>_xlfn.XLOOKUP(A75,Energy!A:A,Energy!I:I,0)</f>
        <v>31758.981378949389</v>
      </c>
      <c r="G75">
        <f t="shared" si="5"/>
        <v>65101.684109752954</v>
      </c>
      <c r="H75">
        <f t="shared" si="6"/>
        <v>62159.369821323235</v>
      </c>
      <c r="I75" t="b">
        <f t="shared" si="7"/>
        <v>1</v>
      </c>
    </row>
    <row r="76" spans="1:9">
      <c r="A76" s="1">
        <v>45965.607638888891</v>
      </c>
      <c r="B76" s="5">
        <f>_xlfn.XLOOKUP(A76,Banks!A:A,Banks!H:H,0,-1)</f>
        <v>1142.4234871895139</v>
      </c>
      <c r="C76">
        <f>_xlfn.XLOOKUP(A76,Energy!A:A,Energy!H:H,0,-1)</f>
        <v>1696.6783236034421</v>
      </c>
      <c r="D76">
        <f t="shared" si="4"/>
        <v>2839.1018107929558</v>
      </c>
      <c r="E76">
        <f>_xlfn.XLOOKUP(A76,Banks!A:A,Banks!I:I,0)</f>
        <v>33356.825214162927</v>
      </c>
      <c r="F76">
        <f>_xlfn.XLOOKUP(A76,Energy!A:A,Energy!I:I,0)</f>
        <v>31804.760056649891</v>
      </c>
      <c r="G76">
        <f t="shared" si="5"/>
        <v>65161.585270812822</v>
      </c>
      <c r="H76">
        <f t="shared" si="6"/>
        <v>62322.483460019866</v>
      </c>
      <c r="I76" t="b">
        <f t="shared" si="7"/>
        <v>1</v>
      </c>
    </row>
    <row r="77" spans="1:9">
      <c r="A77" s="1">
        <v>45965.60833333333</v>
      </c>
      <c r="B77" s="5">
        <f>_xlfn.XLOOKUP(A77,Banks!A:A,Banks!H:H,0,-1)</f>
        <v>971.99817534032707</v>
      </c>
      <c r="C77">
        <f>_xlfn.XLOOKUP(A77,Energy!A:A,Energy!H:H,0,-1)</f>
        <v>1802.3214259892191</v>
      </c>
      <c r="D77">
        <f t="shared" si="4"/>
        <v>2774.319601329546</v>
      </c>
      <c r="E77">
        <f>_xlfn.XLOOKUP(A77,Banks!A:A,Banks!I:I,0)</f>
        <v>33411.193920391263</v>
      </c>
      <c r="F77">
        <f>_xlfn.XLOOKUP(A77,Energy!A:A,Energy!I:I,0)</f>
        <v>31783.631436172731</v>
      </c>
      <c r="G77">
        <f t="shared" si="5"/>
        <v>65194.82535656399</v>
      </c>
      <c r="H77">
        <f t="shared" si="6"/>
        <v>62420.505755234444</v>
      </c>
      <c r="I77" t="b">
        <f t="shared" si="7"/>
        <v>1</v>
      </c>
    </row>
    <row r="78" spans="1:9">
      <c r="A78" s="1">
        <v>45965.609027777777</v>
      </c>
      <c r="B78" s="5">
        <f>_xlfn.XLOOKUP(A78,Banks!A:A,Banks!H:H,0,-1)</f>
        <v>848.84735042719308</v>
      </c>
      <c r="C78">
        <f>_xlfn.XLOOKUP(A78,Energy!A:A,Energy!H:H,0,-1)</f>
        <v>1747.903539125824</v>
      </c>
      <c r="D78">
        <f t="shared" si="4"/>
        <v>2596.7508895530173</v>
      </c>
      <c r="E78">
        <f>_xlfn.XLOOKUP(A78,Banks!A:A,Banks!I:I,0)</f>
        <v>33360.578309769873</v>
      </c>
      <c r="F78">
        <f>_xlfn.XLOOKUP(A78,Energy!A:A,Energy!I:I,0)</f>
        <v>31726.969181099561</v>
      </c>
      <c r="G78">
        <f t="shared" si="5"/>
        <v>65087.54749086943</v>
      </c>
      <c r="H78">
        <f t="shared" si="6"/>
        <v>62490.796601316411</v>
      </c>
      <c r="I78" t="b">
        <f t="shared" si="7"/>
        <v>1</v>
      </c>
    </row>
    <row r="79" spans="1:9">
      <c r="A79" s="1">
        <v>45965.609722222223</v>
      </c>
      <c r="B79" s="5">
        <f>_xlfn.XLOOKUP(A79,Banks!A:A,Banks!H:H,0,-1)</f>
        <v>931.2307763647409</v>
      </c>
      <c r="C79">
        <f>_xlfn.XLOOKUP(A79,Energy!A:A,Energy!H:H,0,-1)</f>
        <v>1651.064028605532</v>
      </c>
      <c r="D79">
        <f t="shared" si="4"/>
        <v>2582.2948049702727</v>
      </c>
      <c r="E79">
        <f>_xlfn.XLOOKUP(A79,Banks!A:A,Banks!I:I,0)</f>
        <v>33431.779310938327</v>
      </c>
      <c r="F79">
        <f>_xlfn.XLOOKUP(A79,Energy!A:A,Energy!I:I,0)</f>
        <v>31746.33708320362</v>
      </c>
      <c r="G79">
        <f t="shared" si="5"/>
        <v>65178.116394141951</v>
      </c>
      <c r="H79">
        <f t="shared" si="6"/>
        <v>62595.821589171675</v>
      </c>
      <c r="I79" t="b">
        <f t="shared" si="7"/>
        <v>1</v>
      </c>
    </row>
    <row r="80" spans="1:9">
      <c r="A80" s="1">
        <v>45965.61041666667</v>
      </c>
      <c r="B80" s="5">
        <f>_xlfn.XLOOKUP(A80,Banks!A:A,Banks!H:H,0,-1)</f>
        <v>1005.30951891468</v>
      </c>
      <c r="C80">
        <f>_xlfn.XLOOKUP(A80,Energy!A:A,Energy!H:H,0,-1)</f>
        <v>1483.123641826443</v>
      </c>
      <c r="D80">
        <f t="shared" si="4"/>
        <v>2488.4331607411232</v>
      </c>
      <c r="E80">
        <f>_xlfn.XLOOKUP(A80,Banks!A:A,Banks!I:I,0)</f>
        <v>33413.037695875093</v>
      </c>
      <c r="F80">
        <f>_xlfn.XLOOKUP(A80,Energy!A:A,Energy!I:I,0)</f>
        <v>31751.484810055921</v>
      </c>
      <c r="G80">
        <f t="shared" si="5"/>
        <v>65164.522505931018</v>
      </c>
      <c r="H80">
        <f t="shared" si="6"/>
        <v>62676.089345189896</v>
      </c>
      <c r="I80" t="b">
        <f t="shared" si="7"/>
        <v>1</v>
      </c>
    </row>
    <row r="81" spans="1:9">
      <c r="A81" s="1">
        <v>45965.611111111109</v>
      </c>
      <c r="B81" s="5">
        <f>_xlfn.XLOOKUP(A81,Banks!A:A,Banks!H:H,0,-1)</f>
        <v>922.74529987788617</v>
      </c>
      <c r="C81">
        <f>_xlfn.XLOOKUP(A81,Energy!A:A,Energy!H:H,0,-1)</f>
        <v>1686.6984844017941</v>
      </c>
      <c r="D81">
        <f t="shared" si="4"/>
        <v>2609.4437842796801</v>
      </c>
      <c r="E81">
        <f>_xlfn.XLOOKUP(A81,Banks!A:A,Banks!I:I,0)</f>
        <v>33396.180673979798</v>
      </c>
      <c r="F81">
        <f>_xlfn.XLOOKUP(A81,Energy!A:A,Energy!I:I,0)</f>
        <v>31756.985411109061</v>
      </c>
      <c r="G81">
        <f t="shared" si="5"/>
        <v>65153.166085088858</v>
      </c>
      <c r="H81">
        <f t="shared" si="6"/>
        <v>62543.722300809175</v>
      </c>
      <c r="I81" t="b">
        <f t="shared" si="7"/>
        <v>1</v>
      </c>
    </row>
    <row r="82" spans="1:9">
      <c r="A82" s="1">
        <v>45965.611805555563</v>
      </c>
      <c r="B82" s="5">
        <f>_xlfn.XLOOKUP(A82,Banks!A:A,Banks!H:H,0,-1)</f>
        <v>910.49031931551747</v>
      </c>
      <c r="C82">
        <f>_xlfn.XLOOKUP(A82,Energy!A:A,Energy!H:H,0,-1)</f>
        <v>1669.0913006708349</v>
      </c>
      <c r="D82">
        <f t="shared" si="4"/>
        <v>2579.5816199863525</v>
      </c>
      <c r="E82">
        <f>_xlfn.XLOOKUP(A82,Banks!A:A,Banks!I:I,0)</f>
        <v>33433.310157979337</v>
      </c>
      <c r="F82">
        <f>_xlfn.XLOOKUP(A82,Energy!A:A,Energy!I:I,0)</f>
        <v>31760.506847855249</v>
      </c>
      <c r="G82">
        <f t="shared" si="5"/>
        <v>65193.817005834586</v>
      </c>
      <c r="H82">
        <f t="shared" si="6"/>
        <v>62614.235385848231</v>
      </c>
      <c r="I82" t="b">
        <f t="shared" si="7"/>
        <v>1</v>
      </c>
    </row>
    <row r="83" spans="1:9">
      <c r="A83" s="1">
        <v>45965.612500000003</v>
      </c>
      <c r="B83" s="5">
        <f>_xlfn.XLOOKUP(A83,Banks!A:A,Banks!H:H,0,-1)</f>
        <v>940.21295191360218</v>
      </c>
      <c r="C83">
        <f>_xlfn.XLOOKUP(A83,Energy!A:A,Energy!H:H,0,-1)</f>
        <v>1741.2423977654919</v>
      </c>
      <c r="D83">
        <f t="shared" si="4"/>
        <v>2681.4553496790941</v>
      </c>
      <c r="E83">
        <f>_xlfn.XLOOKUP(A83,Banks!A:A,Banks!I:I,0)</f>
        <v>33453.53807514807</v>
      </c>
      <c r="F83">
        <f>_xlfn.XLOOKUP(A83,Energy!A:A,Energy!I:I,0)</f>
        <v>31818.95502660159</v>
      </c>
      <c r="G83">
        <f t="shared" si="5"/>
        <v>65272.493101749656</v>
      </c>
      <c r="H83">
        <f t="shared" si="6"/>
        <v>62591.037752070566</v>
      </c>
      <c r="I83" t="b">
        <f t="shared" si="7"/>
        <v>1</v>
      </c>
    </row>
    <row r="84" spans="1:9">
      <c r="A84" s="1">
        <v>45965.613194444442</v>
      </c>
      <c r="B84" s="5">
        <f>_xlfn.XLOOKUP(A84,Banks!A:A,Banks!H:H,0,-1)</f>
        <v>1077.878278469105</v>
      </c>
      <c r="C84">
        <f>_xlfn.XLOOKUP(A84,Energy!A:A,Energy!H:H,0,-1)</f>
        <v>1577.703806919139</v>
      </c>
      <c r="D84">
        <f t="shared" si="4"/>
        <v>2655.5820853882442</v>
      </c>
      <c r="E84">
        <f>_xlfn.XLOOKUP(A84,Banks!A:A,Banks!I:I,0)</f>
        <v>33482.275763766927</v>
      </c>
      <c r="F84">
        <f>_xlfn.XLOOKUP(A84,Energy!A:A,Energy!I:I,0)</f>
        <v>31823.222394267341</v>
      </c>
      <c r="G84">
        <f t="shared" si="5"/>
        <v>65305.498158034272</v>
      </c>
      <c r="H84">
        <f t="shared" si="6"/>
        <v>62649.916072646025</v>
      </c>
      <c r="I84" t="b">
        <f t="shared" si="7"/>
        <v>1</v>
      </c>
    </row>
    <row r="85" spans="1:9">
      <c r="A85" s="1">
        <v>45965.613888888889</v>
      </c>
      <c r="B85" s="5">
        <f>_xlfn.XLOOKUP(A85,Banks!A:A,Banks!H:H,0,-1)</f>
        <v>1058.248945702841</v>
      </c>
      <c r="C85">
        <f>_xlfn.XLOOKUP(A85,Energy!A:A,Energy!H:H,0,-1)</f>
        <v>1604.6186885168081</v>
      </c>
      <c r="D85">
        <f t="shared" si="4"/>
        <v>2662.8676342196491</v>
      </c>
      <c r="E85">
        <f>_xlfn.XLOOKUP(A85,Banks!A:A,Banks!I:I,0)</f>
        <v>33478.34989721368</v>
      </c>
      <c r="F85">
        <f>_xlfn.XLOOKUP(A85,Energy!A:A,Energy!I:I,0)</f>
        <v>31839.169680825449</v>
      </c>
      <c r="G85">
        <f t="shared" si="5"/>
        <v>65317.51957803913</v>
      </c>
      <c r="H85">
        <f t="shared" si="6"/>
        <v>62654.651943819481</v>
      </c>
      <c r="I85" t="b">
        <f t="shared" si="7"/>
        <v>1</v>
      </c>
    </row>
    <row r="86" spans="1:9">
      <c r="A86" s="1">
        <v>45965.614583333343</v>
      </c>
      <c r="B86" s="5">
        <f>_xlfn.XLOOKUP(A86,Banks!A:A,Banks!H:H,0,-1)</f>
        <v>1214.201997989175</v>
      </c>
      <c r="C86">
        <f>_xlfn.XLOOKUP(A86,Energy!A:A,Energy!H:H,0,-1)</f>
        <v>1642.979152697367</v>
      </c>
      <c r="D86">
        <f t="shared" si="4"/>
        <v>2857.181150686542</v>
      </c>
      <c r="E86">
        <f>_xlfn.XLOOKUP(A86,Banks!A:A,Banks!I:I,0)</f>
        <v>0</v>
      </c>
      <c r="F86">
        <f>_xlfn.XLOOKUP(A86,Energy!A:A,Energy!I:I,0)</f>
        <v>31871.491830884908</v>
      </c>
      <c r="G86">
        <f t="shared" si="5"/>
        <v>31871.491830884908</v>
      </c>
      <c r="H86">
        <f t="shared" si="6"/>
        <v>29014.310680198367</v>
      </c>
      <c r="I86" t="b">
        <f t="shared" si="7"/>
        <v>0</v>
      </c>
    </row>
    <row r="87" spans="1:9">
      <c r="A87" s="1">
        <v>45965.615277777782</v>
      </c>
      <c r="B87" s="5">
        <f>_xlfn.XLOOKUP(A87,Banks!A:A,Banks!H:H,0,-1)</f>
        <v>1214.201997989175</v>
      </c>
      <c r="C87">
        <f>_xlfn.XLOOKUP(A87,Energy!A:A,Energy!H:H,0,-1)</f>
        <v>1596.739290986879</v>
      </c>
      <c r="D87">
        <f t="shared" si="4"/>
        <v>2810.9412889760542</v>
      </c>
      <c r="E87">
        <f>_xlfn.XLOOKUP(A87,Banks!A:A,Banks!I:I,0)</f>
        <v>0</v>
      </c>
      <c r="F87">
        <f>_xlfn.XLOOKUP(A87,Energy!A:A,Energy!I:I,0)</f>
        <v>31879.851042273771</v>
      </c>
      <c r="G87">
        <f t="shared" si="5"/>
        <v>31879.851042273771</v>
      </c>
      <c r="H87">
        <f t="shared" si="6"/>
        <v>29068.909753297718</v>
      </c>
      <c r="I87" t="b">
        <f t="shared" si="7"/>
        <v>0</v>
      </c>
    </row>
    <row r="88" spans="1:9">
      <c r="A88" s="1">
        <v>45965.615972222222</v>
      </c>
      <c r="B88" s="5">
        <f>_xlfn.XLOOKUP(A88,Banks!A:A,Banks!H:H,0,-1)</f>
        <v>1214.201997989175</v>
      </c>
      <c r="C88">
        <f>_xlfn.XLOOKUP(A88,Energy!A:A,Energy!H:H,0,-1)</f>
        <v>1773.4412607980189</v>
      </c>
      <c r="D88">
        <f t="shared" si="4"/>
        <v>2987.6432587871941</v>
      </c>
      <c r="E88">
        <f>_xlfn.XLOOKUP(A88,Banks!A:A,Banks!I:I,0)</f>
        <v>0</v>
      </c>
      <c r="F88">
        <f>_xlfn.XLOOKUP(A88,Energy!A:A,Energy!I:I,0)</f>
        <v>31871.1734769086</v>
      </c>
      <c r="G88">
        <f t="shared" si="5"/>
        <v>31871.1734769086</v>
      </c>
      <c r="H88">
        <f t="shared" si="6"/>
        <v>28883.530218121407</v>
      </c>
      <c r="I88" t="b">
        <f t="shared" si="7"/>
        <v>0</v>
      </c>
    </row>
    <row r="89" spans="1:9">
      <c r="A89" s="1">
        <v>45965.616666666669</v>
      </c>
      <c r="B89" s="5">
        <f>_xlfn.XLOOKUP(A89,Banks!A:A,Banks!H:H,0,-1)</f>
        <v>1214.201997989175</v>
      </c>
      <c r="C89">
        <f>_xlfn.XLOOKUP(A89,Energy!A:A,Energy!H:H,0,-1)</f>
        <v>1667.252043577583</v>
      </c>
      <c r="D89">
        <f t="shared" si="4"/>
        <v>2881.454041566758</v>
      </c>
      <c r="E89">
        <f>_xlfn.XLOOKUP(A89,Banks!A:A,Banks!I:I,0)</f>
        <v>0</v>
      </c>
      <c r="F89">
        <f>_xlfn.XLOOKUP(A89,Energy!A:A,Energy!I:I,0)</f>
        <v>31869.303535568572</v>
      </c>
      <c r="G89">
        <f t="shared" si="5"/>
        <v>31869.303535568572</v>
      </c>
      <c r="H89">
        <f t="shared" si="6"/>
        <v>28987.849494001814</v>
      </c>
      <c r="I89" t="b">
        <f t="shared" si="7"/>
        <v>0</v>
      </c>
    </row>
    <row r="90" spans="1:9">
      <c r="A90" s="1">
        <v>45965.617361111108</v>
      </c>
      <c r="B90" s="5">
        <f>_xlfn.XLOOKUP(A90,Banks!A:A,Banks!H:H,0,-1)</f>
        <v>1214.201997989175</v>
      </c>
      <c r="C90">
        <f>_xlfn.XLOOKUP(A90,Energy!A:A,Energy!H:H,0,-1)</f>
        <v>1811.2418612321601</v>
      </c>
      <c r="D90">
        <f t="shared" si="4"/>
        <v>3025.4438592213351</v>
      </c>
      <c r="E90">
        <f>_xlfn.XLOOKUP(A90,Banks!A:A,Banks!I:I,0)</f>
        <v>0</v>
      </c>
      <c r="F90">
        <f>_xlfn.XLOOKUP(A90,Energy!A:A,Energy!I:I,0)</f>
        <v>0</v>
      </c>
      <c r="G90">
        <f t="shared" si="5"/>
        <v>0</v>
      </c>
      <c r="H90">
        <f t="shared" si="6"/>
        <v>-3025.4438592213351</v>
      </c>
      <c r="I90" t="b">
        <f t="shared" si="7"/>
        <v>0</v>
      </c>
    </row>
    <row r="91" spans="1:9">
      <c r="A91" s="1">
        <v>45965.824305555558</v>
      </c>
      <c r="B91" s="5">
        <f>_xlfn.XLOOKUP(A91,Banks!A:A,Banks!H:H,0,-1)</f>
        <v>1214.201997989175</v>
      </c>
      <c r="C91">
        <f>_xlfn.XLOOKUP(A91,Energy!A:A,Energy!H:H,0,-1)</f>
        <v>1811.2418612321601</v>
      </c>
      <c r="D91">
        <f t="shared" si="4"/>
        <v>3025.4438592213351</v>
      </c>
      <c r="E91">
        <f>_xlfn.XLOOKUP(A91,Banks!A:A,Banks!I:I,0)</f>
        <v>33348.602962298159</v>
      </c>
      <c r="F91">
        <f>_xlfn.XLOOKUP(A91,Energy!A:A,Energy!I:I,0)</f>
        <v>0</v>
      </c>
      <c r="G91">
        <f t="shared" si="5"/>
        <v>33348.602962298159</v>
      </c>
      <c r="H91">
        <f t="shared" si="6"/>
        <v>30323.159103076825</v>
      </c>
      <c r="I91" t="b">
        <f t="shared" si="7"/>
        <v>0</v>
      </c>
    </row>
    <row r="92" spans="1:9">
      <c r="A92" s="1">
        <v>45965.824999999997</v>
      </c>
      <c r="B92" s="5">
        <f>_xlfn.XLOOKUP(A92,Banks!A:A,Banks!H:H,0,-1)</f>
        <v>1231.180427532626</v>
      </c>
      <c r="C92">
        <f>_xlfn.XLOOKUP(A92,Energy!A:A,Energy!H:H,0,-1)</f>
        <v>1811.2418612321601</v>
      </c>
      <c r="D92">
        <f t="shared" si="4"/>
        <v>3042.4222887647861</v>
      </c>
      <c r="E92">
        <f>_xlfn.XLOOKUP(A92,Banks!A:A,Banks!I:I,0)</f>
        <v>33344.869794170132</v>
      </c>
      <c r="F92">
        <f>_xlfn.XLOOKUP(A92,Energy!A:A,Energy!I:I,0)</f>
        <v>0</v>
      </c>
      <c r="G92">
        <f t="shared" si="5"/>
        <v>33344.869794170132</v>
      </c>
      <c r="H92">
        <f t="shared" si="6"/>
        <v>30302.447505405347</v>
      </c>
      <c r="I92" t="b">
        <f t="shared" si="7"/>
        <v>0</v>
      </c>
    </row>
    <row r="93" spans="1:9">
      <c r="A93" s="1">
        <v>45965.825694444437</v>
      </c>
      <c r="B93" s="5">
        <f>_xlfn.XLOOKUP(A93,Banks!A:A,Banks!H:H,0,-1)</f>
        <v>1205.257321944581</v>
      </c>
      <c r="C93">
        <f>_xlfn.XLOOKUP(A93,Energy!A:A,Energy!H:H,0,-1)</f>
        <v>1811.2418612321601</v>
      </c>
      <c r="D93">
        <f t="shared" si="4"/>
        <v>3016.4991831767411</v>
      </c>
      <c r="E93">
        <f>_xlfn.XLOOKUP(A93,Banks!A:A,Banks!I:I,0)</f>
        <v>33350.054415287741</v>
      </c>
      <c r="F93">
        <f>_xlfn.XLOOKUP(A93,Energy!A:A,Energy!I:I,0)</f>
        <v>0</v>
      </c>
      <c r="G93">
        <f t="shared" si="5"/>
        <v>33350.054415287741</v>
      </c>
      <c r="H93">
        <f t="shared" si="6"/>
        <v>30333.555232111001</v>
      </c>
      <c r="I93" t="b">
        <f t="shared" si="7"/>
        <v>0</v>
      </c>
    </row>
    <row r="94" spans="1:9">
      <c r="A94" s="1">
        <v>45965.826388888891</v>
      </c>
      <c r="B94" s="5">
        <f>_xlfn.XLOOKUP(A94,Banks!A:A,Banks!H:H,0,-1)</f>
        <v>1202.0169337460779</v>
      </c>
      <c r="C94">
        <f>_xlfn.XLOOKUP(A94,Energy!A:A,Energy!H:H,0,-1)</f>
        <v>1811.2418612321601</v>
      </c>
      <c r="D94">
        <f t="shared" si="4"/>
        <v>3013.2587949782383</v>
      </c>
      <c r="E94">
        <f>_xlfn.XLOOKUP(A94,Banks!A:A,Banks!I:I,0)</f>
        <v>33350.702492927448</v>
      </c>
      <c r="F94">
        <f>_xlfn.XLOOKUP(A94,Energy!A:A,Energy!I:I,0)</f>
        <v>0</v>
      </c>
      <c r="G94">
        <f t="shared" si="5"/>
        <v>33350.702492927448</v>
      </c>
      <c r="H94">
        <f t="shared" si="6"/>
        <v>30337.443697949209</v>
      </c>
      <c r="I94" t="b">
        <f t="shared" si="7"/>
        <v>0</v>
      </c>
    </row>
    <row r="95" spans="1:9">
      <c r="A95" s="1">
        <v>45965.82708333333</v>
      </c>
      <c r="B95" s="5">
        <f>_xlfn.XLOOKUP(A95,Banks!A:A,Banks!H:H,0,-1)</f>
        <v>1210.8943927932621</v>
      </c>
      <c r="C95">
        <f>_xlfn.XLOOKUP(A95,Energy!A:A,Energy!H:H,0,-1)</f>
        <v>1811.2418612321601</v>
      </c>
      <c r="D95">
        <f t="shared" si="4"/>
        <v>3022.1362540254222</v>
      </c>
      <c r="E95">
        <f>_xlfn.XLOOKUP(A95,Banks!A:A,Banks!I:I,0)</f>
        <v>33348.589518898683</v>
      </c>
      <c r="F95">
        <f>_xlfn.XLOOKUP(A95,Energy!A:A,Energy!I:I,0)</f>
        <v>0</v>
      </c>
      <c r="G95">
        <f t="shared" si="5"/>
        <v>33348.589518898683</v>
      </c>
      <c r="H95">
        <f t="shared" si="6"/>
        <v>30326.45326487326</v>
      </c>
      <c r="I95" t="b">
        <f t="shared" si="7"/>
        <v>0</v>
      </c>
    </row>
    <row r="96" spans="1:9">
      <c r="A96" s="1">
        <v>45965.827777777777</v>
      </c>
      <c r="B96" s="5">
        <f>_xlfn.XLOOKUP(A96,Banks!A:A,Banks!H:H,0,-1)</f>
        <v>1139.605852426135</v>
      </c>
      <c r="C96">
        <f>_xlfn.XLOOKUP(A96,Energy!A:A,Energy!H:H,0,-1)</f>
        <v>1811.2418612321601</v>
      </c>
      <c r="D96">
        <f t="shared" si="4"/>
        <v>2950.8477136582951</v>
      </c>
      <c r="E96">
        <f>_xlfn.XLOOKUP(A96,Banks!A:A,Banks!I:I,0)</f>
        <v>33362.847226972102</v>
      </c>
      <c r="F96">
        <f>_xlfn.XLOOKUP(A96,Energy!A:A,Energy!I:I,0)</f>
        <v>0</v>
      </c>
      <c r="G96">
        <f t="shared" si="5"/>
        <v>33362.847226972102</v>
      </c>
      <c r="H96">
        <f t="shared" si="6"/>
        <v>30411.999513313807</v>
      </c>
      <c r="I96" t="b">
        <f t="shared" si="7"/>
        <v>0</v>
      </c>
    </row>
    <row r="97" spans="1:9">
      <c r="A97" s="1">
        <v>45965.828472222223</v>
      </c>
      <c r="B97" s="5">
        <f>_xlfn.XLOOKUP(A97,Banks!A:A,Banks!H:H,0,-1)</f>
        <v>1159.048181617173</v>
      </c>
      <c r="C97">
        <f>_xlfn.XLOOKUP(A97,Energy!A:A,Energy!H:H,0,-1)</f>
        <v>1811.2418612321601</v>
      </c>
      <c r="D97">
        <f t="shared" si="4"/>
        <v>2970.2900428493331</v>
      </c>
      <c r="E97">
        <f>_xlfn.XLOOKUP(A97,Banks!A:A,Banks!I:I,0)</f>
        <v>33358.958761133887</v>
      </c>
      <c r="F97">
        <f>_xlfn.XLOOKUP(A97,Energy!A:A,Energy!I:I,0)</f>
        <v>0</v>
      </c>
      <c r="G97">
        <f t="shared" si="5"/>
        <v>33358.958761133887</v>
      </c>
      <c r="H97">
        <f t="shared" si="6"/>
        <v>30388.668718284553</v>
      </c>
      <c r="I97" t="b">
        <f t="shared" si="7"/>
        <v>0</v>
      </c>
    </row>
    <row r="98" spans="1:9">
      <c r="A98" s="1">
        <v>45965.82916666667</v>
      </c>
      <c r="B98" s="5">
        <f>_xlfn.XLOOKUP(A98,Banks!A:A,Banks!H:H,0,-1)</f>
        <v>1178.490510808211</v>
      </c>
      <c r="C98">
        <f>_xlfn.XLOOKUP(A98,Energy!A:A,Energy!H:H,0,-1)</f>
        <v>1811.2418612321601</v>
      </c>
      <c r="D98">
        <f t="shared" si="4"/>
        <v>2989.732372040371</v>
      </c>
      <c r="E98">
        <f>_xlfn.XLOOKUP(A98,Banks!A:A,Banks!I:I,0)</f>
        <v>33355.070295295693</v>
      </c>
      <c r="F98">
        <f>_xlfn.XLOOKUP(A98,Energy!A:A,Energy!I:I,0)</f>
        <v>0</v>
      </c>
      <c r="G98">
        <f t="shared" si="5"/>
        <v>33355.070295295693</v>
      </c>
      <c r="H98">
        <f t="shared" si="6"/>
        <v>30365.33792325532</v>
      </c>
      <c r="I98" t="b">
        <f t="shared" si="7"/>
        <v>0</v>
      </c>
    </row>
    <row r="99" spans="1:9">
      <c r="A99" s="1">
        <v>45965.829861111109</v>
      </c>
      <c r="B99" s="5">
        <f>_xlfn.XLOOKUP(A99,Banks!A:A,Banks!H:H,0,-1)</f>
        <v>1125.024105532852</v>
      </c>
      <c r="C99">
        <f>_xlfn.XLOOKUP(A99,Energy!A:A,Energy!H:H,0,-1)</f>
        <v>1811.2418612321601</v>
      </c>
      <c r="D99">
        <f t="shared" si="4"/>
        <v>2936.2659667650123</v>
      </c>
      <c r="E99">
        <f>_xlfn.XLOOKUP(A99,Banks!A:A,Banks!I:I,0)</f>
        <v>33365.763576350757</v>
      </c>
      <c r="F99">
        <f>_xlfn.XLOOKUP(A99,Energy!A:A,Energy!I:I,0)</f>
        <v>0</v>
      </c>
      <c r="G99">
        <f t="shared" si="5"/>
        <v>33365.763576350757</v>
      </c>
      <c r="H99">
        <f t="shared" si="6"/>
        <v>30429.497609585746</v>
      </c>
      <c r="I99" t="b">
        <f t="shared" si="7"/>
        <v>0</v>
      </c>
    </row>
    <row r="100" spans="1:9">
      <c r="A100" s="1">
        <v>45965.830555555563</v>
      </c>
      <c r="B100" s="5">
        <f>_xlfn.XLOOKUP(A100,Banks!A:A,Banks!H:H,0,-1)</f>
        <v>1177.7441376751669</v>
      </c>
      <c r="C100">
        <f>_xlfn.XLOOKUP(A100,Energy!A:A,Energy!H:H,0,-1)</f>
        <v>1811.2418612321601</v>
      </c>
      <c r="D100">
        <f t="shared" si="4"/>
        <v>2988.985998907327</v>
      </c>
      <c r="E100">
        <f>_xlfn.XLOOKUP(A100,Banks!A:A,Banks!I:I,0)</f>
        <v>33363.994107624887</v>
      </c>
      <c r="F100">
        <f>_xlfn.XLOOKUP(A100,Energy!A:A,Energy!I:I,0)</f>
        <v>0</v>
      </c>
      <c r="G100">
        <f t="shared" si="5"/>
        <v>33363.994107624887</v>
      </c>
      <c r="H100">
        <f t="shared" si="6"/>
        <v>30375.00810871756</v>
      </c>
      <c r="I100" t="b">
        <f t="shared" si="7"/>
        <v>0</v>
      </c>
    </row>
    <row r="101" spans="1:9">
      <c r="A101" s="1">
        <v>45965.831250000003</v>
      </c>
      <c r="B101" s="5">
        <f>_xlfn.XLOOKUP(A101,Banks!A:A,Banks!H:H,0,-1)</f>
        <v>1174.1004474922599</v>
      </c>
      <c r="C101">
        <f>_xlfn.XLOOKUP(A101,Energy!A:A,Energy!H:H,0,-1)</f>
        <v>1811.2418612321601</v>
      </c>
      <c r="D101">
        <f t="shared" si="4"/>
        <v>2985.34230872442</v>
      </c>
      <c r="E101">
        <f>_xlfn.XLOOKUP(A101,Banks!A:A,Banks!I:I,0)</f>
        <v>33360.673059029497</v>
      </c>
      <c r="F101">
        <f>_xlfn.XLOOKUP(A101,Energy!A:A,Energy!I:I,0)</f>
        <v>0</v>
      </c>
      <c r="G101">
        <f t="shared" si="5"/>
        <v>33360.673059029497</v>
      </c>
      <c r="H101">
        <f t="shared" si="6"/>
        <v>30375.330750305078</v>
      </c>
      <c r="I101" t="b">
        <f t="shared" si="7"/>
        <v>0</v>
      </c>
    </row>
    <row r="102" spans="1:9">
      <c r="A102" s="1">
        <v>45965.831944444442</v>
      </c>
      <c r="B102" s="5">
        <f>_xlfn.XLOOKUP(A102,Banks!A:A,Banks!H:H,0,-1)</f>
        <v>1190.779893628227</v>
      </c>
      <c r="C102">
        <f>_xlfn.XLOOKUP(A102,Energy!A:A,Energy!H:H,0,-1)</f>
        <v>1811.2418612321601</v>
      </c>
      <c r="D102">
        <f t="shared" si="4"/>
        <v>3002.0217548603869</v>
      </c>
      <c r="E102">
        <f>_xlfn.XLOOKUP(A102,Banks!A:A,Banks!I:I,0)</f>
        <v>33345.862774345071</v>
      </c>
      <c r="F102">
        <f>_xlfn.XLOOKUP(A102,Energy!A:A,Energy!I:I,0)</f>
        <v>0</v>
      </c>
      <c r="G102">
        <f t="shared" si="5"/>
        <v>33345.862774345071</v>
      </c>
      <c r="H102">
        <f t="shared" si="6"/>
        <v>30343.841019484684</v>
      </c>
      <c r="I102" t="b">
        <f t="shared" si="7"/>
        <v>0</v>
      </c>
    </row>
    <row r="103" spans="1:9">
      <c r="A103" s="1">
        <v>45965.832638888889</v>
      </c>
      <c r="B103" s="5">
        <f>_xlfn.XLOOKUP(A103,Banks!A:A,Banks!H:H,0,-1)</f>
        <v>1131.034362948064</v>
      </c>
      <c r="C103">
        <f>_xlfn.XLOOKUP(A103,Energy!A:A,Energy!H:H,0,-1)</f>
        <v>1811.2418612321601</v>
      </c>
      <c r="D103">
        <f t="shared" si="4"/>
        <v>2942.2762241802238</v>
      </c>
      <c r="E103">
        <f>_xlfn.XLOOKUP(A103,Banks!A:A,Banks!I:I,0)</f>
        <v>33359.836773797077</v>
      </c>
      <c r="F103">
        <f>_xlfn.XLOOKUP(A103,Energy!A:A,Energy!I:I,0)</f>
        <v>0</v>
      </c>
      <c r="G103">
        <f t="shared" si="5"/>
        <v>33359.836773797077</v>
      </c>
      <c r="H103">
        <f t="shared" si="6"/>
        <v>30417.560549616854</v>
      </c>
      <c r="I103" t="b">
        <f t="shared" si="7"/>
        <v>0</v>
      </c>
    </row>
    <row r="104" spans="1:9">
      <c r="A104" s="1">
        <v>45965.833333333343</v>
      </c>
      <c r="B104" s="5">
        <f>_xlfn.XLOOKUP(A104,Banks!A:A,Banks!H:H,0,-1)</f>
        <v>1092.149704565988</v>
      </c>
      <c r="C104">
        <f>_xlfn.XLOOKUP(A104,Energy!A:A,Energy!H:H,0,-1)</f>
        <v>1811.2418612321601</v>
      </c>
      <c r="D104">
        <f t="shared" si="4"/>
        <v>2903.3915657981479</v>
      </c>
      <c r="E104">
        <f>_xlfn.XLOOKUP(A104,Banks!A:A,Banks!I:I,0)</f>
        <v>33367.613705473501</v>
      </c>
      <c r="F104">
        <f>_xlfn.XLOOKUP(A104,Energy!A:A,Energy!I:I,0)</f>
        <v>0</v>
      </c>
      <c r="G104">
        <f t="shared" si="5"/>
        <v>33367.613705473501</v>
      </c>
      <c r="H104">
        <f t="shared" si="6"/>
        <v>30464.222139675352</v>
      </c>
      <c r="I104" t="b">
        <f t="shared" si="7"/>
        <v>0</v>
      </c>
    </row>
    <row r="105" spans="1:9">
      <c r="A105" s="1">
        <v>45965.834027777782</v>
      </c>
      <c r="B105" s="5">
        <f>_xlfn.XLOOKUP(A105,Banks!A:A,Banks!H:H,0,-1)</f>
        <v>1142.0998674915941</v>
      </c>
      <c r="C105">
        <f>_xlfn.XLOOKUP(A105,Energy!A:A,Energy!H:H,0,-1)</f>
        <v>1811.2418612321601</v>
      </c>
      <c r="D105">
        <f t="shared" si="4"/>
        <v>2953.3417287237544</v>
      </c>
      <c r="E105">
        <f>_xlfn.XLOOKUP(A105,Banks!A:A,Banks!I:I,0)</f>
        <v>33371.122961661596</v>
      </c>
      <c r="F105">
        <f>_xlfn.XLOOKUP(A105,Energy!A:A,Energy!I:I,0)</f>
        <v>0</v>
      </c>
      <c r="G105">
        <f t="shared" si="5"/>
        <v>33371.122961661596</v>
      </c>
      <c r="H105">
        <f t="shared" si="6"/>
        <v>30417.781232937843</v>
      </c>
      <c r="I105" t="b">
        <f t="shared" si="7"/>
        <v>0</v>
      </c>
    </row>
    <row r="106" spans="1:9">
      <c r="A106" s="1">
        <v>45965.834722222222</v>
      </c>
      <c r="B106" s="5">
        <f>_xlfn.XLOOKUP(A106,Banks!A:A,Banks!H:H,0,-1)</f>
        <v>1103.215209109519</v>
      </c>
      <c r="C106">
        <f>_xlfn.XLOOKUP(A106,Energy!A:A,Energy!H:H,0,-1)</f>
        <v>1811.2418612321601</v>
      </c>
      <c r="D106">
        <f t="shared" si="4"/>
        <v>2914.4570703416794</v>
      </c>
      <c r="E106">
        <f>_xlfn.XLOOKUP(A106,Banks!A:A,Banks!I:I,0)</f>
        <v>33378.899893338028</v>
      </c>
      <c r="F106">
        <f>_xlfn.XLOOKUP(A106,Energy!A:A,Energy!I:I,0)</f>
        <v>0</v>
      </c>
      <c r="G106">
        <f t="shared" si="5"/>
        <v>33378.899893338028</v>
      </c>
      <c r="H106">
        <f t="shared" si="6"/>
        <v>30464.442822996349</v>
      </c>
      <c r="I106" t="b">
        <f t="shared" si="7"/>
        <v>0</v>
      </c>
    </row>
    <row r="107" spans="1:9">
      <c r="A107" s="1">
        <v>45965.835416666669</v>
      </c>
      <c r="B107" s="5">
        <f>_xlfn.XLOOKUP(A107,Banks!A:A,Banks!H:H,0,-1)</f>
        <v>1067.0703045262701</v>
      </c>
      <c r="C107">
        <f>_xlfn.XLOOKUP(A107,Energy!A:A,Energy!H:H,0,-1)</f>
        <v>1811.2418612321601</v>
      </c>
      <c r="D107">
        <f t="shared" si="4"/>
        <v>2878.3121657584302</v>
      </c>
      <c r="E107">
        <f>_xlfn.XLOOKUP(A107,Banks!A:A,Banks!I:I,0)</f>
        <v>33372.967067700767</v>
      </c>
      <c r="F107">
        <f>_xlfn.XLOOKUP(A107,Energy!A:A,Energy!I:I,0)</f>
        <v>0</v>
      </c>
      <c r="G107">
        <f t="shared" si="5"/>
        <v>33372.967067700767</v>
      </c>
      <c r="H107">
        <f t="shared" si="6"/>
        <v>30494.654901942336</v>
      </c>
      <c r="I107" t="b">
        <f t="shared" si="7"/>
        <v>0</v>
      </c>
    </row>
    <row r="108" spans="1:9">
      <c r="A108" s="1">
        <v>45965.836111111108</v>
      </c>
      <c r="B108" s="5">
        <f>_xlfn.XLOOKUP(A108,Banks!A:A,Banks!H:H,0,-1)</f>
        <v>1034.696537959082</v>
      </c>
      <c r="C108">
        <f>_xlfn.XLOOKUP(A108,Energy!A:A,Energy!H:H,0,-1)</f>
        <v>1811.2418612321601</v>
      </c>
      <c r="D108">
        <f t="shared" si="4"/>
        <v>2845.9383991912418</v>
      </c>
      <c r="E108">
        <f>_xlfn.XLOOKUP(A108,Banks!A:A,Banks!I:I,0)</f>
        <v>33387.878876497482</v>
      </c>
      <c r="F108">
        <f>_xlfn.XLOOKUP(A108,Energy!A:A,Energy!I:I,0)</f>
        <v>0</v>
      </c>
      <c r="G108">
        <f t="shared" si="5"/>
        <v>33387.878876497482</v>
      </c>
      <c r="H108">
        <f t="shared" si="6"/>
        <v>30541.940477306242</v>
      </c>
      <c r="I108" t="b">
        <f t="shared" si="7"/>
        <v>0</v>
      </c>
    </row>
    <row r="109" spans="1:9">
      <c r="A109" s="1">
        <v>45965.836805555547</v>
      </c>
      <c r="B109" s="5">
        <f>_xlfn.XLOOKUP(A109,Banks!A:A,Banks!H:H,0,-1)</f>
        <v>1003.882734655402</v>
      </c>
      <c r="C109">
        <f>_xlfn.XLOOKUP(A109,Energy!A:A,Energy!H:H,0,-1)</f>
        <v>1811.2418612321601</v>
      </c>
      <c r="D109">
        <f t="shared" si="4"/>
        <v>2815.124595887562</v>
      </c>
      <c r="E109">
        <f>_xlfn.XLOOKUP(A109,Banks!A:A,Banks!I:I,0)</f>
        <v>33385.604581674947</v>
      </c>
      <c r="F109">
        <f>_xlfn.XLOOKUP(A109,Energy!A:A,Energy!I:I,0)</f>
        <v>0</v>
      </c>
      <c r="G109">
        <f t="shared" si="5"/>
        <v>33385.604581674947</v>
      </c>
      <c r="H109">
        <f t="shared" si="6"/>
        <v>30570.479985787384</v>
      </c>
      <c r="I109" t="b">
        <f t="shared" si="7"/>
        <v>0</v>
      </c>
    </row>
    <row r="110" spans="1:9">
      <c r="A110" s="1">
        <v>45965.837500000001</v>
      </c>
      <c r="B110" s="5">
        <f>_xlfn.XLOOKUP(A110,Banks!A:A,Banks!H:H,0,-1)</f>
        <v>1020.0846756479179</v>
      </c>
      <c r="C110">
        <f>_xlfn.XLOOKUP(A110,Energy!A:A,Energy!H:H,0,-1)</f>
        <v>1811.2418612321601</v>
      </c>
      <c r="D110">
        <f t="shared" si="4"/>
        <v>2831.326536880078</v>
      </c>
      <c r="E110">
        <f>_xlfn.XLOOKUP(A110,Banks!A:A,Banks!I:I,0)</f>
        <v>33382.364193476453</v>
      </c>
      <c r="F110">
        <f>_xlfn.XLOOKUP(A110,Energy!A:A,Energy!I:I,0)</f>
        <v>0</v>
      </c>
      <c r="G110">
        <f t="shared" si="5"/>
        <v>33382.364193476453</v>
      </c>
      <c r="H110">
        <f t="shared" si="6"/>
        <v>30551.037656596374</v>
      </c>
      <c r="I110" t="b">
        <f t="shared" si="7"/>
        <v>0</v>
      </c>
    </row>
    <row r="111" spans="1:9">
      <c r="A111" s="1">
        <v>45965.838194444441</v>
      </c>
      <c r="B111" s="5">
        <f>_xlfn.XLOOKUP(A111,Banks!A:A,Banks!H:H,0,-1)</f>
        <v>1047.0160361969799</v>
      </c>
      <c r="C111">
        <f>_xlfn.XLOOKUP(A111,Energy!A:A,Energy!H:H,0,-1)</f>
        <v>1811.2418612321601</v>
      </c>
      <c r="D111">
        <f t="shared" si="4"/>
        <v>2858.25789742914</v>
      </c>
      <c r="E111">
        <f>_xlfn.XLOOKUP(A111,Banks!A:A,Banks!I:I,0)</f>
        <v>33387.102387946557</v>
      </c>
      <c r="F111">
        <f>_xlfn.XLOOKUP(A111,Energy!A:A,Energy!I:I,0)</f>
        <v>0</v>
      </c>
      <c r="G111">
        <f t="shared" si="5"/>
        <v>33387.102387946557</v>
      </c>
      <c r="H111">
        <f t="shared" si="6"/>
        <v>30528.844490517418</v>
      </c>
      <c r="I111" t="b">
        <f t="shared" si="7"/>
        <v>0</v>
      </c>
    </row>
    <row r="112" spans="1:9">
      <c r="A112" s="1">
        <v>45965.838888888888</v>
      </c>
      <c r="B112" s="5">
        <f>_xlfn.XLOOKUP(A112,Banks!A:A,Banks!H:H,0,-1)</f>
        <v>1049.510051262439</v>
      </c>
      <c r="C112">
        <f>_xlfn.XLOOKUP(A112,Energy!A:A,Energy!H:H,0,-1)</f>
        <v>1811.2418612321601</v>
      </c>
      <c r="D112">
        <f t="shared" si="4"/>
        <v>2860.7519124945993</v>
      </c>
      <c r="E112">
        <f>_xlfn.XLOOKUP(A112,Banks!A:A,Banks!I:I,0)</f>
        <v>33395.378122636059</v>
      </c>
      <c r="F112">
        <f>_xlfn.XLOOKUP(A112,Energy!A:A,Energy!I:I,0)</f>
        <v>0</v>
      </c>
      <c r="G112">
        <f t="shared" si="5"/>
        <v>33395.378122636059</v>
      </c>
      <c r="H112">
        <f t="shared" si="6"/>
        <v>30534.626210141461</v>
      </c>
      <c r="I112" t="b">
        <f t="shared" si="7"/>
        <v>0</v>
      </c>
    </row>
    <row r="113" spans="1:9">
      <c r="A113" s="1">
        <v>45965.839583333327</v>
      </c>
      <c r="B113" s="5">
        <f>_xlfn.XLOOKUP(A113,Banks!A:A,Banks!H:H,0,-1)</f>
        <v>1070.505357555347</v>
      </c>
      <c r="C113">
        <f>_xlfn.XLOOKUP(A113,Energy!A:A,Energy!H:H,0,-1)</f>
        <v>1811.2418612321601</v>
      </c>
      <c r="D113">
        <f t="shared" si="4"/>
        <v>2881.7472187875073</v>
      </c>
      <c r="E113">
        <f>_xlfn.XLOOKUP(A113,Banks!A:A,Banks!I:I,0)</f>
        <v>33390.504096938821</v>
      </c>
      <c r="F113">
        <f>_xlfn.XLOOKUP(A113,Energy!A:A,Energy!I:I,0)</f>
        <v>0</v>
      </c>
      <c r="G113">
        <f t="shared" si="5"/>
        <v>33390.504096938821</v>
      </c>
      <c r="H113">
        <f t="shared" si="6"/>
        <v>30508.756878151315</v>
      </c>
      <c r="I113" t="b">
        <f t="shared" si="7"/>
        <v>0</v>
      </c>
    </row>
    <row r="114" spans="1:9">
      <c r="A114" s="1">
        <v>45965.840277777781</v>
      </c>
      <c r="B114" s="5">
        <f>_xlfn.XLOOKUP(A114,Banks!A:A,Banks!H:H,0,-1)</f>
        <v>1060.5895281292451</v>
      </c>
      <c r="C114">
        <f>_xlfn.XLOOKUP(A114,Energy!A:A,Energy!H:H,0,-1)</f>
        <v>1811.2418612321601</v>
      </c>
      <c r="D114">
        <f t="shared" si="4"/>
        <v>2871.8313893614049</v>
      </c>
      <c r="E114">
        <f>_xlfn.XLOOKUP(A114,Banks!A:A,Banks!I:I,0)</f>
        <v>33374.263222980167</v>
      </c>
      <c r="F114">
        <f>_xlfn.XLOOKUP(A114,Energy!A:A,Energy!I:I,0)</f>
        <v>0</v>
      </c>
      <c r="G114">
        <f t="shared" si="5"/>
        <v>33374.263222980167</v>
      </c>
      <c r="H114">
        <f t="shared" si="6"/>
        <v>30502.431833618764</v>
      </c>
      <c r="I114" t="b">
        <f t="shared" si="7"/>
        <v>0</v>
      </c>
    </row>
    <row r="115" spans="1:9">
      <c r="A115" s="1">
        <v>45965.84097222222</v>
      </c>
      <c r="B115" s="5">
        <f>_xlfn.XLOOKUP(A115,Banks!A:A,Banks!H:H,0,-1)</f>
        <v>976.3394349680874</v>
      </c>
      <c r="C115">
        <f>_xlfn.XLOOKUP(A115,Energy!A:A,Energy!H:H,0,-1)</f>
        <v>1811.2418612321601</v>
      </c>
      <c r="D115">
        <f t="shared" si="4"/>
        <v>2787.5812962002474</v>
      </c>
      <c r="E115">
        <f>_xlfn.XLOOKUP(A115,Banks!A:A,Banks!I:I,0)</f>
        <v>33391.113241612409</v>
      </c>
      <c r="F115">
        <f>_xlfn.XLOOKUP(A115,Energy!A:A,Energy!I:I,0)</f>
        <v>0</v>
      </c>
      <c r="G115">
        <f t="shared" si="5"/>
        <v>33391.113241612409</v>
      </c>
      <c r="H115">
        <f t="shared" si="6"/>
        <v>30603.531945412164</v>
      </c>
      <c r="I115" t="b">
        <f t="shared" si="7"/>
        <v>0</v>
      </c>
    </row>
    <row r="116" spans="1:9">
      <c r="A116" s="1">
        <v>45965.841666666667</v>
      </c>
      <c r="B116" s="5">
        <f>_xlfn.XLOOKUP(A116,Banks!A:A,Banks!H:H,0,-1)</f>
        <v>1056.8275470461531</v>
      </c>
      <c r="C116">
        <f>_xlfn.XLOOKUP(A116,Energy!A:A,Energy!H:H,0,-1)</f>
        <v>1811.2418612321601</v>
      </c>
      <c r="D116">
        <f t="shared" si="4"/>
        <v>2868.0694082783129</v>
      </c>
      <c r="E116">
        <f>_xlfn.XLOOKUP(A116,Banks!A:A,Banks!I:I,0)</f>
        <v>33410.451252226529</v>
      </c>
      <c r="F116">
        <f>_xlfn.XLOOKUP(A116,Energy!A:A,Energy!I:I,0)</f>
        <v>0</v>
      </c>
      <c r="G116">
        <f t="shared" si="5"/>
        <v>33410.451252226529</v>
      </c>
      <c r="H116">
        <f t="shared" si="6"/>
        <v>30542.381843948217</v>
      </c>
      <c r="I116" t="b">
        <f t="shared" si="7"/>
        <v>0</v>
      </c>
    </row>
    <row r="117" spans="1:9">
      <c r="A117" s="1">
        <v>45965.842361111107</v>
      </c>
      <c r="B117" s="5">
        <f>_xlfn.XLOOKUP(A117,Banks!A:A,Banks!H:H,0,-1)</f>
        <v>1067.288098613069</v>
      </c>
      <c r="C117">
        <f>_xlfn.XLOOKUP(A117,Energy!A:A,Energy!H:H,0,-1)</f>
        <v>1811.2418612321601</v>
      </c>
      <c r="D117">
        <f t="shared" si="4"/>
        <v>2878.5299598452293</v>
      </c>
      <c r="E117">
        <f>_xlfn.XLOOKUP(A117,Banks!A:A,Banks!I:I,0)</f>
        <v>33415.783750738417</v>
      </c>
      <c r="F117">
        <f>_xlfn.XLOOKUP(A117,Energy!A:A,Energy!I:I,0)</f>
        <v>0</v>
      </c>
      <c r="G117">
        <f t="shared" si="5"/>
        <v>33415.783750738417</v>
      </c>
      <c r="H117">
        <f t="shared" si="6"/>
        <v>30537.253790893188</v>
      </c>
      <c r="I117" t="b">
        <f t="shared" si="7"/>
        <v>0</v>
      </c>
    </row>
    <row r="118" spans="1:9">
      <c r="A118" s="1">
        <v>45965.843055555553</v>
      </c>
      <c r="B118" s="5">
        <f>_xlfn.XLOOKUP(A118,Banks!A:A,Banks!H:H,0,-1)</f>
        <v>1038.1246048265209</v>
      </c>
      <c r="C118">
        <f>_xlfn.XLOOKUP(A118,Energy!A:A,Energy!H:H,0,-1)</f>
        <v>1811.2418612321601</v>
      </c>
      <c r="D118">
        <f t="shared" si="4"/>
        <v>2849.366466058681</v>
      </c>
      <c r="E118">
        <f>_xlfn.XLOOKUP(A118,Banks!A:A,Banks!I:I,0)</f>
        <v>33421.616449495727</v>
      </c>
      <c r="F118">
        <f>_xlfn.XLOOKUP(A118,Energy!A:A,Energy!I:I,0)</f>
        <v>0</v>
      </c>
      <c r="G118">
        <f t="shared" si="5"/>
        <v>33421.616449495727</v>
      </c>
      <c r="H118">
        <f t="shared" si="6"/>
        <v>30572.249983437046</v>
      </c>
      <c r="I118" t="b">
        <f t="shared" si="7"/>
        <v>0</v>
      </c>
    </row>
    <row r="119" spans="1:9">
      <c r="A119" s="1">
        <v>45965.84375</v>
      </c>
      <c r="B119" s="5">
        <f>_xlfn.XLOOKUP(A119,Banks!A:A,Banks!H:H,0,-1)</f>
        <v>1057.761598848123</v>
      </c>
      <c r="C119">
        <f>_xlfn.XLOOKUP(A119,Energy!A:A,Energy!H:H,0,-1)</f>
        <v>1811.2418612321601</v>
      </c>
      <c r="D119">
        <f t="shared" si="4"/>
        <v>2869.0034600802828</v>
      </c>
      <c r="E119">
        <f>_xlfn.XLOOKUP(A119,Banks!A:A,Banks!I:I,0)</f>
        <v>33435.913090535258</v>
      </c>
      <c r="F119">
        <f>_xlfn.XLOOKUP(A119,Energy!A:A,Energy!I:I,0)</f>
        <v>0</v>
      </c>
      <c r="G119">
        <f t="shared" si="5"/>
        <v>33435.913090535258</v>
      </c>
      <c r="H119">
        <f t="shared" si="6"/>
        <v>30566.909630454975</v>
      </c>
      <c r="I119" t="b">
        <f t="shared" si="7"/>
        <v>0</v>
      </c>
    </row>
    <row r="120" spans="1:9">
      <c r="A120" s="1">
        <v>45965.844444444447</v>
      </c>
      <c r="B120" s="5">
        <f>_xlfn.XLOOKUP(A120,Banks!A:A,Banks!H:H,0,-1)</f>
        <v>1048.884139800921</v>
      </c>
      <c r="C120">
        <f>_xlfn.XLOOKUP(A120,Energy!A:A,Energy!H:H,0,-1)</f>
        <v>1811.2418612321601</v>
      </c>
      <c r="D120">
        <f t="shared" si="4"/>
        <v>2860.1260010330811</v>
      </c>
      <c r="E120">
        <f>_xlfn.XLOOKUP(A120,Banks!A:A,Banks!I:I,0)</f>
        <v>33438.026064564037</v>
      </c>
      <c r="F120">
        <f>_xlfn.XLOOKUP(A120,Energy!A:A,Energy!I:I,0)</f>
        <v>0</v>
      </c>
      <c r="G120">
        <f t="shared" si="5"/>
        <v>33438.026064564037</v>
      </c>
      <c r="H120">
        <f t="shared" si="6"/>
        <v>30577.900063530957</v>
      </c>
      <c r="I120" t="b">
        <f t="shared" si="7"/>
        <v>0</v>
      </c>
    </row>
    <row r="121" spans="1:9">
      <c r="A121" s="1">
        <v>45965.845138888893</v>
      </c>
      <c r="B121" s="5">
        <f>_xlfn.XLOOKUP(A121,Banks!A:A,Banks!H:H,0,-1)</f>
        <v>1058.0003514198249</v>
      </c>
      <c r="C121">
        <f>_xlfn.XLOOKUP(A121,Energy!A:A,Energy!H:H,0,-1)</f>
        <v>1811.2418612321601</v>
      </c>
      <c r="D121">
        <f t="shared" si="4"/>
        <v>2869.242212651985</v>
      </c>
      <c r="E121">
        <f>_xlfn.XLOOKUP(A121,Banks!A:A,Banks!I:I,0)</f>
        <v>33430.128142292313</v>
      </c>
      <c r="F121">
        <f>_xlfn.XLOOKUP(A121,Energy!A:A,Energy!I:I,0)</f>
        <v>0</v>
      </c>
      <c r="G121">
        <f t="shared" si="5"/>
        <v>33430.128142292313</v>
      </c>
      <c r="H121">
        <f t="shared" si="6"/>
        <v>30560.885929640328</v>
      </c>
      <c r="I121" t="b">
        <f t="shared" si="7"/>
        <v>0</v>
      </c>
    </row>
    <row r="122" spans="1:9">
      <c r="A122" s="1">
        <v>45965.845833333333</v>
      </c>
      <c r="B122" s="5">
        <f>_xlfn.XLOOKUP(A122,Banks!A:A,Banks!H:H,0,-1)</f>
        <v>1038.356371236604</v>
      </c>
      <c r="C122">
        <f>_xlfn.XLOOKUP(A122,Energy!A:A,Energy!H:H,0,-1)</f>
        <v>1811.2418612321601</v>
      </c>
      <c r="D122">
        <f t="shared" si="4"/>
        <v>2849.5982324687639</v>
      </c>
      <c r="E122">
        <f>_xlfn.XLOOKUP(A122,Banks!A:A,Banks!I:I,0)</f>
        <v>33432.032045012973</v>
      </c>
      <c r="F122">
        <f>_xlfn.XLOOKUP(A122,Energy!A:A,Energy!I:I,0)</f>
        <v>0</v>
      </c>
      <c r="G122">
        <f t="shared" si="5"/>
        <v>33432.032045012973</v>
      </c>
      <c r="H122">
        <f t="shared" si="6"/>
        <v>30582.433812544208</v>
      </c>
      <c r="I122" t="b">
        <f t="shared" si="7"/>
        <v>0</v>
      </c>
    </row>
    <row r="123" spans="1:9">
      <c r="A123" s="1">
        <v>45965.84652777778</v>
      </c>
      <c r="B123" s="5">
        <f>_xlfn.XLOOKUP(A123,Banks!A:A,Banks!H:H,0,-1)</f>
        <v>1009.1928774500381</v>
      </c>
      <c r="C123">
        <f>_xlfn.XLOOKUP(A123,Energy!A:A,Energy!H:H,0,-1)</f>
        <v>1811.2418612321601</v>
      </c>
      <c r="D123">
        <f t="shared" si="4"/>
        <v>2820.4347386821983</v>
      </c>
      <c r="E123">
        <f>_xlfn.XLOOKUP(A123,Banks!A:A,Banks!I:I,0)</f>
        <v>33437.864743770268</v>
      </c>
      <c r="F123">
        <f>_xlfn.XLOOKUP(A123,Energy!A:A,Energy!I:I,0)</f>
        <v>0</v>
      </c>
      <c r="G123">
        <f t="shared" si="5"/>
        <v>33437.864743770268</v>
      </c>
      <c r="H123">
        <f t="shared" si="6"/>
        <v>30617.43000508807</v>
      </c>
      <c r="I123" t="b">
        <f t="shared" si="7"/>
        <v>0</v>
      </c>
    </row>
    <row r="124" spans="1:9">
      <c r="A124" s="1">
        <v>45965.847222222219</v>
      </c>
      <c r="B124" s="5">
        <f>_xlfn.XLOOKUP(A124,Banks!A:A,Banks!H:H,0,-1)</f>
        <v>1007.982971496837</v>
      </c>
      <c r="C124">
        <f>_xlfn.XLOOKUP(A124,Energy!A:A,Energy!H:H,0,-1)</f>
        <v>1811.2418612321601</v>
      </c>
      <c r="D124">
        <f t="shared" si="4"/>
        <v>2819.2248327289972</v>
      </c>
      <c r="E124">
        <f>_xlfn.XLOOKUP(A124,Banks!A:A,Banks!I:I,0)</f>
        <v>33425.957365065013</v>
      </c>
      <c r="F124">
        <f>_xlfn.XLOOKUP(A124,Energy!A:A,Energy!I:I,0)</f>
        <v>0</v>
      </c>
      <c r="G124">
        <f t="shared" si="5"/>
        <v>33425.957365065013</v>
      </c>
      <c r="H124">
        <f t="shared" si="6"/>
        <v>30606.732532336016</v>
      </c>
      <c r="I124" t="b">
        <f t="shared" si="7"/>
        <v>0</v>
      </c>
    </row>
    <row r="125" spans="1:9">
      <c r="A125" s="1">
        <v>45965.847916666673</v>
      </c>
      <c r="B125" s="5">
        <f>_xlfn.XLOOKUP(A125,Banks!A:A,Banks!H:H,0,-1)</f>
        <v>1026.1968439449049</v>
      </c>
      <c r="C125">
        <f>_xlfn.XLOOKUP(A125,Energy!A:A,Energy!H:H,0,-1)</f>
        <v>1811.2418612321601</v>
      </c>
      <c r="D125">
        <f t="shared" si="4"/>
        <v>2837.438705177065</v>
      </c>
      <c r="E125">
        <f>_xlfn.XLOOKUP(A125,Banks!A:A,Banks!I:I,0)</f>
        <v>33414.0462762018</v>
      </c>
      <c r="F125">
        <f>_xlfn.XLOOKUP(A125,Energy!A:A,Energy!I:I,0)</f>
        <v>0</v>
      </c>
      <c r="G125">
        <f t="shared" si="5"/>
        <v>33414.0462762018</v>
      </c>
      <c r="H125">
        <f t="shared" si="6"/>
        <v>30576.607571024735</v>
      </c>
      <c r="I125" t="b">
        <f t="shared" si="7"/>
        <v>0</v>
      </c>
    </row>
    <row r="126" spans="1:9">
      <c r="A126" s="1">
        <v>45965.848611111112</v>
      </c>
      <c r="B126" s="5">
        <f>_xlfn.XLOOKUP(A126,Banks!A:A,Banks!H:H,0,-1)</f>
        <v>1023.568394884645</v>
      </c>
      <c r="C126">
        <f>_xlfn.XLOOKUP(A126,Energy!A:A,Energy!H:H,0,-1)</f>
        <v>1811.2418612321601</v>
      </c>
      <c r="D126">
        <f t="shared" si="4"/>
        <v>2834.8102561168052</v>
      </c>
      <c r="E126">
        <f>_xlfn.XLOOKUP(A126,Banks!A:A,Banks!I:I,0)</f>
        <v>33404.447499433933</v>
      </c>
      <c r="F126">
        <f>_xlfn.XLOOKUP(A126,Energy!A:A,Energy!I:I,0)</f>
        <v>0</v>
      </c>
      <c r="G126">
        <f t="shared" si="5"/>
        <v>33404.447499433933</v>
      </c>
      <c r="H126">
        <f t="shared" si="6"/>
        <v>30569.637243317127</v>
      </c>
      <c r="I126" t="b">
        <f t="shared" si="7"/>
        <v>0</v>
      </c>
    </row>
    <row r="127" spans="1:9">
      <c r="A127" s="1">
        <v>45965.849305555559</v>
      </c>
      <c r="B127" s="5">
        <f>_xlfn.XLOOKUP(A127,Banks!A:A,Banks!H:H,0,-1)</f>
        <v>1102.760833222311</v>
      </c>
      <c r="C127">
        <f>_xlfn.XLOOKUP(A127,Energy!A:A,Energy!H:H,0,-1)</f>
        <v>1811.2418612321601</v>
      </c>
      <c r="D127">
        <f t="shared" si="4"/>
        <v>2914.0026944544711</v>
      </c>
      <c r="E127">
        <f>_xlfn.XLOOKUP(A127,Banks!A:A,Banks!I:I,0)</f>
        <v>33415.101365983857</v>
      </c>
      <c r="F127">
        <f>_xlfn.XLOOKUP(A127,Energy!A:A,Energy!I:I,0)</f>
        <v>0</v>
      </c>
      <c r="G127">
        <f t="shared" si="5"/>
        <v>33415.101365983857</v>
      </c>
      <c r="H127">
        <f t="shared" si="6"/>
        <v>30501.098671529388</v>
      </c>
      <c r="I127" t="b">
        <f t="shared" si="7"/>
        <v>0</v>
      </c>
    </row>
    <row r="128" spans="1:9">
      <c r="A128" s="1">
        <v>45965.85</v>
      </c>
      <c r="B128" s="5">
        <f>_xlfn.XLOOKUP(A128,Banks!A:A,Banks!H:H,0,-1)</f>
        <v>1018.408290451018</v>
      </c>
      <c r="C128">
        <f>_xlfn.XLOOKUP(A128,Energy!A:A,Energy!H:H,0,-1)</f>
        <v>1811.2418612321601</v>
      </c>
      <c r="D128">
        <f t="shared" si="4"/>
        <v>2829.6501516831781</v>
      </c>
      <c r="E128">
        <f>_xlfn.XLOOKUP(A128,Banks!A:A,Banks!I:I,0)</f>
        <v>0</v>
      </c>
      <c r="F128">
        <f>_xlfn.XLOOKUP(A128,Energy!A:A,Energy!I:I,0)</f>
        <v>0</v>
      </c>
      <c r="G128">
        <f t="shared" si="5"/>
        <v>0</v>
      </c>
      <c r="H128">
        <f t="shared" si="6"/>
        <v>-2829.6501516831781</v>
      </c>
      <c r="I128" t="b">
        <f t="shared" si="7"/>
        <v>0</v>
      </c>
    </row>
    <row r="129" spans="1:9">
      <c r="A129" s="1">
        <v>45965.864583333343</v>
      </c>
      <c r="B129" s="5">
        <f>_xlfn.XLOOKUP(A129,Banks!A:A,Banks!H:H,0,-1)</f>
        <v>1018.408290451018</v>
      </c>
      <c r="C129">
        <f>_xlfn.XLOOKUP(A129,Energy!A:A,Energy!H:H,0,-1)</f>
        <v>1811.2418612321601</v>
      </c>
      <c r="D129">
        <f t="shared" si="4"/>
        <v>2829.6501516831781</v>
      </c>
      <c r="E129">
        <f>_xlfn.XLOOKUP(A129,Banks!A:A,Banks!I:I,0)</f>
        <v>33348.602962298159</v>
      </c>
      <c r="F129">
        <f>_xlfn.XLOOKUP(A129,Energy!A:A,Energy!I:I,0)</f>
        <v>0</v>
      </c>
      <c r="G129">
        <f t="shared" si="5"/>
        <v>33348.602962298159</v>
      </c>
      <c r="H129">
        <f t="shared" si="6"/>
        <v>30518.952810614981</v>
      </c>
      <c r="I129" t="b">
        <f t="shared" si="7"/>
        <v>0</v>
      </c>
    </row>
    <row r="130" spans="1:9">
      <c r="A130" s="1">
        <v>45965.865277777782</v>
      </c>
      <c r="B130" s="5">
        <f>_xlfn.XLOOKUP(A130,Banks!A:A,Banks!H:H,0,-1)</f>
        <v>994.14963503849231</v>
      </c>
      <c r="C130">
        <f>_xlfn.XLOOKUP(A130,Energy!A:A,Energy!H:H,0,-1)</f>
        <v>1811.2418612321601</v>
      </c>
      <c r="D130">
        <f t="shared" si="4"/>
        <v>2805.3914962706522</v>
      </c>
      <c r="E130">
        <f>_xlfn.XLOOKUP(A130,Banks!A:A,Banks!I:I,0)</f>
        <v>33321.83130342247</v>
      </c>
      <c r="F130">
        <f>_xlfn.XLOOKUP(A130,Energy!A:A,Energy!I:I,0)</f>
        <v>0</v>
      </c>
      <c r="G130">
        <f t="shared" si="5"/>
        <v>33321.83130342247</v>
      </c>
      <c r="H130">
        <f t="shared" si="6"/>
        <v>30516.439807151819</v>
      </c>
      <c r="I130" t="b">
        <f t="shared" si="7"/>
        <v>0</v>
      </c>
    </row>
    <row r="131" spans="1:9">
      <c r="A131" s="1">
        <v>45965.865972222222</v>
      </c>
      <c r="B131" s="5">
        <f>_xlfn.XLOOKUP(A131,Banks!A:A,Banks!H:H,0,-1)</f>
        <v>1071.5140860732449</v>
      </c>
      <c r="C131">
        <f>_xlfn.XLOOKUP(A131,Energy!A:A,Energy!H:H,0,-1)</f>
        <v>1811.2418612321601</v>
      </c>
      <c r="D131">
        <f t="shared" ref="D131:D194" si="8">B131+C131</f>
        <v>2882.7559473054052</v>
      </c>
      <c r="E131">
        <f>_xlfn.XLOOKUP(A131,Banks!A:A,Banks!I:I,0)</f>
        <v>33306.358413215523</v>
      </c>
      <c r="F131">
        <f>_xlfn.XLOOKUP(A131,Energy!A:A,Energy!I:I,0)</f>
        <v>0</v>
      </c>
      <c r="G131">
        <f t="shared" ref="G131:G194" si="9">F131+E131</f>
        <v>33306.358413215523</v>
      </c>
      <c r="H131">
        <f t="shared" ref="H131:H194" si="10">G131-D131</f>
        <v>30423.602465910117</v>
      </c>
      <c r="I131" t="b">
        <f t="shared" ref="I131:I194" si="11">AND(E131&gt;0,F131&gt;0)</f>
        <v>0</v>
      </c>
    </row>
    <row r="132" spans="1:9">
      <c r="A132" s="1">
        <v>45965.866666666669</v>
      </c>
      <c r="B132" s="5">
        <f>_xlfn.XLOOKUP(A132,Banks!A:A,Banks!H:H,0,-1)</f>
        <v>1076.557389542329</v>
      </c>
      <c r="C132">
        <f>_xlfn.XLOOKUP(A132,Energy!A:A,Energy!H:H,0,-1)</f>
        <v>1811.2418612321601</v>
      </c>
      <c r="D132">
        <f t="shared" si="8"/>
        <v>2887.7992507744893</v>
      </c>
      <c r="E132">
        <f>_xlfn.XLOOKUP(A132,Banks!A:A,Banks!I:I,0)</f>
        <v>33299.630628805862</v>
      </c>
      <c r="F132">
        <f>_xlfn.XLOOKUP(A132,Energy!A:A,Energy!I:I,0)</f>
        <v>0</v>
      </c>
      <c r="G132">
        <f t="shared" si="9"/>
        <v>33299.630628805862</v>
      </c>
      <c r="H132">
        <f t="shared" si="10"/>
        <v>30411.831378031373</v>
      </c>
      <c r="I132" t="b">
        <f t="shared" si="11"/>
        <v>0</v>
      </c>
    </row>
    <row r="133" spans="1:9">
      <c r="A133" s="1">
        <v>45965.867361111108</v>
      </c>
      <c r="B133" s="5">
        <f>_xlfn.XLOOKUP(A133,Banks!A:A,Banks!H:H,0,-1)</f>
        <v>1041.218479308219</v>
      </c>
      <c r="C133">
        <f>_xlfn.XLOOKUP(A133,Energy!A:A,Energy!H:H,0,-1)</f>
        <v>1811.2418612321601</v>
      </c>
      <c r="D133">
        <f t="shared" si="8"/>
        <v>2852.4603405403791</v>
      </c>
      <c r="E133">
        <f>_xlfn.XLOOKUP(A133,Banks!A:A,Banks!I:I,0)</f>
        <v>33253.88062124166</v>
      </c>
      <c r="F133">
        <f>_xlfn.XLOOKUP(A133,Energy!A:A,Energy!I:I,0)</f>
        <v>0</v>
      </c>
      <c r="G133">
        <f t="shared" si="9"/>
        <v>33253.88062124166</v>
      </c>
      <c r="H133">
        <f t="shared" si="10"/>
        <v>30401.420280701281</v>
      </c>
      <c r="I133" t="b">
        <f t="shared" si="11"/>
        <v>0</v>
      </c>
    </row>
    <row r="134" spans="1:9">
      <c r="A134" s="1">
        <v>45965.868055555547</v>
      </c>
      <c r="B134" s="5">
        <f>_xlfn.XLOOKUP(A134,Banks!A:A,Banks!H:H,0,-1)</f>
        <v>1007.025817235688</v>
      </c>
      <c r="C134">
        <f>_xlfn.XLOOKUP(A134,Energy!A:A,Energy!H:H,0,-1)</f>
        <v>1811.2418612321601</v>
      </c>
      <c r="D134">
        <f t="shared" si="8"/>
        <v>2818.2676784678479</v>
      </c>
      <c r="E134">
        <f>_xlfn.XLOOKUP(A134,Banks!A:A,Banks!I:I,0)</f>
        <v>33272.830239172072</v>
      </c>
      <c r="F134">
        <f>_xlfn.XLOOKUP(A134,Energy!A:A,Energy!I:I,0)</f>
        <v>0</v>
      </c>
      <c r="G134">
        <f t="shared" si="9"/>
        <v>33272.830239172072</v>
      </c>
      <c r="H134">
        <f t="shared" si="10"/>
        <v>30454.562560704224</v>
      </c>
      <c r="I134" t="b">
        <f t="shared" si="11"/>
        <v>0</v>
      </c>
    </row>
    <row r="135" spans="1:9">
      <c r="A135" s="1">
        <v>45965.868750000001</v>
      </c>
      <c r="B135" s="5">
        <f>_xlfn.XLOOKUP(A135,Banks!A:A,Banks!H:H,0,-1)</f>
        <v>1087.9792917010609</v>
      </c>
      <c r="C135">
        <f>_xlfn.XLOOKUP(A135,Energy!A:A,Energy!H:H,0,-1)</f>
        <v>1811.2418612321601</v>
      </c>
      <c r="D135">
        <f t="shared" si="8"/>
        <v>2899.2211529332208</v>
      </c>
      <c r="E135">
        <f>_xlfn.XLOOKUP(A135,Banks!A:A,Banks!I:I,0)</f>
        <v>0</v>
      </c>
      <c r="F135">
        <f>_xlfn.XLOOKUP(A135,Energy!A:A,Energy!I:I,0)</f>
        <v>0</v>
      </c>
      <c r="G135">
        <f t="shared" si="9"/>
        <v>0</v>
      </c>
      <c r="H135">
        <f t="shared" si="10"/>
        <v>-2899.2211529332208</v>
      </c>
      <c r="I135" t="b">
        <f t="shared" si="11"/>
        <v>0</v>
      </c>
    </row>
    <row r="136" spans="1:9">
      <c r="A136" s="1">
        <v>45966.811805555553</v>
      </c>
      <c r="B136" s="5">
        <f>_xlfn.XLOOKUP(A136,Banks!A:A,Banks!H:H,0,-1)</f>
        <v>1087.9792917010609</v>
      </c>
      <c r="C136">
        <f>_xlfn.XLOOKUP(A136,Energy!A:A,Energy!H:H,0,-1)</f>
        <v>1811.2418612321601</v>
      </c>
      <c r="D136">
        <f t="shared" si="8"/>
        <v>2899.2211529332208</v>
      </c>
      <c r="E136">
        <f>_xlfn.XLOOKUP(A136,Banks!A:A,Banks!I:I,0)</f>
        <v>0</v>
      </c>
      <c r="F136">
        <f>_xlfn.XLOOKUP(A136,Energy!A:A,Energy!I:I,0)</f>
        <v>32001.827912485249</v>
      </c>
      <c r="G136">
        <f t="shared" si="9"/>
        <v>32001.827912485249</v>
      </c>
      <c r="H136">
        <f t="shared" si="10"/>
        <v>29102.606759552029</v>
      </c>
      <c r="I136" t="b">
        <f t="shared" si="11"/>
        <v>0</v>
      </c>
    </row>
    <row r="137" spans="1:9">
      <c r="A137" s="1">
        <v>45966.8125</v>
      </c>
      <c r="B137" s="5">
        <f>_xlfn.XLOOKUP(A137,Banks!A:A,Banks!H:H,0,-1)</f>
        <v>1087.9792917010609</v>
      </c>
      <c r="C137">
        <f>_xlfn.XLOOKUP(A137,Energy!A:A,Energy!H:H,0,-1)</f>
        <v>1804.831777341524</v>
      </c>
      <c r="D137">
        <f t="shared" si="8"/>
        <v>2892.8110690425847</v>
      </c>
      <c r="E137">
        <f>_xlfn.XLOOKUP(A137,Banks!A:A,Banks!I:I,0)</f>
        <v>0</v>
      </c>
      <c r="F137">
        <f>_xlfn.XLOOKUP(A137,Energy!A:A,Energy!I:I,0)</f>
        <v>32009.290976599121</v>
      </c>
      <c r="G137">
        <f t="shared" si="9"/>
        <v>32009.290976599121</v>
      </c>
      <c r="H137">
        <f t="shared" si="10"/>
        <v>29116.479907556535</v>
      </c>
      <c r="I137" t="b">
        <f t="shared" si="11"/>
        <v>0</v>
      </c>
    </row>
    <row r="138" spans="1:9">
      <c r="A138" s="1">
        <v>45966.813194444447</v>
      </c>
      <c r="B138" s="5">
        <f>_xlfn.XLOOKUP(A138,Banks!A:A,Banks!H:H,0,-1)</f>
        <v>1087.9792917010609</v>
      </c>
      <c r="C138">
        <f>_xlfn.XLOOKUP(A138,Energy!A:A,Energy!H:H,0,-1)</f>
        <v>1890.627483104063</v>
      </c>
      <c r="D138">
        <f t="shared" si="8"/>
        <v>2978.6067748051237</v>
      </c>
      <c r="E138">
        <f>_xlfn.XLOOKUP(A138,Banks!A:A,Banks!I:I,0)</f>
        <v>0</v>
      </c>
      <c r="F138">
        <f>_xlfn.XLOOKUP(A138,Energy!A:A,Energy!I:I,0)</f>
        <v>32014.207004502841</v>
      </c>
      <c r="G138">
        <f t="shared" si="9"/>
        <v>32014.207004502841</v>
      </c>
      <c r="H138">
        <f t="shared" si="10"/>
        <v>29035.600229697717</v>
      </c>
      <c r="I138" t="b">
        <f t="shared" si="11"/>
        <v>0</v>
      </c>
    </row>
    <row r="139" spans="1:9">
      <c r="A139" s="1">
        <v>45966.813888888893</v>
      </c>
      <c r="B139" s="5">
        <f>_xlfn.XLOOKUP(A139,Banks!A:A,Banks!H:H,0,-1)</f>
        <v>1087.9792917010609</v>
      </c>
      <c r="C139">
        <f>_xlfn.XLOOKUP(A139,Energy!A:A,Energy!H:H,0,-1)</f>
        <v>1912.490185334063</v>
      </c>
      <c r="D139">
        <f t="shared" si="8"/>
        <v>3000.4694770351239</v>
      </c>
      <c r="E139">
        <f>_xlfn.XLOOKUP(A139,Banks!A:A,Banks!I:I,0)</f>
        <v>0</v>
      </c>
      <c r="F139">
        <f>_xlfn.XLOOKUP(A139,Energy!A:A,Energy!I:I,0)</f>
        <v>32009.834464056839</v>
      </c>
      <c r="G139">
        <f t="shared" si="9"/>
        <v>32009.834464056839</v>
      </c>
      <c r="H139">
        <f t="shared" si="10"/>
        <v>29009.364987021716</v>
      </c>
      <c r="I139" t="b">
        <f t="shared" si="11"/>
        <v>0</v>
      </c>
    </row>
    <row r="140" spans="1:9">
      <c r="A140" s="1">
        <v>45966.814583333333</v>
      </c>
      <c r="B140" s="5">
        <f>_xlfn.XLOOKUP(A140,Banks!A:A,Banks!H:H,0,-1)</f>
        <v>1087.9792917010609</v>
      </c>
      <c r="C140">
        <f>_xlfn.XLOOKUP(A140,Energy!A:A,Energy!H:H,0,-1)</f>
        <v>1978.4182389459979</v>
      </c>
      <c r="D140">
        <f t="shared" si="8"/>
        <v>3066.3975306470588</v>
      </c>
      <c r="E140">
        <f>_xlfn.XLOOKUP(A140,Banks!A:A,Banks!I:I,0)</f>
        <v>0</v>
      </c>
      <c r="F140">
        <f>_xlfn.XLOOKUP(A140,Energy!A:A,Energy!I:I,0)</f>
        <v>32010.776961530431</v>
      </c>
      <c r="G140">
        <f t="shared" si="9"/>
        <v>32010.776961530431</v>
      </c>
      <c r="H140">
        <f t="shared" si="10"/>
        <v>28944.379430883371</v>
      </c>
      <c r="I140" t="b">
        <f t="shared" si="11"/>
        <v>0</v>
      </c>
    </row>
    <row r="141" spans="1:9">
      <c r="A141" s="1">
        <v>45966.81527777778</v>
      </c>
      <c r="B141" s="5">
        <f>_xlfn.XLOOKUP(A141,Banks!A:A,Banks!H:H,0,-1)</f>
        <v>1087.9792917010609</v>
      </c>
      <c r="C141">
        <f>_xlfn.XLOOKUP(A141,Energy!A:A,Energy!H:H,0,-1)</f>
        <v>2017.686116229502</v>
      </c>
      <c r="D141">
        <f t="shared" si="8"/>
        <v>3105.6654079305627</v>
      </c>
      <c r="E141">
        <f>_xlfn.XLOOKUP(A141,Banks!A:A,Banks!I:I,0)</f>
        <v>0</v>
      </c>
      <c r="F141">
        <f>_xlfn.XLOOKUP(A141,Energy!A:A,Energy!I:I,0)</f>
        <v>31999.391359024728</v>
      </c>
      <c r="G141">
        <f t="shared" si="9"/>
        <v>31999.391359024728</v>
      </c>
      <c r="H141">
        <f t="shared" si="10"/>
        <v>28893.725951094166</v>
      </c>
      <c r="I141" t="b">
        <f t="shared" si="11"/>
        <v>0</v>
      </c>
    </row>
    <row r="142" spans="1:9">
      <c r="A142" s="1">
        <v>45966.815972222219</v>
      </c>
      <c r="B142" s="5">
        <f>_xlfn.XLOOKUP(A142,Banks!A:A,Banks!H:H,0,-1)</f>
        <v>1087.9792917010609</v>
      </c>
      <c r="C142">
        <f>_xlfn.XLOOKUP(A142,Energy!A:A,Energy!H:H,0,-1)</f>
        <v>2074.529142027488</v>
      </c>
      <c r="D142">
        <f t="shared" si="8"/>
        <v>3162.5084337285489</v>
      </c>
      <c r="E142">
        <f>_xlfn.XLOOKUP(A142,Banks!A:A,Banks!I:I,0)</f>
        <v>0</v>
      </c>
      <c r="F142">
        <f>_xlfn.XLOOKUP(A142,Energy!A:A,Energy!I:I,0)</f>
        <v>31988.022753865131</v>
      </c>
      <c r="G142">
        <f t="shared" si="9"/>
        <v>31988.022753865131</v>
      </c>
      <c r="H142">
        <f t="shared" si="10"/>
        <v>28825.514320136583</v>
      </c>
      <c r="I142" t="b">
        <f t="shared" si="11"/>
        <v>0</v>
      </c>
    </row>
    <row r="143" spans="1:9">
      <c r="A143" s="1">
        <v>45966.816666666673</v>
      </c>
      <c r="B143" s="5">
        <f>_xlfn.XLOOKUP(A143,Banks!A:A,Banks!H:H,0,-1)</f>
        <v>1087.9792917010609</v>
      </c>
      <c r="C143">
        <f>_xlfn.XLOOKUP(A143,Energy!A:A,Energy!H:H,0,-1)</f>
        <v>1999.3885805058469</v>
      </c>
      <c r="D143">
        <f t="shared" si="8"/>
        <v>3087.367872206908</v>
      </c>
      <c r="E143">
        <f>_xlfn.XLOOKUP(A143,Banks!A:A,Banks!I:I,0)</f>
        <v>0</v>
      </c>
      <c r="F143">
        <f>_xlfn.XLOOKUP(A143,Energy!A:A,Energy!I:I,0)</f>
        <v>31969.496609204009</v>
      </c>
      <c r="G143">
        <f t="shared" si="9"/>
        <v>31969.496609204009</v>
      </c>
      <c r="H143">
        <f t="shared" si="10"/>
        <v>28882.1287369971</v>
      </c>
      <c r="I143" t="b">
        <f t="shared" si="11"/>
        <v>0</v>
      </c>
    </row>
    <row r="144" spans="1:9">
      <c r="A144" s="1">
        <v>45966.817361111112</v>
      </c>
      <c r="B144" s="5">
        <f>_xlfn.XLOOKUP(A144,Banks!A:A,Banks!H:H,0,-1)</f>
        <v>1087.9792917010609</v>
      </c>
      <c r="C144">
        <f>_xlfn.XLOOKUP(A144,Energy!A:A,Energy!H:H,0,-1)</f>
        <v>2034.368904073845</v>
      </c>
      <c r="D144">
        <f t="shared" si="8"/>
        <v>3122.3481957749059</v>
      </c>
      <c r="E144">
        <f>_xlfn.XLOOKUP(A144,Banks!A:A,Banks!I:I,0)</f>
        <v>0</v>
      </c>
      <c r="F144">
        <f>_xlfn.XLOOKUP(A144,Energy!A:A,Energy!I:I,0)</f>
        <v>31962.500544490409</v>
      </c>
      <c r="G144">
        <f t="shared" si="9"/>
        <v>31962.500544490409</v>
      </c>
      <c r="H144">
        <f t="shared" si="10"/>
        <v>28840.152348715503</v>
      </c>
      <c r="I144" t="b">
        <f t="shared" si="11"/>
        <v>0</v>
      </c>
    </row>
    <row r="145" spans="1:9">
      <c r="A145" s="1">
        <v>45966.818055555559</v>
      </c>
      <c r="B145" s="5">
        <f>_xlfn.XLOOKUP(A145,Banks!A:A,Banks!H:H,0,-1)</f>
        <v>1087.9792917010609</v>
      </c>
      <c r="C145">
        <f>_xlfn.XLOOKUP(A145,Energy!A:A,Energy!H:H,0,-1)</f>
        <v>2056.1891129386008</v>
      </c>
      <c r="D145">
        <f t="shared" si="8"/>
        <v>3144.1684046396617</v>
      </c>
      <c r="E145">
        <f>_xlfn.XLOOKUP(A145,Banks!A:A,Banks!I:I,0)</f>
        <v>0</v>
      </c>
      <c r="F145">
        <f>_xlfn.XLOOKUP(A145,Energy!A:A,Energy!I:I,0)</f>
        <v>31956.370489192959</v>
      </c>
      <c r="G145">
        <f t="shared" si="9"/>
        <v>31956.370489192959</v>
      </c>
      <c r="H145">
        <f t="shared" si="10"/>
        <v>28812.202084553297</v>
      </c>
      <c r="I145" t="b">
        <f t="shared" si="11"/>
        <v>0</v>
      </c>
    </row>
    <row r="146" spans="1:9">
      <c r="A146" s="1">
        <v>45966.818749999999</v>
      </c>
      <c r="B146" s="5">
        <f>_xlfn.XLOOKUP(A146,Banks!A:A,Banks!H:H,0,-1)</f>
        <v>1087.9792917010609</v>
      </c>
      <c r="C146">
        <f>_xlfn.XLOOKUP(A146,Energy!A:A,Energy!H:H,0,-1)</f>
        <v>2092.4701690830789</v>
      </c>
      <c r="D146">
        <f t="shared" si="8"/>
        <v>3180.4494607841398</v>
      </c>
      <c r="E146">
        <f>_xlfn.XLOOKUP(A146,Banks!A:A,Banks!I:I,0)</f>
        <v>0</v>
      </c>
      <c r="F146">
        <f>_xlfn.XLOOKUP(A146,Energy!A:A,Energy!I:I,0)</f>
        <v>0</v>
      </c>
      <c r="G146">
        <f t="shared" si="9"/>
        <v>0</v>
      </c>
      <c r="H146">
        <f t="shared" si="10"/>
        <v>-3180.4494607841398</v>
      </c>
      <c r="I146" t="b">
        <f t="shared" si="11"/>
        <v>0</v>
      </c>
    </row>
    <row r="147" spans="1:9">
      <c r="A147" s="1">
        <v>45967.604861111111</v>
      </c>
      <c r="B147" s="5">
        <f>_xlfn.XLOOKUP(A147,Banks!A:A,Banks!H:H,0,-1)</f>
        <v>1087.9792917010609</v>
      </c>
      <c r="C147">
        <f>_xlfn.XLOOKUP(A147,Energy!A:A,Energy!H:H,0,-1)</f>
        <v>2092.4701690830789</v>
      </c>
      <c r="D147">
        <f t="shared" si="8"/>
        <v>3180.4494607841398</v>
      </c>
      <c r="E147">
        <f>_xlfn.XLOOKUP(A147,Banks!A:A,Banks!I:I,0)</f>
        <v>0</v>
      </c>
      <c r="F147">
        <f>_xlfn.XLOOKUP(A147,Energy!A:A,Energy!I:I,0)</f>
        <v>32001.827912485249</v>
      </c>
      <c r="G147">
        <f t="shared" si="9"/>
        <v>32001.827912485249</v>
      </c>
      <c r="H147">
        <f t="shared" si="10"/>
        <v>28821.378451701108</v>
      </c>
      <c r="I147" t="b">
        <f t="shared" si="11"/>
        <v>0</v>
      </c>
    </row>
    <row r="148" spans="1:9">
      <c r="A148" s="1">
        <v>45967.605555555558</v>
      </c>
      <c r="B148" s="5">
        <f>_xlfn.XLOOKUP(A148,Banks!A:A,Banks!H:H,0,-1)</f>
        <v>1087.9792917010609</v>
      </c>
      <c r="C148">
        <f>_xlfn.XLOOKUP(A148,Energy!A:A,Energy!H:H,0,-1)</f>
        <v>2099.5240888185531</v>
      </c>
      <c r="D148">
        <f t="shared" si="8"/>
        <v>3187.503380519614</v>
      </c>
      <c r="E148">
        <f>_xlfn.XLOOKUP(A148,Banks!A:A,Banks!I:I,0)</f>
        <v>0</v>
      </c>
      <c r="F148">
        <f>_xlfn.XLOOKUP(A148,Energy!A:A,Energy!I:I,0)</f>
        <v>32028.534165705369</v>
      </c>
      <c r="G148">
        <f t="shared" si="9"/>
        <v>32028.534165705369</v>
      </c>
      <c r="H148">
        <f t="shared" si="10"/>
        <v>28841.030785185754</v>
      </c>
      <c r="I148" t="b">
        <f t="shared" si="11"/>
        <v>0</v>
      </c>
    </row>
    <row r="149" spans="1:9">
      <c r="A149" s="1">
        <v>45967.606249999997</v>
      </c>
      <c r="B149" s="5">
        <f>_xlfn.XLOOKUP(A149,Banks!A:A,Banks!H:H,0,-1)</f>
        <v>1087.9792917010609</v>
      </c>
      <c r="C149">
        <f>_xlfn.XLOOKUP(A149,Energy!A:A,Energy!H:H,0,-1)</f>
        <v>2083.6789001799771</v>
      </c>
      <c r="D149">
        <f t="shared" si="8"/>
        <v>3171.658191881038</v>
      </c>
      <c r="E149">
        <f>_xlfn.XLOOKUP(A149,Banks!A:A,Banks!I:I,0)</f>
        <v>0</v>
      </c>
      <c r="F149">
        <f>_xlfn.XLOOKUP(A149,Energy!A:A,Energy!I:I,0)</f>
        <v>32119.568944580609</v>
      </c>
      <c r="G149">
        <f t="shared" si="9"/>
        <v>32119.568944580609</v>
      </c>
      <c r="H149">
        <f t="shared" si="10"/>
        <v>28947.910752699572</v>
      </c>
      <c r="I149" t="b">
        <f t="shared" si="11"/>
        <v>0</v>
      </c>
    </row>
    <row r="150" spans="1:9">
      <c r="A150" s="1">
        <v>45967.606944444437</v>
      </c>
      <c r="B150" s="5">
        <f>_xlfn.XLOOKUP(A150,Banks!A:A,Banks!H:H,0,-1)</f>
        <v>1087.9792917010609</v>
      </c>
      <c r="C150">
        <f>_xlfn.XLOOKUP(A150,Energy!A:A,Energy!H:H,0,-1)</f>
        <v>2354.7507284182748</v>
      </c>
      <c r="D150">
        <f t="shared" si="8"/>
        <v>3442.7300201193357</v>
      </c>
      <c r="E150">
        <f>_xlfn.XLOOKUP(A150,Banks!A:A,Banks!I:I,0)</f>
        <v>0</v>
      </c>
      <c r="F150">
        <f>_xlfn.XLOOKUP(A150,Energy!A:A,Energy!I:I,0)</f>
        <v>32102.25819021491</v>
      </c>
      <c r="G150">
        <f t="shared" si="9"/>
        <v>32102.25819021491</v>
      </c>
      <c r="H150">
        <f t="shared" si="10"/>
        <v>28659.528170095575</v>
      </c>
      <c r="I150" t="b">
        <f t="shared" si="11"/>
        <v>0</v>
      </c>
    </row>
    <row r="151" spans="1:9">
      <c r="A151" s="1">
        <v>45967.607638888891</v>
      </c>
      <c r="B151" s="5">
        <f>_xlfn.XLOOKUP(A151,Banks!A:A,Banks!H:H,0,-1)</f>
        <v>1087.9792917010609</v>
      </c>
      <c r="C151">
        <f>_xlfn.XLOOKUP(A151,Energy!A:A,Energy!H:H,0,-1)</f>
        <v>2107.729981614656</v>
      </c>
      <c r="D151">
        <f t="shared" si="8"/>
        <v>3195.7092733157169</v>
      </c>
      <c r="E151">
        <f>_xlfn.XLOOKUP(A151,Banks!A:A,Banks!I:I,0)</f>
        <v>0</v>
      </c>
      <c r="F151">
        <f>_xlfn.XLOOKUP(A151,Energy!A:A,Energy!I:I,0)</f>
        <v>32118.273357939579</v>
      </c>
      <c r="G151">
        <f t="shared" si="9"/>
        <v>32118.273357939579</v>
      </c>
      <c r="H151">
        <f t="shared" si="10"/>
        <v>28922.56408462386</v>
      </c>
      <c r="I151" t="b">
        <f t="shared" si="11"/>
        <v>0</v>
      </c>
    </row>
    <row r="152" spans="1:9">
      <c r="A152" s="1">
        <v>45967.60833333333</v>
      </c>
      <c r="B152" s="5">
        <f>_xlfn.XLOOKUP(A152,Banks!A:A,Banks!H:H,0,-1)</f>
        <v>1087.9792917010609</v>
      </c>
      <c r="C152">
        <f>_xlfn.XLOOKUP(A152,Energy!A:A,Energy!H:H,0,-1)</f>
        <v>2175.9699276365668</v>
      </c>
      <c r="D152">
        <f t="shared" si="8"/>
        <v>3263.9492193376277</v>
      </c>
      <c r="E152">
        <f>_xlfn.XLOOKUP(A152,Banks!A:A,Banks!I:I,0)</f>
        <v>0</v>
      </c>
      <c r="F152">
        <f>_xlfn.XLOOKUP(A152,Energy!A:A,Energy!I:I,0)</f>
        <v>32139.771665194199</v>
      </c>
      <c r="G152">
        <f t="shared" si="9"/>
        <v>32139.771665194199</v>
      </c>
      <c r="H152">
        <f t="shared" si="10"/>
        <v>28875.822445856571</v>
      </c>
      <c r="I152" t="b">
        <f t="shared" si="11"/>
        <v>0</v>
      </c>
    </row>
    <row r="153" spans="1:9">
      <c r="A153" s="1">
        <v>45967.609027777777</v>
      </c>
      <c r="B153" s="5">
        <f>_xlfn.XLOOKUP(A153,Banks!A:A,Banks!H:H,0,-1)</f>
        <v>1087.9792917010609</v>
      </c>
      <c r="C153">
        <f>_xlfn.XLOOKUP(A153,Energy!A:A,Energy!H:H,0,-1)</f>
        <v>2275.1868778218959</v>
      </c>
      <c r="D153">
        <f t="shared" si="8"/>
        <v>3363.1661695229568</v>
      </c>
      <c r="E153">
        <f>_xlfn.XLOOKUP(A153,Banks!A:A,Banks!I:I,0)</f>
        <v>0</v>
      </c>
      <c r="F153">
        <f>_xlfn.XLOOKUP(A153,Energy!A:A,Energy!I:I,0)</f>
        <v>32179.67697913745</v>
      </c>
      <c r="G153">
        <f t="shared" si="9"/>
        <v>32179.67697913745</v>
      </c>
      <c r="H153">
        <f t="shared" si="10"/>
        <v>28816.510809614494</v>
      </c>
      <c r="I153" t="b">
        <f t="shared" si="11"/>
        <v>0</v>
      </c>
    </row>
    <row r="154" spans="1:9">
      <c r="A154" s="1">
        <v>45967.609722222223</v>
      </c>
      <c r="B154" s="5">
        <f>_xlfn.XLOOKUP(A154,Banks!A:A,Banks!H:H,0,-1)</f>
        <v>1087.9792917010609</v>
      </c>
      <c r="C154">
        <f>_xlfn.XLOOKUP(A154,Energy!A:A,Energy!H:H,0,-1)</f>
        <v>1997.989108146942</v>
      </c>
      <c r="D154">
        <f t="shared" si="8"/>
        <v>3085.9683998480032</v>
      </c>
      <c r="E154">
        <f>_xlfn.XLOOKUP(A154,Banks!A:A,Banks!I:I,0)</f>
        <v>0</v>
      </c>
      <c r="F154">
        <f>_xlfn.XLOOKUP(A154,Energy!A:A,Energy!I:I,0)</f>
        <v>32221.058014488841</v>
      </c>
      <c r="G154">
        <f t="shared" si="9"/>
        <v>32221.058014488841</v>
      </c>
      <c r="H154">
        <f t="shared" si="10"/>
        <v>29135.089614640838</v>
      </c>
      <c r="I154" t="b">
        <f t="shared" si="11"/>
        <v>0</v>
      </c>
    </row>
    <row r="155" spans="1:9">
      <c r="A155" s="1">
        <v>45967.61041666667</v>
      </c>
      <c r="B155" s="5">
        <f>_xlfn.XLOOKUP(A155,Banks!A:A,Banks!H:H,0,-1)</f>
        <v>1087.9792917010609</v>
      </c>
      <c r="C155">
        <f>_xlfn.XLOOKUP(A155,Energy!A:A,Energy!H:H,0,-1)</f>
        <v>2105.8006369369368</v>
      </c>
      <c r="D155">
        <f t="shared" si="8"/>
        <v>3193.7799286379977</v>
      </c>
      <c r="E155">
        <f>_xlfn.XLOOKUP(A155,Banks!A:A,Banks!I:I,0)</f>
        <v>0</v>
      </c>
      <c r="F155">
        <f>_xlfn.XLOOKUP(A155,Energy!A:A,Energy!I:I,0)</f>
        <v>32252.215153419351</v>
      </c>
      <c r="G155">
        <f t="shared" si="9"/>
        <v>32252.215153419351</v>
      </c>
      <c r="H155">
        <f t="shared" si="10"/>
        <v>29058.435224781351</v>
      </c>
      <c r="I155" t="b">
        <f t="shared" si="11"/>
        <v>0</v>
      </c>
    </row>
    <row r="156" spans="1:9">
      <c r="A156" s="1">
        <v>45967.611111111109</v>
      </c>
      <c r="B156" s="5">
        <f>_xlfn.XLOOKUP(A156,Banks!A:A,Banks!H:H,0,-1)</f>
        <v>1087.9792917010609</v>
      </c>
      <c r="C156">
        <f>_xlfn.XLOOKUP(A156,Energy!A:A,Energy!H:H,0,-1)</f>
        <v>1901.076104082847</v>
      </c>
      <c r="D156">
        <f t="shared" si="8"/>
        <v>2989.0553957839079</v>
      </c>
      <c r="E156">
        <f>_xlfn.XLOOKUP(A156,Banks!A:A,Banks!I:I,0)</f>
        <v>0</v>
      </c>
      <c r="F156">
        <f>_xlfn.XLOOKUP(A156,Energy!A:A,Energy!I:I,0)</f>
        <v>32307.218578573778</v>
      </c>
      <c r="G156">
        <f t="shared" si="9"/>
        <v>32307.218578573778</v>
      </c>
      <c r="H156">
        <f t="shared" si="10"/>
        <v>29318.163182789871</v>
      </c>
      <c r="I156" t="b">
        <f t="shared" si="11"/>
        <v>0</v>
      </c>
    </row>
    <row r="157" spans="1:9">
      <c r="A157" s="1">
        <v>45967.611805555563</v>
      </c>
      <c r="B157" s="5">
        <f>_xlfn.XLOOKUP(A157,Banks!A:A,Banks!H:H,0,-1)</f>
        <v>1087.9792917010609</v>
      </c>
      <c r="C157">
        <f>_xlfn.XLOOKUP(A157,Energy!A:A,Energy!H:H,0,-1)</f>
        <v>1936.222400541863</v>
      </c>
      <c r="D157">
        <f t="shared" si="8"/>
        <v>3024.2016922429239</v>
      </c>
      <c r="E157">
        <f>_xlfn.XLOOKUP(A157,Banks!A:A,Banks!I:I,0)</f>
        <v>0</v>
      </c>
      <c r="F157">
        <f>_xlfn.XLOOKUP(A157,Energy!A:A,Energy!I:I,0)</f>
        <v>32314.24783786558</v>
      </c>
      <c r="G157">
        <f t="shared" si="9"/>
        <v>32314.24783786558</v>
      </c>
      <c r="H157">
        <f t="shared" si="10"/>
        <v>29290.046145622655</v>
      </c>
      <c r="I157" t="b">
        <f t="shared" si="11"/>
        <v>0</v>
      </c>
    </row>
    <row r="158" spans="1:9">
      <c r="A158" s="1">
        <v>45967.612500000003</v>
      </c>
      <c r="B158" s="5">
        <f>_xlfn.XLOOKUP(A158,Banks!A:A,Banks!H:H,0,-1)</f>
        <v>1087.9792917010609</v>
      </c>
      <c r="C158">
        <f>_xlfn.XLOOKUP(A158,Energy!A:A,Energy!H:H,0,-1)</f>
        <v>1947.3176155661999</v>
      </c>
      <c r="D158">
        <f t="shared" si="8"/>
        <v>3035.2969072672608</v>
      </c>
      <c r="E158">
        <f>_xlfn.XLOOKUP(A158,Banks!A:A,Banks!I:I,0)</f>
        <v>0</v>
      </c>
      <c r="F158">
        <f>_xlfn.XLOOKUP(A158,Energy!A:A,Energy!I:I,0)</f>
        <v>32322.572683798418</v>
      </c>
      <c r="G158">
        <f t="shared" si="9"/>
        <v>32322.572683798418</v>
      </c>
      <c r="H158">
        <f t="shared" si="10"/>
        <v>29287.275776531158</v>
      </c>
      <c r="I158" t="b">
        <f t="shared" si="11"/>
        <v>0</v>
      </c>
    </row>
    <row r="159" spans="1:9">
      <c r="A159" s="1">
        <v>45967.613194444442</v>
      </c>
      <c r="B159" s="5">
        <f>_xlfn.XLOOKUP(A159,Banks!A:A,Banks!H:H,0,-1)</f>
        <v>1087.9792917010609</v>
      </c>
      <c r="C159">
        <f>_xlfn.XLOOKUP(A159,Energy!A:A,Energy!H:H,0,-1)</f>
        <v>2004.4303473120899</v>
      </c>
      <c r="D159">
        <f t="shared" si="8"/>
        <v>3092.4096390131508</v>
      </c>
      <c r="E159">
        <f>_xlfn.XLOOKUP(A159,Banks!A:A,Banks!I:I,0)</f>
        <v>0</v>
      </c>
      <c r="F159">
        <f>_xlfn.XLOOKUP(A159,Energy!A:A,Energy!I:I,0)</f>
        <v>32333.99523014759</v>
      </c>
      <c r="G159">
        <f t="shared" si="9"/>
        <v>32333.99523014759</v>
      </c>
      <c r="H159">
        <f t="shared" si="10"/>
        <v>29241.585591134441</v>
      </c>
      <c r="I159" t="b">
        <f t="shared" si="11"/>
        <v>0</v>
      </c>
    </row>
    <row r="160" spans="1:9">
      <c r="A160" s="1">
        <v>45967.613888888889</v>
      </c>
      <c r="B160" s="5">
        <f>_xlfn.XLOOKUP(A160,Banks!A:A,Banks!H:H,0,-1)</f>
        <v>1087.9792917010609</v>
      </c>
      <c r="C160">
        <f>_xlfn.XLOOKUP(A160,Energy!A:A,Energy!H:H,0,-1)</f>
        <v>1990.9944921264901</v>
      </c>
      <c r="D160">
        <f t="shared" si="8"/>
        <v>3078.973783827551</v>
      </c>
      <c r="E160">
        <f>_xlfn.XLOOKUP(A160,Banks!A:A,Banks!I:I,0)</f>
        <v>0</v>
      </c>
      <c r="F160">
        <f>_xlfn.XLOOKUP(A160,Energy!A:A,Energy!I:I,0)</f>
        <v>32317.351938132259</v>
      </c>
      <c r="G160">
        <f t="shared" si="9"/>
        <v>32317.351938132259</v>
      </c>
      <c r="H160">
        <f t="shared" si="10"/>
        <v>29238.378154304708</v>
      </c>
      <c r="I160" t="b">
        <f t="shared" si="11"/>
        <v>0</v>
      </c>
    </row>
    <row r="161" spans="1:9">
      <c r="A161" s="1">
        <v>45967.614583333343</v>
      </c>
      <c r="B161" s="5">
        <f>_xlfn.XLOOKUP(A161,Banks!A:A,Banks!H:H,0,-1)</f>
        <v>1087.9792917010609</v>
      </c>
      <c r="C161">
        <f>_xlfn.XLOOKUP(A161,Energy!A:A,Energy!H:H,0,-1)</f>
        <v>1967.199404705294</v>
      </c>
      <c r="D161">
        <f t="shared" si="8"/>
        <v>3055.1786964063549</v>
      </c>
      <c r="E161">
        <f>_xlfn.XLOOKUP(A161,Banks!A:A,Banks!I:I,0)</f>
        <v>0</v>
      </c>
      <c r="F161">
        <f>_xlfn.XLOOKUP(A161,Energy!A:A,Energy!I:I,0)</f>
        <v>32332.654844554199</v>
      </c>
      <c r="G161">
        <f t="shared" si="9"/>
        <v>32332.654844554199</v>
      </c>
      <c r="H161">
        <f t="shared" si="10"/>
        <v>29277.476148147845</v>
      </c>
      <c r="I161" t="b">
        <f t="shared" si="11"/>
        <v>0</v>
      </c>
    </row>
    <row r="162" spans="1:9">
      <c r="A162" s="1">
        <v>45967.615277777782</v>
      </c>
      <c r="B162" s="5">
        <f>_xlfn.XLOOKUP(A162,Banks!A:A,Banks!H:H,0,-1)</f>
        <v>1087.9792917010609</v>
      </c>
      <c r="C162">
        <f>_xlfn.XLOOKUP(A162,Energy!A:A,Energy!H:H,0,-1)</f>
        <v>1828.4701754669029</v>
      </c>
      <c r="D162">
        <f t="shared" si="8"/>
        <v>2916.449467167964</v>
      </c>
      <c r="E162">
        <f>_xlfn.XLOOKUP(A162,Banks!A:A,Banks!I:I,0)</f>
        <v>0</v>
      </c>
      <c r="F162">
        <f>_xlfn.XLOOKUP(A162,Energy!A:A,Energy!I:I,0)</f>
        <v>32406.090875798589</v>
      </c>
      <c r="G162">
        <f t="shared" si="9"/>
        <v>32406.090875798589</v>
      </c>
      <c r="H162">
        <f t="shared" si="10"/>
        <v>29489.641408630625</v>
      </c>
      <c r="I162" t="b">
        <f t="shared" si="11"/>
        <v>0</v>
      </c>
    </row>
    <row r="163" spans="1:9">
      <c r="A163" s="1">
        <v>45967.615972222222</v>
      </c>
      <c r="B163" s="5">
        <f>_xlfn.XLOOKUP(A163,Banks!A:A,Banks!H:H,0,-1)</f>
        <v>1087.9792917010609</v>
      </c>
      <c r="C163">
        <f>_xlfn.XLOOKUP(A163,Energy!A:A,Energy!H:H,0,-1)</f>
        <v>1817.2469634358431</v>
      </c>
      <c r="D163">
        <f t="shared" si="8"/>
        <v>2905.226255136904</v>
      </c>
      <c r="E163">
        <f>_xlfn.XLOOKUP(A163,Banks!A:A,Banks!I:I,0)</f>
        <v>0</v>
      </c>
      <c r="F163">
        <f>_xlfn.XLOOKUP(A163,Energy!A:A,Energy!I:I,0)</f>
        <v>32390.762369975298</v>
      </c>
      <c r="G163">
        <f t="shared" si="9"/>
        <v>32390.762369975298</v>
      </c>
      <c r="H163">
        <f t="shared" si="10"/>
        <v>29485.536114838396</v>
      </c>
      <c r="I163" t="b">
        <f t="shared" si="11"/>
        <v>0</v>
      </c>
    </row>
    <row r="164" spans="1:9">
      <c r="A164" s="1">
        <v>45967.616666666669</v>
      </c>
      <c r="B164" s="5">
        <f>_xlfn.XLOOKUP(A164,Banks!A:A,Banks!H:H,0,-1)</f>
        <v>1087.9792917010609</v>
      </c>
      <c r="C164">
        <f>_xlfn.XLOOKUP(A164,Energy!A:A,Energy!H:H,0,-1)</f>
        <v>1971.3686970008789</v>
      </c>
      <c r="D164">
        <f t="shared" si="8"/>
        <v>3059.3479887019398</v>
      </c>
      <c r="E164">
        <f>_xlfn.XLOOKUP(A164,Banks!A:A,Banks!I:I,0)</f>
        <v>0</v>
      </c>
      <c r="F164">
        <f>_xlfn.XLOOKUP(A164,Energy!A:A,Energy!I:I,0)</f>
        <v>32321.277097157381</v>
      </c>
      <c r="G164">
        <f t="shared" si="9"/>
        <v>32321.277097157381</v>
      </c>
      <c r="H164">
        <f t="shared" si="10"/>
        <v>29261.929108455442</v>
      </c>
      <c r="I164" t="b">
        <f t="shared" si="11"/>
        <v>0</v>
      </c>
    </row>
    <row r="165" spans="1:9">
      <c r="A165" s="1">
        <v>45967.617361111108</v>
      </c>
      <c r="B165" s="5">
        <f>_xlfn.XLOOKUP(A165,Banks!A:A,Banks!H:H,0,-1)</f>
        <v>1087.9792917010609</v>
      </c>
      <c r="C165">
        <f>_xlfn.XLOOKUP(A165,Energy!A:A,Energy!H:H,0,-1)</f>
        <v>1861.5365205664709</v>
      </c>
      <c r="D165">
        <f t="shared" si="8"/>
        <v>2949.5158122675321</v>
      </c>
      <c r="E165">
        <f>_xlfn.XLOOKUP(A165,Banks!A:A,Banks!I:I,0)</f>
        <v>0</v>
      </c>
      <c r="F165">
        <f>_xlfn.XLOOKUP(A165,Energy!A:A,Energy!I:I,0)</f>
        <v>32299.310661870499</v>
      </c>
      <c r="G165">
        <f t="shared" si="9"/>
        <v>32299.310661870499</v>
      </c>
      <c r="H165">
        <f t="shared" si="10"/>
        <v>29349.794849602968</v>
      </c>
      <c r="I165" t="b">
        <f t="shared" si="11"/>
        <v>0</v>
      </c>
    </row>
    <row r="166" spans="1:9">
      <c r="A166" s="1">
        <v>45967.618055555547</v>
      </c>
      <c r="B166" s="5">
        <f>_xlfn.XLOOKUP(A166,Banks!A:A,Banks!H:H,0,-1)</f>
        <v>1087.9792917010609</v>
      </c>
      <c r="C166">
        <f>_xlfn.XLOOKUP(A166,Energy!A:A,Energy!H:H,0,-1)</f>
        <v>1745.0984139201501</v>
      </c>
      <c r="D166">
        <f t="shared" si="8"/>
        <v>2833.077705621211</v>
      </c>
      <c r="E166">
        <f>_xlfn.XLOOKUP(A166,Banks!A:A,Banks!I:I,0)</f>
        <v>0</v>
      </c>
      <c r="F166">
        <f>_xlfn.XLOOKUP(A166,Energy!A:A,Energy!I:I,0)</f>
        <v>32275.150782980101</v>
      </c>
      <c r="G166">
        <f t="shared" si="9"/>
        <v>32275.150782980101</v>
      </c>
      <c r="H166">
        <f t="shared" si="10"/>
        <v>29442.073077358891</v>
      </c>
      <c r="I166" t="b">
        <f t="shared" si="11"/>
        <v>0</v>
      </c>
    </row>
    <row r="167" spans="1:9">
      <c r="A167" s="1">
        <v>45967.618750000001</v>
      </c>
      <c r="B167" s="5">
        <f>_xlfn.XLOOKUP(A167,Banks!A:A,Banks!H:H,0,-1)</f>
        <v>1087.9792917010609</v>
      </c>
      <c r="C167">
        <f>_xlfn.XLOOKUP(A167,Energy!A:A,Energy!H:H,0,-1)</f>
        <v>1780.9806931678941</v>
      </c>
      <c r="D167">
        <f t="shared" si="8"/>
        <v>2868.959984868955</v>
      </c>
      <c r="E167">
        <f>_xlfn.XLOOKUP(A167,Banks!A:A,Banks!I:I,0)</f>
        <v>0</v>
      </c>
      <c r="F167">
        <f>_xlfn.XLOOKUP(A167,Energy!A:A,Energy!I:I,0)</f>
        <v>32322.451086642021</v>
      </c>
      <c r="G167">
        <f t="shared" si="9"/>
        <v>32322.451086642021</v>
      </c>
      <c r="H167">
        <f t="shared" si="10"/>
        <v>29453.491101773066</v>
      </c>
      <c r="I167" t="b">
        <f t="shared" si="11"/>
        <v>0</v>
      </c>
    </row>
    <row r="168" spans="1:9">
      <c r="A168" s="1">
        <v>45967.619444444441</v>
      </c>
      <c r="B168" s="5">
        <f>_xlfn.XLOOKUP(A168,Banks!A:A,Banks!H:H,0,-1)</f>
        <v>1087.9792917010609</v>
      </c>
      <c r="C168">
        <f>_xlfn.XLOOKUP(A168,Energy!A:A,Energy!H:H,0,-1)</f>
        <v>1669.1918675924151</v>
      </c>
      <c r="D168">
        <f t="shared" si="8"/>
        <v>2757.1711592934762</v>
      </c>
      <c r="E168">
        <f>_xlfn.XLOOKUP(A168,Banks!A:A,Banks!I:I,0)</f>
        <v>0</v>
      </c>
      <c r="F168">
        <f>_xlfn.XLOOKUP(A168,Energy!A:A,Energy!I:I,0)</f>
        <v>32313.177184944001</v>
      </c>
      <c r="G168">
        <f t="shared" si="9"/>
        <v>32313.177184944001</v>
      </c>
      <c r="H168">
        <f t="shared" si="10"/>
        <v>29556.006025650524</v>
      </c>
      <c r="I168" t="b">
        <f t="shared" si="11"/>
        <v>0</v>
      </c>
    </row>
    <row r="169" spans="1:9">
      <c r="A169" s="1">
        <v>45967.620138888888</v>
      </c>
      <c r="B169" s="5">
        <f>_xlfn.XLOOKUP(A169,Banks!A:A,Banks!H:H,0,-1)</f>
        <v>1087.9792917010609</v>
      </c>
      <c r="C169">
        <f>_xlfn.XLOOKUP(A169,Energy!A:A,Energy!H:H,0,-1)</f>
        <v>1684.4243756606661</v>
      </c>
      <c r="D169">
        <f t="shared" si="8"/>
        <v>2772.403667361727</v>
      </c>
      <c r="E169">
        <f>_xlfn.XLOOKUP(A169,Banks!A:A,Banks!I:I,0)</f>
        <v>0</v>
      </c>
      <c r="F169">
        <f>_xlfn.XLOOKUP(A169,Energy!A:A,Energy!I:I,0)</f>
        <v>32308.3733685074</v>
      </c>
      <c r="G169">
        <f t="shared" si="9"/>
        <v>32308.3733685074</v>
      </c>
      <c r="H169">
        <f t="shared" si="10"/>
        <v>29535.969701145674</v>
      </c>
      <c r="I169" t="b">
        <f t="shared" si="11"/>
        <v>0</v>
      </c>
    </row>
    <row r="170" spans="1:9">
      <c r="A170" s="1">
        <v>45967.620833333327</v>
      </c>
      <c r="B170" s="5">
        <f>_xlfn.XLOOKUP(A170,Banks!A:A,Banks!H:H,0,-1)</f>
        <v>1087.9792917010609</v>
      </c>
      <c r="C170">
        <f>_xlfn.XLOOKUP(A170,Energy!A:A,Energy!H:H,0,-1)</f>
        <v>1508.724892617282</v>
      </c>
      <c r="D170">
        <f t="shared" si="8"/>
        <v>2596.7041843183429</v>
      </c>
      <c r="E170">
        <f>_xlfn.XLOOKUP(A170,Banks!A:A,Banks!I:I,0)</f>
        <v>0</v>
      </c>
      <c r="F170">
        <f>_xlfn.XLOOKUP(A170,Energy!A:A,Energy!I:I,0)</f>
        <v>32274.977987021011</v>
      </c>
      <c r="G170">
        <f t="shared" si="9"/>
        <v>32274.977987021011</v>
      </c>
      <c r="H170">
        <f t="shared" si="10"/>
        <v>29678.273802702668</v>
      </c>
      <c r="I170" t="b">
        <f t="shared" si="11"/>
        <v>0</v>
      </c>
    </row>
    <row r="171" spans="1:9">
      <c r="A171" s="1">
        <v>45967.621527777781</v>
      </c>
      <c r="B171" s="5">
        <f>_xlfn.XLOOKUP(A171,Banks!A:A,Banks!H:H,0,-1)</f>
        <v>1087.9792917010609</v>
      </c>
      <c r="C171">
        <f>_xlfn.XLOOKUP(A171,Energy!A:A,Energy!H:H,0,-1)</f>
        <v>1649.310078453334</v>
      </c>
      <c r="D171">
        <f t="shared" si="8"/>
        <v>2737.2893701543949</v>
      </c>
      <c r="E171">
        <f>_xlfn.XLOOKUP(A171,Banks!A:A,Banks!I:I,0)</f>
        <v>0</v>
      </c>
      <c r="F171">
        <f>_xlfn.XLOOKUP(A171,Energy!A:A,Energy!I:I,0)</f>
        <v>32303.095024188209</v>
      </c>
      <c r="G171">
        <f t="shared" si="9"/>
        <v>32303.095024188209</v>
      </c>
      <c r="H171">
        <f t="shared" si="10"/>
        <v>29565.805654033815</v>
      </c>
      <c r="I171" t="b">
        <f t="shared" si="11"/>
        <v>0</v>
      </c>
    </row>
    <row r="172" spans="1:9">
      <c r="A172" s="1">
        <v>45967.62222222222</v>
      </c>
      <c r="B172" s="5">
        <f>_xlfn.XLOOKUP(A172,Banks!A:A,Banks!H:H,0,-1)</f>
        <v>1087.9792917010609</v>
      </c>
      <c r="C172">
        <f>_xlfn.XLOOKUP(A172,Energy!A:A,Energy!H:H,0,-1)</f>
        <v>1815.1990113280669</v>
      </c>
      <c r="D172">
        <f t="shared" si="8"/>
        <v>2903.1783030291281</v>
      </c>
      <c r="E172">
        <f>_xlfn.XLOOKUP(A172,Banks!A:A,Banks!I:I,0)</f>
        <v>0</v>
      </c>
      <c r="F172">
        <f>_xlfn.XLOOKUP(A172,Energy!A:A,Energy!I:I,0)</f>
        <v>32278.703811728021</v>
      </c>
      <c r="G172">
        <f t="shared" si="9"/>
        <v>32278.703811728021</v>
      </c>
      <c r="H172">
        <f t="shared" si="10"/>
        <v>29375.525508698891</v>
      </c>
      <c r="I172" t="b">
        <f t="shared" si="11"/>
        <v>0</v>
      </c>
    </row>
    <row r="173" spans="1:9">
      <c r="A173" s="1">
        <v>45967.622916666667</v>
      </c>
      <c r="B173" s="5">
        <f>_xlfn.XLOOKUP(A173,Banks!A:A,Banks!H:H,0,-1)</f>
        <v>1087.9792917010609</v>
      </c>
      <c r="C173">
        <f>_xlfn.XLOOKUP(A173,Energy!A:A,Energy!H:H,0,-1)</f>
        <v>1871.2887430411149</v>
      </c>
      <c r="D173">
        <f t="shared" si="8"/>
        <v>2959.2680347421756</v>
      </c>
      <c r="E173">
        <f>_xlfn.XLOOKUP(A173,Banks!A:A,Banks!I:I,0)</f>
        <v>0</v>
      </c>
      <c r="F173">
        <f>_xlfn.XLOOKUP(A173,Energy!A:A,Energy!I:I,0)</f>
        <v>0</v>
      </c>
      <c r="G173">
        <f t="shared" si="9"/>
        <v>0</v>
      </c>
      <c r="H173">
        <f t="shared" si="10"/>
        <v>-2959.2680347421756</v>
      </c>
      <c r="I173" t="b">
        <f t="shared" si="11"/>
        <v>0</v>
      </c>
    </row>
    <row r="174" spans="1:9">
      <c r="A174" s="1">
        <v>45968.873611111107</v>
      </c>
      <c r="B174" s="5">
        <f>_xlfn.XLOOKUP(A174,Banks!A:A,Banks!H:H,0,-1)</f>
        <v>1087.9792917010609</v>
      </c>
      <c r="C174">
        <f>_xlfn.XLOOKUP(A174,Energy!A:A,Energy!H:H,0,-1)</f>
        <v>1871.2887430411149</v>
      </c>
      <c r="D174">
        <f t="shared" si="8"/>
        <v>2959.2680347421756</v>
      </c>
      <c r="E174">
        <f>_xlfn.XLOOKUP(A174,Banks!A:A,Banks!I:I,0)</f>
        <v>0</v>
      </c>
      <c r="F174">
        <f>_xlfn.XLOOKUP(A174,Energy!A:A,Energy!I:I,0)</f>
        <v>32001.827912485249</v>
      </c>
      <c r="G174">
        <f t="shared" si="9"/>
        <v>32001.827912485249</v>
      </c>
      <c r="H174">
        <f t="shared" si="10"/>
        <v>29042.559877743071</v>
      </c>
      <c r="I174" t="b">
        <f t="shared" si="11"/>
        <v>0</v>
      </c>
    </row>
    <row r="175" spans="1:9">
      <c r="A175" s="1">
        <v>45968.874305555553</v>
      </c>
      <c r="B175" s="5">
        <f>_xlfn.XLOOKUP(A175,Banks!A:A,Banks!H:H,0,-1)</f>
        <v>1087.9792917010609</v>
      </c>
      <c r="C175">
        <f>_xlfn.XLOOKUP(A175,Energy!A:A,Energy!H:H,0,-1)</f>
        <v>1894.0955988613659</v>
      </c>
      <c r="D175">
        <f t="shared" si="8"/>
        <v>2982.0748905624268</v>
      </c>
      <c r="E175">
        <f>_xlfn.XLOOKUP(A175,Banks!A:A,Banks!I:I,0)</f>
        <v>0</v>
      </c>
      <c r="F175">
        <f>_xlfn.XLOOKUP(A175,Energy!A:A,Energy!I:I,0)</f>
        <v>32019.452734682411</v>
      </c>
      <c r="G175">
        <f t="shared" si="9"/>
        <v>32019.452734682411</v>
      </c>
      <c r="H175">
        <f t="shared" si="10"/>
        <v>29037.377844119983</v>
      </c>
      <c r="I175" t="b">
        <f t="shared" si="11"/>
        <v>0</v>
      </c>
    </row>
    <row r="176" spans="1:9">
      <c r="A176" s="1">
        <v>45971.604166666657</v>
      </c>
      <c r="B176" s="5">
        <f>_xlfn.XLOOKUP(A176,Banks!A:A,Banks!H:H,0,-1)</f>
        <v>1087.9792917010609</v>
      </c>
      <c r="C176">
        <f>_xlfn.XLOOKUP(A176,Energy!A:A,Energy!H:H,0,-1)</f>
        <v>2040.813765114428</v>
      </c>
      <c r="D176">
        <f t="shared" si="8"/>
        <v>3128.7930568154889</v>
      </c>
      <c r="E176">
        <f>_xlfn.XLOOKUP(A176,Banks!A:A,Banks!I:I,0)</f>
        <v>33348.602962298159</v>
      </c>
      <c r="F176">
        <f>_xlfn.XLOOKUP(A176,Energy!A:A,Energy!I:I,0)</f>
        <v>0</v>
      </c>
      <c r="G176">
        <f t="shared" si="9"/>
        <v>33348.602962298159</v>
      </c>
      <c r="H176">
        <f t="shared" si="10"/>
        <v>30219.809905482671</v>
      </c>
      <c r="I176" t="b">
        <f t="shared" si="11"/>
        <v>0</v>
      </c>
    </row>
    <row r="177" spans="1:9">
      <c r="A177" s="1">
        <v>45971.604861111111</v>
      </c>
      <c r="B177" s="5">
        <f>_xlfn.XLOOKUP(A177,Banks!A:A,Banks!H:H,0,-1)</f>
        <v>1036.9321591261121</v>
      </c>
      <c r="C177">
        <f>_xlfn.XLOOKUP(A177,Energy!A:A,Energy!H:H,0,-1)</f>
        <v>2040.813765114428</v>
      </c>
      <c r="D177">
        <f t="shared" si="8"/>
        <v>3077.7459242405403</v>
      </c>
      <c r="E177">
        <f>_xlfn.XLOOKUP(A177,Banks!A:A,Banks!I:I,0)</f>
        <v>33382.187945562051</v>
      </c>
      <c r="F177">
        <f>_xlfn.XLOOKUP(A177,Energy!A:A,Energy!I:I,0)</f>
        <v>0</v>
      </c>
      <c r="G177">
        <f t="shared" si="9"/>
        <v>33382.187945562051</v>
      </c>
      <c r="H177">
        <f t="shared" si="10"/>
        <v>30304.442021321513</v>
      </c>
      <c r="I177" t="b">
        <f t="shared" si="11"/>
        <v>0</v>
      </c>
    </row>
    <row r="178" spans="1:9">
      <c r="A178" s="1">
        <v>45971.605555555558</v>
      </c>
      <c r="B178" s="5">
        <f>_xlfn.XLOOKUP(A178,Banks!A:A,Banks!H:H,0,-1)</f>
        <v>1084.901499254323</v>
      </c>
      <c r="C178">
        <f>_xlfn.XLOOKUP(A178,Energy!A:A,Energy!H:H,0,-1)</f>
        <v>2040.813765114428</v>
      </c>
      <c r="D178">
        <f t="shared" si="8"/>
        <v>3125.7152643687509</v>
      </c>
      <c r="E178">
        <f>_xlfn.XLOOKUP(A178,Banks!A:A,Banks!I:I,0)</f>
        <v>33416.186332014091</v>
      </c>
      <c r="F178">
        <f>_xlfn.XLOOKUP(A178,Energy!A:A,Energy!I:I,0)</f>
        <v>0</v>
      </c>
      <c r="G178">
        <f t="shared" si="9"/>
        <v>33416.186332014091</v>
      </c>
      <c r="H178">
        <f t="shared" si="10"/>
        <v>30290.47106764534</v>
      </c>
      <c r="I178" t="b">
        <f t="shared" si="11"/>
        <v>0</v>
      </c>
    </row>
    <row r="179" spans="1:9">
      <c r="A179" s="1">
        <v>45971.606249999997</v>
      </c>
      <c r="B179" s="5">
        <f>_xlfn.XLOOKUP(A179,Banks!A:A,Banks!H:H,0,-1)</f>
        <v>1318.6570667433309</v>
      </c>
      <c r="C179">
        <f>_xlfn.XLOOKUP(A179,Energy!A:A,Energy!H:H,0,-1)</f>
        <v>2040.813765114428</v>
      </c>
      <c r="D179">
        <f t="shared" si="8"/>
        <v>3359.4708318577586</v>
      </c>
      <c r="E179">
        <f>_xlfn.XLOOKUP(A179,Banks!A:A,Banks!I:I,0)</f>
        <v>33462.937445511889</v>
      </c>
      <c r="F179">
        <f>_xlfn.XLOOKUP(A179,Energy!A:A,Energy!I:I,0)</f>
        <v>0</v>
      </c>
      <c r="G179">
        <f t="shared" si="9"/>
        <v>33462.937445511889</v>
      </c>
      <c r="H179">
        <f t="shared" si="10"/>
        <v>30103.466613654131</v>
      </c>
      <c r="I179" t="b">
        <f t="shared" si="11"/>
        <v>0</v>
      </c>
    </row>
    <row r="180" spans="1:9">
      <c r="A180" s="1">
        <v>45971.606944444437</v>
      </c>
      <c r="B180" s="5">
        <f>_xlfn.XLOOKUP(A180,Banks!A:A,Banks!H:H,0,-1)</f>
        <v>1286.3407941276209</v>
      </c>
      <c r="C180">
        <f>_xlfn.XLOOKUP(A180,Energy!A:A,Energy!H:H,0,-1)</f>
        <v>2040.813765114428</v>
      </c>
      <c r="D180">
        <f t="shared" si="8"/>
        <v>3327.1545592420489</v>
      </c>
      <c r="E180">
        <f>_xlfn.XLOOKUP(A180,Banks!A:A,Banks!I:I,0)</f>
        <v>33547.74040373406</v>
      </c>
      <c r="F180">
        <f>_xlfn.XLOOKUP(A180,Energy!A:A,Energy!I:I,0)</f>
        <v>0</v>
      </c>
      <c r="G180">
        <f t="shared" si="9"/>
        <v>33547.74040373406</v>
      </c>
      <c r="H180">
        <f t="shared" si="10"/>
        <v>30220.585844492012</v>
      </c>
      <c r="I180" t="b">
        <f t="shared" si="11"/>
        <v>0</v>
      </c>
    </row>
    <row r="181" spans="1:9">
      <c r="A181" s="1">
        <v>45971.607638888891</v>
      </c>
      <c r="B181" s="5">
        <f>_xlfn.XLOOKUP(A181,Banks!A:A,Banks!H:H,0,-1)</f>
        <v>1352.640145220975</v>
      </c>
      <c r="C181">
        <f>_xlfn.XLOOKUP(A181,Energy!A:A,Energy!H:H,0,-1)</f>
        <v>2040.813765114428</v>
      </c>
      <c r="D181">
        <f t="shared" si="8"/>
        <v>3393.4539103354027</v>
      </c>
      <c r="E181">
        <f>_xlfn.XLOOKUP(A181,Banks!A:A,Banks!I:I,0)</f>
        <v>0</v>
      </c>
      <c r="F181">
        <f>_xlfn.XLOOKUP(A181,Energy!A:A,Energy!I:I,0)</f>
        <v>0</v>
      </c>
      <c r="G181">
        <f t="shared" si="9"/>
        <v>0</v>
      </c>
      <c r="H181">
        <f t="shared" si="10"/>
        <v>-3393.4539103354027</v>
      </c>
      <c r="I181" t="b">
        <f t="shared" si="11"/>
        <v>0</v>
      </c>
    </row>
    <row r="182" spans="1:9">
      <c r="A182" s="1">
        <v>45971.609722222223</v>
      </c>
      <c r="B182" s="5">
        <f>_xlfn.XLOOKUP(A182,Banks!A:A,Banks!H:H,0,-1)</f>
        <v>1352.640145220975</v>
      </c>
      <c r="C182">
        <f>_xlfn.XLOOKUP(A182,Energy!A:A,Energy!H:H,0,-1)</f>
        <v>2040.813765114428</v>
      </c>
      <c r="D182">
        <f t="shared" si="8"/>
        <v>3393.4539103354027</v>
      </c>
      <c r="E182">
        <f>_xlfn.XLOOKUP(A182,Banks!A:A,Banks!I:I,0)</f>
        <v>0</v>
      </c>
      <c r="F182">
        <f>_xlfn.XLOOKUP(A182,Energy!A:A,Energy!I:I,0)</f>
        <v>32001.827912485249</v>
      </c>
      <c r="G182">
        <f t="shared" si="9"/>
        <v>32001.827912485249</v>
      </c>
      <c r="H182">
        <f t="shared" si="10"/>
        <v>28608.374002149845</v>
      </c>
      <c r="I182" t="b">
        <f t="shared" si="11"/>
        <v>0</v>
      </c>
    </row>
    <row r="183" spans="1:9">
      <c r="A183" s="1">
        <v>45971.61041666667</v>
      </c>
      <c r="B183" s="5">
        <f>_xlfn.XLOOKUP(A183,Banks!A:A,Banks!H:H,0,-1)</f>
        <v>1352.640145220975</v>
      </c>
      <c r="C183">
        <f>_xlfn.XLOOKUP(A183,Energy!A:A,Energy!H:H,0,-1)</f>
        <v>2040.813765114428</v>
      </c>
      <c r="D183">
        <f t="shared" si="8"/>
        <v>3393.4539103354027</v>
      </c>
      <c r="E183">
        <f>_xlfn.XLOOKUP(A183,Banks!A:A,Banks!I:I,0)</f>
        <v>0</v>
      </c>
      <c r="F183">
        <f>_xlfn.XLOOKUP(A183,Energy!A:A,Energy!I:I,0)</f>
        <v>32001.827912485249</v>
      </c>
      <c r="G183">
        <f t="shared" si="9"/>
        <v>32001.827912485249</v>
      </c>
      <c r="H183">
        <f t="shared" si="10"/>
        <v>28608.374002149845</v>
      </c>
      <c r="I183" t="b">
        <f t="shared" si="11"/>
        <v>0</v>
      </c>
    </row>
    <row r="184" spans="1:9">
      <c r="A184" s="1">
        <v>45971.611111111109</v>
      </c>
      <c r="B184" s="5">
        <f>_xlfn.XLOOKUP(A184,Banks!A:A,Banks!H:H,0,-1)</f>
        <v>1352.640145220975</v>
      </c>
      <c r="C184">
        <f>_xlfn.XLOOKUP(A184,Energy!A:A,Energy!H:H,0,-1)</f>
        <v>2132.1487876925489</v>
      </c>
      <c r="D184">
        <f t="shared" si="8"/>
        <v>3484.7889329135241</v>
      </c>
      <c r="E184">
        <f>_xlfn.XLOOKUP(A184,Banks!A:A,Banks!I:I,0)</f>
        <v>0</v>
      </c>
      <c r="F184">
        <f>_xlfn.XLOOKUP(A184,Energy!A:A,Energy!I:I,0)</f>
        <v>32000.771130842018</v>
      </c>
      <c r="G184">
        <f t="shared" si="9"/>
        <v>32000.771130842018</v>
      </c>
      <c r="H184">
        <f t="shared" si="10"/>
        <v>28515.982197928493</v>
      </c>
      <c r="I184" t="b">
        <f t="shared" si="11"/>
        <v>0</v>
      </c>
    </row>
    <row r="185" spans="1:9">
      <c r="A185" s="1">
        <v>45971.611805555563</v>
      </c>
      <c r="B185" s="5">
        <f>_xlfn.XLOOKUP(A185,Banks!A:A,Banks!H:H,0,-1)</f>
        <v>1352.640145220975</v>
      </c>
      <c r="C185">
        <f>_xlfn.XLOOKUP(A185,Energy!A:A,Energy!H:H,0,-1)</f>
        <v>1805.154553117203</v>
      </c>
      <c r="D185">
        <f t="shared" si="8"/>
        <v>3157.794698338178</v>
      </c>
      <c r="E185">
        <f>_xlfn.XLOOKUP(A185,Banks!A:A,Banks!I:I,0)</f>
        <v>0</v>
      </c>
      <c r="F185">
        <f>_xlfn.XLOOKUP(A185,Energy!A:A,Energy!I:I,0)</f>
        <v>31935.37228392695</v>
      </c>
      <c r="G185">
        <f t="shared" si="9"/>
        <v>31935.37228392695</v>
      </c>
      <c r="H185">
        <f t="shared" si="10"/>
        <v>28777.577585588773</v>
      </c>
      <c r="I185" t="b">
        <f t="shared" si="11"/>
        <v>0</v>
      </c>
    </row>
    <row r="186" spans="1:9">
      <c r="A186" s="1">
        <v>45971.612500000003</v>
      </c>
      <c r="B186" s="5">
        <f>_xlfn.XLOOKUP(A186,Banks!A:A,Banks!H:H,0,-1)</f>
        <v>1352.640145220975</v>
      </c>
      <c r="C186">
        <f>_xlfn.XLOOKUP(A186,Energy!A:A,Energy!H:H,0,-1)</f>
        <v>1825.219619620394</v>
      </c>
      <c r="D186">
        <f t="shared" si="8"/>
        <v>3177.8597648413688</v>
      </c>
      <c r="E186">
        <f>_xlfn.XLOOKUP(A186,Banks!A:A,Banks!I:I,0)</f>
        <v>0</v>
      </c>
      <c r="F186">
        <f>_xlfn.XLOOKUP(A186,Energy!A:A,Energy!I:I,0)</f>
        <v>31883.170646583629</v>
      </c>
      <c r="G186">
        <f t="shared" si="9"/>
        <v>31883.170646583629</v>
      </c>
      <c r="H186">
        <f t="shared" si="10"/>
        <v>28705.310881742262</v>
      </c>
      <c r="I186" t="b">
        <f t="shared" si="11"/>
        <v>0</v>
      </c>
    </row>
    <row r="187" spans="1:9">
      <c r="A187" s="1">
        <v>45971.613194444442</v>
      </c>
      <c r="B187" s="5">
        <f>_xlfn.XLOOKUP(A187,Banks!A:A,Banks!H:H,0,-1)</f>
        <v>1352.640145220975</v>
      </c>
      <c r="C187">
        <f>_xlfn.XLOOKUP(A187,Energy!A:A,Energy!H:H,0,-1)</f>
        <v>1983.6112564188029</v>
      </c>
      <c r="D187">
        <f t="shared" si="8"/>
        <v>3336.2514016397781</v>
      </c>
      <c r="E187">
        <f>_xlfn.XLOOKUP(A187,Banks!A:A,Banks!I:I,0)</f>
        <v>0</v>
      </c>
      <c r="F187">
        <f>_xlfn.XLOOKUP(A187,Energy!A:A,Energy!I:I,0)</f>
        <v>31930.659344436921</v>
      </c>
      <c r="G187">
        <f t="shared" si="9"/>
        <v>31930.659344436921</v>
      </c>
      <c r="H187">
        <f t="shared" si="10"/>
        <v>28594.407942797145</v>
      </c>
      <c r="I187" t="b">
        <f t="shared" si="11"/>
        <v>0</v>
      </c>
    </row>
    <row r="188" spans="1:9">
      <c r="A188" s="1">
        <v>45971.613888888889</v>
      </c>
      <c r="B188" s="5">
        <f>_xlfn.XLOOKUP(A188,Banks!A:A,Banks!H:H,0,-1)</f>
        <v>1352.640145220975</v>
      </c>
      <c r="C188">
        <f>_xlfn.XLOOKUP(A188,Energy!A:A,Energy!H:H,0,-1)</f>
        <v>1923.375476365457</v>
      </c>
      <c r="D188">
        <f t="shared" si="8"/>
        <v>3276.0156215864317</v>
      </c>
      <c r="E188">
        <f>_xlfn.XLOOKUP(A188,Banks!A:A,Banks!I:I,0)</f>
        <v>0</v>
      </c>
      <c r="F188">
        <f>_xlfn.XLOOKUP(A188,Energy!A:A,Energy!I:I,0)</f>
        <v>31918.61218842625</v>
      </c>
      <c r="G188">
        <f t="shared" si="9"/>
        <v>31918.61218842625</v>
      </c>
      <c r="H188">
        <f t="shared" si="10"/>
        <v>28642.59656683982</v>
      </c>
      <c r="I188" t="b">
        <f t="shared" si="11"/>
        <v>0</v>
      </c>
    </row>
    <row r="189" spans="1:9">
      <c r="A189" s="1">
        <v>45971.614583333343</v>
      </c>
      <c r="B189" s="5">
        <f>_xlfn.XLOOKUP(A189,Banks!A:A,Banks!H:H,0,-1)</f>
        <v>1352.640145220975</v>
      </c>
      <c r="C189">
        <f>_xlfn.XLOOKUP(A189,Energy!A:A,Energy!H:H,0,-1)</f>
        <v>1923.375476365457</v>
      </c>
      <c r="D189">
        <f t="shared" si="8"/>
        <v>3276.0156215864317</v>
      </c>
      <c r="E189">
        <f>_xlfn.XLOOKUP(A189,Banks!A:A,Banks!I:I,0)</f>
        <v>0</v>
      </c>
      <c r="F189">
        <f>_xlfn.XLOOKUP(A189,Energy!A:A,Energy!I:I,0)</f>
        <v>31918.61218842625</v>
      </c>
      <c r="G189">
        <f t="shared" si="9"/>
        <v>31918.61218842625</v>
      </c>
      <c r="H189">
        <f t="shared" si="10"/>
        <v>28642.59656683982</v>
      </c>
      <c r="I189" t="b">
        <f t="shared" si="11"/>
        <v>0</v>
      </c>
    </row>
    <row r="190" spans="1:9">
      <c r="A190" s="1">
        <v>45971.615277777782</v>
      </c>
      <c r="B190" s="5">
        <f>_xlfn.XLOOKUP(A190,Banks!A:A,Banks!H:H,0,-1)</f>
        <v>1352.640145220975</v>
      </c>
      <c r="C190">
        <f>_xlfn.XLOOKUP(A190,Energy!A:A,Energy!H:H,0,-1)</f>
        <v>1461.7043871209621</v>
      </c>
      <c r="D190">
        <f t="shared" si="8"/>
        <v>2814.3445323419373</v>
      </c>
      <c r="E190">
        <f>_xlfn.XLOOKUP(A190,Banks!A:A,Banks!I:I,0)</f>
        <v>0</v>
      </c>
      <c r="F190">
        <f>_xlfn.XLOOKUP(A190,Energy!A:A,Energy!I:I,0)</f>
        <v>32021.27253999859</v>
      </c>
      <c r="G190">
        <f t="shared" si="9"/>
        <v>32021.27253999859</v>
      </c>
      <c r="H190">
        <f t="shared" si="10"/>
        <v>29206.928007656654</v>
      </c>
      <c r="I190" t="b">
        <f t="shared" si="11"/>
        <v>0</v>
      </c>
    </row>
    <row r="191" spans="1:9">
      <c r="A191" s="1">
        <v>45971.615972222222</v>
      </c>
      <c r="B191" s="5">
        <f>_xlfn.XLOOKUP(A191,Banks!A:A,Banks!H:H,0,-1)</f>
        <v>1352.640145220975</v>
      </c>
      <c r="C191">
        <f>_xlfn.XLOOKUP(A191,Energy!A:A,Energy!H:H,0,-1)</f>
        <v>1597.1902853092711</v>
      </c>
      <c r="D191">
        <f t="shared" si="8"/>
        <v>2949.8304305302463</v>
      </c>
      <c r="E191">
        <f>_xlfn.XLOOKUP(A191,Banks!A:A,Banks!I:I,0)</f>
        <v>0</v>
      </c>
      <c r="F191">
        <f>_xlfn.XLOOKUP(A191,Energy!A:A,Energy!I:I,0)</f>
        <v>32049.248073552561</v>
      </c>
      <c r="G191">
        <f t="shared" si="9"/>
        <v>32049.248073552561</v>
      </c>
      <c r="H191">
        <f t="shared" si="10"/>
        <v>29099.417643022316</v>
      </c>
      <c r="I191" t="b">
        <f t="shared" si="11"/>
        <v>0</v>
      </c>
    </row>
    <row r="192" spans="1:9">
      <c r="A192" s="1">
        <v>45971.616666666669</v>
      </c>
      <c r="B192" s="5">
        <f>_xlfn.XLOOKUP(A192,Banks!A:A,Banks!H:H,0,-1)</f>
        <v>1352.640145220975</v>
      </c>
      <c r="C192">
        <f>_xlfn.XLOOKUP(A192,Energy!A:A,Energy!H:H,0,-1)</f>
        <v>1512.6213448304079</v>
      </c>
      <c r="D192">
        <f t="shared" si="8"/>
        <v>2865.2614900513827</v>
      </c>
      <c r="E192">
        <f>_xlfn.XLOOKUP(A192,Banks!A:A,Banks!I:I,0)</f>
        <v>0</v>
      </c>
      <c r="F192">
        <f>_xlfn.XLOOKUP(A192,Energy!A:A,Energy!I:I,0)</f>
        <v>32045.50959420147</v>
      </c>
      <c r="G192">
        <f t="shared" si="9"/>
        <v>32045.50959420147</v>
      </c>
      <c r="H192">
        <f t="shared" si="10"/>
        <v>29180.248104150087</v>
      </c>
      <c r="I192" t="b">
        <f t="shared" si="11"/>
        <v>0</v>
      </c>
    </row>
    <row r="193" spans="1:9">
      <c r="A193" s="1">
        <v>45971.617361111108</v>
      </c>
      <c r="B193" s="5">
        <f>_xlfn.XLOOKUP(A193,Banks!A:A,Banks!H:H,0,-1)</f>
        <v>1352.640145220975</v>
      </c>
      <c r="C193">
        <f>_xlfn.XLOOKUP(A193,Energy!A:A,Energy!H:H,0,-1)</f>
        <v>1478.20089908563</v>
      </c>
      <c r="D193">
        <f t="shared" si="8"/>
        <v>2830.841044306605</v>
      </c>
      <c r="E193">
        <f>_xlfn.XLOOKUP(A193,Banks!A:A,Banks!I:I,0)</f>
        <v>0</v>
      </c>
      <c r="F193">
        <f>_xlfn.XLOOKUP(A193,Energy!A:A,Energy!I:I,0)</f>
        <v>32038.625505052511</v>
      </c>
      <c r="G193">
        <f t="shared" si="9"/>
        <v>32038.625505052511</v>
      </c>
      <c r="H193">
        <f t="shared" si="10"/>
        <v>29207.784460745905</v>
      </c>
      <c r="I193" t="b">
        <f t="shared" si="11"/>
        <v>0</v>
      </c>
    </row>
    <row r="194" spans="1:9">
      <c r="A194" s="1">
        <v>45971.618055555547</v>
      </c>
      <c r="B194" s="5">
        <f>_xlfn.XLOOKUP(A194,Banks!A:A,Banks!H:H,0,-1)</f>
        <v>1352.640145220975</v>
      </c>
      <c r="C194">
        <f>_xlfn.XLOOKUP(A194,Energy!A:A,Energy!H:H,0,-1)</f>
        <v>1439.745539213161</v>
      </c>
      <c r="D194">
        <f t="shared" si="8"/>
        <v>2792.3856844341362</v>
      </c>
      <c r="E194">
        <f>_xlfn.XLOOKUP(A194,Banks!A:A,Banks!I:I,0)</f>
        <v>0</v>
      </c>
      <c r="F194">
        <f>_xlfn.XLOOKUP(A194,Energy!A:A,Energy!I:I,0)</f>
        <v>32025.664309580148</v>
      </c>
      <c r="G194">
        <f t="shared" si="9"/>
        <v>32025.664309580148</v>
      </c>
      <c r="H194">
        <f t="shared" si="10"/>
        <v>29233.278625146013</v>
      </c>
      <c r="I194" t="b">
        <f t="shared" si="11"/>
        <v>0</v>
      </c>
    </row>
    <row r="195" spans="1:9">
      <c r="A195" s="1">
        <v>45971.618750000001</v>
      </c>
      <c r="B195" s="5">
        <f>_xlfn.XLOOKUP(A195,Banks!A:A,Banks!H:H,0,-1)</f>
        <v>1352.640145220975</v>
      </c>
      <c r="C195">
        <f>_xlfn.XLOOKUP(A195,Energy!A:A,Energy!H:H,0,-1)</f>
        <v>1493.6957682803529</v>
      </c>
      <c r="D195">
        <f t="shared" ref="D195:D258" si="12">B195+C195</f>
        <v>2846.3359135013279</v>
      </c>
      <c r="E195">
        <f>_xlfn.XLOOKUP(A195,Banks!A:A,Banks!I:I,0)</f>
        <v>0</v>
      </c>
      <c r="F195">
        <f>_xlfn.XLOOKUP(A195,Energy!A:A,Energy!I:I,0)</f>
        <v>31990.779951745371</v>
      </c>
      <c r="G195">
        <f t="shared" ref="G195:G258" si="13">F195+E195</f>
        <v>31990.779951745371</v>
      </c>
      <c r="H195">
        <f t="shared" ref="H195:H258" si="14">G195-D195</f>
        <v>29144.444038244044</v>
      </c>
      <c r="I195" t="b">
        <f t="shared" ref="I195:I258" si="15">AND(E195&gt;0,F195&gt;0)</f>
        <v>0</v>
      </c>
    </row>
    <row r="196" spans="1:9">
      <c r="A196" s="1">
        <v>45971.619444444441</v>
      </c>
      <c r="B196" s="5">
        <f>_xlfn.XLOOKUP(A196,Banks!A:A,Banks!H:H,0,-1)</f>
        <v>1352.640145220975</v>
      </c>
      <c r="C196">
        <f>_xlfn.XLOOKUP(A196,Energy!A:A,Energy!H:H,0,-1)</f>
        <v>1510.013852518108</v>
      </c>
      <c r="D196">
        <f t="shared" si="12"/>
        <v>2862.653997739083</v>
      </c>
      <c r="E196">
        <f>_xlfn.XLOOKUP(A196,Banks!A:A,Banks!I:I,0)</f>
        <v>0</v>
      </c>
      <c r="F196">
        <f>_xlfn.XLOOKUP(A196,Energy!A:A,Energy!I:I,0)</f>
        <v>32011.610646919162</v>
      </c>
      <c r="G196">
        <f t="shared" si="13"/>
        <v>32011.610646919162</v>
      </c>
      <c r="H196">
        <f t="shared" si="14"/>
        <v>29148.95664918008</v>
      </c>
      <c r="I196" t="b">
        <f t="shared" si="15"/>
        <v>0</v>
      </c>
    </row>
    <row r="197" spans="1:9">
      <c r="A197" s="1">
        <v>45971.620138888888</v>
      </c>
      <c r="B197" s="5">
        <f>_xlfn.XLOOKUP(A197,Banks!A:A,Banks!H:H,0,-1)</f>
        <v>1352.640145220975</v>
      </c>
      <c r="C197">
        <f>_xlfn.XLOOKUP(A197,Energy!A:A,Energy!H:H,0,-1)</f>
        <v>1598.9198105108539</v>
      </c>
      <c r="D197">
        <f t="shared" si="12"/>
        <v>2951.5599557318292</v>
      </c>
      <c r="E197">
        <f>_xlfn.XLOOKUP(A197,Banks!A:A,Banks!I:I,0)</f>
        <v>0</v>
      </c>
      <c r="F197">
        <f>_xlfn.XLOOKUP(A197,Energy!A:A,Energy!I:I,0)</f>
        <v>31973.177187873749</v>
      </c>
      <c r="G197">
        <f t="shared" si="13"/>
        <v>31973.177187873749</v>
      </c>
      <c r="H197">
        <f t="shared" si="14"/>
        <v>29021.617232141922</v>
      </c>
      <c r="I197" t="b">
        <f t="shared" si="15"/>
        <v>0</v>
      </c>
    </row>
    <row r="198" spans="1:9">
      <c r="A198" s="1">
        <v>45971.620833333327</v>
      </c>
      <c r="B198" s="5">
        <f>_xlfn.XLOOKUP(A198,Banks!A:A,Banks!H:H,0,-1)</f>
        <v>1352.640145220975</v>
      </c>
      <c r="C198">
        <f>_xlfn.XLOOKUP(A198,Energy!A:A,Energy!H:H,0,-1)</f>
        <v>1581.1743044576831</v>
      </c>
      <c r="D198">
        <f t="shared" si="12"/>
        <v>2933.8144496786581</v>
      </c>
      <c r="E198">
        <f>_xlfn.XLOOKUP(A198,Banks!A:A,Banks!I:I,0)</f>
        <v>0</v>
      </c>
      <c r="F198">
        <f>_xlfn.XLOOKUP(A198,Energy!A:A,Energy!I:I,0)</f>
        <v>31980.16833365885</v>
      </c>
      <c r="G198">
        <f t="shared" si="13"/>
        <v>31980.16833365885</v>
      </c>
      <c r="H198">
        <f t="shared" si="14"/>
        <v>29046.353883980191</v>
      </c>
      <c r="I198" t="b">
        <f t="shared" si="15"/>
        <v>0</v>
      </c>
    </row>
    <row r="199" spans="1:9">
      <c r="A199" s="1">
        <v>45971.621527777781</v>
      </c>
      <c r="B199" s="5">
        <f>_xlfn.XLOOKUP(A199,Banks!A:A,Banks!H:H,0,-1)</f>
        <v>1352.640145220975</v>
      </c>
      <c r="C199">
        <f>_xlfn.XLOOKUP(A199,Energy!A:A,Energy!H:H,0,-1)</f>
        <v>1630.5543362163819</v>
      </c>
      <c r="D199">
        <f t="shared" si="12"/>
        <v>2983.1944814373569</v>
      </c>
      <c r="E199">
        <f>_xlfn.XLOOKUP(A199,Banks!A:A,Banks!I:I,0)</f>
        <v>0</v>
      </c>
      <c r="F199">
        <f>_xlfn.XLOOKUP(A199,Energy!A:A,Energy!I:I,0)</f>
        <v>31949.640059860249</v>
      </c>
      <c r="G199">
        <f t="shared" si="13"/>
        <v>31949.640059860249</v>
      </c>
      <c r="H199">
        <f t="shared" si="14"/>
        <v>28966.445578422892</v>
      </c>
      <c r="I199" t="b">
        <f t="shared" si="15"/>
        <v>0</v>
      </c>
    </row>
    <row r="200" spans="1:9">
      <c r="A200" s="1">
        <v>45971.62222222222</v>
      </c>
      <c r="B200" s="5">
        <f>_xlfn.XLOOKUP(A200,Banks!A:A,Banks!H:H,0,-1)</f>
        <v>1352.640145220975</v>
      </c>
      <c r="C200">
        <f>_xlfn.XLOOKUP(A200,Energy!A:A,Energy!H:H,0,-1)</f>
        <v>1568.534278893781</v>
      </c>
      <c r="D200">
        <f t="shared" si="12"/>
        <v>2921.1744241147562</v>
      </c>
      <c r="E200">
        <f>_xlfn.XLOOKUP(A200,Banks!A:A,Banks!I:I,0)</f>
        <v>0</v>
      </c>
      <c r="F200">
        <f>_xlfn.XLOOKUP(A200,Energy!A:A,Energy!I:I,0)</f>
        <v>31972.370205048199</v>
      </c>
      <c r="G200">
        <f t="shared" si="13"/>
        <v>31972.370205048199</v>
      </c>
      <c r="H200">
        <f t="shared" si="14"/>
        <v>29051.195780933442</v>
      </c>
      <c r="I200" t="b">
        <f t="shared" si="15"/>
        <v>0</v>
      </c>
    </row>
    <row r="201" spans="1:9">
      <c r="A201" s="1">
        <v>45971.622916666667</v>
      </c>
      <c r="B201" s="5">
        <f>_xlfn.XLOOKUP(A201,Banks!A:A,Banks!H:H,0,-1)</f>
        <v>1352.640145220975</v>
      </c>
      <c r="C201">
        <f>_xlfn.XLOOKUP(A201,Energy!A:A,Energy!H:H,0,-1)</f>
        <v>1658.441879656498</v>
      </c>
      <c r="D201">
        <f t="shared" si="12"/>
        <v>3011.082024877473</v>
      </c>
      <c r="E201">
        <f>_xlfn.XLOOKUP(A201,Banks!A:A,Banks!I:I,0)</f>
        <v>0</v>
      </c>
      <c r="F201">
        <f>_xlfn.XLOOKUP(A201,Energy!A:A,Energy!I:I,0)</f>
        <v>31999.13526436386</v>
      </c>
      <c r="G201">
        <f t="shared" si="13"/>
        <v>31999.13526436386</v>
      </c>
      <c r="H201">
        <f t="shared" si="14"/>
        <v>28988.053239486388</v>
      </c>
      <c r="I201" t="b">
        <f t="shared" si="15"/>
        <v>0</v>
      </c>
    </row>
    <row r="202" spans="1:9">
      <c r="A202" s="1">
        <v>45971.623611111107</v>
      </c>
      <c r="B202" s="5">
        <f>_xlfn.XLOOKUP(A202,Banks!A:A,Banks!H:H,0,-1)</f>
        <v>1352.640145220975</v>
      </c>
      <c r="C202">
        <f>_xlfn.XLOOKUP(A202,Energy!A:A,Energy!H:H,0,-1)</f>
        <v>1425.747015425437</v>
      </c>
      <c r="D202">
        <f t="shared" si="12"/>
        <v>2778.3871606464118</v>
      </c>
      <c r="E202">
        <f>_xlfn.XLOOKUP(A202,Banks!A:A,Banks!I:I,0)</f>
        <v>0</v>
      </c>
      <c r="F202">
        <f>_xlfn.XLOOKUP(A202,Energy!A:A,Energy!I:I,0)</f>
        <v>31959.623122848148</v>
      </c>
      <c r="G202">
        <f t="shared" si="13"/>
        <v>31959.623122848148</v>
      </c>
      <c r="H202">
        <f t="shared" si="14"/>
        <v>29181.235962201736</v>
      </c>
      <c r="I202" t="b">
        <f t="shared" si="15"/>
        <v>0</v>
      </c>
    </row>
    <row r="203" spans="1:9">
      <c r="A203" s="1">
        <v>45971.624305555553</v>
      </c>
      <c r="B203" s="5">
        <f>_xlfn.XLOOKUP(A203,Banks!A:A,Banks!H:H,0,-1)</f>
        <v>1352.640145220975</v>
      </c>
      <c r="C203">
        <f>_xlfn.XLOOKUP(A203,Energy!A:A,Energy!H:H,0,-1)</f>
        <v>1443.2248798882081</v>
      </c>
      <c r="D203">
        <f t="shared" si="12"/>
        <v>2795.8650251091831</v>
      </c>
      <c r="E203">
        <f>_xlfn.XLOOKUP(A203,Banks!A:A,Banks!I:I,0)</f>
        <v>0</v>
      </c>
      <c r="F203">
        <f>_xlfn.XLOOKUP(A203,Energy!A:A,Energy!I:I,0)</f>
        <v>31957.84857224283</v>
      </c>
      <c r="G203">
        <f t="shared" si="13"/>
        <v>31957.84857224283</v>
      </c>
      <c r="H203">
        <f t="shared" si="14"/>
        <v>29161.983547133648</v>
      </c>
      <c r="I203" t="b">
        <f t="shared" si="15"/>
        <v>0</v>
      </c>
    </row>
    <row r="204" spans="1:9">
      <c r="A204" s="1">
        <v>45971.625</v>
      </c>
      <c r="B204" s="5">
        <f>_xlfn.XLOOKUP(A204,Banks!A:A,Banks!H:H,0,-1)</f>
        <v>1352.640145220975</v>
      </c>
      <c r="C204">
        <f>_xlfn.XLOOKUP(A204,Energy!A:A,Energy!H:H,0,-1)</f>
        <v>1513.939262510457</v>
      </c>
      <c r="D204">
        <f t="shared" si="12"/>
        <v>2866.5794077314322</v>
      </c>
      <c r="E204">
        <f>_xlfn.XLOOKUP(A204,Banks!A:A,Banks!I:I,0)</f>
        <v>0</v>
      </c>
      <c r="F204">
        <f>_xlfn.XLOOKUP(A204,Energy!A:A,Energy!I:I,0)</f>
        <v>31935.10058428218</v>
      </c>
      <c r="G204">
        <f t="shared" si="13"/>
        <v>31935.10058428218</v>
      </c>
      <c r="H204">
        <f t="shared" si="14"/>
        <v>29068.521176550748</v>
      </c>
      <c r="I204" t="b">
        <f t="shared" si="15"/>
        <v>0</v>
      </c>
    </row>
    <row r="205" spans="1:9">
      <c r="A205" s="1">
        <v>45971.625694444447</v>
      </c>
      <c r="B205" s="5">
        <f>_xlfn.XLOOKUP(A205,Banks!A:A,Banks!H:H,0,-1)</f>
        <v>1352.640145220975</v>
      </c>
      <c r="C205">
        <f>_xlfn.XLOOKUP(A205,Energy!A:A,Energy!H:H,0,-1)</f>
        <v>1436.4932595847281</v>
      </c>
      <c r="D205">
        <f t="shared" si="12"/>
        <v>2789.1334048057033</v>
      </c>
      <c r="E205">
        <f>_xlfn.XLOOKUP(A205,Banks!A:A,Banks!I:I,0)</f>
        <v>0</v>
      </c>
      <c r="F205">
        <f>_xlfn.XLOOKUP(A205,Energy!A:A,Energy!I:I,0)</f>
        <v>31919.61138369704</v>
      </c>
      <c r="G205">
        <f t="shared" si="13"/>
        <v>31919.61138369704</v>
      </c>
      <c r="H205">
        <f t="shared" si="14"/>
        <v>29130.477978891337</v>
      </c>
      <c r="I205" t="b">
        <f t="shared" si="15"/>
        <v>0</v>
      </c>
    </row>
    <row r="206" spans="1:9">
      <c r="A206" s="1">
        <v>45971.626388888893</v>
      </c>
      <c r="B206" s="5">
        <f>_xlfn.XLOOKUP(A206,Banks!A:A,Banks!H:H,0,-1)</f>
        <v>1352.640145220975</v>
      </c>
      <c r="C206">
        <f>_xlfn.XLOOKUP(A206,Energy!A:A,Energy!H:H,0,-1)</f>
        <v>1436.4932595847281</v>
      </c>
      <c r="D206">
        <f t="shared" si="12"/>
        <v>2789.1334048057033</v>
      </c>
      <c r="E206">
        <f>_xlfn.XLOOKUP(A206,Banks!A:A,Banks!I:I,0)</f>
        <v>0</v>
      </c>
      <c r="F206">
        <f>_xlfn.XLOOKUP(A206,Energy!A:A,Energy!I:I,0)</f>
        <v>31919.61138369704</v>
      </c>
      <c r="G206">
        <f t="shared" si="13"/>
        <v>31919.61138369704</v>
      </c>
      <c r="H206">
        <f t="shared" si="14"/>
        <v>29130.477978891337</v>
      </c>
      <c r="I206" t="b">
        <f t="shared" si="15"/>
        <v>0</v>
      </c>
    </row>
    <row r="207" spans="1:9">
      <c r="A207" s="1">
        <v>45971.627083333333</v>
      </c>
      <c r="B207" s="5">
        <f>_xlfn.XLOOKUP(A207,Banks!A:A,Banks!H:H,0,-1)</f>
        <v>1352.640145220975</v>
      </c>
      <c r="C207">
        <f>_xlfn.XLOOKUP(A207,Energy!A:A,Energy!H:H,0,-1)</f>
        <v>1586.842887356366</v>
      </c>
      <c r="D207">
        <f t="shared" si="12"/>
        <v>2939.483032577341</v>
      </c>
      <c r="E207">
        <f>_xlfn.XLOOKUP(A207,Banks!A:A,Banks!I:I,0)</f>
        <v>0</v>
      </c>
      <c r="F207">
        <f>_xlfn.XLOOKUP(A207,Energy!A:A,Energy!I:I,0)</f>
        <v>0</v>
      </c>
      <c r="G207">
        <f t="shared" si="13"/>
        <v>0</v>
      </c>
      <c r="H207">
        <f t="shared" si="14"/>
        <v>-2939.483032577341</v>
      </c>
      <c r="I207" t="b">
        <f t="shared" si="15"/>
        <v>0</v>
      </c>
    </row>
    <row r="208" spans="1:9">
      <c r="A208" s="1">
        <v>45972.604166666657</v>
      </c>
      <c r="B208" s="5">
        <f>_xlfn.XLOOKUP(A208,Banks!A:A,Banks!H:H,0,-1)</f>
        <v>1352.640145220975</v>
      </c>
      <c r="C208">
        <f>_xlfn.XLOOKUP(A208,Energy!A:A,Energy!H:H,0,-1)</f>
        <v>1586.842887356366</v>
      </c>
      <c r="D208">
        <f t="shared" si="12"/>
        <v>2939.483032577341</v>
      </c>
      <c r="E208">
        <f>_xlfn.XLOOKUP(A208,Banks!A:A,Banks!I:I,0)</f>
        <v>33348.602962298159</v>
      </c>
      <c r="F208">
        <f>_xlfn.XLOOKUP(A208,Energy!A:A,Energy!I:I,0)</f>
        <v>0</v>
      </c>
      <c r="G208">
        <f t="shared" si="13"/>
        <v>33348.602962298159</v>
      </c>
      <c r="H208">
        <f t="shared" si="14"/>
        <v>30409.119929720819</v>
      </c>
      <c r="I208" t="b">
        <f t="shared" si="15"/>
        <v>0</v>
      </c>
    </row>
    <row r="209" spans="1:9">
      <c r="A209" s="1">
        <v>45972.604861111111</v>
      </c>
      <c r="B209" s="5">
        <f>_xlfn.XLOOKUP(A209,Banks!A:A,Banks!H:H,0,-1)</f>
        <v>1536.14940694911</v>
      </c>
      <c r="C209">
        <f>_xlfn.XLOOKUP(A209,Energy!A:A,Energy!H:H,0,-1)</f>
        <v>1586.842887356366</v>
      </c>
      <c r="D209">
        <f t="shared" si="12"/>
        <v>3122.9922943054762</v>
      </c>
      <c r="E209">
        <f>_xlfn.XLOOKUP(A209,Banks!A:A,Banks!I:I,0)</f>
        <v>33311.901109952531</v>
      </c>
      <c r="F209">
        <f>_xlfn.XLOOKUP(A209,Energy!A:A,Energy!I:I,0)</f>
        <v>0</v>
      </c>
      <c r="G209">
        <f t="shared" si="13"/>
        <v>33311.901109952531</v>
      </c>
      <c r="H209">
        <f t="shared" si="14"/>
        <v>30188.908815647053</v>
      </c>
      <c r="I209" t="b">
        <f t="shared" si="15"/>
        <v>0</v>
      </c>
    </row>
    <row r="210" spans="1:9">
      <c r="A210" s="1">
        <v>45972.605555555558</v>
      </c>
      <c r="B210" s="5">
        <f>_xlfn.XLOOKUP(A210,Banks!A:A,Banks!H:H,0,-1)</f>
        <v>1793.376064414171</v>
      </c>
      <c r="C210">
        <f>_xlfn.XLOOKUP(A210,Energy!A:A,Energy!H:H,0,-1)</f>
        <v>1586.842887356366</v>
      </c>
      <c r="D210">
        <f t="shared" si="12"/>
        <v>3380.2189517705369</v>
      </c>
      <c r="E210">
        <f>_xlfn.XLOOKUP(A210,Banks!A:A,Banks!I:I,0)</f>
        <v>33260.455778459524</v>
      </c>
      <c r="F210">
        <f>_xlfn.XLOOKUP(A210,Energy!A:A,Energy!I:I,0)</f>
        <v>0</v>
      </c>
      <c r="G210">
        <f t="shared" si="13"/>
        <v>33260.455778459524</v>
      </c>
      <c r="H210">
        <f t="shared" si="14"/>
        <v>29880.236826688986</v>
      </c>
      <c r="I210" t="b">
        <f t="shared" si="15"/>
        <v>0</v>
      </c>
    </row>
    <row r="211" spans="1:9">
      <c r="A211" s="1">
        <v>45972.606249999997</v>
      </c>
      <c r="B211" s="5">
        <f>_xlfn.XLOOKUP(A211,Banks!A:A,Banks!H:H,0,-1)</f>
        <v>1521.490649120306</v>
      </c>
      <c r="C211">
        <f>_xlfn.XLOOKUP(A211,Energy!A:A,Energy!H:H,0,-1)</f>
        <v>1586.842887356366</v>
      </c>
      <c r="D211">
        <f t="shared" si="12"/>
        <v>3108.3335364766717</v>
      </c>
      <c r="E211">
        <f>_xlfn.XLOOKUP(A211,Banks!A:A,Banks!I:I,0)</f>
        <v>33227.409686507614</v>
      </c>
      <c r="F211">
        <f>_xlfn.XLOOKUP(A211,Energy!A:A,Energy!I:I,0)</f>
        <v>0</v>
      </c>
      <c r="G211">
        <f t="shared" si="13"/>
        <v>33227.409686507614</v>
      </c>
      <c r="H211">
        <f t="shared" si="14"/>
        <v>30119.076150030942</v>
      </c>
      <c r="I211" t="b">
        <f t="shared" si="15"/>
        <v>0</v>
      </c>
    </row>
    <row r="212" spans="1:9">
      <c r="A212" s="1">
        <v>45972.606944444437</v>
      </c>
      <c r="B212" s="5">
        <f>_xlfn.XLOOKUP(A212,Banks!A:A,Banks!H:H,0,-1)</f>
        <v>1504.7097194519231</v>
      </c>
      <c r="C212">
        <f>_xlfn.XLOOKUP(A212,Energy!A:A,Energy!H:H,0,-1)</f>
        <v>1586.842887356366</v>
      </c>
      <c r="D212">
        <f t="shared" si="12"/>
        <v>3091.5526068082891</v>
      </c>
      <c r="E212">
        <f>_xlfn.XLOOKUP(A212,Banks!A:A,Banks!I:I,0)</f>
        <v>33252.913076777317</v>
      </c>
      <c r="F212">
        <f>_xlfn.XLOOKUP(A212,Energy!A:A,Energy!I:I,0)</f>
        <v>0</v>
      </c>
      <c r="G212">
        <f t="shared" si="13"/>
        <v>33252.913076777317</v>
      </c>
      <c r="H212">
        <f t="shared" si="14"/>
        <v>30161.360469969026</v>
      </c>
      <c r="I212" t="b">
        <f t="shared" si="15"/>
        <v>0</v>
      </c>
    </row>
    <row r="213" spans="1:9">
      <c r="A213" s="1">
        <v>45972.607638888891</v>
      </c>
      <c r="B213" s="5">
        <f>_xlfn.XLOOKUP(A213,Banks!A:A,Banks!H:H,0,-1)</f>
        <v>1554.2692245949449</v>
      </c>
      <c r="C213">
        <f>_xlfn.XLOOKUP(A213,Energy!A:A,Energy!H:H,0,-1)</f>
        <v>1586.842887356366</v>
      </c>
      <c r="D213">
        <f t="shared" si="12"/>
        <v>3141.1121119513109</v>
      </c>
      <c r="E213">
        <f>_xlfn.XLOOKUP(A213,Banks!A:A,Banks!I:I,0)</f>
        <v>0</v>
      </c>
      <c r="F213">
        <f>_xlfn.XLOOKUP(A213,Energy!A:A,Energy!I:I,0)</f>
        <v>0</v>
      </c>
      <c r="G213">
        <f t="shared" si="13"/>
        <v>0</v>
      </c>
      <c r="H213">
        <f t="shared" si="14"/>
        <v>-3141.1121119513109</v>
      </c>
      <c r="I213" t="b">
        <f t="shared" si="15"/>
        <v>0</v>
      </c>
    </row>
    <row r="214" spans="1:9">
      <c r="A214" s="1">
        <v>45972.75</v>
      </c>
      <c r="B214" s="5">
        <f>_xlfn.XLOOKUP(A214,Banks!A:A,Banks!H:H,0,-1)</f>
        <v>1554.2692245949449</v>
      </c>
      <c r="C214">
        <f>_xlfn.XLOOKUP(A214,Energy!A:A,Energy!H:H,0,-1)</f>
        <v>1586.842887356366</v>
      </c>
      <c r="D214">
        <f t="shared" si="12"/>
        <v>3141.1121119513109</v>
      </c>
      <c r="E214">
        <f>_xlfn.XLOOKUP(A214,Banks!A:A,Banks!I:I,0)</f>
        <v>0</v>
      </c>
      <c r="F214">
        <f>_xlfn.XLOOKUP(A214,Energy!A:A,Energy!I:I,0)</f>
        <v>32001.827912485249</v>
      </c>
      <c r="G214">
        <f t="shared" si="13"/>
        <v>32001.827912485249</v>
      </c>
      <c r="H214">
        <f t="shared" si="14"/>
        <v>28860.715800533937</v>
      </c>
      <c r="I214" t="b">
        <f t="shared" si="15"/>
        <v>0</v>
      </c>
    </row>
    <row r="215" spans="1:9">
      <c r="A215" s="1">
        <v>45972.750694444447</v>
      </c>
      <c r="B215" s="5">
        <f>_xlfn.XLOOKUP(A215,Banks!A:A,Banks!H:H,0,-1)</f>
        <v>1554.2692245949449</v>
      </c>
      <c r="C215">
        <f>_xlfn.XLOOKUP(A215,Energy!A:A,Energy!H:H,0,-1)</f>
        <v>1618.445237990263</v>
      </c>
      <c r="D215">
        <f t="shared" si="12"/>
        <v>3172.7144625852079</v>
      </c>
      <c r="E215">
        <f>_xlfn.XLOOKUP(A215,Banks!A:A,Banks!I:I,0)</f>
        <v>0</v>
      </c>
      <c r="F215">
        <f>_xlfn.XLOOKUP(A215,Energy!A:A,Energy!I:I,0)</f>
        <v>31993.84396402528</v>
      </c>
      <c r="G215">
        <f t="shared" si="13"/>
        <v>31993.84396402528</v>
      </c>
      <c r="H215">
        <f t="shared" si="14"/>
        <v>28821.129501440071</v>
      </c>
      <c r="I215" t="b">
        <f t="shared" si="15"/>
        <v>0</v>
      </c>
    </row>
    <row r="216" spans="1:9">
      <c r="A216" s="1">
        <v>45972.751388888893</v>
      </c>
      <c r="B216" s="5">
        <f>_xlfn.XLOOKUP(A216,Banks!A:A,Banks!H:H,0,-1)</f>
        <v>1554.2692245949449</v>
      </c>
      <c r="C216">
        <f>_xlfn.XLOOKUP(A216,Energy!A:A,Energy!H:H,0,-1)</f>
        <v>1635.6133684694689</v>
      </c>
      <c r="D216">
        <f t="shared" si="12"/>
        <v>3189.8825930644139</v>
      </c>
      <c r="E216">
        <f>_xlfn.XLOOKUP(A216,Banks!A:A,Banks!I:I,0)</f>
        <v>0</v>
      </c>
      <c r="F216">
        <f>_xlfn.XLOOKUP(A216,Energy!A:A,Energy!I:I,0)</f>
        <v>31978.765989597068</v>
      </c>
      <c r="G216">
        <f t="shared" si="13"/>
        <v>31978.765989597068</v>
      </c>
      <c r="H216">
        <f t="shared" si="14"/>
        <v>28788.883396532656</v>
      </c>
      <c r="I216" t="b">
        <f t="shared" si="15"/>
        <v>0</v>
      </c>
    </row>
    <row r="217" spans="1:9">
      <c r="A217" s="1">
        <v>45972.752083333333</v>
      </c>
      <c r="B217" s="5">
        <f>_xlfn.XLOOKUP(A217,Banks!A:A,Banks!H:H,0,-1)</f>
        <v>1554.2692245949449</v>
      </c>
      <c r="C217">
        <f>_xlfn.XLOOKUP(A217,Energy!A:A,Energy!H:H,0,-1)</f>
        <v>1643.9307601354469</v>
      </c>
      <c r="D217">
        <f t="shared" si="12"/>
        <v>3198.1999847303919</v>
      </c>
      <c r="E217">
        <f>_xlfn.XLOOKUP(A217,Banks!A:A,Banks!I:I,0)</f>
        <v>0</v>
      </c>
      <c r="F217">
        <f>_xlfn.XLOOKUP(A217,Energy!A:A,Energy!I:I,0)</f>
        <v>31980.429467930269</v>
      </c>
      <c r="G217">
        <f t="shared" si="13"/>
        <v>31980.429467930269</v>
      </c>
      <c r="H217">
        <f t="shared" si="14"/>
        <v>28782.229483199877</v>
      </c>
      <c r="I217" t="b">
        <f t="shared" si="15"/>
        <v>0</v>
      </c>
    </row>
    <row r="218" spans="1:9">
      <c r="A218" s="1">
        <v>45972.75277777778</v>
      </c>
      <c r="B218" s="5">
        <f>_xlfn.XLOOKUP(A218,Banks!A:A,Banks!H:H,0,-1)</f>
        <v>1554.2692245949449</v>
      </c>
      <c r="C218">
        <f>_xlfn.XLOOKUP(A218,Energy!A:A,Energy!H:H,0,-1)</f>
        <v>1555.4829672439239</v>
      </c>
      <c r="D218">
        <f t="shared" si="12"/>
        <v>3109.7521918388688</v>
      </c>
      <c r="E218">
        <f>_xlfn.XLOOKUP(A218,Banks!A:A,Banks!I:I,0)</f>
        <v>0</v>
      </c>
      <c r="F218">
        <f>_xlfn.XLOOKUP(A218,Energy!A:A,Energy!I:I,0)</f>
        <v>32001.445983174959</v>
      </c>
      <c r="G218">
        <f t="shared" si="13"/>
        <v>32001.445983174959</v>
      </c>
      <c r="H218">
        <f t="shared" si="14"/>
        <v>28891.693791336089</v>
      </c>
      <c r="I218" t="b">
        <f t="shared" si="15"/>
        <v>0</v>
      </c>
    </row>
    <row r="219" spans="1:9">
      <c r="A219" s="1">
        <v>45972.753472222219</v>
      </c>
      <c r="B219" s="5">
        <f>_xlfn.XLOOKUP(A219,Banks!A:A,Banks!H:H,0,-1)</f>
        <v>1554.2692245949449</v>
      </c>
      <c r="C219">
        <f>_xlfn.XLOOKUP(A219,Energy!A:A,Energy!H:H,0,-1)</f>
        <v>1530.8701949760709</v>
      </c>
      <c r="D219">
        <f t="shared" si="12"/>
        <v>3085.1394195710159</v>
      </c>
      <c r="E219">
        <f>_xlfn.XLOOKUP(A219,Banks!A:A,Banks!I:I,0)</f>
        <v>0</v>
      </c>
      <c r="F219">
        <f>_xlfn.XLOOKUP(A219,Energy!A:A,Energy!I:I,0)</f>
        <v>31984.743319296998</v>
      </c>
      <c r="G219">
        <f t="shared" si="13"/>
        <v>31984.743319296998</v>
      </c>
      <c r="H219">
        <f t="shared" si="14"/>
        <v>28899.603899725982</v>
      </c>
      <c r="I219" t="b">
        <f t="shared" si="15"/>
        <v>0</v>
      </c>
    </row>
    <row r="220" spans="1:9">
      <c r="A220" s="1">
        <v>45972.754166666673</v>
      </c>
      <c r="B220" s="5">
        <f>_xlfn.XLOOKUP(A220,Banks!A:A,Banks!H:H,0,-1)</f>
        <v>1554.2692245949449</v>
      </c>
      <c r="C220">
        <f>_xlfn.XLOOKUP(A220,Energy!A:A,Energy!H:H,0,-1)</f>
        <v>1511.9863623626011</v>
      </c>
      <c r="D220">
        <f t="shared" si="12"/>
        <v>3066.2555869575463</v>
      </c>
      <c r="E220">
        <f>_xlfn.XLOOKUP(A220,Banks!A:A,Banks!I:I,0)</f>
        <v>0</v>
      </c>
      <c r="F220">
        <f>_xlfn.XLOOKUP(A220,Energy!A:A,Energy!I:I,0)</f>
        <v>31986.85660748649</v>
      </c>
      <c r="G220">
        <f t="shared" si="13"/>
        <v>31986.85660748649</v>
      </c>
      <c r="H220">
        <f t="shared" si="14"/>
        <v>28920.601020528942</v>
      </c>
      <c r="I220" t="b">
        <f t="shared" si="15"/>
        <v>0</v>
      </c>
    </row>
    <row r="221" spans="1:9">
      <c r="A221" s="1">
        <v>45972.754861111112</v>
      </c>
      <c r="B221" s="5">
        <f>_xlfn.XLOOKUP(A221,Banks!A:A,Banks!H:H,0,-1)</f>
        <v>1554.2692245949449</v>
      </c>
      <c r="C221">
        <f>_xlfn.XLOOKUP(A221,Energy!A:A,Energy!H:H,0,-1)</f>
        <v>1560.271982432761</v>
      </c>
      <c r="D221">
        <f t="shared" si="12"/>
        <v>3114.5412070277062</v>
      </c>
      <c r="E221">
        <f>_xlfn.XLOOKUP(A221,Banks!A:A,Banks!I:I,0)</f>
        <v>0</v>
      </c>
      <c r="F221">
        <f>_xlfn.XLOOKUP(A221,Energy!A:A,Energy!I:I,0)</f>
        <v>31980.526440138859</v>
      </c>
      <c r="G221">
        <f t="shared" si="13"/>
        <v>31980.526440138859</v>
      </c>
      <c r="H221">
        <f t="shared" si="14"/>
        <v>28865.985233111154</v>
      </c>
      <c r="I221" t="b">
        <f t="shared" si="15"/>
        <v>0</v>
      </c>
    </row>
    <row r="222" spans="1:9">
      <c r="A222" s="1">
        <v>45972.755555555559</v>
      </c>
      <c r="B222" s="5">
        <f>_xlfn.XLOOKUP(A222,Banks!A:A,Banks!H:H,0,-1)</f>
        <v>1554.2692245949449</v>
      </c>
      <c r="C222">
        <f>_xlfn.XLOOKUP(A222,Energy!A:A,Energy!H:H,0,-1)</f>
        <v>1560.271982432761</v>
      </c>
      <c r="D222">
        <f t="shared" si="12"/>
        <v>3114.5412070277062</v>
      </c>
      <c r="E222">
        <f>_xlfn.XLOOKUP(A222,Banks!A:A,Banks!I:I,0)</f>
        <v>0</v>
      </c>
      <c r="F222">
        <f>_xlfn.XLOOKUP(A222,Energy!A:A,Energy!I:I,0)</f>
        <v>31980.526440138859</v>
      </c>
      <c r="G222">
        <f t="shared" si="13"/>
        <v>31980.526440138859</v>
      </c>
      <c r="H222">
        <f t="shared" si="14"/>
        <v>28865.985233111154</v>
      </c>
      <c r="I222" t="b">
        <f t="shared" si="15"/>
        <v>0</v>
      </c>
    </row>
    <row r="223" spans="1:9">
      <c r="A223" s="1">
        <v>45972.756249999999</v>
      </c>
      <c r="B223" s="5">
        <f>_xlfn.XLOOKUP(A223,Banks!A:A,Banks!H:H,0,-1)</f>
        <v>1554.2692245949449</v>
      </c>
      <c r="C223">
        <f>_xlfn.XLOOKUP(A223,Energy!A:A,Energy!H:H,0,-1)</f>
        <v>1618.4937240945701</v>
      </c>
      <c r="D223">
        <f t="shared" si="12"/>
        <v>3172.7629486895148</v>
      </c>
      <c r="E223">
        <f>_xlfn.XLOOKUP(A223,Banks!A:A,Banks!I:I,0)</f>
        <v>0</v>
      </c>
      <c r="F223">
        <f>_xlfn.XLOOKUP(A223,Energy!A:A,Energy!I:I,0)</f>
        <v>31992.17078847122</v>
      </c>
      <c r="G223">
        <f t="shared" si="13"/>
        <v>31992.17078847122</v>
      </c>
      <c r="H223">
        <f t="shared" si="14"/>
        <v>28819.407839781707</v>
      </c>
      <c r="I223" t="b">
        <f t="shared" si="15"/>
        <v>0</v>
      </c>
    </row>
    <row r="224" spans="1:9">
      <c r="A224" s="1">
        <v>45972.756944444453</v>
      </c>
      <c r="B224" s="5">
        <f>_xlfn.XLOOKUP(A224,Banks!A:A,Banks!H:H,0,-1)</f>
        <v>1554.2692245949449</v>
      </c>
      <c r="C224">
        <f>_xlfn.XLOOKUP(A224,Energy!A:A,Energy!H:H,0,-1)</f>
        <v>1610.1763324285921</v>
      </c>
      <c r="D224">
        <f t="shared" si="12"/>
        <v>3164.4455570235368</v>
      </c>
      <c r="E224">
        <f>_xlfn.XLOOKUP(A224,Banks!A:A,Banks!I:I,0)</f>
        <v>0</v>
      </c>
      <c r="F224">
        <f>_xlfn.XLOOKUP(A224,Energy!A:A,Energy!I:I,0)</f>
        <v>31990.507310138029</v>
      </c>
      <c r="G224">
        <f t="shared" si="13"/>
        <v>31990.507310138029</v>
      </c>
      <c r="H224">
        <f t="shared" si="14"/>
        <v>28826.061753114493</v>
      </c>
      <c r="I224" t="b">
        <f t="shared" si="15"/>
        <v>0</v>
      </c>
    </row>
    <row r="225" spans="1:9">
      <c r="A225" s="1">
        <v>45972.757638888892</v>
      </c>
      <c r="B225" s="5">
        <f>_xlfn.XLOOKUP(A225,Banks!A:A,Banks!H:H,0,-1)</f>
        <v>1554.2692245949449</v>
      </c>
      <c r="C225">
        <f>_xlfn.XLOOKUP(A225,Energy!A:A,Energy!H:H,0,-1)</f>
        <v>1601.761968554023</v>
      </c>
      <c r="D225">
        <f t="shared" si="12"/>
        <v>3156.0311931489678</v>
      </c>
      <c r="E225">
        <f>_xlfn.XLOOKUP(A225,Banks!A:A,Banks!I:I,0)</f>
        <v>0</v>
      </c>
      <c r="F225">
        <f>_xlfn.XLOOKUP(A225,Energy!A:A,Energy!I:I,0)</f>
        <v>31992.190182912938</v>
      </c>
      <c r="G225">
        <f t="shared" si="13"/>
        <v>31992.190182912938</v>
      </c>
      <c r="H225">
        <f t="shared" si="14"/>
        <v>28836.158989763971</v>
      </c>
      <c r="I225" t="b">
        <f t="shared" si="15"/>
        <v>0</v>
      </c>
    </row>
    <row r="226" spans="1:9">
      <c r="A226" s="1">
        <v>45972.758333333331</v>
      </c>
      <c r="B226" s="5">
        <f>_xlfn.XLOOKUP(A226,Banks!A:A,Banks!H:H,0,-1)</f>
        <v>1554.2692245949449</v>
      </c>
      <c r="C226">
        <f>_xlfn.XLOOKUP(A226,Energy!A:A,Energy!H:H,0,-1)</f>
        <v>1651.666318549866</v>
      </c>
      <c r="D226">
        <f t="shared" si="12"/>
        <v>3205.9355431448112</v>
      </c>
      <c r="E226">
        <f>_xlfn.XLOOKUP(A226,Banks!A:A,Banks!I:I,0)</f>
        <v>0</v>
      </c>
      <c r="F226">
        <f>_xlfn.XLOOKUP(A226,Energy!A:A,Energy!I:I,0)</f>
        <v>32002.171052912101</v>
      </c>
      <c r="G226">
        <f t="shared" si="13"/>
        <v>32002.171052912101</v>
      </c>
      <c r="H226">
        <f t="shared" si="14"/>
        <v>28796.235509767292</v>
      </c>
      <c r="I226" t="b">
        <f t="shared" si="15"/>
        <v>0</v>
      </c>
    </row>
    <row r="227" spans="1:9">
      <c r="A227" s="1">
        <v>45972.759027777778</v>
      </c>
      <c r="B227" s="5">
        <f>_xlfn.XLOOKUP(A227,Banks!A:A,Banks!H:H,0,-1)</f>
        <v>1554.2692245949449</v>
      </c>
      <c r="C227">
        <f>_xlfn.XLOOKUP(A227,Energy!A:A,Energy!H:H,0,-1)</f>
        <v>1737.1808462470999</v>
      </c>
      <c r="D227">
        <f t="shared" si="12"/>
        <v>3291.4500708420446</v>
      </c>
      <c r="E227">
        <f>_xlfn.XLOOKUP(A227,Banks!A:A,Banks!I:I,0)</f>
        <v>0</v>
      </c>
      <c r="F227">
        <f>_xlfn.XLOOKUP(A227,Energy!A:A,Energy!I:I,0)</f>
        <v>0</v>
      </c>
      <c r="G227">
        <f t="shared" si="13"/>
        <v>0</v>
      </c>
      <c r="H227">
        <f t="shared" si="14"/>
        <v>-3291.4500708420446</v>
      </c>
      <c r="I227" t="b">
        <f t="shared" si="15"/>
        <v>0</v>
      </c>
    </row>
    <row r="228" spans="1:9">
      <c r="A228" s="1">
        <v>45973.604166666657</v>
      </c>
      <c r="B228" s="5">
        <f>_xlfn.XLOOKUP(A228,Banks!A:A,Banks!H:H,0,-1)</f>
        <v>1554.2692245949449</v>
      </c>
      <c r="C228">
        <f>_xlfn.XLOOKUP(A228,Energy!A:A,Energy!H:H,0,-1)</f>
        <v>1737.1808462470999</v>
      </c>
      <c r="D228">
        <f t="shared" si="12"/>
        <v>3291.4500708420446</v>
      </c>
      <c r="E228">
        <f>_xlfn.XLOOKUP(A228,Banks!A:A,Banks!I:I,0)</f>
        <v>33348.602962298159</v>
      </c>
      <c r="F228">
        <f>_xlfn.XLOOKUP(A228,Energy!A:A,Energy!I:I,0)</f>
        <v>0</v>
      </c>
      <c r="G228">
        <f t="shared" si="13"/>
        <v>33348.602962298159</v>
      </c>
      <c r="H228">
        <f t="shared" si="14"/>
        <v>30057.152891456113</v>
      </c>
      <c r="I228" t="b">
        <f t="shared" si="15"/>
        <v>0</v>
      </c>
    </row>
    <row r="229" spans="1:9">
      <c r="A229" s="1">
        <v>45973.604861111111</v>
      </c>
      <c r="B229" s="5">
        <f>_xlfn.XLOOKUP(A229,Banks!A:A,Banks!H:H,0,-1)</f>
        <v>1566.0157968323831</v>
      </c>
      <c r="C229">
        <f>_xlfn.XLOOKUP(A229,Energy!A:A,Energy!H:H,0,-1)</f>
        <v>1737.1808462470999</v>
      </c>
      <c r="D229">
        <f t="shared" si="12"/>
        <v>3303.1966430794828</v>
      </c>
      <c r="E229">
        <f>_xlfn.XLOOKUP(A229,Banks!A:A,Banks!I:I,0)</f>
        <v>33483.322150519401</v>
      </c>
      <c r="F229">
        <f>_xlfn.XLOOKUP(A229,Energy!A:A,Energy!I:I,0)</f>
        <v>32001.827912485249</v>
      </c>
      <c r="G229">
        <f t="shared" si="13"/>
        <v>65485.15006300465</v>
      </c>
      <c r="H229">
        <f t="shared" si="14"/>
        <v>62181.953419925165</v>
      </c>
      <c r="I229" t="b">
        <f t="shared" si="15"/>
        <v>1</v>
      </c>
    </row>
    <row r="230" spans="1:9">
      <c r="A230" s="1">
        <v>45973.605555555558</v>
      </c>
      <c r="B230" s="5">
        <f>_xlfn.XLOOKUP(A230,Banks!A:A,Banks!H:H,0,-1)</f>
        <v>1337.1874952385331</v>
      </c>
      <c r="C230">
        <f>_xlfn.XLOOKUP(A230,Energy!A:A,Energy!H:H,0,-1)</f>
        <v>1737.1808462470999</v>
      </c>
      <c r="D230">
        <f t="shared" si="12"/>
        <v>3074.3683414856332</v>
      </c>
      <c r="E230">
        <f>_xlfn.XLOOKUP(A230,Banks!A:A,Banks!I:I,0)</f>
        <v>33543.615808816881</v>
      </c>
      <c r="F230">
        <f>_xlfn.XLOOKUP(A230,Energy!A:A,Energy!I:I,0)</f>
        <v>32001.827912485249</v>
      </c>
      <c r="G230">
        <f t="shared" si="13"/>
        <v>65545.44372130213</v>
      </c>
      <c r="H230">
        <f t="shared" si="14"/>
        <v>62471.075379816495</v>
      </c>
      <c r="I230" t="b">
        <f t="shared" si="15"/>
        <v>1</v>
      </c>
    </row>
    <row r="231" spans="1:9">
      <c r="A231" s="1">
        <v>45973.606249999997</v>
      </c>
      <c r="B231" s="5">
        <f>_xlfn.XLOOKUP(A231,Banks!A:A,Banks!H:H,0,-1)</f>
        <v>1402.1520970864681</v>
      </c>
      <c r="C231">
        <f>_xlfn.XLOOKUP(A231,Energy!A:A,Energy!H:H,0,-1)</f>
        <v>1737.1808462470999</v>
      </c>
      <c r="D231">
        <f t="shared" si="12"/>
        <v>3139.332943333568</v>
      </c>
      <c r="E231">
        <f>_xlfn.XLOOKUP(A231,Banks!A:A,Banks!I:I,0)</f>
        <v>33553.994015630436</v>
      </c>
      <c r="F231">
        <f>_xlfn.XLOOKUP(A231,Energy!A:A,Energy!I:I,0)</f>
        <v>32001.827912485249</v>
      </c>
      <c r="G231">
        <f t="shared" si="13"/>
        <v>65555.821928115678</v>
      </c>
      <c r="H231">
        <f t="shared" si="14"/>
        <v>62416.48898478211</v>
      </c>
      <c r="I231" t="b">
        <f t="shared" si="15"/>
        <v>1</v>
      </c>
    </row>
    <row r="232" spans="1:9">
      <c r="A232" s="1">
        <v>45973.606944444437</v>
      </c>
      <c r="B232" s="5">
        <f>_xlfn.XLOOKUP(A232,Banks!A:A,Banks!H:H,0,-1)</f>
        <v>1548.9436765210569</v>
      </c>
      <c r="C232">
        <f>_xlfn.XLOOKUP(A232,Energy!A:A,Energy!H:H,0,-1)</f>
        <v>1367.6533455116489</v>
      </c>
      <c r="D232">
        <f t="shared" si="12"/>
        <v>2916.5970220327058</v>
      </c>
      <c r="E232">
        <f>_xlfn.XLOOKUP(A232,Banks!A:A,Banks!I:I,0)</f>
        <v>33626.331685594523</v>
      </c>
      <c r="F232">
        <f>_xlfn.XLOOKUP(A232,Energy!A:A,Energy!I:I,0)</f>
        <v>31974.884601807909</v>
      </c>
      <c r="G232">
        <f t="shared" si="13"/>
        <v>65601.216287402436</v>
      </c>
      <c r="H232">
        <f t="shared" si="14"/>
        <v>62684.619265369729</v>
      </c>
      <c r="I232" t="b">
        <f t="shared" si="15"/>
        <v>1</v>
      </c>
    </row>
    <row r="233" spans="1:9">
      <c r="A233" s="1">
        <v>45973.607638888891</v>
      </c>
      <c r="B233" s="5">
        <f>_xlfn.XLOOKUP(A233,Banks!A:A,Banks!H:H,0,-1)</f>
        <v>1393.815814527851</v>
      </c>
      <c r="C233">
        <f>_xlfn.XLOOKUP(A233,Energy!A:A,Energy!H:H,0,-1)</f>
        <v>1549.1478722480881</v>
      </c>
      <c r="D233">
        <f t="shared" si="12"/>
        <v>2942.9636867759391</v>
      </c>
      <c r="E233">
        <f>_xlfn.XLOOKUP(A233,Banks!A:A,Banks!I:I,0)</f>
        <v>33702.836208187393</v>
      </c>
      <c r="F233">
        <f>_xlfn.XLOOKUP(A233,Energy!A:A,Energy!I:I,0)</f>
        <v>31990.690915386571</v>
      </c>
      <c r="G233">
        <f t="shared" si="13"/>
        <v>65693.527123573964</v>
      </c>
      <c r="H233">
        <f t="shared" si="14"/>
        <v>62750.563436798024</v>
      </c>
      <c r="I233" t="b">
        <f t="shared" si="15"/>
        <v>1</v>
      </c>
    </row>
    <row r="234" spans="1:9">
      <c r="A234" s="1">
        <v>45973.60833333333</v>
      </c>
      <c r="B234" s="5">
        <f>_xlfn.XLOOKUP(A234,Banks!A:A,Banks!H:H,0,-1)</f>
        <v>1493.796609894667</v>
      </c>
      <c r="C234">
        <f>_xlfn.XLOOKUP(A234,Energy!A:A,Energy!H:H,0,-1)</f>
        <v>1733.853142639512</v>
      </c>
      <c r="D234">
        <f t="shared" si="12"/>
        <v>3227.6497525341792</v>
      </c>
      <c r="E234">
        <f>_xlfn.XLOOKUP(A234,Banks!A:A,Banks!I:I,0)</f>
        <v>33716.949261759713</v>
      </c>
      <c r="F234">
        <f>_xlfn.XLOOKUP(A234,Energy!A:A,Energy!I:I,0)</f>
        <v>31978.962064014398</v>
      </c>
      <c r="G234">
        <f t="shared" si="13"/>
        <v>65695.911325774112</v>
      </c>
      <c r="H234">
        <f t="shared" si="14"/>
        <v>62468.261573239935</v>
      </c>
      <c r="I234" t="b">
        <f t="shared" si="15"/>
        <v>1</v>
      </c>
    </row>
    <row r="235" spans="1:9">
      <c r="A235" s="1">
        <v>45973.609027777777</v>
      </c>
      <c r="B235" s="5">
        <f>_xlfn.XLOOKUP(A235,Banks!A:A,Banks!H:H,0,-1)</f>
        <v>1522.2209537660731</v>
      </c>
      <c r="C235">
        <f>_xlfn.XLOOKUP(A235,Energy!A:A,Energy!H:H,0,-1)</f>
        <v>1670.4863550370319</v>
      </c>
      <c r="D235">
        <f t="shared" si="12"/>
        <v>3192.7073088031048</v>
      </c>
      <c r="E235">
        <f>_xlfn.XLOOKUP(A235,Banks!A:A,Banks!I:I,0)</f>
        <v>33722.634130533981</v>
      </c>
      <c r="F235">
        <f>_xlfn.XLOOKUP(A235,Energy!A:A,Energy!I:I,0)</f>
        <v>31974.827286397489</v>
      </c>
      <c r="G235">
        <f t="shared" si="13"/>
        <v>65697.461416931474</v>
      </c>
      <c r="H235">
        <f t="shared" si="14"/>
        <v>62504.754108128371</v>
      </c>
      <c r="I235" t="b">
        <f t="shared" si="15"/>
        <v>1</v>
      </c>
    </row>
    <row r="236" spans="1:9">
      <c r="A236" s="1">
        <v>45973.609722222223</v>
      </c>
      <c r="B236" s="5">
        <f>_xlfn.XLOOKUP(A236,Banks!A:A,Banks!H:H,0,-1)</f>
        <v>1693.489510998575</v>
      </c>
      <c r="C236">
        <f>_xlfn.XLOOKUP(A236,Energy!A:A,Energy!H:H,0,-1)</f>
        <v>1557.619195984227</v>
      </c>
      <c r="D236">
        <f t="shared" si="12"/>
        <v>3251.1087069828018</v>
      </c>
      <c r="E236">
        <f>_xlfn.XLOOKUP(A236,Banks!A:A,Banks!I:I,0)</f>
        <v>0</v>
      </c>
      <c r="F236">
        <f>_xlfn.XLOOKUP(A236,Energy!A:A,Energy!I:I,0)</f>
        <v>31990.67746415309</v>
      </c>
      <c r="G236">
        <f t="shared" si="13"/>
        <v>31990.67746415309</v>
      </c>
      <c r="H236">
        <f t="shared" si="14"/>
        <v>28739.568757170287</v>
      </c>
      <c r="I236" t="b">
        <f t="shared" si="15"/>
        <v>0</v>
      </c>
    </row>
    <row r="237" spans="1:9">
      <c r="A237" s="1">
        <v>45973.61041666667</v>
      </c>
      <c r="B237" s="5">
        <f>_xlfn.XLOOKUP(A237,Banks!A:A,Banks!H:H,0,-1)</f>
        <v>1693.489510998575</v>
      </c>
      <c r="C237">
        <f>_xlfn.XLOOKUP(A237,Energy!A:A,Energy!H:H,0,-1)</f>
        <v>1585.2350683360171</v>
      </c>
      <c r="D237">
        <f t="shared" si="12"/>
        <v>3278.7245793345919</v>
      </c>
      <c r="E237">
        <f>_xlfn.XLOOKUP(A237,Banks!A:A,Banks!I:I,0)</f>
        <v>0</v>
      </c>
      <c r="F237">
        <f>_xlfn.XLOOKUP(A237,Energy!A:A,Energy!I:I,0)</f>
        <v>31988.51591671021</v>
      </c>
      <c r="G237">
        <f t="shared" si="13"/>
        <v>31988.51591671021</v>
      </c>
      <c r="H237">
        <f t="shared" si="14"/>
        <v>28709.791337375616</v>
      </c>
      <c r="I237" t="b">
        <f t="shared" si="15"/>
        <v>0</v>
      </c>
    </row>
    <row r="238" spans="1:9">
      <c r="A238" s="1">
        <v>45973.611111111109</v>
      </c>
      <c r="B238" s="5">
        <f>_xlfn.XLOOKUP(A238,Banks!A:A,Banks!H:H,0,-1)</f>
        <v>1693.489510998575</v>
      </c>
      <c r="C238">
        <f>_xlfn.XLOOKUP(A238,Energy!A:A,Energy!H:H,0,-1)</f>
        <v>1648.3152788864541</v>
      </c>
      <c r="D238">
        <f t="shared" si="12"/>
        <v>3341.8047898850291</v>
      </c>
      <c r="E238">
        <f>_xlfn.XLOOKUP(A238,Banks!A:A,Banks!I:I,0)</f>
        <v>0</v>
      </c>
      <c r="F238">
        <f>_xlfn.XLOOKUP(A238,Energy!A:A,Energy!I:I,0)</f>
        <v>32053.2172962322</v>
      </c>
      <c r="G238">
        <f t="shared" si="13"/>
        <v>32053.2172962322</v>
      </c>
      <c r="H238">
        <f t="shared" si="14"/>
        <v>28711.412506347173</v>
      </c>
      <c r="I238" t="b">
        <f t="shared" si="15"/>
        <v>0</v>
      </c>
    </row>
    <row r="239" spans="1:9">
      <c r="A239" s="1">
        <v>45973.611805555563</v>
      </c>
      <c r="B239" s="5">
        <f>_xlfn.XLOOKUP(A239,Banks!A:A,Banks!H:H,0,-1)</f>
        <v>1693.489510998575</v>
      </c>
      <c r="C239">
        <f>_xlfn.XLOOKUP(A239,Energy!A:A,Energy!H:H,0,-1)</f>
        <v>1572.6786707681219</v>
      </c>
      <c r="D239">
        <f t="shared" si="12"/>
        <v>3266.1681817666968</v>
      </c>
      <c r="E239">
        <f>_xlfn.XLOOKUP(A239,Banks!A:A,Banks!I:I,0)</f>
        <v>0</v>
      </c>
      <c r="F239">
        <f>_xlfn.XLOOKUP(A239,Energy!A:A,Energy!I:I,0)</f>
        <v>32038.089974608531</v>
      </c>
      <c r="G239">
        <f t="shared" si="13"/>
        <v>32038.089974608531</v>
      </c>
      <c r="H239">
        <f t="shared" si="14"/>
        <v>28771.921792841833</v>
      </c>
      <c r="I239" t="b">
        <f t="shared" si="15"/>
        <v>0</v>
      </c>
    </row>
    <row r="240" spans="1:9">
      <c r="A240" s="1">
        <v>45973.612500000003</v>
      </c>
      <c r="B240" s="5">
        <f>_xlfn.XLOOKUP(A240,Banks!A:A,Banks!H:H,0,-1)</f>
        <v>1693.489510998575</v>
      </c>
      <c r="C240">
        <f>_xlfn.XLOOKUP(A240,Energy!A:A,Energy!H:H,0,-1)</f>
        <v>1648.382535053885</v>
      </c>
      <c r="D240">
        <f t="shared" si="12"/>
        <v>3341.8720460524601</v>
      </c>
      <c r="E240">
        <f>_xlfn.XLOOKUP(A240,Banks!A:A,Banks!I:I,0)</f>
        <v>0</v>
      </c>
      <c r="F240">
        <f>_xlfn.XLOOKUP(A240,Energy!A:A,Energy!I:I,0)</f>
        <v>32051.523031484969</v>
      </c>
      <c r="G240">
        <f t="shared" si="13"/>
        <v>32051.523031484969</v>
      </c>
      <c r="H240">
        <f t="shared" si="14"/>
        <v>28709.650985432509</v>
      </c>
      <c r="I240" t="b">
        <f t="shared" si="15"/>
        <v>0</v>
      </c>
    </row>
    <row r="241" spans="1:9">
      <c r="A241" s="1">
        <v>45973.613194444442</v>
      </c>
      <c r="B241" s="5">
        <f>_xlfn.XLOOKUP(A241,Banks!A:A,Banks!H:H,0,-1)</f>
        <v>1693.489510998575</v>
      </c>
      <c r="C241">
        <f>_xlfn.XLOOKUP(A241,Energy!A:A,Energy!H:H,0,-1)</f>
        <v>1680.756042911863</v>
      </c>
      <c r="D241">
        <f t="shared" si="12"/>
        <v>3374.245553910438</v>
      </c>
      <c r="E241">
        <f>_xlfn.XLOOKUP(A241,Banks!A:A,Banks!I:I,0)</f>
        <v>0</v>
      </c>
      <c r="F241">
        <f>_xlfn.XLOOKUP(A241,Energy!A:A,Energy!I:I,0)</f>
        <v>31982.85822990497</v>
      </c>
      <c r="G241">
        <f t="shared" si="13"/>
        <v>31982.85822990497</v>
      </c>
      <c r="H241">
        <f t="shared" si="14"/>
        <v>28608.612675994533</v>
      </c>
      <c r="I241" t="b">
        <f t="shared" si="15"/>
        <v>0</v>
      </c>
    </row>
    <row r="242" spans="1:9">
      <c r="A242" s="1">
        <v>45973.613888888889</v>
      </c>
      <c r="B242" s="5">
        <f>_xlfn.XLOOKUP(A242,Banks!A:A,Banks!H:H,0,-1)</f>
        <v>1693.489510998575</v>
      </c>
      <c r="C242">
        <f>_xlfn.XLOOKUP(A242,Energy!A:A,Energy!H:H,0,-1)</f>
        <v>1403.4218131446451</v>
      </c>
      <c r="D242">
        <f t="shared" si="12"/>
        <v>3096.9113241432201</v>
      </c>
      <c r="E242">
        <f>_xlfn.XLOOKUP(A242,Banks!A:A,Banks!I:I,0)</f>
        <v>0</v>
      </c>
      <c r="F242">
        <f>_xlfn.XLOOKUP(A242,Energy!A:A,Energy!I:I,0)</f>
        <v>31927.39138395153</v>
      </c>
      <c r="G242">
        <f t="shared" si="13"/>
        <v>31927.39138395153</v>
      </c>
      <c r="H242">
        <f t="shared" si="14"/>
        <v>28830.480059808309</v>
      </c>
      <c r="I242" t="b">
        <f t="shared" si="15"/>
        <v>0</v>
      </c>
    </row>
    <row r="243" spans="1:9">
      <c r="A243" s="1">
        <v>45973.614583333343</v>
      </c>
      <c r="B243" s="5">
        <f>_xlfn.XLOOKUP(A243,Banks!A:A,Banks!H:H,0,-1)</f>
        <v>1693.489510998575</v>
      </c>
      <c r="C243">
        <f>_xlfn.XLOOKUP(A243,Energy!A:A,Energy!H:H,0,-1)</f>
        <v>1260.552664476701</v>
      </c>
      <c r="D243">
        <f t="shared" si="12"/>
        <v>2954.0421754752761</v>
      </c>
      <c r="E243">
        <f>_xlfn.XLOOKUP(A243,Banks!A:A,Banks!I:I,0)</f>
        <v>0</v>
      </c>
      <c r="F243">
        <f>_xlfn.XLOOKUP(A243,Energy!A:A,Energy!I:I,0)</f>
        <v>31898.817554217942</v>
      </c>
      <c r="G243">
        <f t="shared" si="13"/>
        <v>31898.817554217942</v>
      </c>
      <c r="H243">
        <f t="shared" si="14"/>
        <v>28944.775378742666</v>
      </c>
      <c r="I243" t="b">
        <f t="shared" si="15"/>
        <v>0</v>
      </c>
    </row>
    <row r="244" spans="1:9">
      <c r="A244" s="1">
        <v>45973.615277777782</v>
      </c>
      <c r="B244" s="5">
        <f>_xlfn.XLOOKUP(A244,Banks!A:A,Banks!H:H,0,-1)</f>
        <v>1693.489510998575</v>
      </c>
      <c r="C244">
        <f>_xlfn.XLOOKUP(A244,Energy!A:A,Energy!H:H,0,-1)</f>
        <v>1008.41308503331</v>
      </c>
      <c r="D244">
        <f t="shared" si="12"/>
        <v>2701.902596031885</v>
      </c>
      <c r="E244">
        <f>_xlfn.XLOOKUP(A244,Banks!A:A,Banks!I:I,0)</f>
        <v>0</v>
      </c>
      <c r="F244">
        <f>_xlfn.XLOOKUP(A244,Energy!A:A,Energy!I:I,0)</f>
        <v>31902.182691721879</v>
      </c>
      <c r="G244">
        <f t="shared" si="13"/>
        <v>31902.182691721879</v>
      </c>
      <c r="H244">
        <f t="shared" si="14"/>
        <v>29200.280095689996</v>
      </c>
      <c r="I244" t="b">
        <f t="shared" si="15"/>
        <v>0</v>
      </c>
    </row>
    <row r="245" spans="1:9">
      <c r="A245" s="1">
        <v>45973.615972222222</v>
      </c>
      <c r="B245" s="5">
        <f>_xlfn.XLOOKUP(A245,Banks!A:A,Banks!H:H,0,-1)</f>
        <v>1693.489510998575</v>
      </c>
      <c r="C245">
        <f>_xlfn.XLOOKUP(A245,Energy!A:A,Energy!H:H,0,-1)</f>
        <v>1092.050223715692</v>
      </c>
      <c r="D245">
        <f t="shared" si="12"/>
        <v>2785.5397347142671</v>
      </c>
      <c r="E245">
        <f>_xlfn.XLOOKUP(A245,Banks!A:A,Banks!I:I,0)</f>
        <v>0</v>
      </c>
      <c r="F245">
        <f>_xlfn.XLOOKUP(A245,Energy!A:A,Energy!I:I,0)</f>
        <v>31929.156415342659</v>
      </c>
      <c r="G245">
        <f t="shared" si="13"/>
        <v>31929.156415342659</v>
      </c>
      <c r="H245">
        <f t="shared" si="14"/>
        <v>29143.616680628391</v>
      </c>
      <c r="I245" t="b">
        <f t="shared" si="15"/>
        <v>0</v>
      </c>
    </row>
    <row r="246" spans="1:9">
      <c r="A246" s="1">
        <v>45973.616666666669</v>
      </c>
      <c r="B246" s="5">
        <f>_xlfn.XLOOKUP(A246,Banks!A:A,Banks!H:H,0,-1)</f>
        <v>1693.489510998575</v>
      </c>
      <c r="C246">
        <f>_xlfn.XLOOKUP(A246,Energy!A:A,Energy!H:H,0,-1)</f>
        <v>1117.262426421803</v>
      </c>
      <c r="D246">
        <f t="shared" si="12"/>
        <v>2810.751937420378</v>
      </c>
      <c r="E246">
        <f>_xlfn.XLOOKUP(A246,Banks!A:A,Banks!I:I,0)</f>
        <v>0</v>
      </c>
      <c r="F246">
        <f>_xlfn.XLOOKUP(A246,Energy!A:A,Energy!I:I,0)</f>
        <v>31934.198855883871</v>
      </c>
      <c r="G246">
        <f t="shared" si="13"/>
        <v>31934.198855883871</v>
      </c>
      <c r="H246">
        <f t="shared" si="14"/>
        <v>29123.446918463495</v>
      </c>
      <c r="I246" t="b">
        <f t="shared" si="15"/>
        <v>0</v>
      </c>
    </row>
    <row r="247" spans="1:9">
      <c r="A247" s="1">
        <v>45973.617361111108</v>
      </c>
      <c r="B247" s="5">
        <f>_xlfn.XLOOKUP(A247,Banks!A:A,Banks!H:H,0,-1)</f>
        <v>1693.489510998575</v>
      </c>
      <c r="C247">
        <f>_xlfn.XLOOKUP(A247,Energy!A:A,Energy!H:H,0,-1)</f>
        <v>1199.1684571329231</v>
      </c>
      <c r="D247">
        <f t="shared" si="12"/>
        <v>2892.6579681314979</v>
      </c>
      <c r="E247">
        <f>_xlfn.XLOOKUP(A247,Banks!A:A,Banks!I:I,0)</f>
        <v>0</v>
      </c>
      <c r="F247">
        <f>_xlfn.XLOOKUP(A247,Energy!A:A,Energy!I:I,0)</f>
        <v>31951.433920016469</v>
      </c>
      <c r="G247">
        <f t="shared" si="13"/>
        <v>31951.433920016469</v>
      </c>
      <c r="H247">
        <f t="shared" si="14"/>
        <v>29058.775951884971</v>
      </c>
      <c r="I247" t="b">
        <f t="shared" si="15"/>
        <v>0</v>
      </c>
    </row>
    <row r="248" spans="1:9">
      <c r="A248" s="1">
        <v>45973.618055555547</v>
      </c>
      <c r="B248" s="5">
        <f>_xlfn.XLOOKUP(A248,Banks!A:A,Banks!H:H,0,-1)</f>
        <v>1693.489510998575</v>
      </c>
      <c r="C248">
        <f>_xlfn.XLOOKUP(A248,Energy!A:A,Energy!H:H,0,-1)</f>
        <v>1163.9555912217661</v>
      </c>
      <c r="D248">
        <f t="shared" si="12"/>
        <v>2857.4451022203411</v>
      </c>
      <c r="E248">
        <f>_xlfn.XLOOKUP(A248,Banks!A:A,Banks!I:I,0)</f>
        <v>0</v>
      </c>
      <c r="F248">
        <f>_xlfn.XLOOKUP(A248,Energy!A:A,Energy!I:I,0)</f>
        <v>31931.583476978849</v>
      </c>
      <c r="G248">
        <f t="shared" si="13"/>
        <v>31931.583476978849</v>
      </c>
      <c r="H248">
        <f t="shared" si="14"/>
        <v>29074.138374758506</v>
      </c>
      <c r="I248" t="b">
        <f t="shared" si="15"/>
        <v>0</v>
      </c>
    </row>
    <row r="249" spans="1:9">
      <c r="A249" s="1">
        <v>45973.618750000001</v>
      </c>
      <c r="B249" s="5">
        <f>_xlfn.XLOOKUP(A249,Banks!A:A,Banks!H:H,0,-1)</f>
        <v>1693.489510998575</v>
      </c>
      <c r="C249">
        <f>_xlfn.XLOOKUP(A249,Energy!A:A,Energy!H:H,0,-1)</f>
        <v>1100.925084456489</v>
      </c>
      <c r="D249">
        <f t="shared" si="12"/>
        <v>2794.414595455064</v>
      </c>
      <c r="E249">
        <f>_xlfn.XLOOKUP(A249,Banks!A:A,Banks!I:I,0)</f>
        <v>0</v>
      </c>
      <c r="F249">
        <f>_xlfn.XLOOKUP(A249,Energy!A:A,Energy!I:I,0)</f>
        <v>31918.977375625789</v>
      </c>
      <c r="G249">
        <f t="shared" si="13"/>
        <v>31918.977375625789</v>
      </c>
      <c r="H249">
        <f t="shared" si="14"/>
        <v>29124.562780170723</v>
      </c>
      <c r="I249" t="b">
        <f t="shared" si="15"/>
        <v>0</v>
      </c>
    </row>
    <row r="250" spans="1:9">
      <c r="A250" s="1">
        <v>45973.619444444441</v>
      </c>
      <c r="B250" s="5">
        <f>_xlfn.XLOOKUP(A250,Banks!A:A,Banks!H:H,0,-1)</f>
        <v>1693.489510998575</v>
      </c>
      <c r="C250">
        <f>_xlfn.XLOOKUP(A250,Energy!A:A,Energy!H:H,0,-1)</f>
        <v>1109.799945197298</v>
      </c>
      <c r="D250">
        <f t="shared" si="12"/>
        <v>2803.2894561958728</v>
      </c>
      <c r="E250">
        <f>_xlfn.XLOOKUP(A250,Banks!A:A,Banks!I:I,0)</f>
        <v>0</v>
      </c>
      <c r="F250">
        <f>_xlfn.XLOOKUP(A250,Energy!A:A,Energy!I:I,0)</f>
        <v>31908.79833590893</v>
      </c>
      <c r="G250">
        <f t="shared" si="13"/>
        <v>31908.79833590893</v>
      </c>
      <c r="H250">
        <f t="shared" si="14"/>
        <v>29105.508879713059</v>
      </c>
      <c r="I250" t="b">
        <f t="shared" si="15"/>
        <v>0</v>
      </c>
    </row>
    <row r="251" spans="1:9">
      <c r="A251" s="1">
        <v>45973.620138888888</v>
      </c>
      <c r="B251" s="5">
        <f>_xlfn.XLOOKUP(A251,Banks!A:A,Banks!H:H,0,-1)</f>
        <v>1693.489510998575</v>
      </c>
      <c r="C251">
        <f>_xlfn.XLOOKUP(A251,Energy!A:A,Energy!H:H,0,-1)</f>
        <v>1130.8101141190491</v>
      </c>
      <c r="D251">
        <f t="shared" si="12"/>
        <v>2824.2996251176241</v>
      </c>
      <c r="E251">
        <f>_xlfn.XLOOKUP(A251,Banks!A:A,Banks!I:I,0)</f>
        <v>0</v>
      </c>
      <c r="F251">
        <f>_xlfn.XLOOKUP(A251,Energy!A:A,Energy!I:I,0)</f>
        <v>31913.00036969328</v>
      </c>
      <c r="G251">
        <f t="shared" si="13"/>
        <v>31913.00036969328</v>
      </c>
      <c r="H251">
        <f t="shared" si="14"/>
        <v>29088.700744575657</v>
      </c>
      <c r="I251" t="b">
        <f t="shared" si="15"/>
        <v>0</v>
      </c>
    </row>
    <row r="252" spans="1:9">
      <c r="A252" s="1">
        <v>45973.620833333327</v>
      </c>
      <c r="B252" s="5">
        <f>_xlfn.XLOOKUP(A252,Banks!A:A,Banks!H:H,0,-1)</f>
        <v>1693.489510998575</v>
      </c>
      <c r="C252">
        <f>_xlfn.XLOOKUP(A252,Energy!A:A,Energy!H:H,0,-1)</f>
        <v>1050.971472216369</v>
      </c>
      <c r="D252">
        <f t="shared" si="12"/>
        <v>2744.460983214944</v>
      </c>
      <c r="E252">
        <f>_xlfn.XLOOKUP(A252,Banks!A:A,Banks!I:I,0)</f>
        <v>0</v>
      </c>
      <c r="F252">
        <f>_xlfn.XLOOKUP(A252,Energy!A:A,Energy!I:I,0)</f>
        <v>31897.03264131274</v>
      </c>
      <c r="G252">
        <f t="shared" si="13"/>
        <v>31897.03264131274</v>
      </c>
      <c r="H252">
        <f t="shared" si="14"/>
        <v>29152.571658097797</v>
      </c>
      <c r="I252" t="b">
        <f t="shared" si="15"/>
        <v>0</v>
      </c>
    </row>
    <row r="253" spans="1:9">
      <c r="A253" s="1">
        <v>45973.621527777781</v>
      </c>
      <c r="B253" s="5">
        <f>_xlfn.XLOOKUP(A253,Banks!A:A,Banks!H:H,0,-1)</f>
        <v>1693.489510998575</v>
      </c>
      <c r="C253">
        <f>_xlfn.XLOOKUP(A253,Energy!A:A,Energy!H:H,0,-1)</f>
        <v>1059.6445644548489</v>
      </c>
      <c r="D253">
        <f t="shared" si="12"/>
        <v>2753.134075453424</v>
      </c>
      <c r="E253">
        <f>_xlfn.XLOOKUP(A253,Banks!A:A,Banks!I:I,0)</f>
        <v>0</v>
      </c>
      <c r="F253">
        <f>_xlfn.XLOOKUP(A253,Energy!A:A,Energy!I:I,0)</f>
        <v>31891.936395837569</v>
      </c>
      <c r="G253">
        <f t="shared" si="13"/>
        <v>31891.936395837569</v>
      </c>
      <c r="H253">
        <f t="shared" si="14"/>
        <v>29138.802320384144</v>
      </c>
      <c r="I253" t="b">
        <f t="shared" si="15"/>
        <v>0</v>
      </c>
    </row>
    <row r="254" spans="1:9">
      <c r="A254" s="1">
        <v>45973.62222222222</v>
      </c>
      <c r="B254" s="5">
        <f>_xlfn.XLOOKUP(A254,Banks!A:A,Banks!H:H,0,-1)</f>
        <v>1693.489510998575</v>
      </c>
      <c r="C254">
        <f>_xlfn.XLOOKUP(A254,Energy!A:A,Energy!H:H,0,-1)</f>
        <v>1143.7027925241589</v>
      </c>
      <c r="D254">
        <f t="shared" si="12"/>
        <v>2837.1923035227337</v>
      </c>
      <c r="E254">
        <f>_xlfn.XLOOKUP(A254,Banks!A:A,Banks!I:I,0)</f>
        <v>0</v>
      </c>
      <c r="F254">
        <f>_xlfn.XLOOKUP(A254,Energy!A:A,Energy!I:I,0)</f>
        <v>31854.95498805882</v>
      </c>
      <c r="G254">
        <f t="shared" si="13"/>
        <v>31854.95498805882</v>
      </c>
      <c r="H254">
        <f t="shared" si="14"/>
        <v>29017.762684536086</v>
      </c>
      <c r="I254" t="b">
        <f t="shared" si="15"/>
        <v>0</v>
      </c>
    </row>
    <row r="255" spans="1:9">
      <c r="A255" s="1">
        <v>45973.622916666667</v>
      </c>
      <c r="B255" s="5">
        <f>_xlfn.XLOOKUP(A255,Banks!A:A,Banks!H:H,0,-1)</f>
        <v>1693.489510998575</v>
      </c>
      <c r="C255">
        <f>_xlfn.XLOOKUP(A255,Energy!A:A,Energy!H:H,0,-1)</f>
        <v>1164.2421682738211</v>
      </c>
      <c r="D255">
        <f t="shared" si="12"/>
        <v>2857.7316792723959</v>
      </c>
      <c r="E255">
        <f>_xlfn.XLOOKUP(A255,Banks!A:A,Banks!I:I,0)</f>
        <v>0</v>
      </c>
      <c r="F255">
        <f>_xlfn.XLOOKUP(A255,Energy!A:A,Energy!I:I,0)</f>
        <v>31871.016875073779</v>
      </c>
      <c r="G255">
        <f t="shared" si="13"/>
        <v>31871.016875073779</v>
      </c>
      <c r="H255">
        <f t="shared" si="14"/>
        <v>29013.285195801385</v>
      </c>
      <c r="I255" t="b">
        <f t="shared" si="15"/>
        <v>0</v>
      </c>
    </row>
    <row r="256" spans="1:9">
      <c r="A256" s="1">
        <v>45973.623611111107</v>
      </c>
      <c r="B256" s="5">
        <f>_xlfn.XLOOKUP(A256,Banks!A:A,Banks!H:H,0,-1)</f>
        <v>1693.489510998575</v>
      </c>
      <c r="C256">
        <f>_xlfn.XLOOKUP(A256,Energy!A:A,Energy!H:H,0,-1)</f>
        <v>1189.4543709799309</v>
      </c>
      <c r="D256">
        <f t="shared" si="12"/>
        <v>2882.9438819785059</v>
      </c>
      <c r="E256">
        <f>_xlfn.XLOOKUP(A256,Banks!A:A,Banks!I:I,0)</f>
        <v>0</v>
      </c>
      <c r="F256">
        <f>_xlfn.XLOOKUP(A256,Energy!A:A,Energy!I:I,0)</f>
        <v>31876.059315614999</v>
      </c>
      <c r="G256">
        <f t="shared" si="13"/>
        <v>31876.059315614999</v>
      </c>
      <c r="H256">
        <f t="shared" si="14"/>
        <v>28993.115433636493</v>
      </c>
      <c r="I256" t="b">
        <f t="shared" si="15"/>
        <v>0</v>
      </c>
    </row>
    <row r="257" spans="1:9">
      <c r="A257" s="1">
        <v>45973.624305555553</v>
      </c>
      <c r="B257" s="5">
        <f>_xlfn.XLOOKUP(A257,Banks!A:A,Banks!H:H,0,-1)</f>
        <v>1693.489510998575</v>
      </c>
      <c r="C257">
        <f>_xlfn.XLOOKUP(A257,Energy!A:A,Energy!H:H,0,-1)</f>
        <v>1169.9735415270759</v>
      </c>
      <c r="D257">
        <f t="shared" si="12"/>
        <v>2863.4630525256507</v>
      </c>
      <c r="E257">
        <f>_xlfn.XLOOKUP(A257,Banks!A:A,Banks!I:I,0)</f>
        <v>0</v>
      </c>
      <c r="F257">
        <f>_xlfn.XLOOKUP(A257,Energy!A:A,Energy!I:I,0)</f>
        <v>31886.67873556053</v>
      </c>
      <c r="G257">
        <f t="shared" si="13"/>
        <v>31886.67873556053</v>
      </c>
      <c r="H257">
        <f t="shared" si="14"/>
        <v>29023.215683034879</v>
      </c>
      <c r="I257" t="b">
        <f t="shared" si="15"/>
        <v>0</v>
      </c>
    </row>
    <row r="258" spans="1:9">
      <c r="A258" s="1">
        <v>45973.625</v>
      </c>
      <c r="B258" s="5">
        <f>_xlfn.XLOOKUP(A258,Banks!A:A,Banks!H:H,0,-1)</f>
        <v>1693.489510998575</v>
      </c>
      <c r="C258">
        <f>_xlfn.XLOOKUP(A258,Energy!A:A,Energy!H:H,0,-1)</f>
        <v>1248.1561707282231</v>
      </c>
      <c r="D258">
        <f t="shared" si="12"/>
        <v>2941.6456817267981</v>
      </c>
      <c r="E258">
        <f>_xlfn.XLOOKUP(A258,Banks!A:A,Banks!I:I,0)</f>
        <v>0</v>
      </c>
      <c r="F258">
        <f>_xlfn.XLOOKUP(A258,Energy!A:A,Energy!I:I,0)</f>
        <v>0</v>
      </c>
      <c r="G258">
        <f t="shared" si="13"/>
        <v>0</v>
      </c>
      <c r="H258">
        <f t="shared" si="14"/>
        <v>-2941.6456817267981</v>
      </c>
      <c r="I258" t="b">
        <f t="shared" si="15"/>
        <v>0</v>
      </c>
    </row>
    <row r="259" spans="1:9">
      <c r="A259" s="1">
        <v>45974.604166666657</v>
      </c>
      <c r="B259" s="5">
        <f>_xlfn.XLOOKUP(A259,Banks!A:A,Banks!H:H,0,-1)</f>
        <v>1693.489510998575</v>
      </c>
      <c r="C259">
        <f>_xlfn.XLOOKUP(A259,Energy!A:A,Energy!H:H,0,-1)</f>
        <v>1248.1561707282231</v>
      </c>
      <c r="D259">
        <f t="shared" ref="D259:D322" si="16">B259+C259</f>
        <v>2941.6456817267981</v>
      </c>
      <c r="E259">
        <f>_xlfn.XLOOKUP(A259,Banks!A:A,Banks!I:I,0)</f>
        <v>35717.046123811859</v>
      </c>
      <c r="F259">
        <f>_xlfn.XLOOKUP(A259,Energy!A:A,Energy!I:I,0)</f>
        <v>0</v>
      </c>
      <c r="G259">
        <f t="shared" ref="G259:G322" si="17">F259+E259</f>
        <v>35717.046123811859</v>
      </c>
      <c r="H259">
        <f t="shared" ref="H259:H322" si="18">G259-D259</f>
        <v>32775.400442085062</v>
      </c>
      <c r="I259" t="b">
        <f t="shared" ref="I259:I322" si="19">AND(E259&gt;0,F259&gt;0)</f>
        <v>0</v>
      </c>
    </row>
    <row r="260" spans="1:9">
      <c r="A260" s="1">
        <v>45974.604861111111</v>
      </c>
      <c r="B260" s="5">
        <f>_xlfn.XLOOKUP(A260,Banks!A:A,Banks!H:H,0,-1)</f>
        <v>1751.7241016709129</v>
      </c>
      <c r="C260">
        <f>_xlfn.XLOOKUP(A260,Energy!A:A,Energy!H:H,0,-1)</f>
        <v>1248.1561707282231</v>
      </c>
      <c r="D260">
        <f t="shared" si="16"/>
        <v>2999.8802723991357</v>
      </c>
      <c r="E260">
        <f>_xlfn.XLOOKUP(A260,Banks!A:A,Banks!I:I,0)</f>
        <v>35783.386393496541</v>
      </c>
      <c r="F260">
        <f>_xlfn.XLOOKUP(A260,Energy!A:A,Energy!I:I,0)</f>
        <v>0</v>
      </c>
      <c r="G260">
        <f t="shared" si="17"/>
        <v>35783.386393496541</v>
      </c>
      <c r="H260">
        <f t="shared" si="18"/>
        <v>32783.506121097409</v>
      </c>
      <c r="I260" t="b">
        <f t="shared" si="19"/>
        <v>0</v>
      </c>
    </row>
    <row r="261" spans="1:9">
      <c r="A261" s="1">
        <v>45974.605555555558</v>
      </c>
      <c r="B261" s="5">
        <f>_xlfn.XLOOKUP(A261,Banks!A:A,Banks!H:H,0,-1)</f>
        <v>2037.1731353982429</v>
      </c>
      <c r="C261">
        <f>_xlfn.XLOOKUP(A261,Energy!A:A,Energy!H:H,0,-1)</f>
        <v>1248.1561707282231</v>
      </c>
      <c r="D261">
        <f t="shared" si="16"/>
        <v>3285.3293061264658</v>
      </c>
      <c r="E261">
        <f>_xlfn.XLOOKUP(A261,Banks!A:A,Banks!I:I,0)</f>
        <v>35789.429072128471</v>
      </c>
      <c r="F261">
        <f>_xlfn.XLOOKUP(A261,Energy!A:A,Energy!I:I,0)</f>
        <v>0</v>
      </c>
      <c r="G261">
        <f t="shared" si="17"/>
        <v>35789.429072128471</v>
      </c>
      <c r="H261">
        <f t="shared" si="18"/>
        <v>32504.099766002004</v>
      </c>
      <c r="I261" t="b">
        <f t="shared" si="19"/>
        <v>0</v>
      </c>
    </row>
    <row r="262" spans="1:9">
      <c r="A262" s="1">
        <v>45974.606249999997</v>
      </c>
      <c r="B262" s="5">
        <f>_xlfn.XLOOKUP(A262,Banks!A:A,Banks!H:H,0,-1)</f>
        <v>2066.880637254767</v>
      </c>
      <c r="C262">
        <f>_xlfn.XLOOKUP(A262,Energy!A:A,Energy!H:H,0,-1)</f>
        <v>1248.1561707282231</v>
      </c>
      <c r="D262">
        <f t="shared" si="16"/>
        <v>3315.03680798299</v>
      </c>
      <c r="E262">
        <f>_xlfn.XLOOKUP(A262,Banks!A:A,Banks!I:I,0)</f>
        <v>35835.479030303257</v>
      </c>
      <c r="F262">
        <f>_xlfn.XLOOKUP(A262,Energy!A:A,Energy!I:I,0)</f>
        <v>0</v>
      </c>
      <c r="G262">
        <f t="shared" si="17"/>
        <v>35835.479030303257</v>
      </c>
      <c r="H262">
        <f t="shared" si="18"/>
        <v>32520.442222320267</v>
      </c>
      <c r="I262" t="b">
        <f t="shared" si="19"/>
        <v>0</v>
      </c>
    </row>
    <row r="263" spans="1:9">
      <c r="A263" s="1">
        <v>45974.606944444437</v>
      </c>
      <c r="B263" s="5">
        <f>_xlfn.XLOOKUP(A263,Banks!A:A,Banks!H:H,0,-1)</f>
        <v>1864.483413459076</v>
      </c>
      <c r="C263">
        <f>_xlfn.XLOOKUP(A263,Energy!A:A,Energy!H:H,0,-1)</f>
        <v>1248.1561707282231</v>
      </c>
      <c r="D263">
        <f t="shared" si="16"/>
        <v>3112.6395841872991</v>
      </c>
      <c r="E263">
        <f>_xlfn.XLOOKUP(A263,Banks!A:A,Banks!I:I,0)</f>
        <v>35835.108043347624</v>
      </c>
      <c r="F263">
        <f>_xlfn.XLOOKUP(A263,Energy!A:A,Energy!I:I,0)</f>
        <v>0</v>
      </c>
      <c r="G263">
        <f t="shared" si="17"/>
        <v>35835.108043347624</v>
      </c>
      <c r="H263">
        <f t="shared" si="18"/>
        <v>32722.468459160325</v>
      </c>
      <c r="I263" t="b">
        <f t="shared" si="19"/>
        <v>0</v>
      </c>
    </row>
    <row r="264" spans="1:9">
      <c r="A264" s="1">
        <v>45974.607638888891</v>
      </c>
      <c r="B264" s="5">
        <f>_xlfn.XLOOKUP(A264,Banks!A:A,Banks!H:H,0,-1)</f>
        <v>1830.0447443049079</v>
      </c>
      <c r="C264">
        <f>_xlfn.XLOOKUP(A264,Energy!A:A,Energy!H:H,0,-1)</f>
        <v>1248.1561707282231</v>
      </c>
      <c r="D264">
        <f t="shared" si="16"/>
        <v>3078.200915033131</v>
      </c>
      <c r="E264">
        <f>_xlfn.XLOOKUP(A264,Banks!A:A,Banks!I:I,0)</f>
        <v>35886.559884503673</v>
      </c>
      <c r="F264">
        <f>_xlfn.XLOOKUP(A264,Energy!A:A,Energy!I:I,0)</f>
        <v>0</v>
      </c>
      <c r="G264">
        <f t="shared" si="17"/>
        <v>35886.559884503673</v>
      </c>
      <c r="H264">
        <f t="shared" si="18"/>
        <v>32808.358969470544</v>
      </c>
      <c r="I264" t="b">
        <f t="shared" si="19"/>
        <v>0</v>
      </c>
    </row>
    <row r="265" spans="1:9">
      <c r="A265" s="1">
        <v>45974.60833333333</v>
      </c>
      <c r="B265" s="5">
        <f>_xlfn.XLOOKUP(A265,Banks!A:A,Banks!H:H,0,-1)</f>
        <v>1722.175715113968</v>
      </c>
      <c r="C265">
        <f>_xlfn.XLOOKUP(A265,Energy!A:A,Energy!H:H,0,-1)</f>
        <v>1248.1561707282231</v>
      </c>
      <c r="D265">
        <f t="shared" si="16"/>
        <v>2970.3318858421908</v>
      </c>
      <c r="E265">
        <f>_xlfn.XLOOKUP(A265,Banks!A:A,Banks!I:I,0)</f>
        <v>35941.556770835778</v>
      </c>
      <c r="F265">
        <f>_xlfn.XLOOKUP(A265,Energy!A:A,Energy!I:I,0)</f>
        <v>0</v>
      </c>
      <c r="G265">
        <f t="shared" si="17"/>
        <v>35941.556770835778</v>
      </c>
      <c r="H265">
        <f t="shared" si="18"/>
        <v>32971.224884993586</v>
      </c>
      <c r="I265" t="b">
        <f t="shared" si="19"/>
        <v>0</v>
      </c>
    </row>
    <row r="266" spans="1:9">
      <c r="A266" s="1">
        <v>45974.609027777777</v>
      </c>
      <c r="B266" s="5">
        <f>_xlfn.XLOOKUP(A266,Banks!A:A,Banks!H:H,0,-1)</f>
        <v>1742.435155077422</v>
      </c>
      <c r="C266">
        <f>_xlfn.XLOOKUP(A266,Energy!A:A,Energy!H:H,0,-1)</f>
        <v>1248.1561707282231</v>
      </c>
      <c r="D266">
        <f t="shared" si="16"/>
        <v>2990.5913258056453</v>
      </c>
      <c r="E266">
        <f>_xlfn.XLOOKUP(A266,Banks!A:A,Banks!I:I,0)</f>
        <v>35881.799748686557</v>
      </c>
      <c r="F266">
        <f>_xlfn.XLOOKUP(A266,Energy!A:A,Energy!I:I,0)</f>
        <v>0</v>
      </c>
      <c r="G266">
        <f t="shared" si="17"/>
        <v>35881.799748686557</v>
      </c>
      <c r="H266">
        <f t="shared" si="18"/>
        <v>32891.208422880911</v>
      </c>
      <c r="I266" t="b">
        <f t="shared" si="19"/>
        <v>0</v>
      </c>
    </row>
    <row r="267" spans="1:9">
      <c r="A267" s="1">
        <v>45974.609722222223</v>
      </c>
      <c r="B267" s="5">
        <f>_xlfn.XLOOKUP(A267,Banks!A:A,Banks!H:H,0,-1)</f>
        <v>1727.5814041491601</v>
      </c>
      <c r="C267">
        <f>_xlfn.XLOOKUP(A267,Energy!A:A,Energy!H:H,0,-1)</f>
        <v>1248.1561707282231</v>
      </c>
      <c r="D267">
        <f t="shared" si="16"/>
        <v>2975.7375748773829</v>
      </c>
      <c r="E267">
        <f>_xlfn.XLOOKUP(A267,Banks!A:A,Banks!I:I,0)</f>
        <v>35858.774769599157</v>
      </c>
      <c r="F267">
        <f>_xlfn.XLOOKUP(A267,Energy!A:A,Energy!I:I,0)</f>
        <v>0</v>
      </c>
      <c r="G267">
        <f t="shared" si="17"/>
        <v>35858.774769599157</v>
      </c>
      <c r="H267">
        <f t="shared" si="18"/>
        <v>32883.037194721772</v>
      </c>
      <c r="I267" t="b">
        <f t="shared" si="19"/>
        <v>0</v>
      </c>
    </row>
    <row r="268" spans="1:9">
      <c r="A268" s="1">
        <v>45974.61041666667</v>
      </c>
      <c r="B268" s="5">
        <f>_xlfn.XLOOKUP(A268,Banks!A:A,Banks!H:H,0,-1)</f>
        <v>1652.1274788997309</v>
      </c>
      <c r="C268">
        <f>_xlfn.XLOOKUP(A268,Energy!A:A,Energy!H:H,0,-1)</f>
        <v>1248.1561707282231</v>
      </c>
      <c r="D268">
        <f t="shared" si="16"/>
        <v>2900.2836496279542</v>
      </c>
      <c r="E268">
        <f>_xlfn.XLOOKUP(A268,Banks!A:A,Banks!I:I,0)</f>
        <v>35818.160420492517</v>
      </c>
      <c r="F268">
        <f>_xlfn.XLOOKUP(A268,Energy!A:A,Energy!I:I,0)</f>
        <v>0</v>
      </c>
      <c r="G268">
        <f t="shared" si="17"/>
        <v>35818.160420492517</v>
      </c>
      <c r="H268">
        <f t="shared" si="18"/>
        <v>32917.876770864561</v>
      </c>
      <c r="I268" t="b">
        <f t="shared" si="19"/>
        <v>0</v>
      </c>
    </row>
    <row r="269" spans="1:9">
      <c r="A269" s="1">
        <v>45974.611111111109</v>
      </c>
      <c r="B269" s="5">
        <f>_xlfn.XLOOKUP(A269,Banks!A:A,Banks!H:H,0,-1)</f>
        <v>1525.357568355254</v>
      </c>
      <c r="C269">
        <f>_xlfn.XLOOKUP(A269,Energy!A:A,Energy!H:H,0,-1)</f>
        <v>1248.1561707282231</v>
      </c>
      <c r="D269">
        <f t="shared" si="16"/>
        <v>2773.513739083477</v>
      </c>
      <c r="E269">
        <f>_xlfn.XLOOKUP(A269,Banks!A:A,Banks!I:I,0)</f>
        <v>35761.813539171832</v>
      </c>
      <c r="F269">
        <f>_xlfn.XLOOKUP(A269,Energy!A:A,Energy!I:I,0)</f>
        <v>0</v>
      </c>
      <c r="G269">
        <f t="shared" si="17"/>
        <v>35761.813539171832</v>
      </c>
      <c r="H269">
        <f t="shared" si="18"/>
        <v>32988.299800088353</v>
      </c>
      <c r="I269" t="b">
        <f t="shared" si="19"/>
        <v>0</v>
      </c>
    </row>
    <row r="270" spans="1:9">
      <c r="A270" s="1">
        <v>45974.611805555563</v>
      </c>
      <c r="B270" s="5">
        <f>_xlfn.XLOOKUP(A270,Banks!A:A,Banks!H:H,0,-1)</f>
        <v>1752.572011410246</v>
      </c>
      <c r="C270">
        <f>_xlfn.XLOOKUP(A270,Energy!A:A,Energy!H:H,0,-1)</f>
        <v>1248.1561707282231</v>
      </c>
      <c r="D270">
        <f t="shared" si="16"/>
        <v>3000.728182138469</v>
      </c>
      <c r="E270">
        <f>_xlfn.XLOOKUP(A270,Banks!A:A,Banks!I:I,0)</f>
        <v>35701.515948119093</v>
      </c>
      <c r="F270">
        <f>_xlfn.XLOOKUP(A270,Energy!A:A,Energy!I:I,0)</f>
        <v>0</v>
      </c>
      <c r="G270">
        <f t="shared" si="17"/>
        <v>35701.515948119093</v>
      </c>
      <c r="H270">
        <f t="shared" si="18"/>
        <v>32700.787765980625</v>
      </c>
      <c r="I270" t="b">
        <f t="shared" si="19"/>
        <v>0</v>
      </c>
    </row>
    <row r="271" spans="1:9">
      <c r="A271" s="1">
        <v>45974.612500000003</v>
      </c>
      <c r="B271" s="5">
        <f>_xlfn.XLOOKUP(A271,Banks!A:A,Banks!H:H,0,-1)</f>
        <v>1519.7880064530859</v>
      </c>
      <c r="C271">
        <f>_xlfn.XLOOKUP(A271,Energy!A:A,Energy!H:H,0,-1)</f>
        <v>1248.1561707282231</v>
      </c>
      <c r="D271">
        <f t="shared" si="16"/>
        <v>2767.944177181309</v>
      </c>
      <c r="E271">
        <f>_xlfn.XLOOKUP(A271,Banks!A:A,Banks!I:I,0)</f>
        <v>35740.645397889653</v>
      </c>
      <c r="F271">
        <f>_xlfn.XLOOKUP(A271,Energy!A:A,Energy!I:I,0)</f>
        <v>0</v>
      </c>
      <c r="G271">
        <f t="shared" si="17"/>
        <v>35740.645397889653</v>
      </c>
      <c r="H271">
        <f t="shared" si="18"/>
        <v>32972.701220708346</v>
      </c>
      <c r="I271" t="b">
        <f t="shared" si="19"/>
        <v>0</v>
      </c>
    </row>
    <row r="272" spans="1:9">
      <c r="A272" s="1">
        <v>45974.613194444442</v>
      </c>
      <c r="B272" s="5">
        <f>_xlfn.XLOOKUP(A272,Banks!A:A,Banks!H:H,0,-1)</f>
        <v>1520.462528190634</v>
      </c>
      <c r="C272">
        <f>_xlfn.XLOOKUP(A272,Energy!A:A,Energy!H:H,0,-1)</f>
        <v>1248.1561707282231</v>
      </c>
      <c r="D272">
        <f t="shared" si="16"/>
        <v>2768.6186989188573</v>
      </c>
      <c r="E272">
        <f>_xlfn.XLOOKUP(A272,Banks!A:A,Banks!I:I,0)</f>
        <v>35755.365195983883</v>
      </c>
      <c r="F272">
        <f>_xlfn.XLOOKUP(A272,Energy!A:A,Energy!I:I,0)</f>
        <v>0</v>
      </c>
      <c r="G272">
        <f t="shared" si="17"/>
        <v>35755.365195983883</v>
      </c>
      <c r="H272">
        <f t="shared" si="18"/>
        <v>32986.746497065025</v>
      </c>
      <c r="I272" t="b">
        <f t="shared" si="19"/>
        <v>0</v>
      </c>
    </row>
    <row r="273" spans="1:9">
      <c r="A273" s="1">
        <v>45974.613888888889</v>
      </c>
      <c r="B273" s="5">
        <f>_xlfn.XLOOKUP(A273,Banks!A:A,Banks!H:H,0,-1)</f>
        <v>1645.2136310898779</v>
      </c>
      <c r="C273">
        <f>_xlfn.XLOOKUP(A273,Energy!A:A,Energy!H:H,0,-1)</f>
        <v>1248.1561707282231</v>
      </c>
      <c r="D273">
        <f t="shared" si="16"/>
        <v>2893.3698018181012</v>
      </c>
      <c r="E273">
        <f>_xlfn.XLOOKUP(A273,Banks!A:A,Banks!I:I,0)</f>
        <v>35667.282490026642</v>
      </c>
      <c r="F273">
        <f>_xlfn.XLOOKUP(A273,Energy!A:A,Energy!I:I,0)</f>
        <v>0</v>
      </c>
      <c r="G273">
        <f t="shared" si="17"/>
        <v>35667.282490026642</v>
      </c>
      <c r="H273">
        <f t="shared" si="18"/>
        <v>32773.91268820854</v>
      </c>
      <c r="I273" t="b">
        <f t="shared" si="19"/>
        <v>0</v>
      </c>
    </row>
    <row r="274" spans="1:9">
      <c r="A274" s="1">
        <v>45974.614583333343</v>
      </c>
      <c r="B274" s="5">
        <f>_xlfn.XLOOKUP(A274,Banks!A:A,Banks!H:H,0,-1)</f>
        <v>1738.2241517851451</v>
      </c>
      <c r="C274">
        <f>_xlfn.XLOOKUP(A274,Energy!A:A,Energy!H:H,0,-1)</f>
        <v>1248.1561707282231</v>
      </c>
      <c r="D274">
        <f t="shared" si="16"/>
        <v>2986.3803225133679</v>
      </c>
      <c r="E274">
        <f>_xlfn.XLOOKUP(A274,Banks!A:A,Banks!I:I,0)</f>
        <v>35689.530817602368</v>
      </c>
      <c r="F274">
        <f>_xlfn.XLOOKUP(A274,Energy!A:A,Energy!I:I,0)</f>
        <v>0</v>
      </c>
      <c r="G274">
        <f t="shared" si="17"/>
        <v>35689.530817602368</v>
      </c>
      <c r="H274">
        <f t="shared" si="18"/>
        <v>32703.150495089001</v>
      </c>
      <c r="I274" t="b">
        <f t="shared" si="19"/>
        <v>0</v>
      </c>
    </row>
    <row r="275" spans="1:9">
      <c r="A275" s="1">
        <v>45974.615277777782</v>
      </c>
      <c r="B275" s="5">
        <f>_xlfn.XLOOKUP(A275,Banks!A:A,Banks!H:H,0,-1)</f>
        <v>1711.302807260797</v>
      </c>
      <c r="C275">
        <f>_xlfn.XLOOKUP(A275,Energy!A:A,Energy!H:H,0,-1)</f>
        <v>1248.1561707282231</v>
      </c>
      <c r="D275">
        <f t="shared" si="16"/>
        <v>2959.4589779890202</v>
      </c>
      <c r="E275">
        <f>_xlfn.XLOOKUP(A275,Banks!A:A,Banks!I:I,0)</f>
        <v>0</v>
      </c>
      <c r="F275">
        <f>_xlfn.XLOOKUP(A275,Energy!A:A,Energy!I:I,0)</f>
        <v>0</v>
      </c>
      <c r="G275">
        <f t="shared" si="17"/>
        <v>0</v>
      </c>
      <c r="H275">
        <f t="shared" si="18"/>
        <v>-2959.4589779890202</v>
      </c>
      <c r="I275" t="b">
        <f t="shared" si="19"/>
        <v>0</v>
      </c>
    </row>
    <row r="276" spans="1:9">
      <c r="A276" s="1">
        <v>45974.708333333343</v>
      </c>
      <c r="B276" s="5">
        <f>_xlfn.XLOOKUP(A276,Banks!A:A,Banks!H:H,0,-1)</f>
        <v>1711.302807260797</v>
      </c>
      <c r="C276">
        <f>_xlfn.XLOOKUP(A276,Energy!A:A,Energy!H:H,0,-1)</f>
        <v>1248.1561707282231</v>
      </c>
      <c r="D276">
        <f t="shared" si="16"/>
        <v>2959.4589779890202</v>
      </c>
      <c r="E276">
        <f>_xlfn.XLOOKUP(A276,Banks!A:A,Banks!I:I,0)</f>
        <v>0</v>
      </c>
      <c r="F276">
        <f>_xlfn.XLOOKUP(A276,Energy!A:A,Energy!I:I,0)</f>
        <v>34880.024416008928</v>
      </c>
      <c r="G276">
        <f t="shared" si="17"/>
        <v>34880.024416008928</v>
      </c>
      <c r="H276">
        <f t="shared" si="18"/>
        <v>31920.565438019908</v>
      </c>
      <c r="I276" t="b">
        <f t="shared" si="19"/>
        <v>0</v>
      </c>
    </row>
    <row r="277" spans="1:9">
      <c r="A277" s="1">
        <v>45974.709027777782</v>
      </c>
      <c r="B277" s="5">
        <f>_xlfn.XLOOKUP(A277,Banks!A:A,Banks!H:H,0,-1)</f>
        <v>1711.302807260797</v>
      </c>
      <c r="C277">
        <f>_xlfn.XLOOKUP(A277,Energy!A:A,Energy!H:H,0,-1)</f>
        <v>1340.4886272274291</v>
      </c>
      <c r="D277">
        <f t="shared" si="16"/>
        <v>3051.7914344882261</v>
      </c>
      <c r="E277">
        <f>_xlfn.XLOOKUP(A277,Banks!A:A,Banks!I:I,0)</f>
        <v>0</v>
      </c>
      <c r="F277">
        <f>_xlfn.XLOOKUP(A277,Energy!A:A,Energy!I:I,0)</f>
        <v>34924.422310006943</v>
      </c>
      <c r="G277">
        <f t="shared" si="17"/>
        <v>34924.422310006943</v>
      </c>
      <c r="H277">
        <f t="shared" si="18"/>
        <v>31872.630875518716</v>
      </c>
      <c r="I277" t="b">
        <f t="shared" si="19"/>
        <v>0</v>
      </c>
    </row>
    <row r="278" spans="1:9">
      <c r="A278" s="1">
        <v>45974.709722222222</v>
      </c>
      <c r="B278" s="5">
        <f>_xlfn.XLOOKUP(A278,Banks!A:A,Banks!H:H,0,-1)</f>
        <v>1711.302807260797</v>
      </c>
      <c r="C278">
        <f>_xlfn.XLOOKUP(A278,Energy!A:A,Energy!H:H,0,-1)</f>
        <v>1340.4886272274291</v>
      </c>
      <c r="D278">
        <f t="shared" si="16"/>
        <v>3051.7914344882261</v>
      </c>
      <c r="E278">
        <f>_xlfn.XLOOKUP(A278,Banks!A:A,Banks!I:I,0)</f>
        <v>0</v>
      </c>
      <c r="F278">
        <f>_xlfn.XLOOKUP(A278,Energy!A:A,Energy!I:I,0)</f>
        <v>34924.422310006943</v>
      </c>
      <c r="G278">
        <f t="shared" si="17"/>
        <v>34924.422310006943</v>
      </c>
      <c r="H278">
        <f t="shared" si="18"/>
        <v>31872.630875518716</v>
      </c>
      <c r="I278" t="b">
        <f t="shared" si="19"/>
        <v>0</v>
      </c>
    </row>
    <row r="279" spans="1:9">
      <c r="A279" s="1">
        <v>45974.710416666669</v>
      </c>
      <c r="B279" s="5">
        <f>_xlfn.XLOOKUP(A279,Banks!A:A,Banks!H:H,0,-1)</f>
        <v>1711.302807260797</v>
      </c>
      <c r="C279">
        <f>_xlfn.XLOOKUP(A279,Energy!A:A,Energy!H:H,0,-1)</f>
        <v>1445.050734881313</v>
      </c>
      <c r="D279">
        <f t="shared" si="16"/>
        <v>3156.3535421421102</v>
      </c>
      <c r="E279">
        <f>_xlfn.XLOOKUP(A279,Banks!A:A,Banks!I:I,0)</f>
        <v>0</v>
      </c>
      <c r="F279">
        <f>_xlfn.XLOOKUP(A279,Energy!A:A,Energy!I:I,0)</f>
        <v>34903.509888476161</v>
      </c>
      <c r="G279">
        <f t="shared" si="17"/>
        <v>34903.509888476161</v>
      </c>
      <c r="H279">
        <f t="shared" si="18"/>
        <v>31747.15634633405</v>
      </c>
      <c r="I279" t="b">
        <f t="shared" si="19"/>
        <v>0</v>
      </c>
    </row>
    <row r="280" spans="1:9">
      <c r="A280" s="1">
        <v>45974.711111111108</v>
      </c>
      <c r="B280" s="5">
        <f>_xlfn.XLOOKUP(A280,Banks!A:A,Banks!H:H,0,-1)</f>
        <v>1711.302807260797</v>
      </c>
      <c r="C280">
        <f>_xlfn.XLOOKUP(A280,Energy!A:A,Energy!H:H,0,-1)</f>
        <v>1599.8026542090629</v>
      </c>
      <c r="D280">
        <f t="shared" si="16"/>
        <v>3311.1054614698596</v>
      </c>
      <c r="E280">
        <f>_xlfn.XLOOKUP(A280,Banks!A:A,Banks!I:I,0)</f>
        <v>0</v>
      </c>
      <c r="F280">
        <f>_xlfn.XLOOKUP(A280,Energy!A:A,Energy!I:I,0)</f>
        <v>34872.559504610603</v>
      </c>
      <c r="G280">
        <f t="shared" si="17"/>
        <v>34872.559504610603</v>
      </c>
      <c r="H280">
        <f t="shared" si="18"/>
        <v>31561.454043140744</v>
      </c>
      <c r="I280" t="b">
        <f t="shared" si="19"/>
        <v>0</v>
      </c>
    </row>
    <row r="281" spans="1:9">
      <c r="A281" s="1">
        <v>45974.711805555547</v>
      </c>
      <c r="B281" s="5">
        <f>_xlfn.XLOOKUP(A281,Banks!A:A,Banks!H:H,0,-1)</f>
        <v>1711.302807260797</v>
      </c>
      <c r="C281">
        <f>_xlfn.XLOOKUP(A281,Energy!A:A,Energy!H:H,0,-1)</f>
        <v>1361.4010487581979</v>
      </c>
      <c r="D281">
        <f t="shared" si="16"/>
        <v>3072.7038560189949</v>
      </c>
      <c r="E281">
        <f>_xlfn.XLOOKUP(A281,Banks!A:A,Banks!I:I,0)</f>
        <v>0</v>
      </c>
      <c r="F281">
        <f>_xlfn.XLOOKUP(A281,Energy!A:A,Energy!I:I,0)</f>
        <v>34920.239825700781</v>
      </c>
      <c r="G281">
        <f t="shared" si="17"/>
        <v>34920.239825700781</v>
      </c>
      <c r="H281">
        <f t="shared" si="18"/>
        <v>31847.535969681787</v>
      </c>
      <c r="I281" t="b">
        <f t="shared" si="19"/>
        <v>0</v>
      </c>
    </row>
    <row r="282" spans="1:9">
      <c r="A282" s="1">
        <v>45974.712500000001</v>
      </c>
      <c r="B282" s="5">
        <f>_xlfn.XLOOKUP(A282,Banks!A:A,Banks!H:H,0,-1)</f>
        <v>1711.302807260797</v>
      </c>
      <c r="C282">
        <f>_xlfn.XLOOKUP(A282,Energy!A:A,Energy!H:H,0,-1)</f>
        <v>1361.4010487581979</v>
      </c>
      <c r="D282">
        <f t="shared" si="16"/>
        <v>3072.7038560189949</v>
      </c>
      <c r="E282">
        <f>_xlfn.XLOOKUP(A282,Banks!A:A,Banks!I:I,0)</f>
        <v>0</v>
      </c>
      <c r="F282">
        <f>_xlfn.XLOOKUP(A282,Energy!A:A,Energy!I:I,0)</f>
        <v>34920.239825700781</v>
      </c>
      <c r="G282">
        <f t="shared" si="17"/>
        <v>34920.239825700781</v>
      </c>
      <c r="H282">
        <f t="shared" si="18"/>
        <v>31847.535969681787</v>
      </c>
      <c r="I282" t="b">
        <f t="shared" si="19"/>
        <v>0</v>
      </c>
    </row>
    <row r="283" spans="1:9">
      <c r="A283" s="1">
        <v>45974.713194444441</v>
      </c>
      <c r="B283" s="5">
        <f>_xlfn.XLOOKUP(A283,Banks!A:A,Banks!H:H,0,-1)</f>
        <v>1711.302807260797</v>
      </c>
      <c r="C283">
        <f>_xlfn.XLOOKUP(A283,Energy!A:A,Energy!H:H,0,-1)</f>
        <v>1327.941174308962</v>
      </c>
      <c r="D283">
        <f t="shared" si="16"/>
        <v>3039.2439815697589</v>
      </c>
      <c r="E283">
        <f>_xlfn.XLOOKUP(A283,Banks!A:A,Banks!I:I,0)</f>
        <v>0</v>
      </c>
      <c r="F283">
        <f>_xlfn.XLOOKUP(A283,Energy!A:A,Energy!I:I,0)</f>
        <v>34926.931800590617</v>
      </c>
      <c r="G283">
        <f t="shared" si="17"/>
        <v>34926.931800590617</v>
      </c>
      <c r="H283">
        <f t="shared" si="18"/>
        <v>31887.687819020859</v>
      </c>
      <c r="I283" t="b">
        <f t="shared" si="19"/>
        <v>0</v>
      </c>
    </row>
    <row r="284" spans="1:9">
      <c r="A284" s="1">
        <v>45974.713888888888</v>
      </c>
      <c r="B284" s="5">
        <f>_xlfn.XLOOKUP(A284,Banks!A:A,Banks!H:H,0,-1)</f>
        <v>1711.302807260797</v>
      </c>
      <c r="C284">
        <f>_xlfn.XLOOKUP(A284,Energy!A:A,Energy!H:H,0,-1)</f>
        <v>1361.4010487581979</v>
      </c>
      <c r="D284">
        <f t="shared" si="16"/>
        <v>3072.7038560189949</v>
      </c>
      <c r="E284">
        <f>_xlfn.XLOOKUP(A284,Banks!A:A,Banks!I:I,0)</f>
        <v>0</v>
      </c>
      <c r="F284">
        <f>_xlfn.XLOOKUP(A284,Energy!A:A,Energy!I:I,0)</f>
        <v>34920.239825700781</v>
      </c>
      <c r="G284">
        <f t="shared" si="17"/>
        <v>34920.239825700781</v>
      </c>
      <c r="H284">
        <f t="shared" si="18"/>
        <v>31847.535969681787</v>
      </c>
      <c r="I284" t="b">
        <f t="shared" si="19"/>
        <v>0</v>
      </c>
    </row>
    <row r="285" spans="1:9">
      <c r="A285" s="1">
        <v>45974.714583333327</v>
      </c>
      <c r="B285" s="5">
        <f>_xlfn.XLOOKUP(A285,Banks!A:A,Banks!H:H,0,-1)</f>
        <v>1711.302807260797</v>
      </c>
      <c r="C285">
        <f>_xlfn.XLOOKUP(A285,Energy!A:A,Energy!H:H,0,-1)</f>
        <v>1361.4010487581979</v>
      </c>
      <c r="D285">
        <f t="shared" si="16"/>
        <v>3072.7038560189949</v>
      </c>
      <c r="E285">
        <f>_xlfn.XLOOKUP(A285,Banks!A:A,Banks!I:I,0)</f>
        <v>0</v>
      </c>
      <c r="F285">
        <f>_xlfn.XLOOKUP(A285,Energy!A:A,Energy!I:I,0)</f>
        <v>34920.239825700781</v>
      </c>
      <c r="G285">
        <f t="shared" si="17"/>
        <v>34920.239825700781</v>
      </c>
      <c r="H285">
        <f t="shared" si="18"/>
        <v>31847.535969681787</v>
      </c>
      <c r="I285" t="b">
        <f t="shared" si="19"/>
        <v>0</v>
      </c>
    </row>
    <row r="286" spans="1:9">
      <c r="A286" s="1">
        <v>45974.715277777781</v>
      </c>
      <c r="B286" s="5">
        <f>_xlfn.XLOOKUP(A286,Banks!A:A,Banks!H:H,0,-1)</f>
        <v>1711.302807260797</v>
      </c>
      <c r="C286">
        <f>_xlfn.XLOOKUP(A286,Energy!A:A,Energy!H:H,0,-1)</f>
        <v>1372.30036762543</v>
      </c>
      <c r="D286">
        <f t="shared" si="16"/>
        <v>3083.603174886227</v>
      </c>
      <c r="E286">
        <f>_xlfn.XLOOKUP(A286,Banks!A:A,Banks!I:I,0)</f>
        <v>0</v>
      </c>
      <c r="F286">
        <f>_xlfn.XLOOKUP(A286,Energy!A:A,Energy!I:I,0)</f>
        <v>34885.613827580062</v>
      </c>
      <c r="G286">
        <f t="shared" si="17"/>
        <v>34885.613827580062</v>
      </c>
      <c r="H286">
        <f t="shared" si="18"/>
        <v>31802.010652693836</v>
      </c>
      <c r="I286" t="b">
        <f t="shared" si="19"/>
        <v>0</v>
      </c>
    </row>
    <row r="287" spans="1:9">
      <c r="A287" s="1">
        <v>45974.71597222222</v>
      </c>
      <c r="B287" s="5">
        <f>_xlfn.XLOOKUP(A287,Banks!A:A,Banks!H:H,0,-1)</f>
        <v>1711.302807260797</v>
      </c>
      <c r="C287">
        <f>_xlfn.XLOOKUP(A287,Energy!A:A,Energy!H:H,0,-1)</f>
        <v>1372.30036762543</v>
      </c>
      <c r="D287">
        <f t="shared" si="16"/>
        <v>3083.603174886227</v>
      </c>
      <c r="E287">
        <f>_xlfn.XLOOKUP(A287,Banks!A:A,Banks!I:I,0)</f>
        <v>0</v>
      </c>
      <c r="F287">
        <f>_xlfn.XLOOKUP(A287,Energy!A:A,Energy!I:I,0)</f>
        <v>34885.613827580062</v>
      </c>
      <c r="G287">
        <f t="shared" si="17"/>
        <v>34885.613827580062</v>
      </c>
      <c r="H287">
        <f t="shared" si="18"/>
        <v>31802.010652693836</v>
      </c>
      <c r="I287" t="b">
        <f t="shared" si="19"/>
        <v>0</v>
      </c>
    </row>
    <row r="288" spans="1:9">
      <c r="A288" s="1">
        <v>45974.716666666667</v>
      </c>
      <c r="B288" s="5">
        <f>_xlfn.XLOOKUP(A288,Banks!A:A,Banks!H:H,0,-1)</f>
        <v>1711.302807260797</v>
      </c>
      <c r="C288">
        <f>_xlfn.XLOOKUP(A288,Energy!A:A,Energy!H:H,0,-1)</f>
        <v>1414.1252106869929</v>
      </c>
      <c r="D288">
        <f t="shared" si="16"/>
        <v>3125.4280179477901</v>
      </c>
      <c r="E288">
        <f>_xlfn.XLOOKUP(A288,Banks!A:A,Banks!I:I,0)</f>
        <v>0</v>
      </c>
      <c r="F288">
        <f>_xlfn.XLOOKUP(A288,Energy!A:A,Energy!I:I,0)</f>
        <v>34877.248858967752</v>
      </c>
      <c r="G288">
        <f t="shared" si="17"/>
        <v>34877.248858967752</v>
      </c>
      <c r="H288">
        <f t="shared" si="18"/>
        <v>31751.820841019962</v>
      </c>
      <c r="I288" t="b">
        <f t="shared" si="19"/>
        <v>0</v>
      </c>
    </row>
    <row r="289" spans="1:9">
      <c r="A289" s="1">
        <v>45974.717361111107</v>
      </c>
      <c r="B289" s="5">
        <f>_xlfn.XLOOKUP(A289,Banks!A:A,Banks!H:H,0,-1)</f>
        <v>1711.302807260797</v>
      </c>
      <c r="C289">
        <f>_xlfn.XLOOKUP(A289,Energy!A:A,Energy!H:H,0,-1)</f>
        <v>1359.7529147069631</v>
      </c>
      <c r="D289">
        <f t="shared" si="16"/>
        <v>3071.0557219677603</v>
      </c>
      <c r="E289">
        <f>_xlfn.XLOOKUP(A289,Banks!A:A,Banks!I:I,0)</f>
        <v>0</v>
      </c>
      <c r="F289">
        <f>_xlfn.XLOOKUP(A289,Energy!A:A,Energy!I:I,0)</f>
        <v>34888.123318163758</v>
      </c>
      <c r="G289">
        <f t="shared" si="17"/>
        <v>34888.123318163758</v>
      </c>
      <c r="H289">
        <f t="shared" si="18"/>
        <v>31817.067596195997</v>
      </c>
      <c r="I289" t="b">
        <f t="shared" si="19"/>
        <v>0</v>
      </c>
    </row>
    <row r="290" spans="1:9">
      <c r="A290" s="1">
        <v>45974.718055555553</v>
      </c>
      <c r="B290" s="5">
        <f>_xlfn.XLOOKUP(A290,Banks!A:A,Banks!H:H,0,-1)</f>
        <v>1711.302807260797</v>
      </c>
      <c r="C290">
        <f>_xlfn.XLOOKUP(A290,Energy!A:A,Energy!H:H,0,-1)</f>
        <v>1359.7529147069631</v>
      </c>
      <c r="D290">
        <f t="shared" si="16"/>
        <v>3071.0557219677603</v>
      </c>
      <c r="E290">
        <f>_xlfn.XLOOKUP(A290,Banks!A:A,Banks!I:I,0)</f>
        <v>0</v>
      </c>
      <c r="F290">
        <f>_xlfn.XLOOKUP(A290,Energy!A:A,Energy!I:I,0)</f>
        <v>34888.123318163758</v>
      </c>
      <c r="G290">
        <f t="shared" si="17"/>
        <v>34888.123318163758</v>
      </c>
      <c r="H290">
        <f t="shared" si="18"/>
        <v>31817.067596195997</v>
      </c>
      <c r="I290" t="b">
        <f t="shared" si="19"/>
        <v>0</v>
      </c>
    </row>
    <row r="291" spans="1:9">
      <c r="A291" s="1">
        <v>45974.71875</v>
      </c>
      <c r="B291" s="5">
        <f>_xlfn.XLOOKUP(A291,Banks!A:A,Banks!H:H,0,-1)</f>
        <v>1711.302807260797</v>
      </c>
      <c r="C291">
        <f>_xlfn.XLOOKUP(A291,Energy!A:A,Energy!H:H,0,-1)</f>
        <v>1393.212789156212</v>
      </c>
      <c r="D291">
        <f t="shared" si="16"/>
        <v>3104.515596417009</v>
      </c>
      <c r="E291">
        <f>_xlfn.XLOOKUP(A291,Banks!A:A,Banks!I:I,0)</f>
        <v>0</v>
      </c>
      <c r="F291">
        <f>_xlfn.XLOOKUP(A291,Energy!A:A,Energy!I:I,0)</f>
        <v>34881.4313432739</v>
      </c>
      <c r="G291">
        <f t="shared" si="17"/>
        <v>34881.4313432739</v>
      </c>
      <c r="H291">
        <f t="shared" si="18"/>
        <v>31776.915746856892</v>
      </c>
      <c r="I291" t="b">
        <f t="shared" si="19"/>
        <v>0</v>
      </c>
    </row>
    <row r="292" spans="1:9">
      <c r="A292" s="1">
        <v>45974.719444444447</v>
      </c>
      <c r="B292" s="5">
        <f>_xlfn.XLOOKUP(A292,Banks!A:A,Banks!H:H,0,-1)</f>
        <v>1711.302807260797</v>
      </c>
      <c r="C292">
        <f>_xlfn.XLOOKUP(A292,Energy!A:A,Energy!H:H,0,-1)</f>
        <v>1343.0229774823449</v>
      </c>
      <c r="D292">
        <f t="shared" si="16"/>
        <v>3054.3257847431419</v>
      </c>
      <c r="E292">
        <f>_xlfn.XLOOKUP(A292,Banks!A:A,Banks!I:I,0)</f>
        <v>0</v>
      </c>
      <c r="F292">
        <f>_xlfn.XLOOKUP(A292,Energy!A:A,Energy!I:I,0)</f>
        <v>34891.469305608683</v>
      </c>
      <c r="G292">
        <f t="shared" si="17"/>
        <v>34891.469305608683</v>
      </c>
      <c r="H292">
        <f t="shared" si="18"/>
        <v>31837.143520865542</v>
      </c>
      <c r="I292" t="b">
        <f t="shared" si="19"/>
        <v>0</v>
      </c>
    </row>
    <row r="293" spans="1:9">
      <c r="A293" s="1">
        <v>45974.720138888893</v>
      </c>
      <c r="B293" s="5">
        <f>_xlfn.XLOOKUP(A293,Banks!A:A,Banks!H:H,0,-1)</f>
        <v>1711.302807260797</v>
      </c>
      <c r="C293">
        <f>_xlfn.XLOOKUP(A293,Energy!A:A,Energy!H:H,0,-1)</f>
        <v>1363.9353990131269</v>
      </c>
      <c r="D293">
        <f t="shared" si="16"/>
        <v>3075.2382062739239</v>
      </c>
      <c r="E293">
        <f>_xlfn.XLOOKUP(A293,Banks!A:A,Banks!I:I,0)</f>
        <v>0</v>
      </c>
      <c r="F293">
        <f>_xlfn.XLOOKUP(A293,Energy!A:A,Energy!I:I,0)</f>
        <v>34887.286821302521</v>
      </c>
      <c r="G293">
        <f t="shared" si="17"/>
        <v>34887.286821302521</v>
      </c>
      <c r="H293">
        <f t="shared" si="18"/>
        <v>31812.048615028598</v>
      </c>
      <c r="I293" t="b">
        <f t="shared" si="19"/>
        <v>0</v>
      </c>
    </row>
    <row r="294" spans="1:9">
      <c r="A294" s="1">
        <v>45974.720833333333</v>
      </c>
      <c r="B294" s="5">
        <f>_xlfn.XLOOKUP(A294,Banks!A:A,Banks!H:H,0,-1)</f>
        <v>1711.302807260797</v>
      </c>
      <c r="C294">
        <f>_xlfn.XLOOKUP(A294,Energy!A:A,Energy!H:H,0,-1)</f>
        <v>1353.262771033244</v>
      </c>
      <c r="D294">
        <f t="shared" si="16"/>
        <v>3064.5655782940412</v>
      </c>
      <c r="E294">
        <f>_xlfn.XLOOKUP(A294,Banks!A:A,Banks!I:I,0)</f>
        <v>0</v>
      </c>
      <c r="F294">
        <f>_xlfn.XLOOKUP(A294,Energy!A:A,Energy!I:I,0)</f>
        <v>0</v>
      </c>
      <c r="G294">
        <f t="shared" si="17"/>
        <v>0</v>
      </c>
      <c r="H294">
        <f t="shared" si="18"/>
        <v>-3064.5655782940412</v>
      </c>
      <c r="I294" t="b">
        <f t="shared" si="19"/>
        <v>0</v>
      </c>
    </row>
    <row r="295" spans="1:9">
      <c r="A295" s="1">
        <v>45974.737500000003</v>
      </c>
      <c r="B295" s="5">
        <f>_xlfn.XLOOKUP(A295,Banks!A:A,Banks!H:H,0,-1)</f>
        <v>1711.302807260797</v>
      </c>
      <c r="C295">
        <f>_xlfn.XLOOKUP(A295,Energy!A:A,Energy!H:H,0,-1)</f>
        <v>1353.262771033244</v>
      </c>
      <c r="D295">
        <f t="shared" si="16"/>
        <v>3064.5655782940412</v>
      </c>
      <c r="E295">
        <f>_xlfn.XLOOKUP(A295,Banks!A:A,Banks!I:I,0)</f>
        <v>0</v>
      </c>
      <c r="F295">
        <f>_xlfn.XLOOKUP(A295,Energy!A:A,Energy!I:I,0)</f>
        <v>34880.024416008928</v>
      </c>
      <c r="G295">
        <f t="shared" si="17"/>
        <v>34880.024416008928</v>
      </c>
      <c r="H295">
        <f t="shared" si="18"/>
        <v>31815.458837714887</v>
      </c>
      <c r="I295" t="b">
        <f t="shared" si="19"/>
        <v>0</v>
      </c>
    </row>
    <row r="296" spans="1:9">
      <c r="A296" s="1">
        <v>45974.738194444442</v>
      </c>
      <c r="B296" s="5">
        <f>_xlfn.XLOOKUP(A296,Banks!A:A,Banks!H:H,0,-1)</f>
        <v>1711.302807260797</v>
      </c>
      <c r="C296">
        <f>_xlfn.XLOOKUP(A296,Energy!A:A,Energy!H:H,0,-1)</f>
        <v>1474.605976720283</v>
      </c>
      <c r="D296">
        <f t="shared" si="16"/>
        <v>3185.90878398108</v>
      </c>
      <c r="E296">
        <f>_xlfn.XLOOKUP(A296,Banks!A:A,Banks!I:I,0)</f>
        <v>0</v>
      </c>
      <c r="F296">
        <f>_xlfn.XLOOKUP(A296,Energy!A:A,Energy!I:I,0)</f>
        <v>34855.755774871534</v>
      </c>
      <c r="G296">
        <f t="shared" si="17"/>
        <v>34855.755774871534</v>
      </c>
      <c r="H296">
        <f t="shared" si="18"/>
        <v>31669.846990890452</v>
      </c>
      <c r="I296" t="b">
        <f t="shared" si="19"/>
        <v>0</v>
      </c>
    </row>
    <row r="297" spans="1:9">
      <c r="A297" s="1">
        <v>45974.738888888889</v>
      </c>
      <c r="B297" s="5">
        <f>_xlfn.XLOOKUP(A297,Banks!A:A,Banks!H:H,0,-1)</f>
        <v>1711.302807260797</v>
      </c>
      <c r="C297">
        <f>_xlfn.XLOOKUP(A297,Energy!A:A,Energy!H:H,0,-1)</f>
        <v>1474.605976720283</v>
      </c>
      <c r="D297">
        <f t="shared" si="16"/>
        <v>3185.90878398108</v>
      </c>
      <c r="E297">
        <f>_xlfn.XLOOKUP(A297,Banks!A:A,Banks!I:I,0)</f>
        <v>0</v>
      </c>
      <c r="F297">
        <f>_xlfn.XLOOKUP(A297,Energy!A:A,Energy!I:I,0)</f>
        <v>34855.755774871534</v>
      </c>
      <c r="G297">
        <f t="shared" si="17"/>
        <v>34855.755774871534</v>
      </c>
      <c r="H297">
        <f t="shared" si="18"/>
        <v>31669.846990890452</v>
      </c>
      <c r="I297" t="b">
        <f t="shared" si="19"/>
        <v>0</v>
      </c>
    </row>
    <row r="298" spans="1:9">
      <c r="A298" s="1">
        <v>45974.739583333343</v>
      </c>
      <c r="B298" s="5">
        <f>_xlfn.XLOOKUP(A298,Banks!A:A,Banks!H:H,0,-1)</f>
        <v>1711.302807260797</v>
      </c>
      <c r="C298">
        <f>_xlfn.XLOOKUP(A298,Energy!A:A,Energy!H:H,0,-1)</f>
        <v>1474.605976720283</v>
      </c>
      <c r="D298">
        <f t="shared" si="16"/>
        <v>3185.90878398108</v>
      </c>
      <c r="E298">
        <f>_xlfn.XLOOKUP(A298,Banks!A:A,Banks!I:I,0)</f>
        <v>0</v>
      </c>
      <c r="F298">
        <f>_xlfn.XLOOKUP(A298,Energy!A:A,Energy!I:I,0)</f>
        <v>34855.755774871534</v>
      </c>
      <c r="G298">
        <f t="shared" si="17"/>
        <v>34855.755774871534</v>
      </c>
      <c r="H298">
        <f t="shared" si="18"/>
        <v>31669.846990890452</v>
      </c>
      <c r="I298" t="b">
        <f t="shared" si="19"/>
        <v>0</v>
      </c>
    </row>
    <row r="299" spans="1:9">
      <c r="A299" s="1">
        <v>45974.740277777782</v>
      </c>
      <c r="B299" s="5">
        <f>_xlfn.XLOOKUP(A299,Banks!A:A,Banks!H:H,0,-1)</f>
        <v>1711.302807260797</v>
      </c>
      <c r="C299">
        <f>_xlfn.XLOOKUP(A299,Energy!A:A,Energy!H:H,0,-1)</f>
        <v>1474.605976720283</v>
      </c>
      <c r="D299">
        <f t="shared" si="16"/>
        <v>3185.90878398108</v>
      </c>
      <c r="E299">
        <f>_xlfn.XLOOKUP(A299,Banks!A:A,Banks!I:I,0)</f>
        <v>0</v>
      </c>
      <c r="F299">
        <f>_xlfn.XLOOKUP(A299,Energy!A:A,Energy!I:I,0)</f>
        <v>34855.755774871534</v>
      </c>
      <c r="G299">
        <f t="shared" si="17"/>
        <v>34855.755774871534</v>
      </c>
      <c r="H299">
        <f t="shared" si="18"/>
        <v>31669.846990890452</v>
      </c>
      <c r="I299" t="b">
        <f t="shared" si="19"/>
        <v>0</v>
      </c>
    </row>
    <row r="300" spans="1:9">
      <c r="A300" s="1">
        <v>45974.740972222222</v>
      </c>
      <c r="B300" s="5">
        <f>_xlfn.XLOOKUP(A300,Banks!A:A,Banks!H:H,0,-1)</f>
        <v>1711.302807260797</v>
      </c>
      <c r="C300">
        <f>_xlfn.XLOOKUP(A300,Energy!A:A,Energy!H:H,0,-1)</f>
        <v>1413.6922711365239</v>
      </c>
      <c r="D300">
        <f t="shared" si="16"/>
        <v>3124.9950783973209</v>
      </c>
      <c r="E300">
        <f>_xlfn.XLOOKUP(A300,Banks!A:A,Banks!I:I,0)</f>
        <v>0</v>
      </c>
      <c r="F300">
        <f>_xlfn.XLOOKUP(A300,Energy!A:A,Energy!I:I,0)</f>
        <v>34843.573033754772</v>
      </c>
      <c r="G300">
        <f t="shared" si="17"/>
        <v>34843.573033754772</v>
      </c>
      <c r="H300">
        <f t="shared" si="18"/>
        <v>31718.57795535745</v>
      </c>
      <c r="I300" t="b">
        <f t="shared" si="19"/>
        <v>0</v>
      </c>
    </row>
    <row r="301" spans="1:9">
      <c r="A301" s="1">
        <v>45974.741666666669</v>
      </c>
      <c r="B301" s="5">
        <f>_xlfn.XLOOKUP(A301,Banks!A:A,Banks!H:H,0,-1)</f>
        <v>1711.302807260797</v>
      </c>
      <c r="C301">
        <f>_xlfn.XLOOKUP(A301,Energy!A:A,Energy!H:H,0,-1)</f>
        <v>1413.6922711365239</v>
      </c>
      <c r="D301">
        <f t="shared" si="16"/>
        <v>3124.9950783973209</v>
      </c>
      <c r="E301">
        <f>_xlfn.XLOOKUP(A301,Banks!A:A,Banks!I:I,0)</f>
        <v>0</v>
      </c>
      <c r="F301">
        <f>_xlfn.XLOOKUP(A301,Energy!A:A,Energy!I:I,0)</f>
        <v>34843.573033754772</v>
      </c>
      <c r="G301">
        <f t="shared" si="17"/>
        <v>34843.573033754772</v>
      </c>
      <c r="H301">
        <f t="shared" si="18"/>
        <v>31718.57795535745</v>
      </c>
      <c r="I301" t="b">
        <f t="shared" si="19"/>
        <v>0</v>
      </c>
    </row>
    <row r="302" spans="1:9">
      <c r="A302" s="1">
        <v>45974.742361111108</v>
      </c>
      <c r="B302" s="5">
        <f>_xlfn.XLOOKUP(A302,Banks!A:A,Banks!H:H,0,-1)</f>
        <v>1711.302807260797</v>
      </c>
      <c r="C302">
        <f>_xlfn.XLOOKUP(A302,Energy!A:A,Energy!H:H,0,-1)</f>
        <v>1342.4886713747651</v>
      </c>
      <c r="D302">
        <f t="shared" si="16"/>
        <v>3053.7914786355623</v>
      </c>
      <c r="E302">
        <f>_xlfn.XLOOKUP(A302,Banks!A:A,Banks!I:I,0)</f>
        <v>0</v>
      </c>
      <c r="F302">
        <f>_xlfn.XLOOKUP(A302,Energy!A:A,Energy!I:I,0)</f>
        <v>34824.311215636058</v>
      </c>
      <c r="G302">
        <f t="shared" si="17"/>
        <v>34824.311215636058</v>
      </c>
      <c r="H302">
        <f t="shared" si="18"/>
        <v>31770.519737000497</v>
      </c>
      <c r="I302" t="b">
        <f t="shared" si="19"/>
        <v>0</v>
      </c>
    </row>
    <row r="303" spans="1:9">
      <c r="A303" s="1">
        <v>45974.743055555547</v>
      </c>
      <c r="B303" s="5">
        <f>_xlfn.XLOOKUP(A303,Banks!A:A,Banks!H:H,0,-1)</f>
        <v>1711.302807260797</v>
      </c>
      <c r="C303">
        <f>_xlfn.XLOOKUP(A303,Energy!A:A,Energy!H:H,0,-1)</f>
        <v>1309.0146835990349</v>
      </c>
      <c r="D303">
        <f t="shared" si="16"/>
        <v>3020.3174908598321</v>
      </c>
      <c r="E303">
        <f>_xlfn.XLOOKUP(A303,Banks!A:A,Banks!I:I,0)</f>
        <v>0</v>
      </c>
      <c r="F303">
        <f>_xlfn.XLOOKUP(A303,Energy!A:A,Energy!I:I,0)</f>
        <v>34831.006013191203</v>
      </c>
      <c r="G303">
        <f t="shared" si="17"/>
        <v>34831.006013191203</v>
      </c>
      <c r="H303">
        <f t="shared" si="18"/>
        <v>31810.688522331373</v>
      </c>
      <c r="I303" t="b">
        <f t="shared" si="19"/>
        <v>0</v>
      </c>
    </row>
    <row r="304" spans="1:9">
      <c r="A304" s="1">
        <v>45974.743750000001</v>
      </c>
      <c r="B304" s="5">
        <f>_xlfn.XLOOKUP(A304,Banks!A:A,Banks!H:H,0,-1)</f>
        <v>1711.302807260797</v>
      </c>
      <c r="C304">
        <f>_xlfn.XLOOKUP(A304,Energy!A:A,Energy!H:H,0,-1)</f>
        <v>1309.0146835990349</v>
      </c>
      <c r="D304">
        <f t="shared" si="16"/>
        <v>3020.3174908598321</v>
      </c>
      <c r="E304">
        <f>_xlfn.XLOOKUP(A304,Banks!A:A,Banks!I:I,0)</f>
        <v>0</v>
      </c>
      <c r="F304">
        <f>_xlfn.XLOOKUP(A304,Energy!A:A,Energy!I:I,0)</f>
        <v>34831.006013191203</v>
      </c>
      <c r="G304">
        <f t="shared" si="17"/>
        <v>34831.006013191203</v>
      </c>
      <c r="H304">
        <f t="shared" si="18"/>
        <v>31810.688522331373</v>
      </c>
      <c r="I304" t="b">
        <f t="shared" si="19"/>
        <v>0</v>
      </c>
    </row>
    <row r="305" spans="1:9">
      <c r="A305" s="1">
        <v>45974.744444444441</v>
      </c>
      <c r="B305" s="5">
        <f>_xlfn.XLOOKUP(A305,Banks!A:A,Banks!H:H,0,-1)</f>
        <v>1711.302807260797</v>
      </c>
      <c r="C305">
        <f>_xlfn.XLOOKUP(A305,Energy!A:A,Energy!H:H,0,-1)</f>
        <v>1309.0146835990349</v>
      </c>
      <c r="D305">
        <f t="shared" si="16"/>
        <v>3020.3174908598321</v>
      </c>
      <c r="E305">
        <f>_xlfn.XLOOKUP(A305,Banks!A:A,Banks!I:I,0)</f>
        <v>0</v>
      </c>
      <c r="F305">
        <f>_xlfn.XLOOKUP(A305,Energy!A:A,Energy!I:I,0)</f>
        <v>34831.006013191203</v>
      </c>
      <c r="G305">
        <f t="shared" si="17"/>
        <v>34831.006013191203</v>
      </c>
      <c r="H305">
        <f t="shared" si="18"/>
        <v>31810.688522331373</v>
      </c>
      <c r="I305" t="b">
        <f t="shared" si="19"/>
        <v>0</v>
      </c>
    </row>
    <row r="306" spans="1:9">
      <c r="A306" s="1">
        <v>45974.745138888888</v>
      </c>
      <c r="B306" s="5">
        <f>_xlfn.XLOOKUP(A306,Banks!A:A,Banks!H:H,0,-1)</f>
        <v>1711.302807260797</v>
      </c>
      <c r="C306">
        <f>_xlfn.XLOOKUP(A306,Energy!A:A,Energy!H:H,0,-1)</f>
        <v>1453.684734360455</v>
      </c>
      <c r="D306">
        <f t="shared" si="16"/>
        <v>3164.9875416212517</v>
      </c>
      <c r="E306">
        <f>_xlfn.XLOOKUP(A306,Banks!A:A,Banks!I:I,0)</f>
        <v>0</v>
      </c>
      <c r="F306">
        <f>_xlfn.XLOOKUP(A306,Energy!A:A,Energy!I:I,0)</f>
        <v>34859.940023343494</v>
      </c>
      <c r="G306">
        <f t="shared" si="17"/>
        <v>34859.940023343494</v>
      </c>
      <c r="H306">
        <f t="shared" si="18"/>
        <v>31694.952481722241</v>
      </c>
      <c r="I306" t="b">
        <f t="shared" si="19"/>
        <v>0</v>
      </c>
    </row>
    <row r="307" spans="1:9">
      <c r="A307" s="1">
        <v>45974.745833333327</v>
      </c>
      <c r="B307" s="5">
        <f>_xlfn.XLOOKUP(A307,Banks!A:A,Banks!H:H,0,-1)</f>
        <v>1711.302807260797</v>
      </c>
      <c r="C307">
        <f>_xlfn.XLOOKUP(A307,Energy!A:A,Energy!H:H,0,-1)</f>
        <v>1436.947740472579</v>
      </c>
      <c r="D307">
        <f t="shared" si="16"/>
        <v>3148.2505477333762</v>
      </c>
      <c r="E307">
        <f>_xlfn.XLOOKUP(A307,Banks!A:A,Banks!I:I,0)</f>
        <v>0</v>
      </c>
      <c r="F307">
        <f>_xlfn.XLOOKUP(A307,Energy!A:A,Energy!I:I,0)</f>
        <v>34863.287422121059</v>
      </c>
      <c r="G307">
        <f t="shared" si="17"/>
        <v>34863.287422121059</v>
      </c>
      <c r="H307">
        <f t="shared" si="18"/>
        <v>31715.036874387682</v>
      </c>
      <c r="I307" t="b">
        <f t="shared" si="19"/>
        <v>0</v>
      </c>
    </row>
    <row r="308" spans="1:9">
      <c r="A308" s="1">
        <v>45974.746527777781</v>
      </c>
      <c r="B308" s="5">
        <f>_xlfn.XLOOKUP(A308,Banks!A:A,Banks!H:H,0,-1)</f>
        <v>1711.302807260797</v>
      </c>
      <c r="C308">
        <f>_xlfn.XLOOKUP(A308,Energy!A:A,Energy!H:H,0,-1)</f>
        <v>1370.957892756845</v>
      </c>
      <c r="D308">
        <f t="shared" si="16"/>
        <v>3082.2607000176422</v>
      </c>
      <c r="E308">
        <f>_xlfn.XLOOKUP(A308,Banks!A:A,Banks!I:I,0)</f>
        <v>0</v>
      </c>
      <c r="F308">
        <f>_xlfn.XLOOKUP(A308,Energy!A:A,Energy!I:I,0)</f>
        <v>34850.089452577922</v>
      </c>
      <c r="G308">
        <f t="shared" si="17"/>
        <v>34850.089452577922</v>
      </c>
      <c r="H308">
        <f t="shared" si="18"/>
        <v>31767.828752560279</v>
      </c>
      <c r="I308" t="b">
        <f t="shared" si="19"/>
        <v>0</v>
      </c>
    </row>
    <row r="309" spans="1:9">
      <c r="A309" s="1">
        <v>45974.74722222222</v>
      </c>
      <c r="B309" s="5">
        <f>_xlfn.XLOOKUP(A309,Banks!A:A,Banks!H:H,0,-1)</f>
        <v>1711.302807260797</v>
      </c>
      <c r="C309">
        <f>_xlfn.XLOOKUP(A309,Energy!A:A,Energy!H:H,0,-1)</f>
        <v>1370.957892756845</v>
      </c>
      <c r="D309">
        <f t="shared" si="16"/>
        <v>3082.2607000176422</v>
      </c>
      <c r="E309">
        <f>_xlfn.XLOOKUP(A309,Banks!A:A,Banks!I:I,0)</f>
        <v>0</v>
      </c>
      <c r="F309">
        <f>_xlfn.XLOOKUP(A309,Energy!A:A,Energy!I:I,0)</f>
        <v>34850.089452577922</v>
      </c>
      <c r="G309">
        <f t="shared" si="17"/>
        <v>34850.089452577922</v>
      </c>
      <c r="H309">
        <f t="shared" si="18"/>
        <v>31767.828752560279</v>
      </c>
      <c r="I309" t="b">
        <f t="shared" si="19"/>
        <v>0</v>
      </c>
    </row>
    <row r="310" spans="1:9">
      <c r="A310" s="1">
        <v>45974.747916666667</v>
      </c>
      <c r="B310" s="5">
        <f>_xlfn.XLOOKUP(A310,Banks!A:A,Banks!H:H,0,-1)</f>
        <v>1711.302807260797</v>
      </c>
      <c r="C310">
        <f>_xlfn.XLOOKUP(A310,Energy!A:A,Energy!H:H,0,-1)</f>
        <v>1370.957892756845</v>
      </c>
      <c r="D310">
        <f t="shared" si="16"/>
        <v>3082.2607000176422</v>
      </c>
      <c r="E310">
        <f>_xlfn.XLOOKUP(A310,Banks!A:A,Banks!I:I,0)</f>
        <v>0</v>
      </c>
      <c r="F310">
        <f>_xlfn.XLOOKUP(A310,Energy!A:A,Energy!I:I,0)</f>
        <v>34850.089452577922</v>
      </c>
      <c r="G310">
        <f t="shared" si="17"/>
        <v>34850.089452577922</v>
      </c>
      <c r="H310">
        <f t="shared" si="18"/>
        <v>31767.828752560279</v>
      </c>
      <c r="I310" t="b">
        <f t="shared" si="19"/>
        <v>0</v>
      </c>
    </row>
    <row r="311" spans="1:9">
      <c r="A311" s="1">
        <v>45974.748611111107</v>
      </c>
      <c r="B311" s="5">
        <f>_xlfn.XLOOKUP(A311,Banks!A:A,Banks!H:H,0,-1)</f>
        <v>1711.302807260797</v>
      </c>
      <c r="C311">
        <f>_xlfn.XLOOKUP(A311,Energy!A:A,Energy!H:H,0,-1)</f>
        <v>1402.3728733844721</v>
      </c>
      <c r="D311">
        <f t="shared" si="16"/>
        <v>3113.675680645269</v>
      </c>
      <c r="E311">
        <f>_xlfn.XLOOKUP(A311,Banks!A:A,Banks!I:I,0)</f>
        <v>0</v>
      </c>
      <c r="F311">
        <f>_xlfn.XLOOKUP(A311,Energy!A:A,Energy!I:I,0)</f>
        <v>34829.593258482848</v>
      </c>
      <c r="G311">
        <f t="shared" si="17"/>
        <v>34829.593258482848</v>
      </c>
      <c r="H311">
        <f t="shared" si="18"/>
        <v>31715.917577837579</v>
      </c>
      <c r="I311" t="b">
        <f t="shared" si="19"/>
        <v>0</v>
      </c>
    </row>
    <row r="312" spans="1:9">
      <c r="A312" s="1">
        <v>45974.749305555553</v>
      </c>
      <c r="B312" s="5">
        <f>_xlfn.XLOOKUP(A312,Banks!A:A,Banks!H:H,0,-1)</f>
        <v>1711.302807260797</v>
      </c>
      <c r="C312">
        <f>_xlfn.XLOOKUP(A312,Energy!A:A,Energy!H:H,0,-1)</f>
        <v>1400.589086064434</v>
      </c>
      <c r="D312">
        <f t="shared" si="16"/>
        <v>3111.8918933252307</v>
      </c>
      <c r="E312">
        <f>_xlfn.XLOOKUP(A312,Banks!A:A,Banks!I:I,0)</f>
        <v>0</v>
      </c>
      <c r="F312">
        <f>_xlfn.XLOOKUP(A312,Energy!A:A,Energy!I:I,0)</f>
        <v>34825.889102241272</v>
      </c>
      <c r="G312">
        <f t="shared" si="17"/>
        <v>34825.889102241272</v>
      </c>
      <c r="H312">
        <f t="shared" si="18"/>
        <v>31713.99720891604</v>
      </c>
      <c r="I312" t="b">
        <f t="shared" si="19"/>
        <v>0</v>
      </c>
    </row>
    <row r="313" spans="1:9">
      <c r="A313" s="1">
        <v>45974.75</v>
      </c>
      <c r="B313" s="5">
        <f>_xlfn.XLOOKUP(A313,Banks!A:A,Banks!H:H,0,-1)</f>
        <v>1711.302807260797</v>
      </c>
      <c r="C313">
        <f>_xlfn.XLOOKUP(A313,Energy!A:A,Energy!H:H,0,-1)</f>
        <v>1400.589086064434</v>
      </c>
      <c r="D313">
        <f t="shared" si="16"/>
        <v>3111.8918933252307</v>
      </c>
      <c r="E313">
        <f>_xlfn.XLOOKUP(A313,Banks!A:A,Banks!I:I,0)</f>
        <v>0</v>
      </c>
      <c r="F313">
        <f>_xlfn.XLOOKUP(A313,Energy!A:A,Energy!I:I,0)</f>
        <v>34825.889102241272</v>
      </c>
      <c r="G313">
        <f t="shared" si="17"/>
        <v>34825.889102241272</v>
      </c>
      <c r="H313">
        <f t="shared" si="18"/>
        <v>31713.99720891604</v>
      </c>
      <c r="I313" t="b">
        <f t="shared" si="19"/>
        <v>0</v>
      </c>
    </row>
    <row r="314" spans="1:9">
      <c r="A314" s="1">
        <v>45974.750694444447</v>
      </c>
      <c r="B314" s="5">
        <f>_xlfn.XLOOKUP(A314,Banks!A:A,Banks!H:H,0,-1)</f>
        <v>1711.302807260797</v>
      </c>
      <c r="C314">
        <f>_xlfn.XLOOKUP(A314,Energy!A:A,Energy!H:H,0,-1)</f>
        <v>1400.589086064434</v>
      </c>
      <c r="D314">
        <f t="shared" si="16"/>
        <v>3111.8918933252307</v>
      </c>
      <c r="E314">
        <f>_xlfn.XLOOKUP(A314,Banks!A:A,Banks!I:I,0)</f>
        <v>0</v>
      </c>
      <c r="F314">
        <f>_xlfn.XLOOKUP(A314,Energy!A:A,Energy!I:I,0)</f>
        <v>34825.889102241272</v>
      </c>
      <c r="G314">
        <f t="shared" si="17"/>
        <v>34825.889102241272</v>
      </c>
      <c r="H314">
        <f t="shared" si="18"/>
        <v>31713.99720891604</v>
      </c>
      <c r="I314" t="b">
        <f t="shared" si="19"/>
        <v>0</v>
      </c>
    </row>
    <row r="315" spans="1:9">
      <c r="A315" s="1">
        <v>45974.751388888893</v>
      </c>
      <c r="B315" s="5">
        <f>_xlfn.XLOOKUP(A315,Banks!A:A,Banks!H:H,0,-1)</f>
        <v>1711.302807260797</v>
      </c>
      <c r="C315">
        <f>_xlfn.XLOOKUP(A315,Energy!A:A,Energy!H:H,0,-1)</f>
        <v>1356.475738701371</v>
      </c>
      <c r="D315">
        <f t="shared" si="16"/>
        <v>3067.7785459621682</v>
      </c>
      <c r="E315">
        <f>_xlfn.XLOOKUP(A315,Banks!A:A,Banks!I:I,0)</f>
        <v>0</v>
      </c>
      <c r="F315">
        <f>_xlfn.XLOOKUP(A315,Energy!A:A,Energy!I:I,0)</f>
        <v>0</v>
      </c>
      <c r="G315">
        <f t="shared" si="17"/>
        <v>0</v>
      </c>
      <c r="H315">
        <f t="shared" si="18"/>
        <v>-3067.7785459621682</v>
      </c>
      <c r="I315" t="b">
        <f t="shared" si="19"/>
        <v>0</v>
      </c>
    </row>
    <row r="316" spans="1:9">
      <c r="A316" s="1">
        <v>45975.841666666667</v>
      </c>
      <c r="B316" s="5">
        <f>_xlfn.XLOOKUP(A316,Banks!A:A,Banks!H:H,0,-1)</f>
        <v>1711.302807260797</v>
      </c>
      <c r="C316">
        <f>_xlfn.XLOOKUP(A316,Energy!A:A,Energy!H:H,0,-1)</f>
        <v>1356.475738701371</v>
      </c>
      <c r="D316">
        <f t="shared" si="16"/>
        <v>3067.7785459621682</v>
      </c>
      <c r="E316">
        <f>_xlfn.XLOOKUP(A316,Banks!A:A,Banks!I:I,0)</f>
        <v>35717.046123811859</v>
      </c>
      <c r="F316">
        <f>_xlfn.XLOOKUP(A316,Energy!A:A,Energy!I:I,0)</f>
        <v>0</v>
      </c>
      <c r="G316">
        <f t="shared" si="17"/>
        <v>35717.046123811859</v>
      </c>
      <c r="H316">
        <f t="shared" si="18"/>
        <v>32649.267577849692</v>
      </c>
      <c r="I316" t="b">
        <f t="shared" si="19"/>
        <v>0</v>
      </c>
    </row>
    <row r="317" spans="1:9">
      <c r="A317" s="1">
        <v>45975.842361111107</v>
      </c>
      <c r="B317" s="5">
        <f>_xlfn.XLOOKUP(A317,Banks!A:A,Banks!H:H,0,-1)</f>
        <v>1739.5008871700929</v>
      </c>
      <c r="C317">
        <f>_xlfn.XLOOKUP(A317,Energy!A:A,Energy!H:H,0,-1)</f>
        <v>1356.475738701371</v>
      </c>
      <c r="D317">
        <f t="shared" si="16"/>
        <v>3095.976625871464</v>
      </c>
      <c r="E317">
        <f>_xlfn.XLOOKUP(A317,Banks!A:A,Banks!I:I,0)</f>
        <v>35718.993041732319</v>
      </c>
      <c r="F317">
        <f>_xlfn.XLOOKUP(A317,Energy!A:A,Energy!I:I,0)</f>
        <v>0</v>
      </c>
      <c r="G317">
        <f t="shared" si="17"/>
        <v>35718.993041732319</v>
      </c>
      <c r="H317">
        <f t="shared" si="18"/>
        <v>32623.016415860857</v>
      </c>
      <c r="I317" t="b">
        <f t="shared" si="19"/>
        <v>0</v>
      </c>
    </row>
    <row r="318" spans="1:9">
      <c r="A318" s="1">
        <v>45975.843055555553</v>
      </c>
      <c r="B318" s="5">
        <f>_xlfn.XLOOKUP(A318,Banks!A:A,Banks!H:H,0,-1)</f>
        <v>1767.4475448549731</v>
      </c>
      <c r="C318">
        <f>_xlfn.XLOOKUP(A318,Energy!A:A,Energy!H:H,0,-1)</f>
        <v>1356.475738701371</v>
      </c>
      <c r="D318">
        <f t="shared" si="16"/>
        <v>3123.9232835563444</v>
      </c>
      <c r="E318">
        <f>_xlfn.XLOOKUP(A318,Banks!A:A,Banks!I:I,0)</f>
        <v>35717.196977146508</v>
      </c>
      <c r="F318">
        <f>_xlfn.XLOOKUP(A318,Energy!A:A,Energy!I:I,0)</f>
        <v>0</v>
      </c>
      <c r="G318">
        <f t="shared" si="17"/>
        <v>35717.196977146508</v>
      </c>
      <c r="H318">
        <f t="shared" si="18"/>
        <v>32593.273693590163</v>
      </c>
      <c r="I318" t="b">
        <f t="shared" si="19"/>
        <v>0</v>
      </c>
    </row>
    <row r="319" spans="1:9">
      <c r="A319" s="1">
        <v>45975.84375</v>
      </c>
      <c r="B319" s="5">
        <f>_xlfn.XLOOKUP(A319,Banks!A:A,Banks!H:H,0,-1)</f>
        <v>1738.998042721259</v>
      </c>
      <c r="C319">
        <f>_xlfn.XLOOKUP(A319,Energy!A:A,Energy!H:H,0,-1)</f>
        <v>1356.475738701371</v>
      </c>
      <c r="D319">
        <f t="shared" si="16"/>
        <v>3095.4737814226301</v>
      </c>
      <c r="E319">
        <f>_xlfn.XLOOKUP(A319,Banks!A:A,Banks!I:I,0)</f>
        <v>35711.507076719769</v>
      </c>
      <c r="F319">
        <f>_xlfn.XLOOKUP(A319,Energy!A:A,Energy!I:I,0)</f>
        <v>0</v>
      </c>
      <c r="G319">
        <f t="shared" si="17"/>
        <v>35711.507076719769</v>
      </c>
      <c r="H319">
        <f t="shared" si="18"/>
        <v>32616.033295297137</v>
      </c>
      <c r="I319" t="b">
        <f t="shared" si="19"/>
        <v>0</v>
      </c>
    </row>
    <row r="320" spans="1:9">
      <c r="A320" s="1">
        <v>45975.844444444447</v>
      </c>
      <c r="B320" s="5">
        <f>_xlfn.XLOOKUP(A320,Banks!A:A,Banks!H:H,0,-1)</f>
        <v>1753.851349349145</v>
      </c>
      <c r="C320">
        <f>_xlfn.XLOOKUP(A320,Energy!A:A,Energy!H:H,0,-1)</f>
        <v>1356.475738701371</v>
      </c>
      <c r="D320">
        <f t="shared" si="16"/>
        <v>3110.3270880505161</v>
      </c>
      <c r="E320">
        <f>_xlfn.XLOOKUP(A320,Banks!A:A,Banks!I:I,0)</f>
        <v>35723.709483198843</v>
      </c>
      <c r="F320">
        <f>_xlfn.XLOOKUP(A320,Energy!A:A,Energy!I:I,0)</f>
        <v>0</v>
      </c>
      <c r="G320">
        <f t="shared" si="17"/>
        <v>35723.709483198843</v>
      </c>
      <c r="H320">
        <f t="shared" si="18"/>
        <v>32613.382395148328</v>
      </c>
      <c r="I320" t="b">
        <f t="shared" si="19"/>
        <v>0</v>
      </c>
    </row>
    <row r="321" spans="1:9">
      <c r="A321" s="1">
        <v>45975.845138888893</v>
      </c>
      <c r="B321" s="5">
        <f>_xlfn.XLOOKUP(A321,Banks!A:A,Banks!H:H,0,-1)</f>
        <v>1729.263453118946</v>
      </c>
      <c r="C321">
        <f>_xlfn.XLOOKUP(A321,Energy!A:A,Energy!H:H,0,-1)</f>
        <v>1356.475738701371</v>
      </c>
      <c r="D321">
        <f t="shared" si="16"/>
        <v>3085.739191820317</v>
      </c>
      <c r="E321">
        <f>_xlfn.XLOOKUP(A321,Banks!A:A,Banks!I:I,0)</f>
        <v>35705.867460737907</v>
      </c>
      <c r="F321">
        <f>_xlfn.XLOOKUP(A321,Energy!A:A,Energy!I:I,0)</f>
        <v>0</v>
      </c>
      <c r="G321">
        <f t="shared" si="17"/>
        <v>35705.867460737907</v>
      </c>
      <c r="H321">
        <f t="shared" si="18"/>
        <v>32620.12826891759</v>
      </c>
      <c r="I321" t="b">
        <f t="shared" si="19"/>
        <v>0</v>
      </c>
    </row>
    <row r="322" spans="1:9">
      <c r="A322" s="1">
        <v>45975.845833333333</v>
      </c>
      <c r="B322" s="5">
        <f>_xlfn.XLOOKUP(A322,Banks!A:A,Banks!H:H,0,-1)</f>
        <v>1727.503497548013</v>
      </c>
      <c r="C322">
        <f>_xlfn.XLOOKUP(A322,Energy!A:A,Energy!H:H,0,-1)</f>
        <v>1356.475738701371</v>
      </c>
      <c r="D322">
        <f t="shared" si="16"/>
        <v>3083.979236249384</v>
      </c>
      <c r="E322">
        <f>_xlfn.XLOOKUP(A322,Banks!A:A,Banks!I:I,0)</f>
        <v>35679.666583193954</v>
      </c>
      <c r="F322">
        <f>_xlfn.XLOOKUP(A322,Energy!A:A,Energy!I:I,0)</f>
        <v>0</v>
      </c>
      <c r="G322">
        <f t="shared" si="17"/>
        <v>35679.666583193954</v>
      </c>
      <c r="H322">
        <f t="shared" si="18"/>
        <v>32595.687346944571</v>
      </c>
      <c r="I322" t="b">
        <f t="shared" si="19"/>
        <v>0</v>
      </c>
    </row>
    <row r="323" spans="1:9">
      <c r="A323" s="1">
        <v>45975.84652777778</v>
      </c>
      <c r="B323" s="5">
        <f>_xlfn.XLOOKUP(A323,Banks!A:A,Banks!H:H,0,-1)</f>
        <v>1694.438122837561</v>
      </c>
      <c r="C323">
        <f>_xlfn.XLOOKUP(A323,Energy!A:A,Energy!H:H,0,-1)</f>
        <v>1356.475738701371</v>
      </c>
      <c r="D323">
        <f t="shared" ref="D323:D386" si="20">B323+C323</f>
        <v>3050.913861538932</v>
      </c>
      <c r="E323">
        <f>_xlfn.XLOOKUP(A323,Banks!A:A,Banks!I:I,0)</f>
        <v>35674.899857282573</v>
      </c>
      <c r="F323">
        <f>_xlfn.XLOOKUP(A323,Energy!A:A,Energy!I:I,0)</f>
        <v>0</v>
      </c>
      <c r="G323">
        <f t="shared" ref="G323:G386" si="21">F323+E323</f>
        <v>35674.899857282573</v>
      </c>
      <c r="H323">
        <f t="shared" ref="H323:H386" si="22">G323-D323</f>
        <v>32623.985995743642</v>
      </c>
      <c r="I323" t="b">
        <f t="shared" ref="I323:I386" si="23">AND(E323&gt;0,F323&gt;0)</f>
        <v>0</v>
      </c>
    </row>
    <row r="324" spans="1:9">
      <c r="A324" s="1">
        <v>45975.847222222219</v>
      </c>
      <c r="B324" s="5">
        <f>_xlfn.XLOOKUP(A324,Banks!A:A,Banks!H:H,0,-1)</f>
        <v>1737.740931599174</v>
      </c>
      <c r="C324">
        <f>_xlfn.XLOOKUP(A324,Energy!A:A,Energy!H:H,0,-1)</f>
        <v>1356.475738701371</v>
      </c>
      <c r="D324">
        <f t="shared" si="20"/>
        <v>3094.216670300545</v>
      </c>
      <c r="E324">
        <f>_xlfn.XLOOKUP(A324,Banks!A:A,Banks!I:I,0)</f>
        <v>35692.79216418838</v>
      </c>
      <c r="F324">
        <f>_xlfn.XLOOKUP(A324,Energy!A:A,Energy!I:I,0)</f>
        <v>0</v>
      </c>
      <c r="G324">
        <f t="shared" si="21"/>
        <v>35692.79216418838</v>
      </c>
      <c r="H324">
        <f t="shared" si="22"/>
        <v>32598.575493887834</v>
      </c>
      <c r="I324" t="b">
        <f t="shared" si="23"/>
        <v>0</v>
      </c>
    </row>
    <row r="325" spans="1:9">
      <c r="A325" s="1">
        <v>45975.847916666673</v>
      </c>
      <c r="B325" s="5">
        <f>_xlfn.XLOOKUP(A325,Banks!A:A,Banks!H:H,0,-1)</f>
        <v>1771.90226774454</v>
      </c>
      <c r="C325">
        <f>_xlfn.XLOOKUP(A325,Energy!A:A,Energy!H:H,0,-1)</f>
        <v>1356.475738701371</v>
      </c>
      <c r="D325">
        <f t="shared" si="20"/>
        <v>3128.3780064459111</v>
      </c>
      <c r="E325">
        <f>_xlfn.XLOOKUP(A325,Banks!A:A,Banks!I:I,0)</f>
        <v>35644.233960496516</v>
      </c>
      <c r="F325">
        <f>_xlfn.XLOOKUP(A325,Energy!A:A,Energy!I:I,0)</f>
        <v>0</v>
      </c>
      <c r="G325">
        <f t="shared" si="21"/>
        <v>35644.233960496516</v>
      </c>
      <c r="H325">
        <f t="shared" si="22"/>
        <v>32515.855954050607</v>
      </c>
      <c r="I325" t="b">
        <f t="shared" si="23"/>
        <v>0</v>
      </c>
    </row>
    <row r="326" spans="1:9">
      <c r="A326" s="1">
        <v>45975.848611111112</v>
      </c>
      <c r="B326" s="5">
        <f>_xlfn.XLOOKUP(A326,Banks!A:A,Banks!H:H,0,-1)</f>
        <v>1761.161989244546</v>
      </c>
      <c r="C326">
        <f>_xlfn.XLOOKUP(A326,Energy!A:A,Energy!H:H,0,-1)</f>
        <v>1356.475738701371</v>
      </c>
      <c r="D326">
        <f t="shared" si="20"/>
        <v>3117.637727945917</v>
      </c>
      <c r="E326">
        <f>_xlfn.XLOOKUP(A326,Banks!A:A,Banks!I:I,0)</f>
        <v>35623.622414489553</v>
      </c>
      <c r="F326">
        <f>_xlfn.XLOOKUP(A326,Energy!A:A,Energy!I:I,0)</f>
        <v>0</v>
      </c>
      <c r="G326">
        <f t="shared" si="21"/>
        <v>35623.622414489553</v>
      </c>
      <c r="H326">
        <f t="shared" si="22"/>
        <v>32505.984686543638</v>
      </c>
      <c r="I326" t="b">
        <f t="shared" si="23"/>
        <v>0</v>
      </c>
    </row>
    <row r="327" spans="1:9">
      <c r="A327" s="1">
        <v>45975.849305555559</v>
      </c>
      <c r="B327" s="5">
        <f>_xlfn.XLOOKUP(A327,Banks!A:A,Banks!H:H,0,-1)</f>
        <v>1715.7575301503639</v>
      </c>
      <c r="C327">
        <f>_xlfn.XLOOKUP(A327,Energy!A:A,Energy!H:H,0,-1)</f>
        <v>1356.475738701371</v>
      </c>
      <c r="D327">
        <f t="shared" si="20"/>
        <v>3072.2332688517349</v>
      </c>
      <c r="E327">
        <f>_xlfn.XLOOKUP(A327,Banks!A:A,Banks!I:I,0)</f>
        <v>35644.083107161867</v>
      </c>
      <c r="F327">
        <f>_xlfn.XLOOKUP(A327,Energy!A:A,Energy!I:I,0)</f>
        <v>0</v>
      </c>
      <c r="G327">
        <f t="shared" si="21"/>
        <v>35644.083107161867</v>
      </c>
      <c r="H327">
        <f t="shared" si="22"/>
        <v>32571.849838310132</v>
      </c>
      <c r="I327" t="b">
        <f t="shared" si="23"/>
        <v>0</v>
      </c>
    </row>
    <row r="328" spans="1:9">
      <c r="A328" s="1">
        <v>45975.85</v>
      </c>
      <c r="B328" s="5">
        <f>_xlfn.XLOOKUP(A328,Banks!A:A,Banks!H:H,0,-1)</f>
        <v>1720.876247175938</v>
      </c>
      <c r="C328">
        <f>_xlfn.XLOOKUP(A328,Energy!A:A,Energy!H:H,0,-1)</f>
        <v>1356.475738701371</v>
      </c>
      <c r="D328">
        <f t="shared" si="20"/>
        <v>3077.3519858773088</v>
      </c>
      <c r="E328">
        <f>_xlfn.XLOOKUP(A328,Banks!A:A,Banks!I:I,0)</f>
        <v>35650.64589765908</v>
      </c>
      <c r="F328">
        <f>_xlfn.XLOOKUP(A328,Energy!A:A,Energy!I:I,0)</f>
        <v>0</v>
      </c>
      <c r="G328">
        <f t="shared" si="21"/>
        <v>35650.64589765908</v>
      </c>
      <c r="H328">
        <f t="shared" si="22"/>
        <v>32573.293911781773</v>
      </c>
      <c r="I328" t="b">
        <f t="shared" si="23"/>
        <v>0</v>
      </c>
    </row>
    <row r="329" spans="1:9">
      <c r="A329" s="1">
        <v>45975.850694444453</v>
      </c>
      <c r="B329" s="5">
        <f>_xlfn.XLOOKUP(A329,Banks!A:A,Banks!H:H,0,-1)</f>
        <v>1735.2267093550031</v>
      </c>
      <c r="C329">
        <f>_xlfn.XLOOKUP(A329,Energy!A:A,Energy!H:H,0,-1)</f>
        <v>1356.475738701371</v>
      </c>
      <c r="D329">
        <f t="shared" si="20"/>
        <v>3091.7024480563741</v>
      </c>
      <c r="E329">
        <f>_xlfn.XLOOKUP(A329,Banks!A:A,Banks!I:I,0)</f>
        <v>35655.36233912559</v>
      </c>
      <c r="F329">
        <f>_xlfn.XLOOKUP(A329,Energy!A:A,Energy!I:I,0)</f>
        <v>0</v>
      </c>
      <c r="G329">
        <f t="shared" si="21"/>
        <v>35655.36233912559</v>
      </c>
      <c r="H329">
        <f t="shared" si="22"/>
        <v>32563.659891069216</v>
      </c>
      <c r="I329" t="b">
        <f t="shared" si="23"/>
        <v>0</v>
      </c>
    </row>
    <row r="330" spans="1:9">
      <c r="A330" s="1">
        <v>45975.851388888892</v>
      </c>
      <c r="B330" s="5">
        <f>_xlfn.XLOOKUP(A330,Banks!A:A,Banks!H:H,0,-1)</f>
        <v>1749.577171534055</v>
      </c>
      <c r="C330">
        <f>_xlfn.XLOOKUP(A330,Energy!A:A,Energy!H:H,0,-1)</f>
        <v>1356.475738701371</v>
      </c>
      <c r="D330">
        <f t="shared" si="20"/>
        <v>3106.0529102354258</v>
      </c>
      <c r="E330">
        <f>_xlfn.XLOOKUP(A330,Banks!A:A,Banks!I:I,0)</f>
        <v>35660.078780592114</v>
      </c>
      <c r="F330">
        <f>_xlfn.XLOOKUP(A330,Energy!A:A,Energy!I:I,0)</f>
        <v>0</v>
      </c>
      <c r="G330">
        <f t="shared" si="21"/>
        <v>35660.078780592114</v>
      </c>
      <c r="H330">
        <f t="shared" si="22"/>
        <v>32554.025870356687</v>
      </c>
      <c r="I330" t="b">
        <f t="shared" si="23"/>
        <v>0</v>
      </c>
    </row>
    <row r="331" spans="1:9">
      <c r="A331" s="1">
        <v>45975.852083333331</v>
      </c>
      <c r="B331" s="5">
        <f>_xlfn.XLOOKUP(A331,Banks!A:A,Banks!H:H,0,-1)</f>
        <v>1743.70418783523</v>
      </c>
      <c r="C331">
        <f>_xlfn.XLOOKUP(A331,Energy!A:A,Energy!H:H,0,-1)</f>
        <v>1356.475738701371</v>
      </c>
      <c r="D331">
        <f t="shared" si="20"/>
        <v>3100.1799265366008</v>
      </c>
      <c r="E331">
        <f>_xlfn.XLOOKUP(A331,Banks!A:A,Banks!I:I,0)</f>
        <v>35642.287042576063</v>
      </c>
      <c r="F331">
        <f>_xlfn.XLOOKUP(A331,Energy!A:A,Energy!I:I,0)</f>
        <v>0</v>
      </c>
      <c r="G331">
        <f t="shared" si="21"/>
        <v>35642.287042576063</v>
      </c>
      <c r="H331">
        <f t="shared" si="22"/>
        <v>32542.107116039464</v>
      </c>
      <c r="I331" t="b">
        <f t="shared" si="23"/>
        <v>0</v>
      </c>
    </row>
    <row r="332" spans="1:9">
      <c r="A332" s="1">
        <v>45975.852777777778</v>
      </c>
      <c r="B332" s="5">
        <f>_xlfn.XLOOKUP(A332,Banks!A:A,Banks!H:H,0,-1)</f>
        <v>1748.8229048608171</v>
      </c>
      <c r="C332">
        <f>_xlfn.XLOOKUP(A332,Energy!A:A,Energy!H:H,0,-1)</f>
        <v>1356.475738701371</v>
      </c>
      <c r="D332">
        <f t="shared" si="20"/>
        <v>3105.2986435621879</v>
      </c>
      <c r="E332">
        <f>_xlfn.XLOOKUP(A332,Banks!A:A,Banks!I:I,0)</f>
        <v>35648.849833073269</v>
      </c>
      <c r="F332">
        <f>_xlfn.XLOOKUP(A332,Energy!A:A,Energy!I:I,0)</f>
        <v>0</v>
      </c>
      <c r="G332">
        <f t="shared" si="21"/>
        <v>35648.849833073269</v>
      </c>
      <c r="H332">
        <f t="shared" si="22"/>
        <v>32543.551189511083</v>
      </c>
      <c r="I332" t="b">
        <f t="shared" si="23"/>
        <v>0</v>
      </c>
    </row>
    <row r="333" spans="1:9">
      <c r="A333" s="1">
        <v>45975.853472222218</v>
      </c>
      <c r="B333" s="5">
        <f>_xlfn.XLOOKUP(A333,Banks!A:A,Banks!H:H,0,-1)</f>
        <v>1729.856570104999</v>
      </c>
      <c r="C333">
        <f>_xlfn.XLOOKUP(A333,Energy!A:A,Energy!H:H,0,-1)</f>
        <v>1356.475738701371</v>
      </c>
      <c r="D333">
        <f t="shared" si="20"/>
        <v>3086.3323088063698</v>
      </c>
      <c r="E333">
        <f>_xlfn.XLOOKUP(A333,Banks!A:A,Banks!I:I,0)</f>
        <v>35645.056566122097</v>
      </c>
      <c r="F333">
        <f>_xlfn.XLOOKUP(A333,Energy!A:A,Energy!I:I,0)</f>
        <v>0</v>
      </c>
      <c r="G333">
        <f t="shared" si="21"/>
        <v>35645.056566122097</v>
      </c>
      <c r="H333">
        <f t="shared" si="22"/>
        <v>32558.724257315727</v>
      </c>
      <c r="I333" t="b">
        <f t="shared" si="23"/>
        <v>0</v>
      </c>
    </row>
    <row r="334" spans="1:9">
      <c r="A334" s="1">
        <v>45975.854166666657</v>
      </c>
      <c r="B334" s="5">
        <f>_xlfn.XLOOKUP(A334,Banks!A:A,Banks!H:H,0,-1)</f>
        <v>1709.633124227109</v>
      </c>
      <c r="C334">
        <f>_xlfn.XLOOKUP(A334,Energy!A:A,Energy!H:H,0,-1)</f>
        <v>1356.475738701371</v>
      </c>
      <c r="D334">
        <f t="shared" si="20"/>
        <v>3066.10886292848</v>
      </c>
      <c r="E334">
        <f>_xlfn.XLOOKUP(A334,Banks!A:A,Banks!I:I,0)</f>
        <v>35622.548386639559</v>
      </c>
      <c r="F334">
        <f>_xlfn.XLOOKUP(A334,Energy!A:A,Energy!I:I,0)</f>
        <v>0</v>
      </c>
      <c r="G334">
        <f t="shared" si="21"/>
        <v>35622.548386639559</v>
      </c>
      <c r="H334">
        <f t="shared" si="22"/>
        <v>32556.43952371108</v>
      </c>
      <c r="I334" t="b">
        <f t="shared" si="23"/>
        <v>0</v>
      </c>
    </row>
    <row r="335" spans="1:9">
      <c r="A335" s="1">
        <v>45975.854861111111</v>
      </c>
      <c r="B335" s="5">
        <f>_xlfn.XLOOKUP(A335,Banks!A:A,Banks!H:H,0,-1)</f>
        <v>1688.0609067381049</v>
      </c>
      <c r="C335">
        <f>_xlfn.XLOOKUP(A335,Energy!A:A,Energy!H:H,0,-1)</f>
        <v>1356.475738701371</v>
      </c>
      <c r="D335">
        <f t="shared" si="20"/>
        <v>3044.5366454394762</v>
      </c>
      <c r="E335">
        <f>_xlfn.XLOOKUP(A335,Banks!A:A,Banks!I:I,0)</f>
        <v>0</v>
      </c>
      <c r="F335">
        <f>_xlfn.XLOOKUP(A335,Energy!A:A,Energy!I:I,0)</f>
        <v>0</v>
      </c>
      <c r="G335">
        <f t="shared" si="21"/>
        <v>0</v>
      </c>
      <c r="H335">
        <f t="shared" si="22"/>
        <v>-3044.5366454394762</v>
      </c>
      <c r="I335" t="b">
        <f t="shared" si="23"/>
        <v>0</v>
      </c>
    </row>
    <row r="336" spans="1:9">
      <c r="A336" s="1">
        <v>45978.604166666657</v>
      </c>
      <c r="B336" s="5">
        <f>_xlfn.XLOOKUP(A336,Banks!A:A,Banks!H:H,0,-1)</f>
        <v>1688.0609067381049</v>
      </c>
      <c r="C336">
        <f>_xlfn.XLOOKUP(A336,Energy!A:A,Energy!H:H,0,-1)</f>
        <v>1356.475738701371</v>
      </c>
      <c r="D336">
        <f t="shared" si="20"/>
        <v>3044.5366454394762</v>
      </c>
      <c r="E336">
        <f>_xlfn.XLOOKUP(A336,Banks!A:A,Banks!I:I,0)</f>
        <v>0</v>
      </c>
      <c r="F336">
        <f>_xlfn.XLOOKUP(A336,Energy!A:A,Energy!I:I,0)</f>
        <v>34880.024416008928</v>
      </c>
      <c r="G336">
        <f t="shared" si="21"/>
        <v>34880.024416008928</v>
      </c>
      <c r="H336">
        <f t="shared" si="22"/>
        <v>31835.487770569453</v>
      </c>
      <c r="I336" t="b">
        <f t="shared" si="23"/>
        <v>0</v>
      </c>
    </row>
    <row r="337" spans="1:9">
      <c r="A337" s="1">
        <v>45978.604861111111</v>
      </c>
      <c r="B337" s="5">
        <f>_xlfn.XLOOKUP(A337,Banks!A:A,Banks!H:H,0,-1)</f>
        <v>1688.0609067381049</v>
      </c>
      <c r="C337">
        <f>_xlfn.XLOOKUP(A337,Energy!A:A,Energy!H:H,0,-1)</f>
        <v>1633.4755012289361</v>
      </c>
      <c r="D337">
        <f t="shared" si="20"/>
        <v>3321.5364079670408</v>
      </c>
      <c r="E337">
        <f>_xlfn.XLOOKUP(A337,Banks!A:A,Banks!I:I,0)</f>
        <v>0</v>
      </c>
      <c r="F337">
        <f>_xlfn.XLOOKUP(A337,Energy!A:A,Energy!I:I,0)</f>
        <v>34933.781528391228</v>
      </c>
      <c r="G337">
        <f t="shared" si="21"/>
        <v>34933.781528391228</v>
      </c>
      <c r="H337">
        <f t="shared" si="22"/>
        <v>31612.245120424188</v>
      </c>
      <c r="I337" t="b">
        <f t="shared" si="23"/>
        <v>0</v>
      </c>
    </row>
    <row r="338" spans="1:9">
      <c r="A338" s="1">
        <v>45978.605555555558</v>
      </c>
      <c r="B338" s="5">
        <f>_xlfn.XLOOKUP(A338,Banks!A:A,Banks!H:H,0,-1)</f>
        <v>1688.0609067381049</v>
      </c>
      <c r="C338">
        <f>_xlfn.XLOOKUP(A338,Energy!A:A,Energy!H:H,0,-1)</f>
        <v>805.22389417890656</v>
      </c>
      <c r="D338">
        <f t="shared" si="20"/>
        <v>2493.2848009170116</v>
      </c>
      <c r="E338">
        <f>_xlfn.XLOOKUP(A338,Banks!A:A,Banks!I:I,0)</f>
        <v>0</v>
      </c>
      <c r="F338">
        <f>_xlfn.XLOOKUP(A338,Energy!A:A,Energy!I:I,0)</f>
        <v>34676.953580142857</v>
      </c>
      <c r="G338">
        <f t="shared" si="21"/>
        <v>34676.953580142857</v>
      </c>
      <c r="H338">
        <f t="shared" si="22"/>
        <v>32183.668779225845</v>
      </c>
      <c r="I338" t="b">
        <f t="shared" si="23"/>
        <v>0</v>
      </c>
    </row>
    <row r="339" spans="1:9">
      <c r="A339" s="1">
        <v>45978.606249999997</v>
      </c>
      <c r="B339" s="5">
        <f>_xlfn.XLOOKUP(A339,Banks!A:A,Banks!H:H,0,-1)</f>
        <v>1688.0609067381049</v>
      </c>
      <c r="C339">
        <f>_xlfn.XLOOKUP(A339,Energy!A:A,Energy!H:H,0,-1)</f>
        <v>1435.45711206487</v>
      </c>
      <c r="D339">
        <f t="shared" si="20"/>
        <v>3123.5180188029749</v>
      </c>
      <c r="E339">
        <f>_xlfn.XLOOKUP(A339,Banks!A:A,Banks!I:I,0)</f>
        <v>0</v>
      </c>
      <c r="F339">
        <f>_xlfn.XLOOKUP(A339,Energy!A:A,Energy!I:I,0)</f>
        <v>34866.249568463783</v>
      </c>
      <c r="G339">
        <f t="shared" si="21"/>
        <v>34866.249568463783</v>
      </c>
      <c r="H339">
        <f t="shared" si="22"/>
        <v>31742.73154966081</v>
      </c>
      <c r="I339" t="b">
        <f t="shared" si="23"/>
        <v>0</v>
      </c>
    </row>
    <row r="340" spans="1:9">
      <c r="A340" s="1">
        <v>45978.606944444437</v>
      </c>
      <c r="B340" s="5">
        <f>_xlfn.XLOOKUP(A340,Banks!A:A,Banks!H:H,0,-1)</f>
        <v>1688.0609067381049</v>
      </c>
      <c r="C340">
        <f>_xlfn.XLOOKUP(A340,Energy!A:A,Energy!H:H,0,-1)</f>
        <v>1180.2088790036571</v>
      </c>
      <c r="D340">
        <f t="shared" si="20"/>
        <v>2868.269785741762</v>
      </c>
      <c r="E340">
        <f>_xlfn.XLOOKUP(A340,Banks!A:A,Banks!I:I,0)</f>
        <v>0</v>
      </c>
      <c r="F340">
        <f>_xlfn.XLOOKUP(A340,Energy!A:A,Energy!I:I,0)</f>
        <v>34880.913526780088</v>
      </c>
      <c r="G340">
        <f t="shared" si="21"/>
        <v>34880.913526780088</v>
      </c>
      <c r="H340">
        <f t="shared" si="22"/>
        <v>32012.643741038326</v>
      </c>
      <c r="I340" t="b">
        <f t="shared" si="23"/>
        <v>0</v>
      </c>
    </row>
    <row r="341" spans="1:9">
      <c r="A341" s="1">
        <v>45978.607638888891</v>
      </c>
      <c r="B341" s="5">
        <f>_xlfn.XLOOKUP(A341,Banks!A:A,Banks!H:H,0,-1)</f>
        <v>1688.0609067381049</v>
      </c>
      <c r="C341">
        <f>_xlfn.XLOOKUP(A341,Energy!A:A,Energy!H:H,0,-1)</f>
        <v>1276.226667562378</v>
      </c>
      <c r="D341">
        <f t="shared" si="20"/>
        <v>2964.2875743004829</v>
      </c>
      <c r="E341">
        <f>_xlfn.XLOOKUP(A341,Banks!A:A,Banks!I:I,0)</f>
        <v>0</v>
      </c>
      <c r="F341">
        <f>_xlfn.XLOOKUP(A341,Energy!A:A,Energy!I:I,0)</f>
        <v>34900.117084491838</v>
      </c>
      <c r="G341">
        <f t="shared" si="21"/>
        <v>34900.117084491838</v>
      </c>
      <c r="H341">
        <f t="shared" si="22"/>
        <v>31935.829510191354</v>
      </c>
      <c r="I341" t="b">
        <f t="shared" si="23"/>
        <v>0</v>
      </c>
    </row>
    <row r="342" spans="1:9">
      <c r="A342" s="1">
        <v>45978.60833333333</v>
      </c>
      <c r="B342" s="5">
        <f>_xlfn.XLOOKUP(A342,Banks!A:A,Banks!H:H,0,-1)</f>
        <v>1688.0609067381049</v>
      </c>
      <c r="C342">
        <f>_xlfn.XLOOKUP(A342,Energy!A:A,Energy!H:H,0,-1)</f>
        <v>1181.728913911367</v>
      </c>
      <c r="D342">
        <f t="shared" si="20"/>
        <v>2869.7898206494719</v>
      </c>
      <c r="E342">
        <f>_xlfn.XLOOKUP(A342,Banks!A:A,Banks!I:I,0)</f>
        <v>0</v>
      </c>
      <c r="F342">
        <f>_xlfn.XLOOKUP(A342,Energy!A:A,Energy!I:I,0)</f>
        <v>34971.573740538377</v>
      </c>
      <c r="G342">
        <f t="shared" si="21"/>
        <v>34971.573740538377</v>
      </c>
      <c r="H342">
        <f t="shared" si="22"/>
        <v>32101.783919888905</v>
      </c>
      <c r="I342" t="b">
        <f t="shared" si="23"/>
        <v>0</v>
      </c>
    </row>
    <row r="343" spans="1:9">
      <c r="A343" s="1">
        <v>45978.609027777777</v>
      </c>
      <c r="B343" s="5">
        <f>_xlfn.XLOOKUP(A343,Banks!A:A,Banks!H:H,0,-1)</f>
        <v>1688.0609067381049</v>
      </c>
      <c r="C343">
        <f>_xlfn.XLOOKUP(A343,Energy!A:A,Energy!H:H,0,-1)</f>
        <v>873.46127695968687</v>
      </c>
      <c r="D343">
        <f t="shared" si="20"/>
        <v>2561.5221836977917</v>
      </c>
      <c r="E343">
        <f>_xlfn.XLOOKUP(A343,Banks!A:A,Banks!I:I,0)</f>
        <v>0</v>
      </c>
      <c r="F343">
        <f>_xlfn.XLOOKUP(A343,Energy!A:A,Energy!I:I,0)</f>
        <v>34909.920213148063</v>
      </c>
      <c r="G343">
        <f t="shared" si="21"/>
        <v>34909.920213148063</v>
      </c>
      <c r="H343">
        <f t="shared" si="22"/>
        <v>32348.398029450273</v>
      </c>
      <c r="I343" t="b">
        <f t="shared" si="23"/>
        <v>0</v>
      </c>
    </row>
    <row r="344" spans="1:9">
      <c r="A344" s="1">
        <v>45978.609722222223</v>
      </c>
      <c r="B344" s="5">
        <f>_xlfn.XLOOKUP(A344,Banks!A:A,Banks!H:H,0,-1)</f>
        <v>1688.0609067381049</v>
      </c>
      <c r="C344">
        <f>_xlfn.XLOOKUP(A344,Energy!A:A,Energy!H:H,0,-1)</f>
        <v>653.03167451686215</v>
      </c>
      <c r="D344">
        <f t="shared" si="20"/>
        <v>2341.0925812549672</v>
      </c>
      <c r="E344">
        <f>_xlfn.XLOOKUP(A344,Banks!A:A,Banks!I:I,0)</f>
        <v>0</v>
      </c>
      <c r="F344">
        <f>_xlfn.XLOOKUP(A344,Energy!A:A,Energy!I:I,0)</f>
        <v>34816.549088963067</v>
      </c>
      <c r="G344">
        <f t="shared" si="21"/>
        <v>34816.549088963067</v>
      </c>
      <c r="H344">
        <f t="shared" si="22"/>
        <v>32475.456507708099</v>
      </c>
      <c r="I344" t="b">
        <f t="shared" si="23"/>
        <v>0</v>
      </c>
    </row>
    <row r="345" spans="1:9">
      <c r="A345" s="1">
        <v>45978.61041666667</v>
      </c>
      <c r="B345" s="5">
        <f>_xlfn.XLOOKUP(A345,Banks!A:A,Banks!H:H,0,-1)</f>
        <v>1688.0609067381049</v>
      </c>
      <c r="C345">
        <f>_xlfn.XLOOKUP(A345,Energy!A:A,Energy!H:H,0,-1)</f>
        <v>719.65730039003529</v>
      </c>
      <c r="D345">
        <f t="shared" si="20"/>
        <v>2407.7182071281404</v>
      </c>
      <c r="E345">
        <f>_xlfn.XLOOKUP(A345,Banks!A:A,Banks!I:I,0)</f>
        <v>0</v>
      </c>
      <c r="F345">
        <f>_xlfn.XLOOKUP(A345,Energy!A:A,Energy!I:I,0)</f>
        <v>34857.802496232347</v>
      </c>
      <c r="G345">
        <f t="shared" si="21"/>
        <v>34857.802496232347</v>
      </c>
      <c r="H345">
        <f t="shared" si="22"/>
        <v>32450.084289104205</v>
      </c>
      <c r="I345" t="b">
        <f t="shared" si="23"/>
        <v>0</v>
      </c>
    </row>
    <row r="346" spans="1:9">
      <c r="A346" s="1">
        <v>45978.611111111109</v>
      </c>
      <c r="B346" s="5">
        <f>_xlfn.XLOOKUP(A346,Banks!A:A,Banks!H:H,0,-1)</f>
        <v>1688.0609067381049</v>
      </c>
      <c r="C346">
        <f>_xlfn.XLOOKUP(A346,Energy!A:A,Energy!H:H,0,-1)</f>
        <v>898.31616378953618</v>
      </c>
      <c r="D346">
        <f t="shared" si="20"/>
        <v>2586.3770705276411</v>
      </c>
      <c r="E346">
        <f>_xlfn.XLOOKUP(A346,Banks!A:A,Banks!I:I,0)</f>
        <v>0</v>
      </c>
      <c r="F346">
        <f>_xlfn.XLOOKUP(A346,Energy!A:A,Energy!I:I,0)</f>
        <v>34822.070723552453</v>
      </c>
      <c r="G346">
        <f t="shared" si="21"/>
        <v>34822.070723552453</v>
      </c>
      <c r="H346">
        <f t="shared" si="22"/>
        <v>32235.693653024813</v>
      </c>
      <c r="I346" t="b">
        <f t="shared" si="23"/>
        <v>0</v>
      </c>
    </row>
    <row r="347" spans="1:9">
      <c r="A347" s="1">
        <v>45978.611805555563</v>
      </c>
      <c r="B347" s="5">
        <f>_xlfn.XLOOKUP(A347,Banks!A:A,Banks!H:H,0,-1)</f>
        <v>1688.0609067381049</v>
      </c>
      <c r="C347">
        <f>_xlfn.XLOOKUP(A347,Energy!A:A,Energy!H:H,0,-1)</f>
        <v>461.64716957027588</v>
      </c>
      <c r="D347">
        <f t="shared" si="20"/>
        <v>2149.7080763083809</v>
      </c>
      <c r="E347">
        <f>_xlfn.XLOOKUP(A347,Banks!A:A,Banks!I:I,0)</f>
        <v>0</v>
      </c>
      <c r="F347">
        <f>_xlfn.XLOOKUP(A347,Energy!A:A,Energy!I:I,0)</f>
        <v>34748.701065755908</v>
      </c>
      <c r="G347">
        <f t="shared" si="21"/>
        <v>34748.701065755908</v>
      </c>
      <c r="H347">
        <f t="shared" si="22"/>
        <v>32598.992989447528</v>
      </c>
      <c r="I347" t="b">
        <f t="shared" si="23"/>
        <v>0</v>
      </c>
    </row>
    <row r="348" spans="1:9">
      <c r="A348" s="1">
        <v>45978.612500000003</v>
      </c>
      <c r="B348" s="5">
        <f>_xlfn.XLOOKUP(A348,Banks!A:A,Banks!H:H,0,-1)</f>
        <v>1688.0609067381049</v>
      </c>
      <c r="C348">
        <f>_xlfn.XLOOKUP(A348,Energy!A:A,Energy!H:H,0,-1)</f>
        <v>686.88661434132075</v>
      </c>
      <c r="D348">
        <f t="shared" si="20"/>
        <v>2374.9475210794258</v>
      </c>
      <c r="E348">
        <f>_xlfn.XLOOKUP(A348,Banks!A:A,Banks!I:I,0)</f>
        <v>0</v>
      </c>
      <c r="F348">
        <f>_xlfn.XLOOKUP(A348,Energy!A:A,Energy!I:I,0)</f>
        <v>34732.963870151209</v>
      </c>
      <c r="G348">
        <f t="shared" si="21"/>
        <v>34732.963870151209</v>
      </c>
      <c r="H348">
        <f t="shared" si="22"/>
        <v>32358.016349071782</v>
      </c>
      <c r="I348" t="b">
        <f t="shared" si="23"/>
        <v>0</v>
      </c>
    </row>
    <row r="349" spans="1:9">
      <c r="A349" s="1">
        <v>45978.613194444442</v>
      </c>
      <c r="B349" s="5">
        <f>_xlfn.XLOOKUP(A349,Banks!A:A,Banks!H:H,0,-1)</f>
        <v>1688.0609067381049</v>
      </c>
      <c r="C349">
        <f>_xlfn.XLOOKUP(A349,Energy!A:A,Energy!H:H,0,-1)</f>
        <v>337.78308815839199</v>
      </c>
      <c r="D349">
        <f t="shared" si="20"/>
        <v>2025.843994896497</v>
      </c>
      <c r="E349">
        <f>_xlfn.XLOOKUP(A349,Banks!A:A,Banks!I:I,0)</f>
        <v>0</v>
      </c>
      <c r="F349">
        <f>_xlfn.XLOOKUP(A349,Energy!A:A,Energy!I:I,0)</f>
        <v>34802.784575387799</v>
      </c>
      <c r="G349">
        <f t="shared" si="21"/>
        <v>34802.784575387799</v>
      </c>
      <c r="H349">
        <f t="shared" si="22"/>
        <v>32776.940580491304</v>
      </c>
      <c r="I349" t="b">
        <f t="shared" si="23"/>
        <v>0</v>
      </c>
    </row>
    <row r="350" spans="1:9">
      <c r="A350" s="1">
        <v>45978.613888888889</v>
      </c>
      <c r="B350" s="5">
        <f>_xlfn.XLOOKUP(A350,Banks!A:A,Banks!H:H,0,-1)</f>
        <v>1688.0609067381049</v>
      </c>
      <c r="C350">
        <f>_xlfn.XLOOKUP(A350,Energy!A:A,Energy!H:H,0,-1)</f>
        <v>861.46120630021755</v>
      </c>
      <c r="D350">
        <f t="shared" si="20"/>
        <v>2549.5221130383225</v>
      </c>
      <c r="E350">
        <f>_xlfn.XLOOKUP(A350,Banks!A:A,Banks!I:I,0)</f>
        <v>0</v>
      </c>
      <c r="F350">
        <f>_xlfn.XLOOKUP(A350,Energy!A:A,Energy!I:I,0)</f>
        <v>34904.234518769743</v>
      </c>
      <c r="G350">
        <f t="shared" si="21"/>
        <v>34904.234518769743</v>
      </c>
      <c r="H350">
        <f t="shared" si="22"/>
        <v>32354.712405731421</v>
      </c>
      <c r="I350" t="b">
        <f t="shared" si="23"/>
        <v>0</v>
      </c>
    </row>
    <row r="351" spans="1:9">
      <c r="A351" s="1">
        <v>45978.614583333343</v>
      </c>
      <c r="B351" s="5">
        <f>_xlfn.XLOOKUP(A351,Banks!A:A,Banks!H:H,0,-1)</f>
        <v>1688.0609067381049</v>
      </c>
      <c r="C351">
        <f>_xlfn.XLOOKUP(A351,Energy!A:A,Energy!H:H,0,-1)</f>
        <v>844.39034453878776</v>
      </c>
      <c r="D351">
        <f t="shared" si="20"/>
        <v>2532.4512512768924</v>
      </c>
      <c r="E351">
        <f>_xlfn.XLOOKUP(A351,Banks!A:A,Banks!I:I,0)</f>
        <v>0</v>
      </c>
      <c r="F351">
        <f>_xlfn.XLOOKUP(A351,Energy!A:A,Energy!I:I,0)</f>
        <v>34923.820108142441</v>
      </c>
      <c r="G351">
        <f t="shared" si="21"/>
        <v>34923.820108142441</v>
      </c>
      <c r="H351">
        <f t="shared" si="22"/>
        <v>32391.368856865549</v>
      </c>
      <c r="I351" t="b">
        <f t="shared" si="23"/>
        <v>0</v>
      </c>
    </row>
    <row r="352" spans="1:9">
      <c r="A352" s="1">
        <v>45978.615277777782</v>
      </c>
      <c r="B352" s="5">
        <f>_xlfn.XLOOKUP(A352,Banks!A:A,Banks!H:H,0,-1)</f>
        <v>1688.0609067381049</v>
      </c>
      <c r="C352">
        <f>_xlfn.XLOOKUP(A352,Energy!A:A,Energy!H:H,0,-1)</f>
        <v>955.60328312037188</v>
      </c>
      <c r="D352">
        <f t="shared" si="20"/>
        <v>2643.6641898584767</v>
      </c>
      <c r="E352">
        <f>_xlfn.XLOOKUP(A352,Banks!A:A,Banks!I:I,0)</f>
        <v>0</v>
      </c>
      <c r="F352">
        <f>_xlfn.XLOOKUP(A352,Energy!A:A,Energy!I:I,0)</f>
        <v>34893.491811915919</v>
      </c>
      <c r="G352">
        <f t="shared" si="21"/>
        <v>34893.491811915919</v>
      </c>
      <c r="H352">
        <f t="shared" si="22"/>
        <v>32249.827622057441</v>
      </c>
      <c r="I352" t="b">
        <f t="shared" si="23"/>
        <v>0</v>
      </c>
    </row>
    <row r="353" spans="1:9">
      <c r="A353" s="1">
        <v>45978.615972222222</v>
      </c>
      <c r="B353" s="5">
        <f>_xlfn.XLOOKUP(A353,Banks!A:A,Banks!H:H,0,-1)</f>
        <v>1688.0609067381049</v>
      </c>
      <c r="C353">
        <f>_xlfn.XLOOKUP(A353,Energy!A:A,Energy!H:H,0,-1)</f>
        <v>848.81867511147914</v>
      </c>
      <c r="D353">
        <f t="shared" si="20"/>
        <v>2536.8795818495842</v>
      </c>
      <c r="E353">
        <f>_xlfn.XLOOKUP(A353,Banks!A:A,Banks!I:I,0)</f>
        <v>0</v>
      </c>
      <c r="F353">
        <f>_xlfn.XLOOKUP(A353,Energy!A:A,Energy!I:I,0)</f>
        <v>34914.848733517691</v>
      </c>
      <c r="G353">
        <f t="shared" si="21"/>
        <v>34914.848733517691</v>
      </c>
      <c r="H353">
        <f t="shared" si="22"/>
        <v>32377.969151668105</v>
      </c>
      <c r="I353" t="b">
        <f t="shared" si="23"/>
        <v>0</v>
      </c>
    </row>
    <row r="354" spans="1:9">
      <c r="A354" s="1">
        <v>45978.616666666669</v>
      </c>
      <c r="B354" s="5">
        <f>_xlfn.XLOOKUP(A354,Banks!A:A,Banks!H:H,0,-1)</f>
        <v>1688.0609067381049</v>
      </c>
      <c r="C354">
        <f>_xlfn.XLOOKUP(A354,Energy!A:A,Energy!H:H,0,-1)</f>
        <v>1182.855432186657</v>
      </c>
      <c r="D354">
        <f t="shared" si="20"/>
        <v>2870.9163389247619</v>
      </c>
      <c r="E354">
        <f>_xlfn.XLOOKUP(A354,Banks!A:A,Banks!I:I,0)</f>
        <v>0</v>
      </c>
      <c r="F354">
        <f>_xlfn.XLOOKUP(A354,Energy!A:A,Energy!I:I,0)</f>
        <v>0</v>
      </c>
      <c r="G354">
        <f t="shared" si="21"/>
        <v>0</v>
      </c>
      <c r="H354">
        <f t="shared" si="22"/>
        <v>-2870.9163389247619</v>
      </c>
      <c r="I354" t="b">
        <f t="shared" si="23"/>
        <v>0</v>
      </c>
    </row>
    <row r="355" spans="1:9">
      <c r="A355" s="1">
        <v>45978.755555555559</v>
      </c>
      <c r="B355" s="5">
        <f>_xlfn.XLOOKUP(A355,Banks!A:A,Banks!H:H,0,-1)</f>
        <v>1688.0609067381049</v>
      </c>
      <c r="C355">
        <f>_xlfn.XLOOKUP(A355,Energy!A:A,Energy!H:H,0,-1)</f>
        <v>1182.855432186657</v>
      </c>
      <c r="D355">
        <f t="shared" si="20"/>
        <v>2870.9163389247619</v>
      </c>
      <c r="E355">
        <f>_xlfn.XLOOKUP(A355,Banks!A:A,Banks!I:I,0)</f>
        <v>35717.046123811859</v>
      </c>
      <c r="F355">
        <f>_xlfn.XLOOKUP(A355,Energy!A:A,Energy!I:I,0)</f>
        <v>0</v>
      </c>
      <c r="G355">
        <f t="shared" si="21"/>
        <v>35717.046123811859</v>
      </c>
      <c r="H355">
        <f t="shared" si="22"/>
        <v>32846.129784887096</v>
      </c>
      <c r="I355" t="b">
        <f t="shared" si="23"/>
        <v>0</v>
      </c>
    </row>
    <row r="356" spans="1:9">
      <c r="A356" s="1">
        <v>45978.756249999999</v>
      </c>
      <c r="B356" s="5">
        <f>_xlfn.XLOOKUP(A356,Banks!A:A,Banks!H:H,0,-1)</f>
        <v>1780.992978318759</v>
      </c>
      <c r="C356">
        <f>_xlfn.XLOOKUP(A356,Energy!A:A,Energy!H:H,0,-1)</f>
        <v>1182.855432186657</v>
      </c>
      <c r="D356">
        <f t="shared" si="20"/>
        <v>2963.8484105054158</v>
      </c>
      <c r="E356">
        <f>_xlfn.XLOOKUP(A356,Banks!A:A,Banks!I:I,0)</f>
        <v>35694.620200952821</v>
      </c>
      <c r="F356">
        <f>_xlfn.XLOOKUP(A356,Energy!A:A,Energy!I:I,0)</f>
        <v>0</v>
      </c>
      <c r="G356">
        <f t="shared" si="21"/>
        <v>35694.620200952821</v>
      </c>
      <c r="H356">
        <f t="shared" si="22"/>
        <v>32730.771790447405</v>
      </c>
      <c r="I356" t="b">
        <f t="shared" si="23"/>
        <v>0</v>
      </c>
    </row>
    <row r="357" spans="1:9">
      <c r="A357" s="1">
        <v>45978.756944444453</v>
      </c>
      <c r="B357" s="5">
        <f>_xlfn.XLOOKUP(A357,Banks!A:A,Banks!H:H,0,-1)</f>
        <v>1794.2029629393071</v>
      </c>
      <c r="C357">
        <f>_xlfn.XLOOKUP(A357,Energy!A:A,Energy!H:H,0,-1)</f>
        <v>1182.855432186657</v>
      </c>
      <c r="D357">
        <f t="shared" si="20"/>
        <v>2977.0583951259641</v>
      </c>
      <c r="E357">
        <f>_xlfn.XLOOKUP(A357,Banks!A:A,Banks!I:I,0)</f>
        <v>35745.731323629399</v>
      </c>
      <c r="F357">
        <f>_xlfn.XLOOKUP(A357,Energy!A:A,Energy!I:I,0)</f>
        <v>0</v>
      </c>
      <c r="G357">
        <f t="shared" si="21"/>
        <v>35745.731323629399</v>
      </c>
      <c r="H357">
        <f t="shared" si="22"/>
        <v>32768.672928503438</v>
      </c>
      <c r="I357" t="b">
        <f t="shared" si="23"/>
        <v>0</v>
      </c>
    </row>
    <row r="358" spans="1:9">
      <c r="A358" s="1">
        <v>45978.757638888892</v>
      </c>
      <c r="B358" s="5">
        <f>_xlfn.XLOOKUP(A358,Banks!A:A,Banks!H:H,0,-1)</f>
        <v>1745.097963610418</v>
      </c>
      <c r="C358">
        <f>_xlfn.XLOOKUP(A358,Energy!A:A,Energy!H:H,0,-1)</f>
        <v>1182.855432186657</v>
      </c>
      <c r="D358">
        <f t="shared" si="20"/>
        <v>2927.9533957970752</v>
      </c>
      <c r="E358">
        <f>_xlfn.XLOOKUP(A358,Banks!A:A,Banks!I:I,0)</f>
        <v>35720.996746609017</v>
      </c>
      <c r="F358">
        <f>_xlfn.XLOOKUP(A358,Energy!A:A,Energy!I:I,0)</f>
        <v>0</v>
      </c>
      <c r="G358">
        <f t="shared" si="21"/>
        <v>35720.996746609017</v>
      </c>
      <c r="H358">
        <f t="shared" si="22"/>
        <v>32793.043350811939</v>
      </c>
      <c r="I358" t="b">
        <f t="shared" si="23"/>
        <v>0</v>
      </c>
    </row>
    <row r="359" spans="1:9">
      <c r="A359" s="1">
        <v>45978.758333333331</v>
      </c>
      <c r="B359" s="5">
        <f>_xlfn.XLOOKUP(A359,Banks!A:A,Banks!H:H,0,-1)</f>
        <v>1688.0609067381049</v>
      </c>
      <c r="C359">
        <f>_xlfn.XLOOKUP(A359,Energy!A:A,Energy!H:H,0,-1)</f>
        <v>1182.855432186657</v>
      </c>
      <c r="D359">
        <f t="shared" si="20"/>
        <v>2870.9163389247619</v>
      </c>
      <c r="E359">
        <f>_xlfn.XLOOKUP(A359,Banks!A:A,Banks!I:I,0)</f>
        <v>35717.046123811859</v>
      </c>
      <c r="F359">
        <f>_xlfn.XLOOKUP(A359,Energy!A:A,Energy!I:I,0)</f>
        <v>0</v>
      </c>
      <c r="G359">
        <f t="shared" si="21"/>
        <v>35717.046123811859</v>
      </c>
      <c r="H359">
        <f t="shared" si="22"/>
        <v>32846.129784887096</v>
      </c>
      <c r="I359" t="b">
        <f t="shared" si="23"/>
        <v>0</v>
      </c>
    </row>
    <row r="360" spans="1:9">
      <c r="A360" s="1">
        <v>45978.759027777778</v>
      </c>
      <c r="B360" s="5">
        <f>_xlfn.XLOOKUP(A360,Banks!A:A,Banks!H:H,0,-1)</f>
        <v>1735.7769778887971</v>
      </c>
      <c r="C360">
        <f>_xlfn.XLOOKUP(A360,Energy!A:A,Energy!H:H,0,-1)</f>
        <v>1182.855432186657</v>
      </c>
      <c r="D360">
        <f t="shared" si="20"/>
        <v>2918.6324100754541</v>
      </c>
      <c r="E360">
        <f>_xlfn.XLOOKUP(A360,Banks!A:A,Banks!I:I,0)</f>
        <v>35722.860943753352</v>
      </c>
      <c r="F360">
        <f>_xlfn.XLOOKUP(A360,Energy!A:A,Energy!I:I,0)</f>
        <v>0</v>
      </c>
      <c r="G360">
        <f t="shared" si="21"/>
        <v>35722.860943753352</v>
      </c>
      <c r="H360">
        <f t="shared" si="22"/>
        <v>32804.228533677895</v>
      </c>
      <c r="I360" t="b">
        <f t="shared" si="23"/>
        <v>0</v>
      </c>
    </row>
    <row r="361" spans="1:9">
      <c r="A361" s="1">
        <v>45978.759722222218</v>
      </c>
      <c r="B361" s="5">
        <f>_xlfn.XLOOKUP(A361,Banks!A:A,Banks!H:H,0,-1)</f>
        <v>1754.974520603326</v>
      </c>
      <c r="C361">
        <f>_xlfn.XLOOKUP(A361,Energy!A:A,Energy!H:H,0,-1)</f>
        <v>1182.855432186657</v>
      </c>
      <c r="D361">
        <f t="shared" si="20"/>
        <v>2937.8299527899831</v>
      </c>
      <c r="E361">
        <f>_xlfn.XLOOKUP(A361,Banks!A:A,Banks!I:I,0)</f>
        <v>35726.700452296252</v>
      </c>
      <c r="F361">
        <f>_xlfn.XLOOKUP(A361,Energy!A:A,Energy!I:I,0)</f>
        <v>0</v>
      </c>
      <c r="G361">
        <f t="shared" si="21"/>
        <v>35726.700452296252</v>
      </c>
      <c r="H361">
        <f t="shared" si="22"/>
        <v>32788.870499506273</v>
      </c>
      <c r="I361" t="b">
        <f t="shared" si="23"/>
        <v>0</v>
      </c>
    </row>
    <row r="362" spans="1:9">
      <c r="A362" s="1">
        <v>45978.760416666657</v>
      </c>
      <c r="B362" s="5">
        <f>_xlfn.XLOOKUP(A362,Banks!A:A,Banks!H:H,0,-1)</f>
        <v>1705.591735638814</v>
      </c>
      <c r="C362">
        <f>_xlfn.XLOOKUP(A362,Energy!A:A,Energy!H:H,0,-1)</f>
        <v>1182.855432186657</v>
      </c>
      <c r="D362">
        <f t="shared" si="20"/>
        <v>2888.4471678254713</v>
      </c>
      <c r="E362">
        <f>_xlfn.XLOOKUP(A362,Banks!A:A,Banks!I:I,0)</f>
        <v>35698.181923860087</v>
      </c>
      <c r="F362">
        <f>_xlfn.XLOOKUP(A362,Energy!A:A,Energy!I:I,0)</f>
        <v>0</v>
      </c>
      <c r="G362">
        <f t="shared" si="21"/>
        <v>35698.181923860087</v>
      </c>
      <c r="H362">
        <f t="shared" si="22"/>
        <v>32809.734756034617</v>
      </c>
      <c r="I362" t="b">
        <f t="shared" si="23"/>
        <v>0</v>
      </c>
    </row>
    <row r="363" spans="1:9">
      <c r="A363" s="1">
        <v>45978.761111111111</v>
      </c>
      <c r="B363" s="5">
        <f>_xlfn.XLOOKUP(A363,Banks!A:A,Banks!H:H,0,-1)</f>
        <v>1659.5423783019421</v>
      </c>
      <c r="C363">
        <f>_xlfn.XLOOKUP(A363,Energy!A:A,Energy!H:H,0,-1)</f>
        <v>1182.855432186657</v>
      </c>
      <c r="D363">
        <f t="shared" si="20"/>
        <v>2842.3978104885991</v>
      </c>
      <c r="E363">
        <f>_xlfn.XLOOKUP(A363,Banks!A:A,Banks!I:I,0)</f>
        <v>35715.070812413273</v>
      </c>
      <c r="F363">
        <f>_xlfn.XLOOKUP(A363,Energy!A:A,Energy!I:I,0)</f>
        <v>0</v>
      </c>
      <c r="G363">
        <f t="shared" si="21"/>
        <v>35715.070812413273</v>
      </c>
      <c r="H363">
        <f t="shared" si="22"/>
        <v>32872.673001924675</v>
      </c>
      <c r="I363" t="b">
        <f t="shared" si="23"/>
        <v>0</v>
      </c>
    </row>
    <row r="364" spans="1:9">
      <c r="A364" s="1">
        <v>45978.761805555558</v>
      </c>
      <c r="B364" s="5">
        <f>_xlfn.XLOOKUP(A364,Banks!A:A,Banks!H:H,0,-1)</f>
        <v>1650.776963851594</v>
      </c>
      <c r="C364">
        <f>_xlfn.XLOOKUP(A364,Energy!A:A,Energy!H:H,0,-1)</f>
        <v>1182.855432186657</v>
      </c>
      <c r="D364">
        <f t="shared" si="20"/>
        <v>2833.632396038251</v>
      </c>
      <c r="E364">
        <f>_xlfn.XLOOKUP(A364,Banks!A:A,Banks!I:I,0)</f>
        <v>35724.502912389173</v>
      </c>
      <c r="F364">
        <f>_xlfn.XLOOKUP(A364,Energy!A:A,Energy!I:I,0)</f>
        <v>0</v>
      </c>
      <c r="G364">
        <f t="shared" si="21"/>
        <v>35724.502912389173</v>
      </c>
      <c r="H364">
        <f t="shared" si="22"/>
        <v>32890.870516350922</v>
      </c>
      <c r="I364" t="b">
        <f t="shared" si="23"/>
        <v>0</v>
      </c>
    </row>
    <row r="365" spans="1:9">
      <c r="A365" s="1">
        <v>45978.762499999997</v>
      </c>
      <c r="B365" s="5">
        <f>_xlfn.XLOOKUP(A365,Banks!A:A,Banks!H:H,0,-1)</f>
        <v>1658.431235759396</v>
      </c>
      <c r="C365">
        <f>_xlfn.XLOOKUP(A365,Energy!A:A,Energy!H:H,0,-1)</f>
        <v>1182.855432186657</v>
      </c>
      <c r="D365">
        <f t="shared" si="20"/>
        <v>2841.2866679460531</v>
      </c>
      <c r="E365">
        <f>_xlfn.XLOOKUP(A365,Banks!A:A,Banks!I:I,0)</f>
        <v>35699.935006750158</v>
      </c>
      <c r="F365">
        <f>_xlfn.XLOOKUP(A365,Energy!A:A,Energy!I:I,0)</f>
        <v>0</v>
      </c>
      <c r="G365">
        <f t="shared" si="21"/>
        <v>35699.935006750158</v>
      </c>
      <c r="H365">
        <f t="shared" si="22"/>
        <v>32858.648338804109</v>
      </c>
      <c r="I365" t="b">
        <f t="shared" si="23"/>
        <v>0</v>
      </c>
    </row>
    <row r="366" spans="1:9">
      <c r="A366" s="1">
        <v>45978.763194444437</v>
      </c>
      <c r="B366" s="5">
        <f>_xlfn.XLOOKUP(A366,Banks!A:A,Banks!H:H,0,-1)</f>
        <v>1639.7892643161399</v>
      </c>
      <c r="C366">
        <f>_xlfn.XLOOKUP(A366,Energy!A:A,Energy!H:H,0,-1)</f>
        <v>1182.855432186657</v>
      </c>
      <c r="D366">
        <f t="shared" si="20"/>
        <v>2822.6446965027972</v>
      </c>
      <c r="E366">
        <f>_xlfn.XLOOKUP(A366,Banks!A:A,Banks!I:I,0)</f>
        <v>35703.663401038808</v>
      </c>
      <c r="F366">
        <f>_xlfn.XLOOKUP(A366,Energy!A:A,Energy!I:I,0)</f>
        <v>0</v>
      </c>
      <c r="G366">
        <f t="shared" si="21"/>
        <v>35703.663401038808</v>
      </c>
      <c r="H366">
        <f t="shared" si="22"/>
        <v>32881.018704536007</v>
      </c>
      <c r="I366" t="b">
        <f t="shared" si="23"/>
        <v>0</v>
      </c>
    </row>
    <row r="367" spans="1:9">
      <c r="A367" s="1">
        <v>45978.763888888891</v>
      </c>
      <c r="B367" s="5">
        <f>_xlfn.XLOOKUP(A367,Banks!A:A,Banks!H:H,0,-1)</f>
        <v>1696.826321188453</v>
      </c>
      <c r="C367">
        <f>_xlfn.XLOOKUP(A367,Energy!A:A,Energy!H:H,0,-1)</f>
        <v>1182.855432186657</v>
      </c>
      <c r="D367">
        <f t="shared" si="20"/>
        <v>2879.68175337511</v>
      </c>
      <c r="E367">
        <f>_xlfn.XLOOKUP(A367,Banks!A:A,Banks!I:I,0)</f>
        <v>35707.614023835973</v>
      </c>
      <c r="F367">
        <f>_xlfn.XLOOKUP(A367,Energy!A:A,Energy!I:I,0)</f>
        <v>0</v>
      </c>
      <c r="G367">
        <f t="shared" si="21"/>
        <v>35707.614023835973</v>
      </c>
      <c r="H367">
        <f t="shared" si="22"/>
        <v>32827.932270460864</v>
      </c>
      <c r="I367" t="b">
        <f t="shared" si="23"/>
        <v>0</v>
      </c>
    </row>
    <row r="368" spans="1:9">
      <c r="A368" s="1">
        <v>45978.76458333333</v>
      </c>
      <c r="B368" s="5">
        <f>_xlfn.XLOOKUP(A368,Banks!A:A,Banks!H:H,0,-1)</f>
        <v>1706.702878181361</v>
      </c>
      <c r="C368">
        <f>_xlfn.XLOOKUP(A368,Energy!A:A,Energy!H:H,0,-1)</f>
        <v>1182.855432186657</v>
      </c>
      <c r="D368">
        <f t="shared" si="20"/>
        <v>2889.5583103680183</v>
      </c>
      <c r="E368">
        <f>_xlfn.XLOOKUP(A368,Banks!A:A,Banks!I:I,0)</f>
        <v>35713.317729523209</v>
      </c>
      <c r="F368">
        <f>_xlfn.XLOOKUP(A368,Energy!A:A,Energy!I:I,0)</f>
        <v>0</v>
      </c>
      <c r="G368">
        <f t="shared" si="21"/>
        <v>35713.317729523209</v>
      </c>
      <c r="H368">
        <f t="shared" si="22"/>
        <v>32823.759419155191</v>
      </c>
      <c r="I368" t="b">
        <f t="shared" si="23"/>
        <v>0</v>
      </c>
    </row>
    <row r="369" spans="1:9">
      <c r="A369" s="1">
        <v>45978.765277777777</v>
      </c>
      <c r="B369" s="5">
        <f>_xlfn.XLOOKUP(A369,Banks!A:A,Banks!H:H,0,-1)</f>
        <v>1725.3448496246299</v>
      </c>
      <c r="C369">
        <f>_xlfn.XLOOKUP(A369,Energy!A:A,Energy!H:H,0,-1)</f>
        <v>1182.855432186657</v>
      </c>
      <c r="D369">
        <f t="shared" si="20"/>
        <v>2908.2002818112869</v>
      </c>
      <c r="E369">
        <f>_xlfn.XLOOKUP(A369,Banks!A:A,Banks!I:I,0)</f>
        <v>35709.589335234559</v>
      </c>
      <c r="F369">
        <f>_xlfn.XLOOKUP(A369,Energy!A:A,Energy!I:I,0)</f>
        <v>0</v>
      </c>
      <c r="G369">
        <f t="shared" si="21"/>
        <v>35709.589335234559</v>
      </c>
      <c r="H369">
        <f t="shared" si="22"/>
        <v>32801.389053423271</v>
      </c>
      <c r="I369" t="b">
        <f t="shared" si="23"/>
        <v>0</v>
      </c>
    </row>
    <row r="370" spans="1:9">
      <c r="A370" s="1">
        <v>45978.765972222223</v>
      </c>
      <c r="B370" s="5">
        <f>_xlfn.XLOOKUP(A370,Banks!A:A,Banks!H:H,0,-1)</f>
        <v>1723.6781358108101</v>
      </c>
      <c r="C370">
        <f>_xlfn.XLOOKUP(A370,Energy!A:A,Energy!H:H,0,-1)</f>
        <v>1182.855432186657</v>
      </c>
      <c r="D370">
        <f t="shared" si="20"/>
        <v>2906.5335679974669</v>
      </c>
      <c r="E370">
        <f>_xlfn.XLOOKUP(A370,Banks!A:A,Banks!I:I,0)</f>
        <v>35686.885626739873</v>
      </c>
      <c r="F370">
        <f>_xlfn.XLOOKUP(A370,Energy!A:A,Energy!I:I,0)</f>
        <v>0</v>
      </c>
      <c r="G370">
        <f t="shared" si="21"/>
        <v>35686.885626739873</v>
      </c>
      <c r="H370">
        <f t="shared" si="22"/>
        <v>32780.352058742406</v>
      </c>
      <c r="I370" t="b">
        <f t="shared" si="23"/>
        <v>0</v>
      </c>
    </row>
    <row r="371" spans="1:9">
      <c r="A371" s="1">
        <v>45978.76666666667</v>
      </c>
      <c r="B371" s="5">
        <f>_xlfn.XLOOKUP(A371,Banks!A:A,Banks!H:H,0,-1)</f>
        <v>1723.4003501751599</v>
      </c>
      <c r="C371">
        <f>_xlfn.XLOOKUP(A371,Energy!A:A,Energy!H:H,0,-1)</f>
        <v>1182.855432186657</v>
      </c>
      <c r="D371">
        <f t="shared" si="20"/>
        <v>2906.2557823618172</v>
      </c>
      <c r="E371">
        <f>_xlfn.XLOOKUP(A371,Banks!A:A,Banks!I:I,0)</f>
        <v>35683.101675324098</v>
      </c>
      <c r="F371">
        <f>_xlfn.XLOOKUP(A371,Energy!A:A,Energy!I:I,0)</f>
        <v>0</v>
      </c>
      <c r="G371">
        <f t="shared" si="21"/>
        <v>35683.101675324098</v>
      </c>
      <c r="H371">
        <f t="shared" si="22"/>
        <v>32776.845892962279</v>
      </c>
      <c r="I371" t="b">
        <f t="shared" si="23"/>
        <v>0</v>
      </c>
    </row>
    <row r="372" spans="1:9">
      <c r="A372" s="1">
        <v>45978.767361111109</v>
      </c>
      <c r="B372" s="5">
        <f>_xlfn.XLOOKUP(A372,Banks!A:A,Banks!H:H,0,-1)</f>
        <v>1676.7220088401091</v>
      </c>
      <c r="C372">
        <f>_xlfn.XLOOKUP(A372,Energy!A:A,Energy!H:H,0,-1)</f>
        <v>1182.855432186657</v>
      </c>
      <c r="D372">
        <f t="shared" si="20"/>
        <v>2859.5774410267659</v>
      </c>
      <c r="E372">
        <f>_xlfn.XLOOKUP(A372,Banks!A:A,Banks!I:I,0)</f>
        <v>0</v>
      </c>
      <c r="F372">
        <f>_xlfn.XLOOKUP(A372,Energy!A:A,Energy!I:I,0)</f>
        <v>0</v>
      </c>
      <c r="G372">
        <f t="shared" si="21"/>
        <v>0</v>
      </c>
      <c r="H372">
        <f t="shared" si="22"/>
        <v>-2859.5774410267659</v>
      </c>
      <c r="I372" t="b">
        <f t="shared" si="23"/>
        <v>0</v>
      </c>
    </row>
    <row r="373" spans="1:9">
      <c r="A373" s="1">
        <v>45979.605555555558</v>
      </c>
      <c r="B373" s="5">
        <f>_xlfn.XLOOKUP(A373,Banks!A:A,Banks!H:H,0,-1)</f>
        <v>1676.7220088401091</v>
      </c>
      <c r="C373">
        <f>_xlfn.XLOOKUP(A373,Energy!A:A,Energy!H:H,0,-1)</f>
        <v>1182.855432186657</v>
      </c>
      <c r="D373">
        <f t="shared" si="20"/>
        <v>2859.5774410267659</v>
      </c>
      <c r="E373">
        <f>_xlfn.XLOOKUP(A373,Banks!A:A,Banks!I:I,0)</f>
        <v>0</v>
      </c>
      <c r="F373">
        <f>_xlfn.XLOOKUP(A373,Energy!A:A,Energy!I:I,0)</f>
        <v>34880.024416008928</v>
      </c>
      <c r="G373">
        <f t="shared" si="21"/>
        <v>34880.024416008928</v>
      </c>
      <c r="H373">
        <f t="shared" si="22"/>
        <v>32020.446974982162</v>
      </c>
      <c r="I373" t="b">
        <f t="shared" si="23"/>
        <v>0</v>
      </c>
    </row>
    <row r="374" spans="1:9">
      <c r="A374" s="1">
        <v>45979.606249999997</v>
      </c>
      <c r="B374" s="5">
        <f>_xlfn.XLOOKUP(A374,Banks!A:A,Banks!H:H,0,-1)</f>
        <v>1676.7220088401091</v>
      </c>
      <c r="C374">
        <f>_xlfn.XLOOKUP(A374,Energy!A:A,Energy!H:H,0,-1)</f>
        <v>1182.855432186657</v>
      </c>
      <c r="D374">
        <f t="shared" si="20"/>
        <v>2859.5774410267659</v>
      </c>
      <c r="E374">
        <f>_xlfn.XLOOKUP(A374,Banks!A:A,Banks!I:I,0)</f>
        <v>0</v>
      </c>
      <c r="F374">
        <f>_xlfn.XLOOKUP(A374,Energy!A:A,Energy!I:I,0)</f>
        <v>34880.024416008928</v>
      </c>
      <c r="G374">
        <f t="shared" si="21"/>
        <v>34880.024416008928</v>
      </c>
      <c r="H374">
        <f t="shared" si="22"/>
        <v>32020.446974982162</v>
      </c>
      <c r="I374" t="b">
        <f t="shared" si="23"/>
        <v>0</v>
      </c>
    </row>
    <row r="375" spans="1:9">
      <c r="A375" s="1">
        <v>45979.606944444437</v>
      </c>
      <c r="B375" s="5">
        <f>_xlfn.XLOOKUP(A375,Banks!A:A,Banks!H:H,0,-1)</f>
        <v>1676.7220088401091</v>
      </c>
      <c r="C375">
        <f>_xlfn.XLOOKUP(A375,Energy!A:A,Energy!H:H,0,-1)</f>
        <v>1528.9958200536789</v>
      </c>
      <c r="D375">
        <f t="shared" si="20"/>
        <v>3205.717828893788</v>
      </c>
      <c r="E375">
        <f>_xlfn.XLOOKUP(A375,Banks!A:A,Banks!I:I,0)</f>
        <v>0</v>
      </c>
      <c r="F375">
        <f>_xlfn.XLOOKUP(A375,Energy!A:A,Energy!I:I,0)</f>
        <v>0</v>
      </c>
      <c r="G375">
        <f t="shared" si="21"/>
        <v>0</v>
      </c>
      <c r="H375">
        <f t="shared" si="22"/>
        <v>-3205.717828893788</v>
      </c>
      <c r="I375" t="b">
        <f t="shared" si="23"/>
        <v>0</v>
      </c>
    </row>
    <row r="376" spans="1:9">
      <c r="A376" s="1">
        <v>45980.604861111111</v>
      </c>
      <c r="B376" s="5">
        <f>_xlfn.XLOOKUP(A376,Banks!A:A,Banks!H:H,0,-1)</f>
        <v>1676.7220088401091</v>
      </c>
      <c r="C376">
        <f>_xlfn.XLOOKUP(A376,Energy!A:A,Energy!H:H,0,-1)</f>
        <v>1528.9958200536789</v>
      </c>
      <c r="D376">
        <f t="shared" si="20"/>
        <v>3205.717828893788</v>
      </c>
      <c r="E376">
        <f>_xlfn.XLOOKUP(A376,Banks!A:A,Banks!I:I,0)</f>
        <v>35717.046123811859</v>
      </c>
      <c r="F376">
        <f>_xlfn.XLOOKUP(A376,Energy!A:A,Energy!I:I,0)</f>
        <v>34880.024416008928</v>
      </c>
      <c r="G376">
        <f t="shared" si="21"/>
        <v>70597.070539820794</v>
      </c>
      <c r="H376">
        <f t="shared" si="22"/>
        <v>67391.352710927007</v>
      </c>
      <c r="I376" t="b">
        <f t="shared" si="23"/>
        <v>1</v>
      </c>
    </row>
    <row r="377" spans="1:9">
      <c r="A377" s="1">
        <v>45980.605555555558</v>
      </c>
      <c r="B377" s="5">
        <f>_xlfn.XLOOKUP(A377,Banks!A:A,Banks!H:H,0,-1)</f>
        <v>1751.2947418431229</v>
      </c>
      <c r="C377">
        <f>_xlfn.XLOOKUP(A377,Energy!A:A,Energy!H:H,0,-1)</f>
        <v>1244.508156473267</v>
      </c>
      <c r="D377">
        <f t="shared" si="20"/>
        <v>2995.8028983163899</v>
      </c>
      <c r="E377">
        <f>_xlfn.XLOOKUP(A377,Banks!A:A,Banks!I:I,0)</f>
        <v>35670.362980325837</v>
      </c>
      <c r="F377">
        <f>_xlfn.XLOOKUP(A377,Energy!A:A,Energy!I:I,0)</f>
        <v>34823.126883292847</v>
      </c>
      <c r="G377">
        <f t="shared" si="21"/>
        <v>70493.489863618684</v>
      </c>
      <c r="H377">
        <f t="shared" si="22"/>
        <v>67497.686965302288</v>
      </c>
      <c r="I377" t="b">
        <f t="shared" si="23"/>
        <v>1</v>
      </c>
    </row>
    <row r="378" spans="1:9">
      <c r="A378" s="1">
        <v>45980.606249999997</v>
      </c>
      <c r="B378" s="5">
        <f>_xlfn.XLOOKUP(A378,Banks!A:A,Banks!H:H,0,-1)</f>
        <v>1415.837044730579</v>
      </c>
      <c r="C378">
        <f>_xlfn.XLOOKUP(A378,Energy!A:A,Energy!H:H,0,-1)</f>
        <v>1762.265440035078</v>
      </c>
      <c r="D378">
        <f t="shared" si="20"/>
        <v>3178.1024847656572</v>
      </c>
      <c r="E378">
        <f>_xlfn.XLOOKUP(A378,Banks!A:A,Banks!I:I,0)</f>
        <v>35718.767109815737</v>
      </c>
      <c r="F378">
        <f>_xlfn.XLOOKUP(A378,Energy!A:A,Energy!I:I,0)</f>
        <v>34868.543512237127</v>
      </c>
      <c r="G378">
        <f t="shared" si="21"/>
        <v>70587.310622052872</v>
      </c>
      <c r="H378">
        <f t="shared" si="22"/>
        <v>67409.20813728722</v>
      </c>
      <c r="I378" t="b">
        <f t="shared" si="23"/>
        <v>1</v>
      </c>
    </row>
    <row r="379" spans="1:9">
      <c r="A379" s="1">
        <v>45980.606944444437</v>
      </c>
      <c r="B379" s="5">
        <f>_xlfn.XLOOKUP(A379,Banks!A:A,Banks!H:H,0,-1)</f>
        <v>1643.634079965972</v>
      </c>
      <c r="C379">
        <f>_xlfn.XLOOKUP(A379,Energy!A:A,Energy!H:H,0,-1)</f>
        <v>1834.9339747451661</v>
      </c>
      <c r="D379">
        <f t="shared" si="20"/>
        <v>3478.5680547111378</v>
      </c>
      <c r="E379">
        <f>_xlfn.XLOOKUP(A379,Banks!A:A,Banks!I:I,0)</f>
        <v>35779.72593938448</v>
      </c>
      <c r="F379">
        <f>_xlfn.XLOOKUP(A379,Energy!A:A,Energy!I:I,0)</f>
        <v>34854.009805295107</v>
      </c>
      <c r="G379">
        <f t="shared" si="21"/>
        <v>70633.73574467958</v>
      </c>
      <c r="H379">
        <f t="shared" si="22"/>
        <v>67155.167689968439</v>
      </c>
      <c r="I379" t="b">
        <f t="shared" si="23"/>
        <v>1</v>
      </c>
    </row>
    <row r="380" spans="1:9">
      <c r="A380" s="1">
        <v>45980.607638888891</v>
      </c>
      <c r="B380" s="5">
        <f>_xlfn.XLOOKUP(A380,Banks!A:A,Banks!H:H,0,-1)</f>
        <v>1773.145306327842</v>
      </c>
      <c r="C380">
        <f>_xlfn.XLOOKUP(A380,Energy!A:A,Energy!H:H,0,-1)</f>
        <v>2014.936791256664</v>
      </c>
      <c r="D380">
        <f t="shared" si="20"/>
        <v>3788.0820975845063</v>
      </c>
      <c r="E380">
        <f>_xlfn.XLOOKUP(A380,Banks!A:A,Banks!I:I,0)</f>
        <v>35759.429917091889</v>
      </c>
      <c r="F380">
        <f>_xlfn.XLOOKUP(A380,Energy!A:A,Energy!I:I,0)</f>
        <v>0</v>
      </c>
      <c r="G380">
        <f t="shared" si="21"/>
        <v>35759.429917091889</v>
      </c>
      <c r="H380">
        <f t="shared" si="22"/>
        <v>31971.347819507384</v>
      </c>
      <c r="I380" t="b">
        <f t="shared" si="23"/>
        <v>0</v>
      </c>
    </row>
    <row r="381" spans="1:9">
      <c r="A381" s="1">
        <v>45980.60833333333</v>
      </c>
      <c r="B381" s="5">
        <f>_xlfn.XLOOKUP(A381,Banks!A:A,Banks!H:H,0,-1)</f>
        <v>1676.8989155674869</v>
      </c>
      <c r="C381">
        <f>_xlfn.XLOOKUP(A381,Energy!A:A,Energy!H:H,0,-1)</f>
        <v>2014.936791256664</v>
      </c>
      <c r="D381">
        <f t="shared" si="20"/>
        <v>3691.8357068241512</v>
      </c>
      <c r="E381">
        <f>_xlfn.XLOOKUP(A381,Banks!A:A,Banks!I:I,0)</f>
        <v>35778.67919524396</v>
      </c>
      <c r="F381">
        <f>_xlfn.XLOOKUP(A381,Energy!A:A,Energy!I:I,0)</f>
        <v>0</v>
      </c>
      <c r="G381">
        <f t="shared" si="21"/>
        <v>35778.67919524396</v>
      </c>
      <c r="H381">
        <f t="shared" si="22"/>
        <v>32086.843488419807</v>
      </c>
      <c r="I381" t="b">
        <f t="shared" si="23"/>
        <v>0</v>
      </c>
    </row>
    <row r="382" spans="1:9">
      <c r="A382" s="1">
        <v>45980.609027777777</v>
      </c>
      <c r="B382" s="5">
        <f>_xlfn.XLOOKUP(A382,Banks!A:A,Banks!H:H,0,-1)</f>
        <v>1813.506374017777</v>
      </c>
      <c r="C382">
        <f>_xlfn.XLOOKUP(A382,Energy!A:A,Energy!H:H,0,-1)</f>
        <v>2014.936791256664</v>
      </c>
      <c r="D382">
        <f t="shared" si="20"/>
        <v>3828.4431652744411</v>
      </c>
      <c r="E382">
        <f>_xlfn.XLOOKUP(A382,Banks!A:A,Banks!I:I,0)</f>
        <v>35790.601264412348</v>
      </c>
      <c r="F382">
        <f>_xlfn.XLOOKUP(A382,Energy!A:A,Energy!I:I,0)</f>
        <v>0</v>
      </c>
      <c r="G382">
        <f t="shared" si="21"/>
        <v>35790.601264412348</v>
      </c>
      <c r="H382">
        <f t="shared" si="22"/>
        <v>31962.158099137905</v>
      </c>
      <c r="I382" t="b">
        <f t="shared" si="23"/>
        <v>0</v>
      </c>
    </row>
    <row r="383" spans="1:9">
      <c r="A383" s="1">
        <v>45980.609722222223</v>
      </c>
      <c r="B383" s="5">
        <f>_xlfn.XLOOKUP(A383,Banks!A:A,Banks!H:H,0,-1)</f>
        <v>1682.694504489587</v>
      </c>
      <c r="C383">
        <f>_xlfn.XLOOKUP(A383,Energy!A:A,Energy!H:H,0,-1)</f>
        <v>2014.936791256664</v>
      </c>
      <c r="D383">
        <f t="shared" si="20"/>
        <v>3697.631295746251</v>
      </c>
      <c r="E383">
        <f>_xlfn.XLOOKUP(A383,Banks!A:A,Banks!I:I,0)</f>
        <v>35764.438890506717</v>
      </c>
      <c r="F383">
        <f>_xlfn.XLOOKUP(A383,Energy!A:A,Energy!I:I,0)</f>
        <v>0</v>
      </c>
      <c r="G383">
        <f t="shared" si="21"/>
        <v>35764.438890506717</v>
      </c>
      <c r="H383">
        <f t="shared" si="22"/>
        <v>32066.807594760467</v>
      </c>
      <c r="I383" t="b">
        <f t="shared" si="23"/>
        <v>0</v>
      </c>
    </row>
    <row r="384" spans="1:9">
      <c r="A384" s="1">
        <v>45980.61041666667</v>
      </c>
      <c r="B384" s="5">
        <f>_xlfn.XLOOKUP(A384,Banks!A:A,Banks!H:H,0,-1)</f>
        <v>1693.619786731947</v>
      </c>
      <c r="C384">
        <f>_xlfn.XLOOKUP(A384,Energy!A:A,Energy!H:H,0,-1)</f>
        <v>2014.936791256664</v>
      </c>
      <c r="D384">
        <f t="shared" si="20"/>
        <v>3708.556577988611</v>
      </c>
      <c r="E384">
        <f>_xlfn.XLOOKUP(A384,Banks!A:A,Banks!I:I,0)</f>
        <v>35808.97235888974</v>
      </c>
      <c r="F384">
        <f>_xlfn.XLOOKUP(A384,Energy!A:A,Energy!I:I,0)</f>
        <v>0</v>
      </c>
      <c r="G384">
        <f t="shared" si="21"/>
        <v>35808.97235888974</v>
      </c>
      <c r="H384">
        <f t="shared" si="22"/>
        <v>32100.41578090113</v>
      </c>
      <c r="I384" t="b">
        <f t="shared" si="23"/>
        <v>0</v>
      </c>
    </row>
    <row r="385" spans="1:9">
      <c r="A385" s="1">
        <v>45980.611111111109</v>
      </c>
      <c r="B385" s="5">
        <f>_xlfn.XLOOKUP(A385,Banks!A:A,Banks!H:H,0,-1)</f>
        <v>1775.7465926604809</v>
      </c>
      <c r="C385">
        <f>_xlfn.XLOOKUP(A385,Energy!A:A,Energy!H:H,0,-1)</f>
        <v>2014.936791256664</v>
      </c>
      <c r="D385">
        <f t="shared" si="20"/>
        <v>3790.683383917145</v>
      </c>
      <c r="E385">
        <f>_xlfn.XLOOKUP(A385,Banks!A:A,Banks!I:I,0)</f>
        <v>35852.346709488353</v>
      </c>
      <c r="F385">
        <f>_xlfn.XLOOKUP(A385,Energy!A:A,Energy!I:I,0)</f>
        <v>0</v>
      </c>
      <c r="G385">
        <f t="shared" si="21"/>
        <v>35852.346709488353</v>
      </c>
      <c r="H385">
        <f t="shared" si="22"/>
        <v>32061.663325571208</v>
      </c>
      <c r="I385" t="b">
        <f t="shared" si="23"/>
        <v>0</v>
      </c>
    </row>
    <row r="386" spans="1:9">
      <c r="A386" s="1">
        <v>45980.611805555563</v>
      </c>
      <c r="B386" s="5">
        <f>_xlfn.XLOOKUP(A386,Banks!A:A,Banks!H:H,0,-1)</f>
        <v>1688.282038646973</v>
      </c>
      <c r="C386">
        <f>_xlfn.XLOOKUP(A386,Energy!A:A,Energy!H:H,0,-1)</f>
        <v>2014.936791256664</v>
      </c>
      <c r="D386">
        <f t="shared" si="20"/>
        <v>3703.218829903637</v>
      </c>
      <c r="E386">
        <f>_xlfn.XLOOKUP(A386,Banks!A:A,Banks!I:I,0)</f>
        <v>35881.05206625061</v>
      </c>
      <c r="F386">
        <f>_xlfn.XLOOKUP(A386,Energy!A:A,Energy!I:I,0)</f>
        <v>0</v>
      </c>
      <c r="G386">
        <f t="shared" si="21"/>
        <v>35881.05206625061</v>
      </c>
      <c r="H386">
        <f t="shared" si="22"/>
        <v>32177.833236346974</v>
      </c>
      <c r="I386" t="b">
        <f t="shared" si="23"/>
        <v>0</v>
      </c>
    </row>
    <row r="387" spans="1:9">
      <c r="A387" s="1">
        <v>45980.612500000003</v>
      </c>
      <c r="B387" s="5">
        <f>_xlfn.XLOOKUP(A387,Banks!A:A,Banks!H:H,0,-1)</f>
        <v>1764.155414816307</v>
      </c>
      <c r="C387">
        <f>_xlfn.XLOOKUP(A387,Energy!A:A,Energy!H:H,0,-1)</f>
        <v>2014.936791256664</v>
      </c>
      <c r="D387">
        <f t="shared" ref="D387:D450" si="24">B387+C387</f>
        <v>3779.0922060729708</v>
      </c>
      <c r="E387">
        <f>_xlfn.XLOOKUP(A387,Banks!A:A,Banks!I:I,0)</f>
        <v>35880.827318962831</v>
      </c>
      <c r="F387">
        <f>_xlfn.XLOOKUP(A387,Energy!A:A,Energy!I:I,0)</f>
        <v>0</v>
      </c>
      <c r="G387">
        <f t="shared" ref="G387:G450" si="25">F387+E387</f>
        <v>35880.827318962831</v>
      </c>
      <c r="H387">
        <f t="shared" ref="H387:H450" si="26">G387-D387</f>
        <v>32101.735112889859</v>
      </c>
      <c r="I387" t="b">
        <f t="shared" ref="I387:I450" si="27">AND(E387&gt;0,F387&gt;0)</f>
        <v>0</v>
      </c>
    </row>
    <row r="388" spans="1:9">
      <c r="A388" s="1">
        <v>45980.613194444442</v>
      </c>
      <c r="B388" s="5">
        <f>_xlfn.XLOOKUP(A388,Banks!A:A,Banks!H:H,0,-1)</f>
        <v>1613.251464806845</v>
      </c>
      <c r="C388">
        <f>_xlfn.XLOOKUP(A388,Energy!A:A,Energy!H:H,0,-1)</f>
        <v>2014.936791256664</v>
      </c>
      <c r="D388">
        <f t="shared" si="24"/>
        <v>3628.188256063509</v>
      </c>
      <c r="E388">
        <f>_xlfn.XLOOKUP(A388,Banks!A:A,Banks!I:I,0)</f>
        <v>35869.895807112996</v>
      </c>
      <c r="F388">
        <f>_xlfn.XLOOKUP(A388,Energy!A:A,Energy!I:I,0)</f>
        <v>0</v>
      </c>
      <c r="G388">
        <f t="shared" si="25"/>
        <v>35869.895807112996</v>
      </c>
      <c r="H388">
        <f t="shared" si="26"/>
        <v>32241.707551049487</v>
      </c>
      <c r="I388" t="b">
        <f t="shared" si="27"/>
        <v>0</v>
      </c>
    </row>
    <row r="389" spans="1:9">
      <c r="A389" s="1">
        <v>45980.613888888889</v>
      </c>
      <c r="B389" s="5">
        <f>_xlfn.XLOOKUP(A389,Banks!A:A,Banks!H:H,0,-1)</f>
        <v>1597.3733959715919</v>
      </c>
      <c r="C389">
        <f>_xlfn.XLOOKUP(A389,Energy!A:A,Energy!H:H,0,-1)</f>
        <v>2014.936791256664</v>
      </c>
      <c r="D389">
        <f t="shared" si="24"/>
        <v>3612.3101872282559</v>
      </c>
      <c r="E389">
        <f>_xlfn.XLOOKUP(A389,Banks!A:A,Banks!I:I,0)</f>
        <v>35828.22163704181</v>
      </c>
      <c r="F389">
        <f>_xlfn.XLOOKUP(A389,Energy!A:A,Energy!I:I,0)</f>
        <v>0</v>
      </c>
      <c r="G389">
        <f t="shared" si="25"/>
        <v>35828.22163704181</v>
      </c>
      <c r="H389">
        <f t="shared" si="26"/>
        <v>32215.911449813553</v>
      </c>
      <c r="I389" t="b">
        <f t="shared" si="27"/>
        <v>0</v>
      </c>
    </row>
    <row r="390" spans="1:9">
      <c r="A390" s="1">
        <v>45980.614583333343</v>
      </c>
      <c r="B390" s="5">
        <f>_xlfn.XLOOKUP(A390,Banks!A:A,Banks!H:H,0,-1)</f>
        <v>1653.1546916596669</v>
      </c>
      <c r="C390">
        <f>_xlfn.XLOOKUP(A390,Energy!A:A,Energy!H:H,0,-1)</f>
        <v>2014.936791256664</v>
      </c>
      <c r="D390">
        <f t="shared" si="24"/>
        <v>3668.0914829163312</v>
      </c>
      <c r="E390">
        <f>_xlfn.XLOOKUP(A390,Banks!A:A,Banks!I:I,0)</f>
        <v>35843.227751809827</v>
      </c>
      <c r="F390">
        <f>_xlfn.XLOOKUP(A390,Energy!A:A,Energy!I:I,0)</f>
        <v>0</v>
      </c>
      <c r="G390">
        <f t="shared" si="25"/>
        <v>35843.227751809827</v>
      </c>
      <c r="H390">
        <f t="shared" si="26"/>
        <v>32175.136268893497</v>
      </c>
      <c r="I390" t="b">
        <f t="shared" si="27"/>
        <v>0</v>
      </c>
    </row>
    <row r="391" spans="1:9">
      <c r="A391" s="1">
        <v>45980.615277777782</v>
      </c>
      <c r="B391" s="5">
        <f>_xlfn.XLOOKUP(A391,Banks!A:A,Banks!H:H,0,-1)</f>
        <v>1462.6284489071061</v>
      </c>
      <c r="C391">
        <f>_xlfn.XLOOKUP(A391,Energy!A:A,Energy!H:H,0,-1)</f>
        <v>2014.936791256664</v>
      </c>
      <c r="D391">
        <f t="shared" si="24"/>
        <v>3477.5652401637699</v>
      </c>
      <c r="E391">
        <f>_xlfn.XLOOKUP(A391,Banks!A:A,Banks!I:I,0)</f>
        <v>35855.17062645471</v>
      </c>
      <c r="F391">
        <f>_xlfn.XLOOKUP(A391,Energy!A:A,Energy!I:I,0)</f>
        <v>0</v>
      </c>
      <c r="G391">
        <f t="shared" si="25"/>
        <v>35855.17062645471</v>
      </c>
      <c r="H391">
        <f t="shared" si="26"/>
        <v>32377.605386290939</v>
      </c>
      <c r="I391" t="b">
        <f t="shared" si="27"/>
        <v>0</v>
      </c>
    </row>
    <row r="392" spans="1:9">
      <c r="A392" s="1">
        <v>45980.615972222222</v>
      </c>
      <c r="B392" s="5">
        <f>_xlfn.XLOOKUP(A392,Banks!A:A,Banks!H:H,0,-1)</f>
        <v>1584.9394157981981</v>
      </c>
      <c r="C392">
        <f>_xlfn.XLOOKUP(A392,Energy!A:A,Energy!H:H,0,-1)</f>
        <v>2014.936791256664</v>
      </c>
      <c r="D392">
        <f t="shared" si="24"/>
        <v>3599.8762070548619</v>
      </c>
      <c r="E392">
        <f>_xlfn.XLOOKUP(A392,Banks!A:A,Banks!I:I,0)</f>
        <v>35868.083252941688</v>
      </c>
      <c r="F392">
        <f>_xlfn.XLOOKUP(A392,Energy!A:A,Energy!I:I,0)</f>
        <v>0</v>
      </c>
      <c r="G392">
        <f t="shared" si="25"/>
        <v>35868.083252941688</v>
      </c>
      <c r="H392">
        <f t="shared" si="26"/>
        <v>32268.207045886826</v>
      </c>
      <c r="I392" t="b">
        <f t="shared" si="27"/>
        <v>0</v>
      </c>
    </row>
    <row r="393" spans="1:9">
      <c r="A393" s="1">
        <v>45980.616666666669</v>
      </c>
      <c r="B393" s="5">
        <f>_xlfn.XLOOKUP(A393,Banks!A:A,Banks!H:H,0,-1)</f>
        <v>1535.9734180888211</v>
      </c>
      <c r="C393">
        <f>_xlfn.XLOOKUP(A393,Energy!A:A,Energy!H:H,0,-1)</f>
        <v>2014.936791256664</v>
      </c>
      <c r="D393">
        <f t="shared" si="24"/>
        <v>3550.9102093454849</v>
      </c>
      <c r="E393">
        <f>_xlfn.XLOOKUP(A393,Banks!A:A,Banks!I:I,0)</f>
        <v>35889.088898443122</v>
      </c>
      <c r="F393">
        <f>_xlfn.XLOOKUP(A393,Energy!A:A,Energy!I:I,0)</f>
        <v>0</v>
      </c>
      <c r="G393">
        <f t="shared" si="25"/>
        <v>35889.088898443122</v>
      </c>
      <c r="H393">
        <f t="shared" si="26"/>
        <v>32338.178689097636</v>
      </c>
      <c r="I393" t="b">
        <f t="shared" si="27"/>
        <v>0</v>
      </c>
    </row>
    <row r="394" spans="1:9">
      <c r="A394" s="1">
        <v>45980.617361111108</v>
      </c>
      <c r="B394" s="5">
        <f>_xlfn.XLOOKUP(A394,Banks!A:A,Banks!H:H,0,-1)</f>
        <v>1554.098959801958</v>
      </c>
      <c r="C394">
        <f>_xlfn.XLOOKUP(A394,Energy!A:A,Energy!H:H,0,-1)</f>
        <v>2014.936791256664</v>
      </c>
      <c r="D394">
        <f t="shared" si="24"/>
        <v>3569.0357510586218</v>
      </c>
      <c r="E394">
        <f>_xlfn.XLOOKUP(A394,Banks!A:A,Banks!I:I,0)</f>
        <v>35900.413718046577</v>
      </c>
      <c r="F394">
        <f>_xlfn.XLOOKUP(A394,Energy!A:A,Energy!I:I,0)</f>
        <v>0</v>
      </c>
      <c r="G394">
        <f t="shared" si="25"/>
        <v>35900.413718046577</v>
      </c>
      <c r="H394">
        <f t="shared" si="26"/>
        <v>32331.377966987955</v>
      </c>
      <c r="I394" t="b">
        <f t="shared" si="27"/>
        <v>0</v>
      </c>
    </row>
    <row r="395" spans="1:9">
      <c r="A395" s="1">
        <v>45980.618055555547</v>
      </c>
      <c r="B395" s="5">
        <f>_xlfn.XLOOKUP(A395,Banks!A:A,Banks!H:H,0,-1)</f>
        <v>1548.1264641524931</v>
      </c>
      <c r="C395">
        <f>_xlfn.XLOOKUP(A395,Energy!A:A,Energy!H:H,0,-1)</f>
        <v>2014.936791256664</v>
      </c>
      <c r="D395">
        <f t="shared" si="24"/>
        <v>3563.0632554091571</v>
      </c>
      <c r="E395">
        <f>_xlfn.XLOOKUP(A395,Banks!A:A,Banks!I:I,0)</f>
        <v>35853.020951351711</v>
      </c>
      <c r="F395">
        <f>_xlfn.XLOOKUP(A395,Energy!A:A,Energy!I:I,0)</f>
        <v>0</v>
      </c>
      <c r="G395">
        <f t="shared" si="25"/>
        <v>35853.020951351711</v>
      </c>
      <c r="H395">
        <f t="shared" si="26"/>
        <v>32289.957695942554</v>
      </c>
      <c r="I395" t="b">
        <f t="shared" si="27"/>
        <v>0</v>
      </c>
    </row>
    <row r="396" spans="1:9">
      <c r="A396" s="1">
        <v>45980.618750000001</v>
      </c>
      <c r="B396" s="5">
        <f>_xlfn.XLOOKUP(A396,Banks!A:A,Banks!H:H,0,-1)</f>
        <v>1420.0199083392879</v>
      </c>
      <c r="C396">
        <f>_xlfn.XLOOKUP(A396,Energy!A:A,Energy!H:H,0,-1)</f>
        <v>2014.936791256664</v>
      </c>
      <c r="D396">
        <f t="shared" si="24"/>
        <v>3434.9566995959522</v>
      </c>
      <c r="E396">
        <f>_xlfn.XLOOKUP(A396,Banks!A:A,Banks!I:I,0)</f>
        <v>35854.348629601976</v>
      </c>
      <c r="F396">
        <f>_xlfn.XLOOKUP(A396,Energy!A:A,Energy!I:I,0)</f>
        <v>0</v>
      </c>
      <c r="G396">
        <f t="shared" si="25"/>
        <v>35854.348629601976</v>
      </c>
      <c r="H396">
        <f t="shared" si="26"/>
        <v>32419.391930006022</v>
      </c>
      <c r="I396" t="b">
        <f t="shared" si="27"/>
        <v>0</v>
      </c>
    </row>
    <row r="397" spans="1:9">
      <c r="A397" s="1">
        <v>45980.619444444441</v>
      </c>
      <c r="B397" s="5">
        <f>_xlfn.XLOOKUP(A397,Banks!A:A,Banks!H:H,0,-1)</f>
        <v>1446.3654185797729</v>
      </c>
      <c r="C397">
        <f>_xlfn.XLOOKUP(A397,Energy!A:A,Energy!H:H,0,-1)</f>
        <v>2014.936791256664</v>
      </c>
      <c r="D397">
        <f t="shared" si="24"/>
        <v>3461.3022098364372</v>
      </c>
      <c r="E397">
        <f>_xlfn.XLOOKUP(A397,Banks!A:A,Banks!I:I,0)</f>
        <v>35882.716865432558</v>
      </c>
      <c r="F397">
        <f>_xlfn.XLOOKUP(A397,Energy!A:A,Energy!I:I,0)</f>
        <v>0</v>
      </c>
      <c r="G397">
        <f t="shared" si="25"/>
        <v>35882.716865432558</v>
      </c>
      <c r="H397">
        <f t="shared" si="26"/>
        <v>32421.41465559612</v>
      </c>
      <c r="I397" t="b">
        <f t="shared" si="27"/>
        <v>0</v>
      </c>
    </row>
    <row r="398" spans="1:9">
      <c r="A398" s="1">
        <v>45980.620138888888</v>
      </c>
      <c r="B398" s="5">
        <f>_xlfn.XLOOKUP(A398,Banks!A:A,Banks!H:H,0,-1)</f>
        <v>1440.850763767422</v>
      </c>
      <c r="C398">
        <f>_xlfn.XLOOKUP(A398,Energy!A:A,Energy!H:H,0,-1)</f>
        <v>2014.936791256664</v>
      </c>
      <c r="D398">
        <f t="shared" si="24"/>
        <v>3455.787555024086</v>
      </c>
      <c r="E398">
        <f>_xlfn.XLOOKUP(A398,Banks!A:A,Banks!I:I,0)</f>
        <v>35893.163501361327</v>
      </c>
      <c r="F398">
        <f>_xlfn.XLOOKUP(A398,Energy!A:A,Energy!I:I,0)</f>
        <v>0</v>
      </c>
      <c r="G398">
        <f t="shared" si="25"/>
        <v>35893.163501361327</v>
      </c>
      <c r="H398">
        <f t="shared" si="26"/>
        <v>32437.375946337241</v>
      </c>
      <c r="I398" t="b">
        <f t="shared" si="27"/>
        <v>0</v>
      </c>
    </row>
    <row r="399" spans="1:9">
      <c r="A399" s="1">
        <v>45980.620833333327</v>
      </c>
      <c r="B399" s="5">
        <f>_xlfn.XLOOKUP(A399,Banks!A:A,Banks!H:H,0,-1)</f>
        <v>1503.0935439793991</v>
      </c>
      <c r="C399">
        <f>_xlfn.XLOOKUP(A399,Energy!A:A,Energy!H:H,0,-1)</f>
        <v>2014.936791256664</v>
      </c>
      <c r="D399">
        <f t="shared" si="24"/>
        <v>3518.0303352360634</v>
      </c>
      <c r="E399">
        <f>_xlfn.XLOOKUP(A399,Banks!A:A,Banks!I:I,0)</f>
        <v>35820.915233534608</v>
      </c>
      <c r="F399">
        <f>_xlfn.XLOOKUP(A399,Energy!A:A,Energy!I:I,0)</f>
        <v>0</v>
      </c>
      <c r="G399">
        <f t="shared" si="25"/>
        <v>35820.915233534608</v>
      </c>
      <c r="H399">
        <f t="shared" si="26"/>
        <v>32302.884898298544</v>
      </c>
      <c r="I399" t="b">
        <f t="shared" si="27"/>
        <v>0</v>
      </c>
    </row>
    <row r="400" spans="1:9">
      <c r="A400" s="1">
        <v>45980.621527777781</v>
      </c>
      <c r="B400" s="5">
        <f>_xlfn.XLOOKUP(A400,Banks!A:A,Banks!H:H,0,-1)</f>
        <v>1371.7198062317391</v>
      </c>
      <c r="C400">
        <f>_xlfn.XLOOKUP(A400,Energy!A:A,Energy!H:H,0,-1)</f>
        <v>2014.936791256664</v>
      </c>
      <c r="D400">
        <f t="shared" si="24"/>
        <v>3386.6565974884033</v>
      </c>
      <c r="E400">
        <f>_xlfn.XLOOKUP(A400,Banks!A:A,Banks!I:I,0)</f>
        <v>35802.340197245903</v>
      </c>
      <c r="F400">
        <f>_xlfn.XLOOKUP(A400,Energy!A:A,Energy!I:I,0)</f>
        <v>0</v>
      </c>
      <c r="G400">
        <f t="shared" si="25"/>
        <v>35802.340197245903</v>
      </c>
      <c r="H400">
        <f t="shared" si="26"/>
        <v>32415.6835997575</v>
      </c>
      <c r="I400" t="b">
        <f t="shared" si="27"/>
        <v>0</v>
      </c>
    </row>
    <row r="401" spans="1:9">
      <c r="A401" s="1">
        <v>45980.62222222222</v>
      </c>
      <c r="B401" s="5">
        <f>_xlfn.XLOOKUP(A401,Banks!A:A,Banks!H:H,0,-1)</f>
        <v>1454.6894144894929</v>
      </c>
      <c r="C401">
        <f>_xlfn.XLOOKUP(A401,Energy!A:A,Energy!H:H,0,-1)</f>
        <v>2014.936791256664</v>
      </c>
      <c r="D401">
        <f t="shared" si="24"/>
        <v>3469.6262057461572</v>
      </c>
      <c r="E401">
        <f>_xlfn.XLOOKUP(A401,Banks!A:A,Banks!I:I,0)</f>
        <v>35834.333541419117</v>
      </c>
      <c r="F401">
        <f>_xlfn.XLOOKUP(A401,Energy!A:A,Energy!I:I,0)</f>
        <v>0</v>
      </c>
      <c r="G401">
        <f t="shared" si="25"/>
        <v>35834.333541419117</v>
      </c>
      <c r="H401">
        <f t="shared" si="26"/>
        <v>32364.70733567296</v>
      </c>
      <c r="I401" t="b">
        <f t="shared" si="27"/>
        <v>0</v>
      </c>
    </row>
    <row r="402" spans="1:9">
      <c r="A402" s="1">
        <v>45980.622916666667</v>
      </c>
      <c r="B402" s="5">
        <f>_xlfn.XLOOKUP(A402,Banks!A:A,Banks!H:H,0,-1)</f>
        <v>1502.1511577440151</v>
      </c>
      <c r="C402">
        <f>_xlfn.XLOOKUP(A402,Energy!A:A,Energy!H:H,0,-1)</f>
        <v>2014.936791256664</v>
      </c>
      <c r="D402">
        <f t="shared" si="24"/>
        <v>3517.0879490006791</v>
      </c>
      <c r="E402">
        <f>_xlfn.XLOOKUP(A402,Banks!A:A,Banks!I:I,0)</f>
        <v>0</v>
      </c>
      <c r="F402">
        <f>_xlfn.XLOOKUP(A402,Energy!A:A,Energy!I:I,0)</f>
        <v>0</v>
      </c>
      <c r="G402">
        <f t="shared" si="25"/>
        <v>0</v>
      </c>
      <c r="H402">
        <f t="shared" si="26"/>
        <v>-3517.0879490006791</v>
      </c>
      <c r="I402" t="b">
        <f t="shared" si="27"/>
        <v>0</v>
      </c>
    </row>
    <row r="403" spans="1:9">
      <c r="A403" s="1">
        <v>45981.604166666657</v>
      </c>
      <c r="B403" s="5">
        <f>_xlfn.XLOOKUP(A403,Banks!A:A,Banks!H:H,0,-1)</f>
        <v>1502.1511577440151</v>
      </c>
      <c r="C403">
        <f>_xlfn.XLOOKUP(A403,Energy!A:A,Energy!H:H,0,-1)</f>
        <v>2014.936791256664</v>
      </c>
      <c r="D403">
        <f t="shared" si="24"/>
        <v>3517.0879490006791</v>
      </c>
      <c r="E403">
        <f>_xlfn.XLOOKUP(A403,Banks!A:A,Banks!I:I,0)</f>
        <v>0</v>
      </c>
      <c r="F403">
        <f>_xlfn.XLOOKUP(A403,Energy!A:A,Energy!I:I,0)</f>
        <v>34880.024416008928</v>
      </c>
      <c r="G403">
        <f t="shared" si="25"/>
        <v>34880.024416008928</v>
      </c>
      <c r="H403">
        <f t="shared" si="26"/>
        <v>31362.93646700825</v>
      </c>
      <c r="I403" t="b">
        <f t="shared" si="27"/>
        <v>0</v>
      </c>
    </row>
    <row r="404" spans="1:9">
      <c r="A404" s="1">
        <v>45981.604861111111</v>
      </c>
      <c r="B404" s="5">
        <f>_xlfn.XLOOKUP(A404,Banks!A:A,Banks!H:H,0,-1)</f>
        <v>1502.1511577440151</v>
      </c>
      <c r="C404">
        <f>_xlfn.XLOOKUP(A404,Energy!A:A,Energy!H:H,0,-1)</f>
        <v>2235.732711474207</v>
      </c>
      <c r="D404">
        <f t="shared" si="24"/>
        <v>3737.8838692182221</v>
      </c>
      <c r="E404">
        <f>_xlfn.XLOOKUP(A404,Banks!A:A,Banks!I:I,0)</f>
        <v>0</v>
      </c>
      <c r="F404">
        <f>_xlfn.XLOOKUP(A404,Energy!A:A,Energy!I:I,0)</f>
        <v>34961.190178999808</v>
      </c>
      <c r="G404">
        <f t="shared" si="25"/>
        <v>34961.190178999808</v>
      </c>
      <c r="H404">
        <f t="shared" si="26"/>
        <v>31223.306309781587</v>
      </c>
      <c r="I404" t="b">
        <f t="shared" si="27"/>
        <v>0</v>
      </c>
    </row>
    <row r="405" spans="1:9">
      <c r="A405" s="1">
        <v>45981.605555555558</v>
      </c>
      <c r="B405" s="5">
        <f>_xlfn.XLOOKUP(A405,Banks!A:A,Banks!H:H,0,-1)</f>
        <v>1502.1511577440151</v>
      </c>
      <c r="C405">
        <f>_xlfn.XLOOKUP(A405,Energy!A:A,Energy!H:H,0,-1)</f>
        <v>2261.4197420096398</v>
      </c>
      <c r="D405">
        <f t="shared" si="24"/>
        <v>3763.5708997536549</v>
      </c>
      <c r="E405">
        <f>_xlfn.XLOOKUP(A405,Banks!A:A,Banks!I:I,0)</f>
        <v>0</v>
      </c>
      <c r="F405">
        <f>_xlfn.XLOOKUP(A405,Energy!A:A,Energy!I:I,0)</f>
        <v>34872.783177212157</v>
      </c>
      <c r="G405">
        <f t="shared" si="25"/>
        <v>34872.783177212157</v>
      </c>
      <c r="H405">
        <f t="shared" si="26"/>
        <v>31109.2122774585</v>
      </c>
      <c r="I405" t="b">
        <f t="shared" si="27"/>
        <v>0</v>
      </c>
    </row>
    <row r="406" spans="1:9">
      <c r="A406" s="1">
        <v>45981.606249999997</v>
      </c>
      <c r="B406" s="5">
        <f>_xlfn.XLOOKUP(A406,Banks!A:A,Banks!H:H,0,-1)</f>
        <v>1502.1511577440151</v>
      </c>
      <c r="C406">
        <f>_xlfn.XLOOKUP(A406,Energy!A:A,Energy!H:H,0,-1)</f>
        <v>2017.279117009643</v>
      </c>
      <c r="D406">
        <f t="shared" si="24"/>
        <v>3519.4302747536581</v>
      </c>
      <c r="E406">
        <f>_xlfn.XLOOKUP(A406,Banks!A:A,Banks!I:I,0)</f>
        <v>0</v>
      </c>
      <c r="F406">
        <f>_xlfn.XLOOKUP(A406,Energy!A:A,Energy!I:I,0)</f>
        <v>34921.61130221215</v>
      </c>
      <c r="G406">
        <f t="shared" si="25"/>
        <v>34921.61130221215</v>
      </c>
      <c r="H406">
        <f t="shared" si="26"/>
        <v>31402.181027458493</v>
      </c>
      <c r="I406" t="b">
        <f t="shared" si="27"/>
        <v>0</v>
      </c>
    </row>
    <row r="407" spans="1:9">
      <c r="A407" s="1">
        <v>45981.606944444437</v>
      </c>
      <c r="B407" s="5">
        <f>_xlfn.XLOOKUP(A407,Banks!A:A,Banks!H:H,0,-1)</f>
        <v>1502.1511577440151</v>
      </c>
      <c r="C407">
        <f>_xlfn.XLOOKUP(A407,Energy!A:A,Energy!H:H,0,-1)</f>
        <v>2627.6379167691589</v>
      </c>
      <c r="D407">
        <f t="shared" si="24"/>
        <v>4129.7890745131735</v>
      </c>
      <c r="E407">
        <f>_xlfn.XLOOKUP(A407,Banks!A:A,Banks!I:I,0)</f>
        <v>0</v>
      </c>
      <c r="F407">
        <f>_xlfn.XLOOKUP(A407,Energy!A:A,Energy!I:I,0)</f>
        <v>0</v>
      </c>
      <c r="G407">
        <f t="shared" si="25"/>
        <v>0</v>
      </c>
      <c r="H407">
        <f t="shared" si="26"/>
        <v>-4129.7890745131735</v>
      </c>
      <c r="I407" t="b">
        <f t="shared" si="27"/>
        <v>0</v>
      </c>
    </row>
    <row r="408" spans="1:9">
      <c r="A408" s="1">
        <v>45981.851388888892</v>
      </c>
      <c r="B408" s="5">
        <f>_xlfn.XLOOKUP(A408,Banks!A:A,Banks!H:H,0,-1)</f>
        <v>1502.1511577440151</v>
      </c>
      <c r="C408">
        <f>_xlfn.XLOOKUP(A408,Energy!A:A,Energy!H:H,0,-1)</f>
        <v>2627.6379167691589</v>
      </c>
      <c r="D408">
        <f t="shared" si="24"/>
        <v>4129.7890745131735</v>
      </c>
      <c r="E408">
        <f>_xlfn.XLOOKUP(A408,Banks!A:A,Banks!I:I,0)</f>
        <v>0</v>
      </c>
      <c r="F408">
        <f>_xlfn.XLOOKUP(A408,Energy!A:A,Energy!I:I,0)</f>
        <v>34880.024416008928</v>
      </c>
      <c r="G408">
        <f t="shared" si="25"/>
        <v>34880.024416008928</v>
      </c>
      <c r="H408">
        <f t="shared" si="26"/>
        <v>30750.235341495754</v>
      </c>
      <c r="I408" t="b">
        <f t="shared" si="27"/>
        <v>0</v>
      </c>
    </row>
    <row r="409" spans="1:9">
      <c r="A409" s="1">
        <v>45981.852083333331</v>
      </c>
      <c r="B409" s="5">
        <f>_xlfn.XLOOKUP(A409,Banks!A:A,Banks!H:H,0,-1)</f>
        <v>1502.1511577440151</v>
      </c>
      <c r="C409">
        <f>_xlfn.XLOOKUP(A409,Energy!A:A,Energy!H:H,0,-1)</f>
        <v>2791.2777060289768</v>
      </c>
      <c r="D409">
        <f t="shared" si="24"/>
        <v>4293.4288637729915</v>
      </c>
      <c r="E409">
        <f>_xlfn.XLOOKUP(A409,Banks!A:A,Banks!I:I,0)</f>
        <v>0</v>
      </c>
      <c r="F409">
        <f>_xlfn.XLOOKUP(A409,Energy!A:A,Energy!I:I,0)</f>
        <v>34847.296458156969</v>
      </c>
      <c r="G409">
        <f t="shared" si="25"/>
        <v>34847.296458156969</v>
      </c>
      <c r="H409">
        <f t="shared" si="26"/>
        <v>30553.867594383977</v>
      </c>
      <c r="I409" t="b">
        <f t="shared" si="27"/>
        <v>0</v>
      </c>
    </row>
    <row r="410" spans="1:9">
      <c r="A410" s="1">
        <v>45981.852777777778</v>
      </c>
      <c r="B410" s="5">
        <f>_xlfn.XLOOKUP(A410,Banks!A:A,Banks!H:H,0,-1)</f>
        <v>1502.1511577440151</v>
      </c>
      <c r="C410">
        <f>_xlfn.XLOOKUP(A410,Energy!A:A,Energy!H:H,0,-1)</f>
        <v>2743.3970822979381</v>
      </c>
      <c r="D410">
        <f t="shared" si="24"/>
        <v>4245.5482400419532</v>
      </c>
      <c r="E410">
        <f>_xlfn.XLOOKUP(A410,Banks!A:A,Banks!I:I,0)</f>
        <v>0</v>
      </c>
      <c r="F410">
        <f>_xlfn.XLOOKUP(A410,Energy!A:A,Energy!I:I,0)</f>
        <v>34846.33295389812</v>
      </c>
      <c r="G410">
        <f t="shared" si="25"/>
        <v>34846.33295389812</v>
      </c>
      <c r="H410">
        <f t="shared" si="26"/>
        <v>30600.784713856166</v>
      </c>
      <c r="I410" t="b">
        <f t="shared" si="27"/>
        <v>0</v>
      </c>
    </row>
    <row r="411" spans="1:9">
      <c r="A411" s="1">
        <v>45981.853472222218</v>
      </c>
      <c r="B411" s="5">
        <f>_xlfn.XLOOKUP(A411,Banks!A:A,Banks!H:H,0,-1)</f>
        <v>1502.1511577440151</v>
      </c>
      <c r="C411">
        <f>_xlfn.XLOOKUP(A411,Energy!A:A,Energy!H:H,0,-1)</f>
        <v>2811.4390339662159</v>
      </c>
      <c r="D411">
        <f t="shared" si="24"/>
        <v>4313.590191710231</v>
      </c>
      <c r="E411">
        <f>_xlfn.XLOOKUP(A411,Banks!A:A,Banks!I:I,0)</f>
        <v>0</v>
      </c>
      <c r="F411">
        <f>_xlfn.XLOOKUP(A411,Energy!A:A,Energy!I:I,0)</f>
        <v>0</v>
      </c>
      <c r="G411">
        <f t="shared" si="25"/>
        <v>0</v>
      </c>
      <c r="H411">
        <f t="shared" si="26"/>
        <v>-4313.590191710231</v>
      </c>
      <c r="I411" t="b">
        <f t="shared" si="27"/>
        <v>0</v>
      </c>
    </row>
    <row r="412" spans="1:9">
      <c r="A412" s="1">
        <v>45985.868055555547</v>
      </c>
      <c r="B412" s="5">
        <f>_xlfn.XLOOKUP(A412,Banks!A:A,Banks!H:H,0,-1)</f>
        <v>1502.1511577440151</v>
      </c>
      <c r="C412">
        <f>_xlfn.XLOOKUP(A412,Energy!A:A,Energy!H:H,0,-1)</f>
        <v>2811.4390339662159</v>
      </c>
      <c r="D412">
        <f t="shared" si="24"/>
        <v>4313.590191710231</v>
      </c>
      <c r="E412">
        <f>_xlfn.XLOOKUP(A412,Banks!A:A,Banks!I:I,0)</f>
        <v>35717.046123811859</v>
      </c>
      <c r="F412">
        <f>_xlfn.XLOOKUP(A412,Energy!A:A,Energy!I:I,0)</f>
        <v>0</v>
      </c>
      <c r="G412">
        <f t="shared" si="25"/>
        <v>35717.046123811859</v>
      </c>
      <c r="H412">
        <f t="shared" si="26"/>
        <v>31403.455932101628</v>
      </c>
      <c r="I412" t="b">
        <f t="shared" si="27"/>
        <v>0</v>
      </c>
    </row>
    <row r="413" spans="1:9">
      <c r="A413" s="1">
        <v>45985.868750000001</v>
      </c>
      <c r="B413" s="5">
        <f>_xlfn.XLOOKUP(A413,Banks!A:A,Banks!H:H,0,-1)</f>
        <v>1381.763696272445</v>
      </c>
      <c r="C413">
        <f>_xlfn.XLOOKUP(A413,Energy!A:A,Energy!H:H,0,-1)</f>
        <v>2811.4390339662159</v>
      </c>
      <c r="D413">
        <f t="shared" si="24"/>
        <v>4193.2027302386614</v>
      </c>
      <c r="E413">
        <f>_xlfn.XLOOKUP(A413,Banks!A:A,Banks!I:I,0)</f>
        <v>35741.123616106182</v>
      </c>
      <c r="F413">
        <f>_xlfn.XLOOKUP(A413,Energy!A:A,Energy!I:I,0)</f>
        <v>0</v>
      </c>
      <c r="G413">
        <f t="shared" si="25"/>
        <v>35741.123616106182</v>
      </c>
      <c r="H413">
        <f t="shared" si="26"/>
        <v>31547.920885867519</v>
      </c>
      <c r="I413" t="b">
        <f t="shared" si="27"/>
        <v>0</v>
      </c>
    </row>
    <row r="414" spans="1:9">
      <c r="A414" s="1">
        <v>45985.869444444441</v>
      </c>
      <c r="B414" s="5">
        <f>_xlfn.XLOOKUP(A414,Banks!A:A,Banks!H:H,0,-1)</f>
        <v>1375.3223452943059</v>
      </c>
      <c r="C414">
        <f>_xlfn.XLOOKUP(A414,Energy!A:A,Energy!H:H,0,-1)</f>
        <v>2811.4390339662159</v>
      </c>
      <c r="D414">
        <f t="shared" si="24"/>
        <v>4186.7613792605216</v>
      </c>
      <c r="E414">
        <f>_xlfn.XLOOKUP(A414,Banks!A:A,Banks!I:I,0)</f>
        <v>35723.166312783716</v>
      </c>
      <c r="F414">
        <f>_xlfn.XLOOKUP(A414,Energy!A:A,Energy!I:I,0)</f>
        <v>0</v>
      </c>
      <c r="G414">
        <f t="shared" si="25"/>
        <v>35723.166312783716</v>
      </c>
      <c r="H414">
        <f t="shared" si="26"/>
        <v>31536.404933523194</v>
      </c>
      <c r="I414" t="b">
        <f t="shared" si="27"/>
        <v>0</v>
      </c>
    </row>
    <row r="415" spans="1:9">
      <c r="A415" s="1">
        <v>45985.870138888888</v>
      </c>
      <c r="B415" s="5">
        <f>_xlfn.XLOOKUP(A415,Banks!A:A,Banks!H:H,0,-1)</f>
        <v>1420.538576691981</v>
      </c>
      <c r="C415">
        <f>_xlfn.XLOOKUP(A415,Energy!A:A,Energy!H:H,0,-1)</f>
        <v>2811.4390339662159</v>
      </c>
      <c r="D415">
        <f t="shared" si="24"/>
        <v>4231.9776106581967</v>
      </c>
      <c r="E415">
        <f>_xlfn.XLOOKUP(A415,Banks!A:A,Banks!I:I,0)</f>
        <v>35702.575722393332</v>
      </c>
      <c r="F415">
        <f>_xlfn.XLOOKUP(A415,Energy!A:A,Energy!I:I,0)</f>
        <v>0</v>
      </c>
      <c r="G415">
        <f t="shared" si="25"/>
        <v>35702.575722393332</v>
      </c>
      <c r="H415">
        <f t="shared" si="26"/>
        <v>31470.598111735137</v>
      </c>
      <c r="I415" t="b">
        <f t="shared" si="27"/>
        <v>0</v>
      </c>
    </row>
    <row r="416" spans="1:9">
      <c r="A416" s="1">
        <v>45985.870833333327</v>
      </c>
      <c r="B416" s="5">
        <f>_xlfn.XLOOKUP(A416,Banks!A:A,Banks!H:H,0,-1)</f>
        <v>1498.6075091634241</v>
      </c>
      <c r="C416">
        <f>_xlfn.XLOOKUP(A416,Energy!A:A,Energy!H:H,0,-1)</f>
        <v>2811.4390339662159</v>
      </c>
      <c r="D416">
        <f t="shared" si="24"/>
        <v>4310.0465431296398</v>
      </c>
      <c r="E416">
        <f>_xlfn.XLOOKUP(A416,Banks!A:A,Banks!I:I,0)</f>
        <v>35729.302197638834</v>
      </c>
      <c r="F416">
        <f>_xlfn.XLOOKUP(A416,Energy!A:A,Energy!I:I,0)</f>
        <v>0</v>
      </c>
      <c r="G416">
        <f t="shared" si="25"/>
        <v>35729.302197638834</v>
      </c>
      <c r="H416">
        <f t="shared" si="26"/>
        <v>31419.255654509194</v>
      </c>
      <c r="I416" t="b">
        <f t="shared" si="27"/>
        <v>0</v>
      </c>
    </row>
    <row r="417" spans="1:9">
      <c r="A417" s="1">
        <v>45985.871527777781</v>
      </c>
      <c r="B417" s="5">
        <f>_xlfn.XLOOKUP(A417,Banks!A:A,Banks!H:H,0,-1)</f>
        <v>1502.513370543709</v>
      </c>
      <c r="C417">
        <f>_xlfn.XLOOKUP(A417,Energy!A:A,Energy!H:H,0,-1)</f>
        <v>2811.4390339662159</v>
      </c>
      <c r="D417">
        <f t="shared" si="24"/>
        <v>4313.9524045099251</v>
      </c>
      <c r="E417">
        <f>_xlfn.XLOOKUP(A417,Banks!A:A,Banks!I:I,0)</f>
        <v>35720.822795955537</v>
      </c>
      <c r="F417">
        <f>_xlfn.XLOOKUP(A417,Energy!A:A,Energy!I:I,0)</f>
        <v>0</v>
      </c>
      <c r="G417">
        <f t="shared" si="25"/>
        <v>35720.822795955537</v>
      </c>
      <c r="H417">
        <f t="shared" si="26"/>
        <v>31406.870391445613</v>
      </c>
      <c r="I417" t="b">
        <f t="shared" si="27"/>
        <v>0</v>
      </c>
    </row>
    <row r="418" spans="1:9">
      <c r="A418" s="1">
        <v>45985.87222222222</v>
      </c>
      <c r="B418" s="5">
        <f>_xlfn.XLOOKUP(A418,Banks!A:A,Banks!H:H,0,-1)</f>
        <v>1373.5112812958239</v>
      </c>
      <c r="C418">
        <f>_xlfn.XLOOKUP(A418,Energy!A:A,Energy!H:H,0,-1)</f>
        <v>2811.4390339662159</v>
      </c>
      <c r="D418">
        <f t="shared" si="24"/>
        <v>4184.95031526204</v>
      </c>
      <c r="E418">
        <f>_xlfn.XLOOKUP(A418,Banks!A:A,Banks!I:I,0)</f>
        <v>35704.28295206531</v>
      </c>
      <c r="F418">
        <f>_xlfn.XLOOKUP(A418,Energy!A:A,Energy!I:I,0)</f>
        <v>0</v>
      </c>
      <c r="G418">
        <f t="shared" si="25"/>
        <v>35704.28295206531</v>
      </c>
      <c r="H418">
        <f t="shared" si="26"/>
        <v>31519.332636803272</v>
      </c>
      <c r="I418" t="b">
        <f t="shared" si="27"/>
        <v>0</v>
      </c>
    </row>
    <row r="419" spans="1:9">
      <c r="A419" s="1">
        <v>45985.872916666667</v>
      </c>
      <c r="B419" s="5">
        <f>_xlfn.XLOOKUP(A419,Banks!A:A,Banks!H:H,0,-1)</f>
        <v>1427.1851816371241</v>
      </c>
      <c r="C419">
        <f>_xlfn.XLOOKUP(A419,Energy!A:A,Energy!H:H,0,-1)</f>
        <v>2811.4390339662159</v>
      </c>
      <c r="D419">
        <f t="shared" si="24"/>
        <v>4238.6242156033404</v>
      </c>
      <c r="E419">
        <f>_xlfn.XLOOKUP(A419,Banks!A:A,Banks!I:I,0)</f>
        <v>35624.264107331917</v>
      </c>
      <c r="F419">
        <f>_xlfn.XLOOKUP(A419,Energy!A:A,Energy!I:I,0)</f>
        <v>0</v>
      </c>
      <c r="G419">
        <f t="shared" si="25"/>
        <v>35624.264107331917</v>
      </c>
      <c r="H419">
        <f t="shared" si="26"/>
        <v>31385.639891728577</v>
      </c>
      <c r="I419" t="b">
        <f t="shared" si="27"/>
        <v>0</v>
      </c>
    </row>
    <row r="420" spans="1:9">
      <c r="A420" s="1">
        <v>45985.873611111107</v>
      </c>
      <c r="B420" s="5">
        <f>_xlfn.XLOOKUP(A420,Banks!A:A,Banks!H:H,0,-1)</f>
        <v>1592.5051411230329</v>
      </c>
      <c r="C420">
        <f>_xlfn.XLOOKUP(A420,Energy!A:A,Energy!H:H,0,-1)</f>
        <v>2811.4390339662159</v>
      </c>
      <c r="D420">
        <f t="shared" si="24"/>
        <v>4403.9441750892493</v>
      </c>
      <c r="E420">
        <f>_xlfn.XLOOKUP(A420,Banks!A:A,Banks!I:I,0)</f>
        <v>35625.842147767311</v>
      </c>
      <c r="F420">
        <f>_xlfn.XLOOKUP(A420,Energy!A:A,Energy!I:I,0)</f>
        <v>0</v>
      </c>
      <c r="G420">
        <f t="shared" si="25"/>
        <v>35625.842147767311</v>
      </c>
      <c r="H420">
        <f t="shared" si="26"/>
        <v>31221.89797267806</v>
      </c>
      <c r="I420" t="b">
        <f t="shared" si="27"/>
        <v>0</v>
      </c>
    </row>
    <row r="421" spans="1:9">
      <c r="A421" s="1">
        <v>45985.874305555553</v>
      </c>
      <c r="B421" s="5">
        <f>_xlfn.XLOOKUP(A421,Banks!A:A,Banks!H:H,0,-1)</f>
        <v>1646.698213096704</v>
      </c>
      <c r="C421">
        <f>_xlfn.XLOOKUP(A421,Energy!A:A,Energy!H:H,0,-1)</f>
        <v>2811.4390339662159</v>
      </c>
      <c r="D421">
        <f t="shared" si="24"/>
        <v>4458.1372470629194</v>
      </c>
      <c r="E421">
        <f>_xlfn.XLOOKUP(A421,Banks!A:A,Banks!I:I,0)</f>
        <v>35649.645565705127</v>
      </c>
      <c r="F421">
        <f>_xlfn.XLOOKUP(A421,Energy!A:A,Energy!I:I,0)</f>
        <v>0</v>
      </c>
      <c r="G421">
        <f t="shared" si="25"/>
        <v>35649.645565705127</v>
      </c>
      <c r="H421">
        <f t="shared" si="26"/>
        <v>31191.508318642205</v>
      </c>
      <c r="I421" t="b">
        <f t="shared" si="27"/>
        <v>0</v>
      </c>
    </row>
    <row r="422" spans="1:9">
      <c r="A422" s="1">
        <v>45986.604166666657</v>
      </c>
      <c r="B422" s="5">
        <f>_xlfn.XLOOKUP(A422,Banks!A:A,Banks!H:H,0,-1)</f>
        <v>2504.212873050828</v>
      </c>
      <c r="C422">
        <f>_xlfn.XLOOKUP(A422,Energy!A:A,Energy!H:H,0,-1)</f>
        <v>2811.4390339662159</v>
      </c>
      <c r="D422">
        <f t="shared" si="24"/>
        <v>5315.6519070170434</v>
      </c>
      <c r="E422">
        <f>_xlfn.XLOOKUP(A422,Banks!A:A,Banks!I:I,0)</f>
        <v>35832.261186447176</v>
      </c>
      <c r="F422">
        <f>_xlfn.XLOOKUP(A422,Energy!A:A,Energy!I:I,0)</f>
        <v>0</v>
      </c>
      <c r="G422">
        <f t="shared" si="25"/>
        <v>35832.261186447176</v>
      </c>
      <c r="H422">
        <f t="shared" si="26"/>
        <v>30516.609279430133</v>
      </c>
      <c r="I422" t="b">
        <f t="shared" si="27"/>
        <v>0</v>
      </c>
    </row>
    <row r="423" spans="1:9">
      <c r="A423" s="1">
        <v>45986.604861111111</v>
      </c>
      <c r="B423" s="5">
        <f>_xlfn.XLOOKUP(A423,Banks!A:A,Banks!H:H,0,-1)</f>
        <v>2822.127048899019</v>
      </c>
      <c r="C423">
        <f>_xlfn.XLOOKUP(A423,Energy!A:A,Energy!H:H,0,-1)</f>
        <v>2811.4390339662159</v>
      </c>
      <c r="D423">
        <f t="shared" si="24"/>
        <v>5633.5660828652344</v>
      </c>
      <c r="E423">
        <f>_xlfn.XLOOKUP(A423,Banks!A:A,Banks!I:I,0)</f>
        <v>35899.548251200562</v>
      </c>
      <c r="F423">
        <f>_xlfn.XLOOKUP(A423,Energy!A:A,Energy!I:I,0)</f>
        <v>0</v>
      </c>
      <c r="G423">
        <f t="shared" si="25"/>
        <v>35899.548251200562</v>
      </c>
      <c r="H423">
        <f t="shared" si="26"/>
        <v>30265.982168335329</v>
      </c>
      <c r="I423" t="b">
        <f t="shared" si="27"/>
        <v>0</v>
      </c>
    </row>
    <row r="424" spans="1:9">
      <c r="A424" s="1">
        <v>45986.605555555558</v>
      </c>
      <c r="B424" s="5">
        <f>_xlfn.XLOOKUP(A424,Banks!A:A,Banks!H:H,0,-1)</f>
        <v>2529.8515024127291</v>
      </c>
      <c r="C424">
        <f>_xlfn.XLOOKUP(A424,Energy!A:A,Energy!H:H,0,-1)</f>
        <v>2811.4390339662159</v>
      </c>
      <c r="D424">
        <f t="shared" si="24"/>
        <v>5341.290536378945</v>
      </c>
      <c r="E424">
        <f>_xlfn.XLOOKUP(A424,Banks!A:A,Banks!I:I,0)</f>
        <v>36050.382113384658</v>
      </c>
      <c r="F424">
        <f>_xlfn.XLOOKUP(A424,Energy!A:A,Energy!I:I,0)</f>
        <v>0</v>
      </c>
      <c r="G424">
        <f t="shared" si="25"/>
        <v>36050.382113384658</v>
      </c>
      <c r="H424">
        <f t="shared" si="26"/>
        <v>30709.091577005711</v>
      </c>
      <c r="I424" t="b">
        <f t="shared" si="27"/>
        <v>0</v>
      </c>
    </row>
    <row r="425" spans="1:9">
      <c r="A425" s="1">
        <v>45986.606249999997</v>
      </c>
      <c r="B425" s="5">
        <f>_xlfn.XLOOKUP(A425,Banks!A:A,Banks!H:H,0,-1)</f>
        <v>2683.0916649580658</v>
      </c>
      <c r="C425">
        <f>_xlfn.XLOOKUP(A425,Energy!A:A,Energy!H:H,0,-1)</f>
        <v>2811.4390339662159</v>
      </c>
      <c r="D425">
        <f t="shared" si="24"/>
        <v>5494.5306989242818</v>
      </c>
      <c r="E425">
        <f>_xlfn.XLOOKUP(A425,Banks!A:A,Banks!I:I,0)</f>
        <v>36073.621686726248</v>
      </c>
      <c r="F425">
        <f>_xlfn.XLOOKUP(A425,Energy!A:A,Energy!I:I,0)</f>
        <v>0</v>
      </c>
      <c r="G425">
        <f t="shared" si="25"/>
        <v>36073.621686726248</v>
      </c>
      <c r="H425">
        <f t="shared" si="26"/>
        <v>30579.090987801967</v>
      </c>
      <c r="I425" t="b">
        <f t="shared" si="27"/>
        <v>0</v>
      </c>
    </row>
    <row r="426" spans="1:9">
      <c r="A426" s="1">
        <v>45986.606944444437</v>
      </c>
      <c r="B426" s="5">
        <f>_xlfn.XLOOKUP(A426,Banks!A:A,Banks!H:H,0,-1)</f>
        <v>2675.563675580845</v>
      </c>
      <c r="C426">
        <f>_xlfn.XLOOKUP(A426,Energy!A:A,Energy!H:H,0,-1)</f>
        <v>2811.4390339662159</v>
      </c>
      <c r="D426">
        <f t="shared" si="24"/>
        <v>5487.0027095470614</v>
      </c>
      <c r="E426">
        <f>_xlfn.XLOOKUP(A426,Banks!A:A,Banks!I:I,0)</f>
        <v>36044.334366972747</v>
      </c>
      <c r="F426">
        <f>_xlfn.XLOOKUP(A426,Energy!A:A,Energy!I:I,0)</f>
        <v>0</v>
      </c>
      <c r="G426">
        <f t="shared" si="25"/>
        <v>36044.334366972747</v>
      </c>
      <c r="H426">
        <f t="shared" si="26"/>
        <v>30557.331657425686</v>
      </c>
      <c r="I426" t="b">
        <f t="shared" si="27"/>
        <v>0</v>
      </c>
    </row>
    <row r="427" spans="1:9">
      <c r="A427" s="1">
        <v>45986.607638888891</v>
      </c>
      <c r="B427" s="5">
        <f>_xlfn.XLOOKUP(A427,Banks!A:A,Banks!H:H,0,-1)</f>
        <v>2703.345397458902</v>
      </c>
      <c r="C427">
        <f>_xlfn.XLOOKUP(A427,Energy!A:A,Energy!H:H,0,-1)</f>
        <v>2811.4390339662159</v>
      </c>
      <c r="D427">
        <f t="shared" si="24"/>
        <v>5514.7844314251179</v>
      </c>
      <c r="E427">
        <f>_xlfn.XLOOKUP(A427,Banks!A:A,Banks!I:I,0)</f>
        <v>36038.778022597129</v>
      </c>
      <c r="F427">
        <f>_xlfn.XLOOKUP(A427,Energy!A:A,Energy!I:I,0)</f>
        <v>0</v>
      </c>
      <c r="G427">
        <f t="shared" si="25"/>
        <v>36038.778022597129</v>
      </c>
      <c r="H427">
        <f t="shared" si="26"/>
        <v>30523.993591172009</v>
      </c>
      <c r="I427" t="b">
        <f t="shared" si="27"/>
        <v>0</v>
      </c>
    </row>
    <row r="428" spans="1:9">
      <c r="A428" s="1">
        <v>45986.60833333333</v>
      </c>
      <c r="B428" s="5">
        <f>_xlfn.XLOOKUP(A428,Banks!A:A,Banks!H:H,0,-1)</f>
        <v>2810.566423590843</v>
      </c>
      <c r="C428">
        <f>_xlfn.XLOOKUP(A428,Energy!A:A,Energy!H:H,0,-1)</f>
        <v>2811.4390339662159</v>
      </c>
      <c r="D428">
        <f t="shared" si="24"/>
        <v>5622.0054575570593</v>
      </c>
      <c r="E428">
        <f>_xlfn.XLOOKUP(A428,Banks!A:A,Banks!I:I,0)</f>
        <v>36025.032046777989</v>
      </c>
      <c r="F428">
        <f>_xlfn.XLOOKUP(A428,Energy!A:A,Energy!I:I,0)</f>
        <v>0</v>
      </c>
      <c r="G428">
        <f t="shared" si="25"/>
        <v>36025.032046777989</v>
      </c>
      <c r="H428">
        <f t="shared" si="26"/>
        <v>30403.026589220928</v>
      </c>
      <c r="I428" t="b">
        <f t="shared" si="27"/>
        <v>0</v>
      </c>
    </row>
    <row r="429" spans="1:9">
      <c r="A429" s="1">
        <v>45986.609027777777</v>
      </c>
      <c r="B429" s="5">
        <f>_xlfn.XLOOKUP(A429,Banks!A:A,Banks!H:H,0,-1)</f>
        <v>2741.1121188957022</v>
      </c>
      <c r="C429">
        <f>_xlfn.XLOOKUP(A429,Energy!A:A,Energy!H:H,0,-1)</f>
        <v>2811.4390339662159</v>
      </c>
      <c r="D429">
        <f t="shared" si="24"/>
        <v>5552.5511528619181</v>
      </c>
      <c r="E429">
        <f>_xlfn.XLOOKUP(A429,Banks!A:A,Banks!I:I,0)</f>
        <v>36038.922907717017</v>
      </c>
      <c r="F429">
        <f>_xlfn.XLOOKUP(A429,Energy!A:A,Energy!I:I,0)</f>
        <v>0</v>
      </c>
      <c r="G429">
        <f t="shared" si="25"/>
        <v>36038.922907717017</v>
      </c>
      <c r="H429">
        <f t="shared" si="26"/>
        <v>30486.371754855099</v>
      </c>
      <c r="I429" t="b">
        <f t="shared" si="27"/>
        <v>0</v>
      </c>
    </row>
    <row r="430" spans="1:9">
      <c r="A430" s="1">
        <v>45986.609722222223</v>
      </c>
      <c r="B430" s="5">
        <f>_xlfn.XLOOKUP(A430,Banks!A:A,Banks!H:H,0,-1)</f>
        <v>2624.9142521877661</v>
      </c>
      <c r="C430">
        <f>_xlfn.XLOOKUP(A430,Energy!A:A,Energy!H:H,0,-1)</f>
        <v>2811.4390339662159</v>
      </c>
      <c r="D430">
        <f t="shared" si="24"/>
        <v>5436.3532861539825</v>
      </c>
      <c r="E430">
        <f>_xlfn.XLOOKUP(A430,Banks!A:A,Banks!I:I,0)</f>
        <v>36008.274875207942</v>
      </c>
      <c r="F430">
        <f>_xlfn.XLOOKUP(A430,Energy!A:A,Energy!I:I,0)</f>
        <v>0</v>
      </c>
      <c r="G430">
        <f t="shared" si="25"/>
        <v>36008.274875207942</v>
      </c>
      <c r="H430">
        <f t="shared" si="26"/>
        <v>30571.92158905396</v>
      </c>
      <c r="I430" t="b">
        <f t="shared" si="27"/>
        <v>0</v>
      </c>
    </row>
    <row r="431" spans="1:9">
      <c r="A431" s="1">
        <v>45986.61041666667</v>
      </c>
      <c r="B431" s="5">
        <f>_xlfn.XLOOKUP(A431,Banks!A:A,Banks!H:H,0,-1)</f>
        <v>2491.2818759602228</v>
      </c>
      <c r="C431">
        <f>_xlfn.XLOOKUP(A431,Energy!A:A,Energy!H:H,0,-1)</f>
        <v>2811.4390339662159</v>
      </c>
      <c r="D431">
        <f t="shared" si="24"/>
        <v>5302.7209099264383</v>
      </c>
      <c r="E431">
        <f>_xlfn.XLOOKUP(A431,Banks!A:A,Banks!I:I,0)</f>
        <v>35992.661088713663</v>
      </c>
      <c r="F431">
        <f>_xlfn.XLOOKUP(A431,Energy!A:A,Energy!I:I,0)</f>
        <v>0</v>
      </c>
      <c r="G431">
        <f t="shared" si="25"/>
        <v>35992.661088713663</v>
      </c>
      <c r="H431">
        <f t="shared" si="26"/>
        <v>30689.940178787227</v>
      </c>
      <c r="I431" t="b">
        <f t="shared" si="27"/>
        <v>0</v>
      </c>
    </row>
    <row r="432" spans="1:9">
      <c r="A432" s="1">
        <v>45986.611111111109</v>
      </c>
      <c r="B432" s="5">
        <f>_xlfn.XLOOKUP(A432,Banks!A:A,Banks!H:H,0,-1)</f>
        <v>2237.0066565144562</v>
      </c>
      <c r="C432">
        <f>_xlfn.XLOOKUP(A432,Energy!A:A,Energy!H:H,0,-1)</f>
        <v>2811.4390339662159</v>
      </c>
      <c r="D432">
        <f t="shared" si="24"/>
        <v>5048.4456904806721</v>
      </c>
      <c r="E432">
        <f>_xlfn.XLOOKUP(A432,Banks!A:A,Banks!I:I,0)</f>
        <v>0</v>
      </c>
      <c r="F432">
        <f>_xlfn.XLOOKUP(A432,Energy!A:A,Energy!I:I,0)</f>
        <v>0</v>
      </c>
      <c r="G432">
        <f t="shared" si="25"/>
        <v>0</v>
      </c>
      <c r="H432">
        <f t="shared" si="26"/>
        <v>-5048.4456904806721</v>
      </c>
      <c r="I432" t="b">
        <f t="shared" si="27"/>
        <v>0</v>
      </c>
    </row>
    <row r="433" spans="1:9">
      <c r="A433" s="1">
        <v>45986.754861111112</v>
      </c>
      <c r="B433" s="5">
        <f>_xlfn.XLOOKUP(A433,Banks!A:A,Banks!H:H,0,-1)</f>
        <v>2237.0066565144562</v>
      </c>
      <c r="C433">
        <f>_xlfn.XLOOKUP(A433,Energy!A:A,Energy!H:H,0,-1)</f>
        <v>2811.4390339662159</v>
      </c>
      <c r="D433">
        <f t="shared" si="24"/>
        <v>5048.4456904806721</v>
      </c>
      <c r="E433">
        <f>_xlfn.XLOOKUP(A433,Banks!A:A,Banks!I:I,0)</f>
        <v>35717.046123811859</v>
      </c>
      <c r="F433">
        <f>_xlfn.XLOOKUP(A433,Energy!A:A,Energy!I:I,0)</f>
        <v>0</v>
      </c>
      <c r="G433">
        <f t="shared" si="25"/>
        <v>35717.046123811859</v>
      </c>
      <c r="H433">
        <f t="shared" si="26"/>
        <v>30668.600433331187</v>
      </c>
      <c r="I433" t="b">
        <f t="shared" si="27"/>
        <v>0</v>
      </c>
    </row>
    <row r="434" spans="1:9">
      <c r="A434" s="1">
        <v>45986.755555555559</v>
      </c>
      <c r="B434" s="5">
        <f>_xlfn.XLOOKUP(A434,Banks!A:A,Banks!H:H,0,-1)</f>
        <v>2266.185334737771</v>
      </c>
      <c r="C434">
        <f>_xlfn.XLOOKUP(A434,Energy!A:A,Energy!H:H,0,-1)</f>
        <v>2811.4390339662159</v>
      </c>
      <c r="D434">
        <f t="shared" si="24"/>
        <v>5077.6243687039869</v>
      </c>
      <c r="E434">
        <f>_xlfn.XLOOKUP(A434,Banks!A:A,Banks!I:I,0)</f>
        <v>35734.00241095922</v>
      </c>
      <c r="F434">
        <f>_xlfn.XLOOKUP(A434,Energy!A:A,Energy!I:I,0)</f>
        <v>0</v>
      </c>
      <c r="G434">
        <f t="shared" si="25"/>
        <v>35734.00241095922</v>
      </c>
      <c r="H434">
        <f t="shared" si="26"/>
        <v>30656.378042255234</v>
      </c>
      <c r="I434" t="b">
        <f t="shared" si="27"/>
        <v>0</v>
      </c>
    </row>
    <row r="435" spans="1:9">
      <c r="A435" s="1">
        <v>45986.756249999999</v>
      </c>
      <c r="B435" s="5">
        <f>_xlfn.XLOOKUP(A435,Banks!A:A,Banks!H:H,0,-1)</f>
        <v>2243.2470690182558</v>
      </c>
      <c r="C435">
        <f>_xlfn.XLOOKUP(A435,Energy!A:A,Energy!H:H,0,-1)</f>
        <v>2811.4390339662159</v>
      </c>
      <c r="D435">
        <f t="shared" si="24"/>
        <v>5054.6861029844713</v>
      </c>
      <c r="E435">
        <f>_xlfn.XLOOKUP(A435,Banks!A:A,Banks!I:I,0)</f>
        <v>35742.388734568463</v>
      </c>
      <c r="F435">
        <f>_xlfn.XLOOKUP(A435,Energy!A:A,Energy!I:I,0)</f>
        <v>0</v>
      </c>
      <c r="G435">
        <f t="shared" si="25"/>
        <v>35742.388734568463</v>
      </c>
      <c r="H435">
        <f t="shared" si="26"/>
        <v>30687.70263158399</v>
      </c>
      <c r="I435" t="b">
        <f t="shared" si="27"/>
        <v>0</v>
      </c>
    </row>
    <row r="436" spans="1:9">
      <c r="A436" s="1">
        <v>45986.756944444453</v>
      </c>
      <c r="B436" s="5">
        <f>_xlfn.XLOOKUP(A436,Banks!A:A,Banks!H:H,0,-1)</f>
        <v>2280.7746738494288</v>
      </c>
      <c r="C436">
        <f>_xlfn.XLOOKUP(A436,Energy!A:A,Energy!H:H,0,-1)</f>
        <v>2811.4390339662159</v>
      </c>
      <c r="D436">
        <f t="shared" si="24"/>
        <v>5092.2137078156447</v>
      </c>
      <c r="E436">
        <f>_xlfn.XLOOKUP(A436,Banks!A:A,Banks!I:I,0)</f>
        <v>35742.4805545329</v>
      </c>
      <c r="F436">
        <f>_xlfn.XLOOKUP(A436,Energy!A:A,Energy!I:I,0)</f>
        <v>0</v>
      </c>
      <c r="G436">
        <f t="shared" si="25"/>
        <v>35742.4805545329</v>
      </c>
      <c r="H436">
        <f t="shared" si="26"/>
        <v>30650.266846717255</v>
      </c>
      <c r="I436" t="b">
        <f t="shared" si="27"/>
        <v>0</v>
      </c>
    </row>
    <row r="437" spans="1:9">
      <c r="A437" s="1">
        <v>45986.757638888892</v>
      </c>
      <c r="B437" s="5">
        <f>_xlfn.XLOOKUP(A437,Banks!A:A,Banks!H:H,0,-1)</f>
        <v>2280.5451239383342</v>
      </c>
      <c r="C437">
        <f>_xlfn.XLOOKUP(A437,Energy!A:A,Energy!H:H,0,-1)</f>
        <v>2811.4390339662159</v>
      </c>
      <c r="D437">
        <f t="shared" si="24"/>
        <v>5091.9841579045496</v>
      </c>
      <c r="E437">
        <f>_xlfn.XLOOKUP(A437,Banks!A:A,Banks!I:I,0)</f>
        <v>35738.727794049781</v>
      </c>
      <c r="F437">
        <f>_xlfn.XLOOKUP(A437,Energy!A:A,Energy!I:I,0)</f>
        <v>0</v>
      </c>
      <c r="G437">
        <f t="shared" si="25"/>
        <v>35738.727794049781</v>
      </c>
      <c r="H437">
        <f t="shared" si="26"/>
        <v>30646.743636145231</v>
      </c>
      <c r="I437" t="b">
        <f t="shared" si="27"/>
        <v>0</v>
      </c>
    </row>
    <row r="438" spans="1:9">
      <c r="A438" s="1">
        <v>45986.758333333331</v>
      </c>
      <c r="B438" s="5">
        <f>_xlfn.XLOOKUP(A438,Banks!A:A,Banks!H:H,0,-1)</f>
        <v>2228.8872798176799</v>
      </c>
      <c r="C438">
        <f>_xlfn.XLOOKUP(A438,Energy!A:A,Energy!H:H,0,-1)</f>
        <v>2811.4390339662159</v>
      </c>
      <c r="D438">
        <f t="shared" si="24"/>
        <v>5040.3263137838958</v>
      </c>
      <c r="E438">
        <f>_xlfn.XLOOKUP(A438,Banks!A:A,Banks!I:I,0)</f>
        <v>35737.663351477902</v>
      </c>
      <c r="F438">
        <f>_xlfn.XLOOKUP(A438,Energy!A:A,Energy!I:I,0)</f>
        <v>0</v>
      </c>
      <c r="G438">
        <f t="shared" si="25"/>
        <v>35737.663351477902</v>
      </c>
      <c r="H438">
        <f t="shared" si="26"/>
        <v>30697.337037694007</v>
      </c>
      <c r="I438" t="b">
        <f t="shared" si="27"/>
        <v>0</v>
      </c>
    </row>
    <row r="439" spans="1:9">
      <c r="A439" s="1">
        <v>45986.759027777778</v>
      </c>
      <c r="B439" s="5">
        <f>_xlfn.XLOOKUP(A439,Banks!A:A,Banks!H:H,0,-1)</f>
        <v>2196.6818878459121</v>
      </c>
      <c r="C439">
        <f>_xlfn.XLOOKUP(A439,Energy!A:A,Energy!H:H,0,-1)</f>
        <v>2811.4390339662159</v>
      </c>
      <c r="D439">
        <f t="shared" si="24"/>
        <v>5008.1209218121276</v>
      </c>
      <c r="E439">
        <f>_xlfn.XLOOKUP(A439,Banks!A:A,Banks!I:I,0)</f>
        <v>35747.903100337593</v>
      </c>
      <c r="F439">
        <f>_xlfn.XLOOKUP(A439,Energy!A:A,Energy!I:I,0)</f>
        <v>0</v>
      </c>
      <c r="G439">
        <f t="shared" si="25"/>
        <v>35747.903100337593</v>
      </c>
      <c r="H439">
        <f t="shared" si="26"/>
        <v>30739.782178525464</v>
      </c>
      <c r="I439" t="b">
        <f t="shared" si="27"/>
        <v>0</v>
      </c>
    </row>
    <row r="440" spans="1:9">
      <c r="A440" s="1">
        <v>45986.759722222218</v>
      </c>
      <c r="B440" s="5">
        <f>_xlfn.XLOOKUP(A440,Banks!A:A,Banks!H:H,0,-1)</f>
        <v>2228.657729906598</v>
      </c>
      <c r="C440">
        <f>_xlfn.XLOOKUP(A440,Energy!A:A,Energy!H:H,0,-1)</f>
        <v>2811.4390339662159</v>
      </c>
      <c r="D440">
        <f t="shared" si="24"/>
        <v>5040.0967638728143</v>
      </c>
      <c r="E440">
        <f>_xlfn.XLOOKUP(A440,Banks!A:A,Banks!I:I,0)</f>
        <v>35733.910590994783</v>
      </c>
      <c r="F440">
        <f>_xlfn.XLOOKUP(A440,Energy!A:A,Energy!I:I,0)</f>
        <v>0</v>
      </c>
      <c r="G440">
        <f t="shared" si="25"/>
        <v>35733.910590994783</v>
      </c>
      <c r="H440">
        <f t="shared" si="26"/>
        <v>30693.813827121969</v>
      </c>
      <c r="I440" t="b">
        <f t="shared" si="27"/>
        <v>0</v>
      </c>
    </row>
    <row r="441" spans="1:9">
      <c r="A441" s="1">
        <v>45986.760416666657</v>
      </c>
      <c r="B441" s="5">
        <f>_xlfn.XLOOKUP(A441,Banks!A:A,Banks!H:H,0,-1)</f>
        <v>2224.2537166915599</v>
      </c>
      <c r="C441">
        <f>_xlfn.XLOOKUP(A441,Energy!A:A,Energy!H:H,0,-1)</f>
        <v>2811.4390339662159</v>
      </c>
      <c r="D441">
        <f t="shared" si="24"/>
        <v>5035.6927506577758</v>
      </c>
      <c r="E441">
        <f>_xlfn.XLOOKUP(A441,Banks!A:A,Banks!I:I,0)</f>
        <v>35738.590064103133</v>
      </c>
      <c r="F441">
        <f>_xlfn.XLOOKUP(A441,Energy!A:A,Energy!I:I,0)</f>
        <v>0</v>
      </c>
      <c r="G441">
        <f t="shared" si="25"/>
        <v>35738.590064103133</v>
      </c>
      <c r="H441">
        <f t="shared" si="26"/>
        <v>30702.897313445355</v>
      </c>
      <c r="I441" t="b">
        <f t="shared" si="27"/>
        <v>0</v>
      </c>
    </row>
    <row r="442" spans="1:9">
      <c r="A442" s="1">
        <v>45986.761111111111</v>
      </c>
      <c r="B442" s="5">
        <f>_xlfn.XLOOKUP(A442,Banks!A:A,Banks!H:H,0,-1)</f>
        <v>2200.6268012387459</v>
      </c>
      <c r="C442">
        <f>_xlfn.XLOOKUP(A442,Energy!A:A,Energy!H:H,0,-1)</f>
        <v>2811.4390339662159</v>
      </c>
      <c r="D442">
        <f t="shared" si="24"/>
        <v>5012.0658352049613</v>
      </c>
      <c r="E442">
        <f>_xlfn.XLOOKUP(A442,Banks!A:A,Banks!I:I,0)</f>
        <v>35735.718106263019</v>
      </c>
      <c r="F442">
        <f>_xlfn.XLOOKUP(A442,Energy!A:A,Energy!I:I,0)</f>
        <v>0</v>
      </c>
      <c r="G442">
        <f t="shared" si="25"/>
        <v>35735.718106263019</v>
      </c>
      <c r="H442">
        <f t="shared" si="26"/>
        <v>30723.652271058058</v>
      </c>
      <c r="I442" t="b">
        <f t="shared" si="27"/>
        <v>0</v>
      </c>
    </row>
    <row r="443" spans="1:9">
      <c r="A443" s="1">
        <v>45986.761805555558</v>
      </c>
      <c r="B443" s="5">
        <f>_xlfn.XLOOKUP(A443,Banks!A:A,Banks!H:H,0,-1)</f>
        <v>2181.403899000969</v>
      </c>
      <c r="C443">
        <f>_xlfn.XLOOKUP(A443,Energy!A:A,Energy!H:H,0,-1)</f>
        <v>2811.4390339662159</v>
      </c>
      <c r="D443">
        <f t="shared" si="24"/>
        <v>4992.8429329671853</v>
      </c>
      <c r="E443">
        <f>_xlfn.XLOOKUP(A443,Banks!A:A,Banks!I:I,0)</f>
        <v>35728.166675314547</v>
      </c>
      <c r="F443">
        <f>_xlfn.XLOOKUP(A443,Energy!A:A,Energy!I:I,0)</f>
        <v>0</v>
      </c>
      <c r="G443">
        <f t="shared" si="25"/>
        <v>35728.166675314547</v>
      </c>
      <c r="H443">
        <f t="shared" si="26"/>
        <v>30735.323742347362</v>
      </c>
      <c r="I443" t="b">
        <f t="shared" si="27"/>
        <v>0</v>
      </c>
    </row>
    <row r="444" spans="1:9">
      <c r="A444" s="1">
        <v>45986.762499999997</v>
      </c>
      <c r="B444" s="5">
        <f>_xlfn.XLOOKUP(A444,Banks!A:A,Banks!H:H,0,-1)</f>
        <v>2185.807912216007</v>
      </c>
      <c r="C444">
        <f>_xlfn.XLOOKUP(A444,Energy!A:A,Energy!H:H,0,-1)</f>
        <v>2811.4390339662159</v>
      </c>
      <c r="D444">
        <f t="shared" si="24"/>
        <v>4997.2469461822229</v>
      </c>
      <c r="E444">
        <f>_xlfn.XLOOKUP(A444,Banks!A:A,Banks!I:I,0)</f>
        <v>35723.487202206212</v>
      </c>
      <c r="F444">
        <f>_xlfn.XLOOKUP(A444,Energy!A:A,Energy!I:I,0)</f>
        <v>0</v>
      </c>
      <c r="G444">
        <f t="shared" si="25"/>
        <v>35723.487202206212</v>
      </c>
      <c r="H444">
        <f t="shared" si="26"/>
        <v>30726.24025602399</v>
      </c>
      <c r="I444" t="b">
        <f t="shared" si="27"/>
        <v>0</v>
      </c>
    </row>
    <row r="445" spans="1:9">
      <c r="A445" s="1">
        <v>45986.763194444437</v>
      </c>
      <c r="B445" s="5">
        <f>_xlfn.XLOOKUP(A445,Banks!A:A,Banks!H:H,0,-1)</f>
        <v>2218.931503832142</v>
      </c>
      <c r="C445">
        <f>_xlfn.XLOOKUP(A445,Energy!A:A,Energy!H:H,0,-1)</f>
        <v>2811.4390339662159</v>
      </c>
      <c r="D445">
        <f t="shared" si="24"/>
        <v>5030.3705377983579</v>
      </c>
      <c r="E445">
        <f>_xlfn.XLOOKUP(A445,Banks!A:A,Banks!I:I,0)</f>
        <v>35728.258495278998</v>
      </c>
      <c r="F445">
        <f>_xlfn.XLOOKUP(A445,Energy!A:A,Energy!I:I,0)</f>
        <v>0</v>
      </c>
      <c r="G445">
        <f t="shared" si="25"/>
        <v>35728.258495278998</v>
      </c>
      <c r="H445">
        <f t="shared" si="26"/>
        <v>30697.887957480641</v>
      </c>
      <c r="I445" t="b">
        <f t="shared" si="27"/>
        <v>0</v>
      </c>
    </row>
    <row r="446" spans="1:9">
      <c r="A446" s="1">
        <v>45986.763888888891</v>
      </c>
      <c r="B446" s="5">
        <f>_xlfn.XLOOKUP(A446,Banks!A:A,Banks!H:H,0,-1)</f>
        <v>2228.1986300843942</v>
      </c>
      <c r="C446">
        <f>_xlfn.XLOOKUP(A446,Energy!A:A,Energy!H:H,0,-1)</f>
        <v>2811.4390339662159</v>
      </c>
      <c r="D446">
        <f t="shared" si="24"/>
        <v>5039.6376640506096</v>
      </c>
      <c r="E446">
        <f>_xlfn.XLOOKUP(A446,Banks!A:A,Banks!I:I,0)</f>
        <v>35726.405070028552</v>
      </c>
      <c r="F446">
        <f>_xlfn.XLOOKUP(A446,Energy!A:A,Energy!I:I,0)</f>
        <v>0</v>
      </c>
      <c r="G446">
        <f t="shared" si="25"/>
        <v>35726.405070028552</v>
      </c>
      <c r="H446">
        <f t="shared" si="26"/>
        <v>30686.767405977942</v>
      </c>
      <c r="I446" t="b">
        <f t="shared" si="27"/>
        <v>0</v>
      </c>
    </row>
    <row r="447" spans="1:9">
      <c r="A447" s="1">
        <v>45986.76458333333</v>
      </c>
      <c r="B447" s="5">
        <f>_xlfn.XLOOKUP(A447,Banks!A:A,Banks!H:H,0,-1)</f>
        <v>2163.3287463186539</v>
      </c>
      <c r="C447">
        <f>_xlfn.XLOOKUP(A447,Energy!A:A,Energy!H:H,0,-1)</f>
        <v>2811.4390339662159</v>
      </c>
      <c r="D447">
        <f t="shared" si="24"/>
        <v>4974.7677802848702</v>
      </c>
      <c r="E447">
        <f>_xlfn.XLOOKUP(A447,Banks!A:A,Banks!I:I,0)</f>
        <v>35739.379046781687</v>
      </c>
      <c r="F447">
        <f>_xlfn.XLOOKUP(A447,Energy!A:A,Energy!I:I,0)</f>
        <v>0</v>
      </c>
      <c r="G447">
        <f t="shared" si="25"/>
        <v>35739.379046781687</v>
      </c>
      <c r="H447">
        <f t="shared" si="26"/>
        <v>30764.611266496817</v>
      </c>
      <c r="I447" t="b">
        <f t="shared" si="27"/>
        <v>0</v>
      </c>
    </row>
    <row r="448" spans="1:9">
      <c r="A448" s="1">
        <v>45986.765277777777</v>
      </c>
      <c r="B448" s="5">
        <f>_xlfn.XLOOKUP(A448,Banks!A:A,Banks!H:H,0,-1)</f>
        <v>2201.3154509720321</v>
      </c>
      <c r="C448">
        <f>_xlfn.XLOOKUP(A448,Energy!A:A,Energy!H:H,0,-1)</f>
        <v>2811.4390339662159</v>
      </c>
      <c r="D448">
        <f t="shared" si="24"/>
        <v>5012.7544849382484</v>
      </c>
      <c r="E448">
        <f>_xlfn.XLOOKUP(A448,Banks!A:A,Banks!I:I,0)</f>
        <v>35746.97638771237</v>
      </c>
      <c r="F448">
        <f>_xlfn.XLOOKUP(A448,Energy!A:A,Energy!I:I,0)</f>
        <v>0</v>
      </c>
      <c r="G448">
        <f t="shared" si="25"/>
        <v>35746.97638771237</v>
      </c>
      <c r="H448">
        <f t="shared" si="26"/>
        <v>30734.221902774123</v>
      </c>
      <c r="I448" t="b">
        <f t="shared" si="27"/>
        <v>0</v>
      </c>
    </row>
    <row r="449" spans="1:9">
      <c r="A449" s="1">
        <v>45986.765972222223</v>
      </c>
      <c r="B449" s="5">
        <f>_xlfn.XLOOKUP(A449,Banks!A:A,Banks!H:H,0,-1)</f>
        <v>2201.5450008831399</v>
      </c>
      <c r="C449">
        <f>_xlfn.XLOOKUP(A449,Energy!A:A,Energy!H:H,0,-1)</f>
        <v>2811.4390339662159</v>
      </c>
      <c r="D449">
        <f t="shared" si="24"/>
        <v>5012.9840348493562</v>
      </c>
      <c r="E449">
        <f>_xlfn.XLOOKUP(A449,Banks!A:A,Banks!I:I,0)</f>
        <v>35750.729148195489</v>
      </c>
      <c r="F449">
        <f>_xlfn.XLOOKUP(A449,Energy!A:A,Energy!I:I,0)</f>
        <v>0</v>
      </c>
      <c r="G449">
        <f t="shared" si="25"/>
        <v>35750.729148195489</v>
      </c>
      <c r="H449">
        <f t="shared" si="26"/>
        <v>30737.745113346133</v>
      </c>
      <c r="I449" t="b">
        <f t="shared" si="27"/>
        <v>0</v>
      </c>
    </row>
    <row r="450" spans="1:9">
      <c r="A450" s="1">
        <v>45986.76666666667</v>
      </c>
      <c r="B450" s="5">
        <f>_xlfn.XLOOKUP(A450,Banks!A:A,Banks!H:H,0,-1)</f>
        <v>2182.78119846754</v>
      </c>
      <c r="C450">
        <f>_xlfn.XLOOKUP(A450,Energy!A:A,Energy!H:H,0,-1)</f>
        <v>2811.4390339662159</v>
      </c>
      <c r="D450">
        <f t="shared" si="24"/>
        <v>4994.2202324337559</v>
      </c>
      <c r="E450">
        <f>_xlfn.XLOOKUP(A450,Banks!A:A,Banks!I:I,0)</f>
        <v>35750.683238213263</v>
      </c>
      <c r="F450">
        <f>_xlfn.XLOOKUP(A450,Energy!A:A,Energy!I:I,0)</f>
        <v>0</v>
      </c>
      <c r="G450">
        <f t="shared" si="25"/>
        <v>35750.683238213263</v>
      </c>
      <c r="H450">
        <f t="shared" si="26"/>
        <v>30756.463005779508</v>
      </c>
      <c r="I450" t="b">
        <f t="shared" si="27"/>
        <v>0</v>
      </c>
    </row>
    <row r="451" spans="1:9">
      <c r="A451" s="1">
        <v>45986.767361111109</v>
      </c>
      <c r="B451" s="5">
        <f>_xlfn.XLOOKUP(A451,Banks!A:A,Banks!H:H,0,-1)</f>
        <v>2146.1717932807351</v>
      </c>
      <c r="C451">
        <f>_xlfn.XLOOKUP(A451,Energy!A:A,Energy!H:H,0,-1)</f>
        <v>2811.4390339662159</v>
      </c>
      <c r="D451">
        <f t="shared" ref="D451:D514" si="28">B451+C451</f>
        <v>4957.610827246951</v>
      </c>
      <c r="E451">
        <f>_xlfn.XLOOKUP(A451,Banks!A:A,Banks!I:I,0)</f>
        <v>35765.602460181297</v>
      </c>
      <c r="F451">
        <f>_xlfn.XLOOKUP(A451,Energy!A:A,Energy!I:I,0)</f>
        <v>0</v>
      </c>
      <c r="G451">
        <f t="shared" ref="G451:G514" si="29">F451+E451</f>
        <v>35765.602460181297</v>
      </c>
      <c r="H451">
        <f t="shared" ref="H451:H514" si="30">G451-D451</f>
        <v>30807.991632934347</v>
      </c>
      <c r="I451" t="b">
        <f t="shared" ref="I451:I514" si="31">AND(E451&gt;0,F451&gt;0)</f>
        <v>0</v>
      </c>
    </row>
    <row r="452" spans="1:9">
      <c r="A452" s="1">
        <v>45986.768055555563</v>
      </c>
      <c r="B452" s="5">
        <f>_xlfn.XLOOKUP(A452,Banks!A:A,Banks!H:H,0,-1)</f>
        <v>2160.302032570215</v>
      </c>
      <c r="C452">
        <f>_xlfn.XLOOKUP(A452,Energy!A:A,Energy!H:H,0,-1)</f>
        <v>2811.4390339662159</v>
      </c>
      <c r="D452">
        <f t="shared" si="28"/>
        <v>4971.7410665364314</v>
      </c>
      <c r="E452">
        <f>_xlfn.XLOOKUP(A452,Banks!A:A,Banks!I:I,0)</f>
        <v>35766.575082788753</v>
      </c>
      <c r="F452">
        <f>_xlfn.XLOOKUP(A452,Energy!A:A,Energy!I:I,0)</f>
        <v>0</v>
      </c>
      <c r="G452">
        <f t="shared" si="29"/>
        <v>35766.575082788753</v>
      </c>
      <c r="H452">
        <f t="shared" si="30"/>
        <v>30794.834016252324</v>
      </c>
      <c r="I452" t="b">
        <f t="shared" si="31"/>
        <v>0</v>
      </c>
    </row>
    <row r="453" spans="1:9">
      <c r="A453" s="1">
        <v>45986.768750000003</v>
      </c>
      <c r="B453" s="5">
        <f>_xlfn.XLOOKUP(A453,Banks!A:A,Banks!H:H,0,-1)</f>
        <v>2126.7193411318758</v>
      </c>
      <c r="C453">
        <f>_xlfn.XLOOKUP(A453,Energy!A:A,Energy!H:H,0,-1)</f>
        <v>2811.4390339662159</v>
      </c>
      <c r="D453">
        <f t="shared" si="28"/>
        <v>4938.1583750980917</v>
      </c>
      <c r="E453">
        <f>_xlfn.XLOOKUP(A453,Banks!A:A,Banks!I:I,0)</f>
        <v>35754.298268749728</v>
      </c>
      <c r="F453">
        <f>_xlfn.XLOOKUP(A453,Energy!A:A,Energy!I:I,0)</f>
        <v>0</v>
      </c>
      <c r="G453">
        <f t="shared" si="29"/>
        <v>35754.298268749728</v>
      </c>
      <c r="H453">
        <f t="shared" si="30"/>
        <v>30816.139893651634</v>
      </c>
      <c r="I453" t="b">
        <f t="shared" si="31"/>
        <v>0</v>
      </c>
    </row>
    <row r="454" spans="1:9">
      <c r="A454" s="1">
        <v>45986.769444444442</v>
      </c>
      <c r="B454" s="5">
        <f>_xlfn.XLOOKUP(A454,Banks!A:A,Banks!H:H,0,-1)</f>
        <v>2137.3637668506858</v>
      </c>
      <c r="C454">
        <f>_xlfn.XLOOKUP(A454,Energy!A:A,Energy!H:H,0,-1)</f>
        <v>2811.4390339662159</v>
      </c>
      <c r="D454">
        <f t="shared" si="28"/>
        <v>4948.8028008169022</v>
      </c>
      <c r="E454">
        <f>_xlfn.XLOOKUP(A454,Banks!A:A,Banks!I:I,0)</f>
        <v>35774.961406397983</v>
      </c>
      <c r="F454">
        <f>_xlfn.XLOOKUP(A454,Energy!A:A,Energy!I:I,0)</f>
        <v>0</v>
      </c>
      <c r="G454">
        <f t="shared" si="29"/>
        <v>35774.961406397983</v>
      </c>
      <c r="H454">
        <f t="shared" si="30"/>
        <v>30826.15860558108</v>
      </c>
      <c r="I454" t="b">
        <f t="shared" si="31"/>
        <v>0</v>
      </c>
    </row>
    <row r="455" spans="1:9">
      <c r="A455" s="1">
        <v>45986.770138888889</v>
      </c>
      <c r="B455" s="5">
        <f>_xlfn.XLOOKUP(A455,Banks!A:A,Banks!H:H,0,-1)</f>
        <v>2132.7302037245672</v>
      </c>
      <c r="C455">
        <f>_xlfn.XLOOKUP(A455,Energy!A:A,Energy!H:H,0,-1)</f>
        <v>2811.4390339662159</v>
      </c>
      <c r="D455">
        <f t="shared" si="28"/>
        <v>4944.1692376907831</v>
      </c>
      <c r="E455">
        <f>_xlfn.XLOOKUP(A455,Banks!A:A,Banks!I:I,0)</f>
        <v>35775.888119023213</v>
      </c>
      <c r="F455">
        <f>_xlfn.XLOOKUP(A455,Energy!A:A,Energy!I:I,0)</f>
        <v>0</v>
      </c>
      <c r="G455">
        <f t="shared" si="29"/>
        <v>35775.888119023213</v>
      </c>
      <c r="H455">
        <f t="shared" si="30"/>
        <v>30831.718881332432</v>
      </c>
      <c r="I455" t="b">
        <f t="shared" si="31"/>
        <v>0</v>
      </c>
    </row>
    <row r="456" spans="1:9">
      <c r="A456" s="1">
        <v>45986.770833333343</v>
      </c>
      <c r="B456" s="5">
        <f>_xlfn.XLOOKUP(A456,Banks!A:A,Banks!H:H,0,-1)</f>
        <v>2104.4697251456191</v>
      </c>
      <c r="C456">
        <f>_xlfn.XLOOKUP(A456,Energy!A:A,Energy!H:H,0,-1)</f>
        <v>2811.4390339662159</v>
      </c>
      <c r="D456">
        <f t="shared" si="28"/>
        <v>4915.908759111835</v>
      </c>
      <c r="E456">
        <f>_xlfn.XLOOKUP(A456,Banks!A:A,Banks!I:I,0)</f>
        <v>35773.942873808322</v>
      </c>
      <c r="F456">
        <f>_xlfn.XLOOKUP(A456,Energy!A:A,Energy!I:I,0)</f>
        <v>0</v>
      </c>
      <c r="G456">
        <f t="shared" si="29"/>
        <v>35773.942873808322</v>
      </c>
      <c r="H456">
        <f t="shared" si="30"/>
        <v>30858.034114696486</v>
      </c>
      <c r="I456" t="b">
        <f t="shared" si="31"/>
        <v>0</v>
      </c>
    </row>
    <row r="457" spans="1:9">
      <c r="A457" s="1">
        <v>45986.771527777782</v>
      </c>
      <c r="B457" s="5">
        <f>_xlfn.XLOOKUP(A457,Banks!A:A,Banks!H:H,0,-1)</f>
        <v>2137.8228666728769</v>
      </c>
      <c r="C457">
        <f>_xlfn.XLOOKUP(A457,Energy!A:A,Energy!H:H,0,-1)</f>
        <v>2811.4390339662159</v>
      </c>
      <c r="D457">
        <f t="shared" si="28"/>
        <v>4949.2619006390923</v>
      </c>
      <c r="E457">
        <f>_xlfn.XLOOKUP(A457,Banks!A:A,Banks!I:I,0)</f>
        <v>35782.466927364228</v>
      </c>
      <c r="F457">
        <f>_xlfn.XLOOKUP(A457,Energy!A:A,Energy!I:I,0)</f>
        <v>0</v>
      </c>
      <c r="G457">
        <f t="shared" si="29"/>
        <v>35782.466927364228</v>
      </c>
      <c r="H457">
        <f t="shared" si="30"/>
        <v>30833.205026725136</v>
      </c>
      <c r="I457" t="b">
        <f t="shared" si="31"/>
        <v>0</v>
      </c>
    </row>
    <row r="458" spans="1:9">
      <c r="A458" s="1">
        <v>45986.772222222222</v>
      </c>
      <c r="B458" s="5">
        <f>_xlfn.XLOOKUP(A458,Banks!A:A,Banks!H:H,0,-1)</f>
        <v>2101.213461486072</v>
      </c>
      <c r="C458">
        <f>_xlfn.XLOOKUP(A458,Energy!A:A,Energy!H:H,0,-1)</f>
        <v>2811.4390339662159</v>
      </c>
      <c r="D458">
        <f t="shared" si="28"/>
        <v>4912.6524954522883</v>
      </c>
      <c r="E458">
        <f>_xlfn.XLOOKUP(A458,Banks!A:A,Banks!I:I,0)</f>
        <v>35797.386149332247</v>
      </c>
      <c r="F458">
        <f>_xlfn.XLOOKUP(A458,Energy!A:A,Energy!I:I,0)</f>
        <v>0</v>
      </c>
      <c r="G458">
        <f t="shared" si="29"/>
        <v>35797.386149332247</v>
      </c>
      <c r="H458">
        <f t="shared" si="30"/>
        <v>30884.733653879957</v>
      </c>
      <c r="I458" t="b">
        <f t="shared" si="31"/>
        <v>0</v>
      </c>
    </row>
    <row r="459" spans="1:9">
      <c r="A459" s="1">
        <v>45986.772916666669</v>
      </c>
      <c r="B459" s="5">
        <f>_xlfn.XLOOKUP(A459,Banks!A:A,Banks!H:H,0,-1)</f>
        <v>2101.6725613082622</v>
      </c>
      <c r="C459">
        <f>_xlfn.XLOOKUP(A459,Energy!A:A,Energy!H:H,0,-1)</f>
        <v>2811.4390339662159</v>
      </c>
      <c r="D459">
        <f t="shared" si="28"/>
        <v>4913.1115952744785</v>
      </c>
      <c r="E459">
        <f>_xlfn.XLOOKUP(A459,Banks!A:A,Banks!I:I,0)</f>
        <v>35804.891670298493</v>
      </c>
      <c r="F459">
        <f>_xlfn.XLOOKUP(A459,Energy!A:A,Energy!I:I,0)</f>
        <v>0</v>
      </c>
      <c r="G459">
        <f t="shared" si="29"/>
        <v>35804.891670298493</v>
      </c>
      <c r="H459">
        <f t="shared" si="30"/>
        <v>30891.780075024013</v>
      </c>
      <c r="I459" t="b">
        <f t="shared" si="31"/>
        <v>0</v>
      </c>
    </row>
    <row r="460" spans="1:9">
      <c r="A460" s="1">
        <v>45986.773611111108</v>
      </c>
      <c r="B460" s="5">
        <f>_xlfn.XLOOKUP(A460,Banks!A:A,Banks!H:H,0,-1)</f>
        <v>2139.2001661394488</v>
      </c>
      <c r="C460">
        <f>_xlfn.XLOOKUP(A460,Energy!A:A,Energy!H:H,0,-1)</f>
        <v>2811.4390339662159</v>
      </c>
      <c r="D460">
        <f t="shared" si="28"/>
        <v>4950.6392001056647</v>
      </c>
      <c r="E460">
        <f>_xlfn.XLOOKUP(A460,Banks!A:A,Banks!I:I,0)</f>
        <v>35804.98349026293</v>
      </c>
      <c r="F460">
        <f>_xlfn.XLOOKUP(A460,Energy!A:A,Energy!I:I,0)</f>
        <v>0</v>
      </c>
      <c r="G460">
        <f t="shared" si="29"/>
        <v>35804.98349026293</v>
      </c>
      <c r="H460">
        <f t="shared" si="30"/>
        <v>30854.344290157263</v>
      </c>
      <c r="I460" t="b">
        <f t="shared" si="31"/>
        <v>0</v>
      </c>
    </row>
    <row r="461" spans="1:9">
      <c r="A461" s="1">
        <v>45986.774305555547</v>
      </c>
      <c r="B461" s="5">
        <f>_xlfn.XLOOKUP(A461,Banks!A:A,Banks!H:H,0,-1)</f>
        <v>2125.2994767610771</v>
      </c>
      <c r="C461">
        <f>_xlfn.XLOOKUP(A461,Energy!A:A,Energy!H:H,0,-1)</f>
        <v>2811.4390339662159</v>
      </c>
      <c r="D461">
        <f t="shared" si="28"/>
        <v>4936.738510727293</v>
      </c>
      <c r="E461">
        <f>_xlfn.XLOOKUP(A461,Banks!A:A,Banks!I:I,0)</f>
        <v>35807.7636281386</v>
      </c>
      <c r="F461">
        <f>_xlfn.XLOOKUP(A461,Energy!A:A,Energy!I:I,0)</f>
        <v>0</v>
      </c>
      <c r="G461">
        <f t="shared" si="29"/>
        <v>35807.7636281386</v>
      </c>
      <c r="H461">
        <f t="shared" si="30"/>
        <v>30871.025117411307</v>
      </c>
      <c r="I461" t="b">
        <f t="shared" si="31"/>
        <v>0</v>
      </c>
    </row>
    <row r="462" spans="1:9">
      <c r="A462" s="1">
        <v>45986.775000000001</v>
      </c>
      <c r="B462" s="5">
        <f>_xlfn.XLOOKUP(A462,Banks!A:A,Banks!H:H,0,-1)</f>
        <v>2091.4872354116419</v>
      </c>
      <c r="C462">
        <f>_xlfn.XLOOKUP(A462,Energy!A:A,Energy!H:H,0,-1)</f>
        <v>2811.4390339662159</v>
      </c>
      <c r="D462">
        <f t="shared" si="28"/>
        <v>4902.9262693778583</v>
      </c>
      <c r="E462">
        <f>_xlfn.XLOOKUP(A462,Banks!A:A,Banks!I:I,0)</f>
        <v>35791.73405361647</v>
      </c>
      <c r="F462">
        <f>_xlfn.XLOOKUP(A462,Energy!A:A,Energy!I:I,0)</f>
        <v>0</v>
      </c>
      <c r="G462">
        <f t="shared" si="29"/>
        <v>35791.73405361647</v>
      </c>
      <c r="H462">
        <f t="shared" si="30"/>
        <v>30888.807784238612</v>
      </c>
      <c r="I462" t="b">
        <f t="shared" si="31"/>
        <v>0</v>
      </c>
    </row>
    <row r="463" spans="1:9">
      <c r="A463" s="1">
        <v>45986.775694444441</v>
      </c>
      <c r="B463" s="5">
        <f>_xlfn.XLOOKUP(A463,Banks!A:A,Banks!H:H,0,-1)</f>
        <v>2123.233527561219</v>
      </c>
      <c r="C463">
        <f>_xlfn.XLOOKUP(A463,Energy!A:A,Energy!H:H,0,-1)</f>
        <v>2811.4390339662159</v>
      </c>
      <c r="D463">
        <f t="shared" si="28"/>
        <v>4934.6725615274354</v>
      </c>
      <c r="E463">
        <f>_xlfn.XLOOKUP(A463,Banks!A:A,Banks!I:I,0)</f>
        <v>35773.988783790548</v>
      </c>
      <c r="F463">
        <f>_xlfn.XLOOKUP(A463,Energy!A:A,Energy!I:I,0)</f>
        <v>0</v>
      </c>
      <c r="G463">
        <f t="shared" si="29"/>
        <v>35773.988783790548</v>
      </c>
      <c r="H463">
        <f t="shared" si="30"/>
        <v>30839.316222263114</v>
      </c>
      <c r="I463" t="b">
        <f t="shared" si="31"/>
        <v>0</v>
      </c>
    </row>
    <row r="464" spans="1:9">
      <c r="A464" s="1">
        <v>45986.776388888888</v>
      </c>
      <c r="B464" s="5">
        <f>_xlfn.XLOOKUP(A464,Banks!A:A,Banks!H:H,0,-1)</f>
        <v>2089.6508361228798</v>
      </c>
      <c r="C464">
        <f>_xlfn.XLOOKUP(A464,Energy!A:A,Energy!H:H,0,-1)</f>
        <v>2811.4390339662159</v>
      </c>
      <c r="D464">
        <f t="shared" si="28"/>
        <v>4901.0898700890957</v>
      </c>
      <c r="E464">
        <f>_xlfn.XLOOKUP(A464,Banks!A:A,Banks!I:I,0)</f>
        <v>35761.71196975153</v>
      </c>
      <c r="F464">
        <f>_xlfn.XLOOKUP(A464,Energy!A:A,Energy!I:I,0)</f>
        <v>0</v>
      </c>
      <c r="G464">
        <f t="shared" si="29"/>
        <v>35761.71196975153</v>
      </c>
      <c r="H464">
        <f t="shared" si="30"/>
        <v>30860.622099662432</v>
      </c>
      <c r="I464" t="b">
        <f t="shared" si="31"/>
        <v>0</v>
      </c>
    </row>
    <row r="465" spans="1:9">
      <c r="A465" s="1">
        <v>45986.777083333327</v>
      </c>
      <c r="B465" s="5">
        <f>_xlfn.XLOOKUP(A465,Banks!A:A,Banks!H:H,0,-1)</f>
        <v>2078.4466580507728</v>
      </c>
      <c r="C465">
        <f>_xlfn.XLOOKUP(A465,Energy!A:A,Energy!H:H,0,-1)</f>
        <v>2811.4390339662159</v>
      </c>
      <c r="D465">
        <f t="shared" si="28"/>
        <v>4889.8856920169892</v>
      </c>
      <c r="E465">
        <f>_xlfn.XLOOKUP(A465,Banks!A:A,Banks!I:I,0)</f>
        <v>0</v>
      </c>
      <c r="F465">
        <f>_xlfn.XLOOKUP(A465,Energy!A:A,Energy!I:I,0)</f>
        <v>0</v>
      </c>
      <c r="G465">
        <f t="shared" si="29"/>
        <v>0</v>
      </c>
      <c r="H465">
        <f t="shared" si="30"/>
        <v>-4889.8856920169892</v>
      </c>
      <c r="I465" t="b">
        <f t="shared" si="31"/>
        <v>0</v>
      </c>
    </row>
    <row r="466" spans="1:9">
      <c r="A466" s="1">
        <v>45986.871527777781</v>
      </c>
      <c r="B466" s="5">
        <f>_xlfn.XLOOKUP(A466,Banks!A:A,Banks!H:H,0,-1)</f>
        <v>2078.4466580507728</v>
      </c>
      <c r="C466">
        <f>_xlfn.XLOOKUP(A466,Energy!A:A,Energy!H:H,0,-1)</f>
        <v>2811.4390339662159</v>
      </c>
      <c r="D466">
        <f t="shared" si="28"/>
        <v>4889.8856920169892</v>
      </c>
      <c r="E466">
        <f>_xlfn.XLOOKUP(A466,Banks!A:A,Banks!I:I,0)</f>
        <v>35717.046123811859</v>
      </c>
      <c r="F466">
        <f>_xlfn.XLOOKUP(A466,Energy!A:A,Energy!I:I,0)</f>
        <v>0</v>
      </c>
      <c r="G466">
        <f t="shared" si="29"/>
        <v>35717.046123811859</v>
      </c>
      <c r="H466">
        <f t="shared" si="30"/>
        <v>30827.16043179487</v>
      </c>
      <c r="I466" t="b">
        <f t="shared" si="31"/>
        <v>0</v>
      </c>
    </row>
    <row r="467" spans="1:9">
      <c r="A467" s="1">
        <v>45986.87222222222</v>
      </c>
      <c r="B467" s="5">
        <f>_xlfn.XLOOKUP(A467,Banks!A:A,Banks!H:H,0,-1)</f>
        <v>2028.1973918297999</v>
      </c>
      <c r="C467">
        <f>_xlfn.XLOOKUP(A467,Energy!A:A,Energy!H:H,0,-1)</f>
        <v>2811.4390339662159</v>
      </c>
      <c r="D467">
        <f t="shared" si="28"/>
        <v>4839.6364257960158</v>
      </c>
      <c r="E467">
        <f>_xlfn.XLOOKUP(A467,Banks!A:A,Banks!I:I,0)</f>
        <v>35734.714299120613</v>
      </c>
      <c r="F467">
        <f>_xlfn.XLOOKUP(A467,Energy!A:A,Energy!I:I,0)</f>
        <v>0</v>
      </c>
      <c r="G467">
        <f t="shared" si="29"/>
        <v>35734.714299120613</v>
      </c>
      <c r="H467">
        <f t="shared" si="30"/>
        <v>30895.077873324597</v>
      </c>
      <c r="I467" t="b">
        <f t="shared" si="31"/>
        <v>0</v>
      </c>
    </row>
    <row r="468" spans="1:9">
      <c r="A468" s="1">
        <v>45986.872916666667</v>
      </c>
      <c r="B468" s="5">
        <f>_xlfn.XLOOKUP(A468,Banks!A:A,Banks!H:H,0,-1)</f>
        <v>1976.53032696021</v>
      </c>
      <c r="C468">
        <f>_xlfn.XLOOKUP(A468,Energy!A:A,Energy!H:H,0,-1)</f>
        <v>2811.4390339662159</v>
      </c>
      <c r="D468">
        <f t="shared" si="28"/>
        <v>4787.9693609264259</v>
      </c>
      <c r="E468">
        <f>_xlfn.XLOOKUP(A468,Banks!A:A,Banks!I:I,0)</f>
        <v>35733.620228997694</v>
      </c>
      <c r="F468">
        <f>_xlfn.XLOOKUP(A468,Energy!A:A,Energy!I:I,0)</f>
        <v>0</v>
      </c>
      <c r="G468">
        <f t="shared" si="29"/>
        <v>35733.620228997694</v>
      </c>
      <c r="H468">
        <f t="shared" si="30"/>
        <v>30945.650868071269</v>
      </c>
      <c r="I468" t="b">
        <f t="shared" si="31"/>
        <v>0</v>
      </c>
    </row>
    <row r="469" spans="1:9">
      <c r="A469" s="1">
        <v>45986.873611111107</v>
      </c>
      <c r="B469" s="5">
        <f>_xlfn.XLOOKUP(A469,Banks!A:A,Banks!H:H,0,-1)</f>
        <v>1951.4470517247071</v>
      </c>
      <c r="C469">
        <f>_xlfn.XLOOKUP(A469,Energy!A:A,Energy!H:H,0,-1)</f>
        <v>2811.4390339662159</v>
      </c>
      <c r="D469">
        <f t="shared" si="28"/>
        <v>4762.8860856909232</v>
      </c>
      <c r="E469">
        <f>_xlfn.XLOOKUP(A469,Banks!A:A,Banks!I:I,0)</f>
        <v>35711.97275681881</v>
      </c>
      <c r="F469">
        <f>_xlfn.XLOOKUP(A469,Energy!A:A,Energy!I:I,0)</f>
        <v>0</v>
      </c>
      <c r="G469">
        <f t="shared" si="29"/>
        <v>35711.97275681881</v>
      </c>
      <c r="H469">
        <f t="shared" si="30"/>
        <v>30949.086671127887</v>
      </c>
      <c r="I469" t="b">
        <f t="shared" si="31"/>
        <v>0</v>
      </c>
    </row>
    <row r="470" spans="1:9">
      <c r="A470" s="1">
        <v>45986.874305555553</v>
      </c>
      <c r="B470" s="5">
        <f>_xlfn.XLOOKUP(A470,Banks!A:A,Banks!H:H,0,-1)</f>
        <v>1979.4486400073729</v>
      </c>
      <c r="C470">
        <f>_xlfn.XLOOKUP(A470,Energy!A:A,Energy!H:H,0,-1)</f>
        <v>2811.4390339662159</v>
      </c>
      <c r="D470">
        <f t="shared" si="28"/>
        <v>4790.8876739735888</v>
      </c>
      <c r="E470">
        <f>_xlfn.XLOOKUP(A470,Banks!A:A,Banks!I:I,0)</f>
        <v>35710.181600194563</v>
      </c>
      <c r="F470">
        <f>_xlfn.XLOOKUP(A470,Energy!A:A,Energy!I:I,0)</f>
        <v>0</v>
      </c>
      <c r="G470">
        <f t="shared" si="29"/>
        <v>35710.181600194563</v>
      </c>
      <c r="H470">
        <f t="shared" si="30"/>
        <v>30919.293926220973</v>
      </c>
      <c r="I470" t="b">
        <f t="shared" si="31"/>
        <v>0</v>
      </c>
    </row>
    <row r="471" spans="1:9">
      <c r="A471" s="1">
        <v>45987.604166666657</v>
      </c>
      <c r="B471" s="5">
        <f>_xlfn.XLOOKUP(A471,Banks!A:A,Banks!H:H,0,-1)</f>
        <v>2050.3623540181388</v>
      </c>
      <c r="C471">
        <f>_xlfn.XLOOKUP(A471,Energy!A:A,Energy!H:H,0,-1)</f>
        <v>2811.4390339662159</v>
      </c>
      <c r="D471">
        <f t="shared" si="28"/>
        <v>4861.8013879843547</v>
      </c>
      <c r="E471">
        <f>_xlfn.XLOOKUP(A471,Banks!A:A,Banks!I:I,0)</f>
        <v>35779.80040010262</v>
      </c>
      <c r="F471">
        <f>_xlfn.XLOOKUP(A471,Energy!A:A,Energy!I:I,0)</f>
        <v>0</v>
      </c>
      <c r="G471">
        <f t="shared" si="29"/>
        <v>35779.80040010262</v>
      </c>
      <c r="H471">
        <f t="shared" si="30"/>
        <v>30917.999012118264</v>
      </c>
      <c r="I471" t="b">
        <f t="shared" si="31"/>
        <v>0</v>
      </c>
    </row>
    <row r="472" spans="1:9">
      <c r="A472" s="1">
        <v>45987.604861111111</v>
      </c>
      <c r="B472" s="5">
        <f>_xlfn.XLOOKUP(A472,Banks!A:A,Banks!H:H,0,-1)</f>
        <v>2102.596538347158</v>
      </c>
      <c r="C472">
        <f>_xlfn.XLOOKUP(A472,Energy!A:A,Energy!H:H,0,-1)</f>
        <v>2811.4390339662159</v>
      </c>
      <c r="D472">
        <f t="shared" si="28"/>
        <v>4914.0355723133744</v>
      </c>
      <c r="E472">
        <f>_xlfn.XLOOKUP(A472,Banks!A:A,Banks!I:I,0)</f>
        <v>35788.399368398233</v>
      </c>
      <c r="F472">
        <f>_xlfn.XLOOKUP(A472,Energy!A:A,Energy!I:I,0)</f>
        <v>0</v>
      </c>
      <c r="G472">
        <f t="shared" si="29"/>
        <v>35788.399368398233</v>
      </c>
      <c r="H472">
        <f t="shared" si="30"/>
        <v>30874.363796084857</v>
      </c>
      <c r="I472" t="b">
        <f t="shared" si="31"/>
        <v>0</v>
      </c>
    </row>
    <row r="473" spans="1:9">
      <c r="A473" s="1">
        <v>45987.605555555558</v>
      </c>
      <c r="B473" s="5">
        <f>_xlfn.XLOOKUP(A473,Banks!A:A,Banks!H:H,0,-1)</f>
        <v>2109.7682473401469</v>
      </c>
      <c r="C473">
        <f>_xlfn.XLOOKUP(A473,Energy!A:A,Energy!H:H,0,-1)</f>
        <v>2811.4390339662159</v>
      </c>
      <c r="D473">
        <f t="shared" si="28"/>
        <v>4921.2072813063623</v>
      </c>
      <c r="E473">
        <f>_xlfn.XLOOKUP(A473,Banks!A:A,Banks!I:I,0)</f>
        <v>35821.247475890174</v>
      </c>
      <c r="F473">
        <f>_xlfn.XLOOKUP(A473,Energy!A:A,Energy!I:I,0)</f>
        <v>0</v>
      </c>
      <c r="G473">
        <f t="shared" si="29"/>
        <v>35821.247475890174</v>
      </c>
      <c r="H473">
        <f t="shared" si="30"/>
        <v>30900.040194583809</v>
      </c>
      <c r="I473" t="b">
        <f t="shared" si="31"/>
        <v>0</v>
      </c>
    </row>
    <row r="474" spans="1:9">
      <c r="A474" s="1">
        <v>45987.606249999997</v>
      </c>
      <c r="B474" s="5">
        <f>_xlfn.XLOOKUP(A474,Banks!A:A,Banks!H:H,0,-1)</f>
        <v>2105.3494198944109</v>
      </c>
      <c r="C474">
        <f>_xlfn.XLOOKUP(A474,Energy!A:A,Energy!H:H,0,-1)</f>
        <v>2811.4390339662159</v>
      </c>
      <c r="D474">
        <f t="shared" si="28"/>
        <v>4916.7884538606268</v>
      </c>
      <c r="E474">
        <f>_xlfn.XLOOKUP(A474,Banks!A:A,Banks!I:I,0)</f>
        <v>35886.886978928131</v>
      </c>
      <c r="F474">
        <f>_xlfn.XLOOKUP(A474,Energy!A:A,Energy!I:I,0)</f>
        <v>0</v>
      </c>
      <c r="G474">
        <f t="shared" si="29"/>
        <v>35886.886978928131</v>
      </c>
      <c r="H474">
        <f t="shared" si="30"/>
        <v>30970.098525067504</v>
      </c>
      <c r="I474" t="b">
        <f t="shared" si="31"/>
        <v>0</v>
      </c>
    </row>
    <row r="475" spans="1:9">
      <c r="A475" s="1">
        <v>45987.606944444437</v>
      </c>
      <c r="B475" s="5">
        <f>_xlfn.XLOOKUP(A475,Banks!A:A,Banks!H:H,0,-1)</f>
        <v>2083.101741956104</v>
      </c>
      <c r="C475">
        <f>_xlfn.XLOOKUP(A475,Energy!A:A,Energy!H:H,0,-1)</f>
        <v>2811.4390339662159</v>
      </c>
      <c r="D475">
        <f t="shared" si="28"/>
        <v>4894.5407759223199</v>
      </c>
      <c r="E475">
        <f>_xlfn.XLOOKUP(A475,Banks!A:A,Banks!I:I,0)</f>
        <v>35902.763997612637</v>
      </c>
      <c r="F475">
        <f>_xlfn.XLOOKUP(A475,Energy!A:A,Energy!I:I,0)</f>
        <v>0</v>
      </c>
      <c r="G475">
        <f t="shared" si="29"/>
        <v>35902.763997612637</v>
      </c>
      <c r="H475">
        <f t="shared" si="30"/>
        <v>31008.223221690318</v>
      </c>
      <c r="I475" t="b">
        <f t="shared" si="31"/>
        <v>0</v>
      </c>
    </row>
    <row r="476" spans="1:9">
      <c r="A476" s="1">
        <v>45987.607638888891</v>
      </c>
      <c r="B476" s="5">
        <f>_xlfn.XLOOKUP(A476,Banks!A:A,Banks!H:H,0,-1)</f>
        <v>2136.200124729959</v>
      </c>
      <c r="C476">
        <f>_xlfn.XLOOKUP(A476,Energy!A:A,Energy!H:H,0,-1)</f>
        <v>2811.4390339662159</v>
      </c>
      <c r="D476">
        <f t="shared" si="28"/>
        <v>4947.6391586961745</v>
      </c>
      <c r="E476">
        <f>_xlfn.XLOOKUP(A476,Banks!A:A,Banks!I:I,0)</f>
        <v>0</v>
      </c>
      <c r="F476">
        <f>_xlfn.XLOOKUP(A476,Energy!A:A,Energy!I:I,0)</f>
        <v>0</v>
      </c>
      <c r="G476">
        <f t="shared" si="29"/>
        <v>0</v>
      </c>
      <c r="H476">
        <f t="shared" si="30"/>
        <v>-4947.6391586961745</v>
      </c>
      <c r="I476" t="b">
        <f t="shared" si="31"/>
        <v>0</v>
      </c>
    </row>
    <row r="477" spans="1:9">
      <c r="A477" s="1">
        <v>45989.604166666657</v>
      </c>
      <c r="B477" s="5">
        <f>_xlfn.XLOOKUP(A477,Banks!A:A,Banks!H:H,0,-1)</f>
        <v>2136.200124729959</v>
      </c>
      <c r="C477">
        <f>_xlfn.XLOOKUP(A477,Energy!A:A,Energy!H:H,0,-1)</f>
        <v>2811.4390339662159</v>
      </c>
      <c r="D477">
        <f t="shared" si="28"/>
        <v>4947.6391586961745</v>
      </c>
      <c r="E477">
        <f>_xlfn.XLOOKUP(A477,Banks!A:A,Banks!I:I,0)</f>
        <v>34771.641445041561</v>
      </c>
      <c r="F477">
        <f>_xlfn.XLOOKUP(A477,Energy!A:A,Energy!I:I,0)</f>
        <v>0</v>
      </c>
      <c r="G477">
        <f t="shared" si="29"/>
        <v>34771.641445041561</v>
      </c>
      <c r="H477">
        <f t="shared" si="30"/>
        <v>29824.002286345385</v>
      </c>
      <c r="I477" t="b">
        <f t="shared" si="31"/>
        <v>0</v>
      </c>
    </row>
    <row r="478" spans="1:9">
      <c r="A478" s="1">
        <v>45989.604861111111</v>
      </c>
      <c r="B478" s="5">
        <f>_xlfn.XLOOKUP(A478,Banks!A:A,Banks!H:H,0,-1)</f>
        <v>2028.6010335115941</v>
      </c>
      <c r="C478">
        <f>_xlfn.XLOOKUP(A478,Energy!A:A,Energy!H:H,0,-1)</f>
        <v>2811.4390339662159</v>
      </c>
      <c r="D478">
        <f t="shared" si="28"/>
        <v>4840.0400674778102</v>
      </c>
      <c r="E478">
        <f>_xlfn.XLOOKUP(A478,Banks!A:A,Banks!I:I,0)</f>
        <v>34810.442079201282</v>
      </c>
      <c r="F478">
        <f>_xlfn.XLOOKUP(A478,Energy!A:A,Energy!I:I,0)</f>
        <v>0</v>
      </c>
      <c r="G478">
        <f t="shared" si="29"/>
        <v>34810.442079201282</v>
      </c>
      <c r="H478">
        <f t="shared" si="30"/>
        <v>29970.402011723472</v>
      </c>
      <c r="I478" t="b">
        <f t="shared" si="31"/>
        <v>0</v>
      </c>
    </row>
    <row r="479" spans="1:9">
      <c r="A479" s="1">
        <v>45989.605555555558</v>
      </c>
      <c r="B479" s="5">
        <f>_xlfn.XLOOKUP(A479,Banks!A:A,Banks!H:H,0,-1)</f>
        <v>1942.9907345893289</v>
      </c>
      <c r="C479">
        <f>_xlfn.XLOOKUP(A479,Energy!A:A,Energy!H:H,0,-1)</f>
        <v>2811.4390339662159</v>
      </c>
      <c r="D479">
        <f t="shared" si="28"/>
        <v>4754.4297685555448</v>
      </c>
      <c r="E479">
        <f>_xlfn.XLOOKUP(A479,Banks!A:A,Banks!I:I,0)</f>
        <v>34831.020302168952</v>
      </c>
      <c r="F479">
        <f>_xlfn.XLOOKUP(A479,Energy!A:A,Energy!I:I,0)</f>
        <v>0</v>
      </c>
      <c r="G479">
        <f t="shared" si="29"/>
        <v>34831.020302168952</v>
      </c>
      <c r="H479">
        <f t="shared" si="30"/>
        <v>30076.590533613409</v>
      </c>
      <c r="I479" t="b">
        <f t="shared" si="31"/>
        <v>0</v>
      </c>
    </row>
    <row r="480" spans="1:9">
      <c r="A480" s="1">
        <v>45989.606249999997</v>
      </c>
      <c r="B480" s="5">
        <f>_xlfn.XLOOKUP(A480,Banks!A:A,Banks!H:H,0,-1)</f>
        <v>1898.219369339193</v>
      </c>
      <c r="C480">
        <f>_xlfn.XLOOKUP(A480,Energy!A:A,Energy!H:H,0,-1)</f>
        <v>2811.4390339662159</v>
      </c>
      <c r="D480">
        <f t="shared" si="28"/>
        <v>4709.6584033054087</v>
      </c>
      <c r="E480">
        <f>_xlfn.XLOOKUP(A480,Banks!A:A,Banks!I:I,0)</f>
        <v>34829.606085669337</v>
      </c>
      <c r="F480">
        <f>_xlfn.XLOOKUP(A480,Energy!A:A,Energy!I:I,0)</f>
        <v>0</v>
      </c>
      <c r="G480">
        <f t="shared" si="29"/>
        <v>34829.606085669337</v>
      </c>
      <c r="H480">
        <f t="shared" si="30"/>
        <v>30119.947682363927</v>
      </c>
      <c r="I480" t="b">
        <f t="shared" si="31"/>
        <v>0</v>
      </c>
    </row>
    <row r="481" spans="1:9">
      <c r="A481" s="1">
        <v>45989.606944444437</v>
      </c>
      <c r="B481" s="5">
        <f>_xlfn.XLOOKUP(A481,Banks!A:A,Banks!H:H,0,-1)</f>
        <v>1860.1221962580639</v>
      </c>
      <c r="C481">
        <f>_xlfn.XLOOKUP(A481,Energy!A:A,Energy!H:H,0,-1)</f>
        <v>2811.4390339662159</v>
      </c>
      <c r="D481">
        <f t="shared" si="28"/>
        <v>4671.5612302242798</v>
      </c>
      <c r="E481">
        <f>_xlfn.XLOOKUP(A481,Banks!A:A,Banks!I:I,0)</f>
        <v>34818.216622777923</v>
      </c>
      <c r="F481">
        <f>_xlfn.XLOOKUP(A481,Energy!A:A,Energy!I:I,0)</f>
        <v>0</v>
      </c>
      <c r="G481">
        <f t="shared" si="29"/>
        <v>34818.216622777923</v>
      </c>
      <c r="H481">
        <f t="shared" si="30"/>
        <v>30146.655392553643</v>
      </c>
      <c r="I481" t="b">
        <f t="shared" si="31"/>
        <v>0</v>
      </c>
    </row>
    <row r="482" spans="1:9">
      <c r="A482" s="1">
        <v>45989.607638888891</v>
      </c>
      <c r="B482" s="5">
        <f>_xlfn.XLOOKUP(A482,Banks!A:A,Banks!H:H,0,-1)</f>
        <v>1903.712008449208</v>
      </c>
      <c r="C482">
        <f>_xlfn.XLOOKUP(A482,Energy!A:A,Energy!H:H,0,-1)</f>
        <v>2811.4390339662159</v>
      </c>
      <c r="D482">
        <f t="shared" si="28"/>
        <v>4715.1510424154239</v>
      </c>
      <c r="E482">
        <f>_xlfn.XLOOKUP(A482,Banks!A:A,Banks!I:I,0)</f>
        <v>34804.31441556487</v>
      </c>
      <c r="F482">
        <f>_xlfn.XLOOKUP(A482,Energy!A:A,Energy!I:I,0)</f>
        <v>0</v>
      </c>
      <c r="G482">
        <f t="shared" si="29"/>
        <v>34804.31441556487</v>
      </c>
      <c r="H482">
        <f t="shared" si="30"/>
        <v>30089.163373149444</v>
      </c>
      <c r="I482" t="b">
        <f t="shared" si="31"/>
        <v>0</v>
      </c>
    </row>
    <row r="483" spans="1:9">
      <c r="A483" s="1">
        <v>45989.60833333333</v>
      </c>
      <c r="B483" s="5">
        <f>_xlfn.XLOOKUP(A483,Banks!A:A,Banks!H:H,0,-1)</f>
        <v>1840.8842824809931</v>
      </c>
      <c r="C483">
        <f>_xlfn.XLOOKUP(A483,Energy!A:A,Energy!H:H,0,-1)</f>
        <v>2811.4390339662159</v>
      </c>
      <c r="D483">
        <f t="shared" si="28"/>
        <v>4652.3233164472094</v>
      </c>
      <c r="E483">
        <f>_xlfn.XLOOKUP(A483,Banks!A:A,Banks!I:I,0)</f>
        <v>34844.529266224192</v>
      </c>
      <c r="F483">
        <f>_xlfn.XLOOKUP(A483,Energy!A:A,Energy!I:I,0)</f>
        <v>0</v>
      </c>
      <c r="G483">
        <f t="shared" si="29"/>
        <v>34844.529266224192</v>
      </c>
      <c r="H483">
        <f t="shared" si="30"/>
        <v>30192.205949776981</v>
      </c>
      <c r="I483" t="b">
        <f t="shared" si="31"/>
        <v>0</v>
      </c>
    </row>
    <row r="484" spans="1:9">
      <c r="A484" s="1">
        <v>45989.609027777777</v>
      </c>
      <c r="B484" s="5">
        <f>_xlfn.XLOOKUP(A484,Banks!A:A,Banks!H:H,0,-1)</f>
        <v>1737.208504912662</v>
      </c>
      <c r="C484">
        <f>_xlfn.XLOOKUP(A484,Energy!A:A,Energy!H:H,0,-1)</f>
        <v>2811.4390339662159</v>
      </c>
      <c r="D484">
        <f t="shared" si="28"/>
        <v>4548.6475388788776</v>
      </c>
      <c r="E484">
        <f>_xlfn.XLOOKUP(A484,Banks!A:A,Banks!I:I,0)</f>
        <v>34865.264421737862</v>
      </c>
      <c r="F484">
        <f>_xlfn.XLOOKUP(A484,Energy!A:A,Energy!I:I,0)</f>
        <v>0</v>
      </c>
      <c r="G484">
        <f t="shared" si="29"/>
        <v>34865.264421737862</v>
      </c>
      <c r="H484">
        <f t="shared" si="30"/>
        <v>30316.616882858983</v>
      </c>
      <c r="I484" t="b">
        <f t="shared" si="31"/>
        <v>0</v>
      </c>
    </row>
    <row r="485" spans="1:9">
      <c r="A485" s="1">
        <v>45989.609722222223</v>
      </c>
      <c r="B485" s="5">
        <f>_xlfn.XLOOKUP(A485,Banks!A:A,Banks!H:H,0,-1)</f>
        <v>1808.685756766881</v>
      </c>
      <c r="C485">
        <f>_xlfn.XLOOKUP(A485,Energy!A:A,Energy!H:H,0,-1)</f>
        <v>2811.4390339662159</v>
      </c>
      <c r="D485">
        <f t="shared" si="28"/>
        <v>4620.1247907330971</v>
      </c>
      <c r="E485">
        <f>_xlfn.XLOOKUP(A485,Banks!A:A,Banks!I:I,0)</f>
        <v>34868.249787283057</v>
      </c>
      <c r="F485">
        <f>_xlfn.XLOOKUP(A485,Energy!A:A,Energy!I:I,0)</f>
        <v>0</v>
      </c>
      <c r="G485">
        <f t="shared" si="29"/>
        <v>34868.249787283057</v>
      </c>
      <c r="H485">
        <f t="shared" si="30"/>
        <v>30248.124996549959</v>
      </c>
      <c r="I485" t="b">
        <f t="shared" si="31"/>
        <v>0</v>
      </c>
    </row>
    <row r="486" spans="1:9">
      <c r="A486" s="1">
        <v>45989.61041666667</v>
      </c>
      <c r="B486" s="5">
        <f>_xlfn.XLOOKUP(A486,Banks!A:A,Banks!H:H,0,-1)</f>
        <v>1818.110827454916</v>
      </c>
      <c r="C486">
        <f>_xlfn.XLOOKUP(A486,Energy!A:A,Energy!H:H,0,-1)</f>
        <v>2811.4390339662159</v>
      </c>
      <c r="D486">
        <f t="shared" si="28"/>
        <v>4629.5498614211319</v>
      </c>
      <c r="E486">
        <f>_xlfn.XLOOKUP(A486,Banks!A:A,Banks!I:I,0)</f>
        <v>34866.364773145462</v>
      </c>
      <c r="F486">
        <f>_xlfn.XLOOKUP(A486,Energy!A:A,Energy!I:I,0)</f>
        <v>0</v>
      </c>
      <c r="G486">
        <f t="shared" si="29"/>
        <v>34866.364773145462</v>
      </c>
      <c r="H486">
        <f t="shared" si="30"/>
        <v>30236.81491172433</v>
      </c>
      <c r="I486" t="b">
        <f t="shared" si="31"/>
        <v>0</v>
      </c>
    </row>
    <row r="487" spans="1:9">
      <c r="A487" s="1">
        <v>45989.611111111109</v>
      </c>
      <c r="B487" s="5">
        <f>_xlfn.XLOOKUP(A487,Banks!A:A,Banks!H:H,0,-1)</f>
        <v>1715.219712616589</v>
      </c>
      <c r="C487">
        <f>_xlfn.XLOOKUP(A487,Energy!A:A,Energy!H:H,0,-1)</f>
        <v>2811.4390339662159</v>
      </c>
      <c r="D487">
        <f t="shared" si="28"/>
        <v>4526.6587465828052</v>
      </c>
      <c r="E487">
        <f>_xlfn.XLOOKUP(A487,Banks!A:A,Banks!I:I,0)</f>
        <v>34883.486832929913</v>
      </c>
      <c r="F487">
        <f>_xlfn.XLOOKUP(A487,Energy!A:A,Energy!I:I,0)</f>
        <v>0</v>
      </c>
      <c r="G487">
        <f t="shared" si="29"/>
        <v>34883.486832929913</v>
      </c>
      <c r="H487">
        <f t="shared" si="30"/>
        <v>30356.828086347108</v>
      </c>
      <c r="I487" t="b">
        <f t="shared" si="31"/>
        <v>0</v>
      </c>
    </row>
    <row r="488" spans="1:9">
      <c r="A488" s="1">
        <v>45989.611805555563</v>
      </c>
      <c r="B488" s="5">
        <f>_xlfn.XLOOKUP(A488,Banks!A:A,Banks!H:H,0,-1)</f>
        <v>1691.6615948605081</v>
      </c>
      <c r="C488">
        <f>_xlfn.XLOOKUP(A488,Energy!A:A,Energy!H:H,0,-1)</f>
        <v>2811.4390339662159</v>
      </c>
      <c r="D488">
        <f t="shared" si="28"/>
        <v>4503.1006288267236</v>
      </c>
      <c r="E488">
        <f>_xlfn.XLOOKUP(A488,Banks!A:A,Banks!I:I,0)</f>
        <v>34908.935435580403</v>
      </c>
      <c r="F488">
        <f>_xlfn.XLOOKUP(A488,Energy!A:A,Energy!I:I,0)</f>
        <v>0</v>
      </c>
      <c r="G488">
        <f t="shared" si="29"/>
        <v>34908.935435580403</v>
      </c>
      <c r="H488">
        <f t="shared" si="30"/>
        <v>30405.834806753679</v>
      </c>
      <c r="I488" t="b">
        <f t="shared" si="31"/>
        <v>0</v>
      </c>
    </row>
    <row r="489" spans="1:9">
      <c r="A489" s="1">
        <v>45989.612500000003</v>
      </c>
      <c r="B489" s="5">
        <f>_xlfn.XLOOKUP(A489,Banks!A:A,Banks!H:H,0,-1)</f>
        <v>1707.3730853165489</v>
      </c>
      <c r="C489">
        <f>_xlfn.XLOOKUP(A489,Energy!A:A,Energy!H:H,0,-1)</f>
        <v>2811.4390339662159</v>
      </c>
      <c r="D489">
        <f t="shared" si="28"/>
        <v>4518.8121192827648</v>
      </c>
      <c r="E489">
        <f>_xlfn.XLOOKUP(A489,Banks!A:A,Banks!I:I,0)</f>
        <v>34919.61779022203</v>
      </c>
      <c r="F489">
        <f>_xlfn.XLOOKUP(A489,Energy!A:A,Energy!I:I,0)</f>
        <v>0</v>
      </c>
      <c r="G489">
        <f t="shared" si="29"/>
        <v>34919.61779022203</v>
      </c>
      <c r="H489">
        <f t="shared" si="30"/>
        <v>30400.805670939266</v>
      </c>
      <c r="I489" t="b">
        <f t="shared" si="31"/>
        <v>0</v>
      </c>
    </row>
    <row r="490" spans="1:9">
      <c r="A490" s="1">
        <v>45989.613194444442</v>
      </c>
      <c r="B490" s="5">
        <f>_xlfn.XLOOKUP(A490,Banks!A:A,Banks!H:H,0,-1)</f>
        <v>1721.903022713597</v>
      </c>
      <c r="C490">
        <f>_xlfn.XLOOKUP(A490,Energy!A:A,Energy!H:H,0,-1)</f>
        <v>2811.4390339662159</v>
      </c>
      <c r="D490">
        <f t="shared" si="28"/>
        <v>4533.3420566798131</v>
      </c>
      <c r="E490">
        <f>_xlfn.XLOOKUP(A490,Banks!A:A,Banks!I:I,0)</f>
        <v>34914.983721151017</v>
      </c>
      <c r="F490">
        <f>_xlfn.XLOOKUP(A490,Energy!A:A,Energy!I:I,0)</f>
        <v>0</v>
      </c>
      <c r="G490">
        <f t="shared" si="29"/>
        <v>34914.983721151017</v>
      </c>
      <c r="H490">
        <f t="shared" si="30"/>
        <v>30381.641664471204</v>
      </c>
      <c r="I490" t="b">
        <f t="shared" si="31"/>
        <v>0</v>
      </c>
    </row>
    <row r="491" spans="1:9">
      <c r="A491" s="1">
        <v>45989.613888888889</v>
      </c>
      <c r="B491" s="5">
        <f>_xlfn.XLOOKUP(A491,Banks!A:A,Banks!H:H,0,-1)</f>
        <v>1744.6855956676609</v>
      </c>
      <c r="C491">
        <f>_xlfn.XLOOKUP(A491,Energy!A:A,Energy!H:H,0,-1)</f>
        <v>2811.4390339662159</v>
      </c>
      <c r="D491">
        <f t="shared" si="28"/>
        <v>4556.1246296338768</v>
      </c>
      <c r="E491">
        <f>_xlfn.XLOOKUP(A491,Banks!A:A,Banks!I:I,0)</f>
        <v>34934.620348842684</v>
      </c>
      <c r="F491">
        <f>_xlfn.XLOOKUP(A491,Energy!A:A,Energy!I:I,0)</f>
        <v>0</v>
      </c>
      <c r="G491">
        <f t="shared" si="29"/>
        <v>34934.620348842684</v>
      </c>
      <c r="H491">
        <f t="shared" si="30"/>
        <v>30378.495719208808</v>
      </c>
      <c r="I491" t="b">
        <f t="shared" si="31"/>
        <v>0</v>
      </c>
    </row>
    <row r="492" spans="1:9">
      <c r="A492" s="1">
        <v>45989.614583333343</v>
      </c>
      <c r="B492" s="5">
        <f>_xlfn.XLOOKUP(A492,Banks!A:A,Banks!H:H,0,-1)</f>
        <v>1600.5495389002151</v>
      </c>
      <c r="C492">
        <f>_xlfn.XLOOKUP(A492,Energy!A:A,Energy!H:H,0,-1)</f>
        <v>2811.4390339662159</v>
      </c>
      <c r="D492">
        <f t="shared" si="28"/>
        <v>4411.9885728664312</v>
      </c>
      <c r="E492">
        <f>_xlfn.XLOOKUP(A492,Banks!A:A,Banks!I:I,0)</f>
        <v>34913.333194039609</v>
      </c>
      <c r="F492">
        <f>_xlfn.XLOOKUP(A492,Energy!A:A,Energy!I:I,0)</f>
        <v>0</v>
      </c>
      <c r="G492">
        <f t="shared" si="29"/>
        <v>34913.333194039609</v>
      </c>
      <c r="H492">
        <f t="shared" si="30"/>
        <v>30501.344621173179</v>
      </c>
      <c r="I492" t="b">
        <f t="shared" si="31"/>
        <v>0</v>
      </c>
    </row>
    <row r="493" spans="1:9">
      <c r="A493" s="1">
        <v>45989.615277777782</v>
      </c>
      <c r="B493" s="5">
        <f>_xlfn.XLOOKUP(A493,Banks!A:A,Banks!H:H,0,-1)</f>
        <v>1467.0292238077841</v>
      </c>
      <c r="C493">
        <f>_xlfn.XLOOKUP(A493,Energy!A:A,Energy!H:H,0,-1)</f>
        <v>2811.4390339662159</v>
      </c>
      <c r="D493">
        <f t="shared" si="28"/>
        <v>4278.4682577740004</v>
      </c>
      <c r="E493">
        <f>_xlfn.XLOOKUP(A493,Banks!A:A,Banks!I:I,0)</f>
        <v>34946.94958342451</v>
      </c>
      <c r="F493">
        <f>_xlfn.XLOOKUP(A493,Energy!A:A,Energy!I:I,0)</f>
        <v>0</v>
      </c>
      <c r="G493">
        <f t="shared" si="29"/>
        <v>34946.94958342451</v>
      </c>
      <c r="H493">
        <f t="shared" si="30"/>
        <v>30668.481325650508</v>
      </c>
      <c r="I493" t="b">
        <f t="shared" si="31"/>
        <v>0</v>
      </c>
    </row>
    <row r="494" spans="1:9">
      <c r="A494" s="1">
        <v>45989.615972222222</v>
      </c>
      <c r="B494" s="5">
        <f>_xlfn.XLOOKUP(A494,Banks!A:A,Banks!H:H,0,-1)</f>
        <v>1440.3233372037</v>
      </c>
      <c r="C494">
        <f>_xlfn.XLOOKUP(A494,Energy!A:A,Energy!H:H,0,-1)</f>
        <v>2811.4390339662159</v>
      </c>
      <c r="D494">
        <f t="shared" si="28"/>
        <v>4251.7623711699162</v>
      </c>
      <c r="E494">
        <f>_xlfn.XLOOKUP(A494,Banks!A:A,Banks!I:I,0)</f>
        <v>34945.378434378908</v>
      </c>
      <c r="F494">
        <f>_xlfn.XLOOKUP(A494,Energy!A:A,Energy!I:I,0)</f>
        <v>0</v>
      </c>
      <c r="G494">
        <f t="shared" si="29"/>
        <v>34945.378434378908</v>
      </c>
      <c r="H494">
        <f t="shared" si="30"/>
        <v>30693.616063208992</v>
      </c>
      <c r="I494" t="b">
        <f t="shared" si="31"/>
        <v>0</v>
      </c>
    </row>
    <row r="495" spans="1:9">
      <c r="A495" s="1">
        <v>45989.616666666669</v>
      </c>
      <c r="B495" s="5">
        <f>_xlfn.XLOOKUP(A495,Banks!A:A,Banks!H:H,0,-1)</f>
        <v>1503.160181099902</v>
      </c>
      <c r="C495">
        <f>_xlfn.XLOOKUP(A495,Energy!A:A,Energy!H:H,0,-1)</f>
        <v>2811.4390339662159</v>
      </c>
      <c r="D495">
        <f t="shared" si="28"/>
        <v>4314.5992150661177</v>
      </c>
      <c r="E495">
        <f>_xlfn.XLOOKUP(A495,Banks!A:A,Banks!I:I,0)</f>
        <v>34946.635718332524</v>
      </c>
      <c r="F495">
        <f>_xlfn.XLOOKUP(A495,Energy!A:A,Energy!I:I,0)</f>
        <v>0</v>
      </c>
      <c r="G495">
        <f t="shared" si="29"/>
        <v>34946.635718332524</v>
      </c>
      <c r="H495">
        <f t="shared" si="30"/>
        <v>30632.036503266405</v>
      </c>
      <c r="I495" t="b">
        <f t="shared" si="31"/>
        <v>0</v>
      </c>
    </row>
    <row r="496" spans="1:9">
      <c r="A496" s="1">
        <v>45989.617361111108</v>
      </c>
      <c r="B496" s="5">
        <f>_xlfn.XLOOKUP(A496,Banks!A:A,Banks!H:H,0,-1)</f>
        <v>1479.20517301482</v>
      </c>
      <c r="C496">
        <f>_xlfn.XLOOKUP(A496,Energy!A:A,Energy!H:H,0,-1)</f>
        <v>2811.4390339662159</v>
      </c>
      <c r="D496">
        <f t="shared" si="28"/>
        <v>4290.6442069810364</v>
      </c>
      <c r="E496">
        <f>_xlfn.XLOOKUP(A496,Banks!A:A,Banks!I:I,0)</f>
        <v>34953.154801541139</v>
      </c>
      <c r="F496">
        <f>_xlfn.XLOOKUP(A496,Energy!A:A,Energy!I:I,0)</f>
        <v>0</v>
      </c>
      <c r="G496">
        <f t="shared" si="29"/>
        <v>34953.154801541139</v>
      </c>
      <c r="H496">
        <f t="shared" si="30"/>
        <v>30662.510594560103</v>
      </c>
      <c r="I496" t="b">
        <f t="shared" si="31"/>
        <v>0</v>
      </c>
    </row>
    <row r="497" spans="1:9">
      <c r="A497" s="1">
        <v>45989.618055555547</v>
      </c>
      <c r="B497" s="5">
        <f>_xlfn.XLOOKUP(A497,Banks!A:A,Banks!H:H,0,-1)</f>
        <v>1512.5852517879371</v>
      </c>
      <c r="C497">
        <f>_xlfn.XLOOKUP(A497,Energy!A:A,Energy!H:H,0,-1)</f>
        <v>2811.4390339662159</v>
      </c>
      <c r="D497">
        <f t="shared" si="28"/>
        <v>4324.0242857541525</v>
      </c>
      <c r="E497">
        <f>_xlfn.XLOOKUP(A497,Banks!A:A,Banks!I:I,0)</f>
        <v>34944.750704194907</v>
      </c>
      <c r="F497">
        <f>_xlfn.XLOOKUP(A497,Energy!A:A,Energy!I:I,0)</f>
        <v>0</v>
      </c>
      <c r="G497">
        <f t="shared" si="29"/>
        <v>34944.750704194907</v>
      </c>
      <c r="H497">
        <f t="shared" si="30"/>
        <v>30620.726418440754</v>
      </c>
      <c r="I497" t="b">
        <f t="shared" si="31"/>
        <v>0</v>
      </c>
    </row>
    <row r="498" spans="1:9">
      <c r="A498" s="1">
        <v>45989.618750000001</v>
      </c>
      <c r="B498" s="5">
        <f>_xlfn.XLOOKUP(A498,Banks!A:A,Banks!H:H,0,-1)</f>
        <v>1485.09470245385</v>
      </c>
      <c r="C498">
        <f>_xlfn.XLOOKUP(A498,Energy!A:A,Energy!H:H,0,-1)</f>
        <v>2811.4390339662159</v>
      </c>
      <c r="D498">
        <f t="shared" si="28"/>
        <v>4296.5337364200659</v>
      </c>
      <c r="E498">
        <f>_xlfn.XLOOKUP(A498,Banks!A:A,Banks!I:I,0)</f>
        <v>34946.792650878517</v>
      </c>
      <c r="F498">
        <f>_xlfn.XLOOKUP(A498,Energy!A:A,Energy!I:I,0)</f>
        <v>0</v>
      </c>
      <c r="G498">
        <f t="shared" si="29"/>
        <v>34946.792650878517</v>
      </c>
      <c r="H498">
        <f t="shared" si="30"/>
        <v>30650.258914458449</v>
      </c>
      <c r="I498" t="b">
        <f t="shared" si="31"/>
        <v>0</v>
      </c>
    </row>
    <row r="499" spans="1:9">
      <c r="A499" s="1">
        <v>45989.619444444441</v>
      </c>
      <c r="B499" s="5">
        <f>_xlfn.XLOOKUP(A499,Banks!A:A,Banks!H:H,0,-1)</f>
        <v>1493.3382200828789</v>
      </c>
      <c r="C499">
        <f>_xlfn.XLOOKUP(A499,Energy!A:A,Energy!H:H,0,-1)</f>
        <v>2811.4390339662159</v>
      </c>
      <c r="D499">
        <f t="shared" si="28"/>
        <v>4304.7772540490951</v>
      </c>
      <c r="E499">
        <f>_xlfn.XLOOKUP(A499,Banks!A:A,Banks!I:I,0)</f>
        <v>34929.59121302826</v>
      </c>
      <c r="F499">
        <f>_xlfn.XLOOKUP(A499,Energy!A:A,Energy!I:I,0)</f>
        <v>0</v>
      </c>
      <c r="G499">
        <f t="shared" si="29"/>
        <v>34929.59121302826</v>
      </c>
      <c r="H499">
        <f t="shared" si="30"/>
        <v>30624.813958979164</v>
      </c>
      <c r="I499" t="b">
        <f t="shared" si="31"/>
        <v>0</v>
      </c>
    </row>
    <row r="500" spans="1:9">
      <c r="A500" s="1">
        <v>45989.620138888888</v>
      </c>
      <c r="B500" s="5">
        <f>_xlfn.XLOOKUP(A500,Banks!A:A,Banks!H:H,0,-1)</f>
        <v>1487.4486906438619</v>
      </c>
      <c r="C500">
        <f>_xlfn.XLOOKUP(A500,Energy!A:A,Energy!H:H,0,-1)</f>
        <v>2811.4390339662159</v>
      </c>
      <c r="D500">
        <f t="shared" si="28"/>
        <v>4298.8877246100783</v>
      </c>
      <c r="E500">
        <f>_xlfn.XLOOKUP(A500,Banks!A:A,Banks!I:I,0)</f>
        <v>34935.953363690882</v>
      </c>
      <c r="F500">
        <f>_xlfn.XLOOKUP(A500,Energy!A:A,Energy!I:I,0)</f>
        <v>0</v>
      </c>
      <c r="G500">
        <f t="shared" si="29"/>
        <v>34935.953363690882</v>
      </c>
      <c r="H500">
        <f t="shared" si="30"/>
        <v>30637.065639080804</v>
      </c>
      <c r="I500" t="b">
        <f t="shared" si="31"/>
        <v>0</v>
      </c>
    </row>
    <row r="501" spans="1:9">
      <c r="A501" s="1">
        <v>45989.620833333327</v>
      </c>
      <c r="B501" s="5">
        <f>_xlfn.XLOOKUP(A501,Banks!A:A,Banks!H:H,0,-1)</f>
        <v>1466.2354431498061</v>
      </c>
      <c r="C501">
        <f>_xlfn.XLOOKUP(A501,Energy!A:A,Energy!H:H,0,-1)</f>
        <v>2811.4390339662159</v>
      </c>
      <c r="D501">
        <f t="shared" si="28"/>
        <v>4277.674477116022</v>
      </c>
      <c r="E501">
        <f>_xlfn.XLOOKUP(A501,Banks!A:A,Banks!I:I,0)</f>
        <v>34909.090544540799</v>
      </c>
      <c r="F501">
        <f>_xlfn.XLOOKUP(A501,Energy!A:A,Energy!I:I,0)</f>
        <v>0</v>
      </c>
      <c r="G501">
        <f t="shared" si="29"/>
        <v>34909.090544540799</v>
      </c>
      <c r="H501">
        <f t="shared" si="30"/>
        <v>30631.416067424776</v>
      </c>
      <c r="I501" t="b">
        <f t="shared" si="31"/>
        <v>0</v>
      </c>
    </row>
    <row r="502" spans="1:9">
      <c r="A502" s="1">
        <v>45989.621527777781</v>
      </c>
      <c r="B502" s="5">
        <f>_xlfn.XLOOKUP(A502,Banks!A:A,Banks!H:H,0,-1)</f>
        <v>1478.0145020278401</v>
      </c>
      <c r="C502">
        <f>_xlfn.XLOOKUP(A502,Energy!A:A,Energy!H:H,0,-1)</f>
        <v>2811.4390339662159</v>
      </c>
      <c r="D502">
        <f t="shared" si="28"/>
        <v>4289.4535359940564</v>
      </c>
      <c r="E502">
        <f>_xlfn.XLOOKUP(A502,Banks!A:A,Banks!I:I,0)</f>
        <v>34896.366243215562</v>
      </c>
      <c r="F502">
        <f>_xlfn.XLOOKUP(A502,Energy!A:A,Energy!I:I,0)</f>
        <v>0</v>
      </c>
      <c r="G502">
        <f t="shared" si="29"/>
        <v>34896.366243215562</v>
      </c>
      <c r="H502">
        <f t="shared" si="30"/>
        <v>30606.912707221505</v>
      </c>
      <c r="I502" t="b">
        <f t="shared" si="31"/>
        <v>0</v>
      </c>
    </row>
    <row r="503" spans="1:9">
      <c r="A503" s="1">
        <v>45989.62222222222</v>
      </c>
      <c r="B503" s="5">
        <f>_xlfn.XLOOKUP(A503,Banks!A:A,Banks!H:H,0,-1)</f>
        <v>1365.689198573504</v>
      </c>
      <c r="C503">
        <f>_xlfn.XLOOKUP(A503,Energy!A:A,Energy!H:H,0,-1)</f>
        <v>2811.4390339662159</v>
      </c>
      <c r="D503">
        <f t="shared" si="28"/>
        <v>4177.1282325397196</v>
      </c>
      <c r="E503">
        <f>_xlfn.XLOOKUP(A503,Banks!A:A,Banks!I:I,0)</f>
        <v>34873.901182524693</v>
      </c>
      <c r="F503">
        <f>_xlfn.XLOOKUP(A503,Energy!A:A,Energy!I:I,0)</f>
        <v>0</v>
      </c>
      <c r="G503">
        <f t="shared" si="29"/>
        <v>34873.901182524693</v>
      </c>
      <c r="H503">
        <f t="shared" si="30"/>
        <v>30696.772949984974</v>
      </c>
      <c r="I503" t="b">
        <f t="shared" si="31"/>
        <v>0</v>
      </c>
    </row>
    <row r="504" spans="1:9">
      <c r="A504" s="1">
        <v>45989.622916666667</v>
      </c>
      <c r="B504" s="5">
        <f>_xlfn.XLOOKUP(A504,Banks!A:A,Banks!H:H,0,-1)</f>
        <v>1386.117783337568</v>
      </c>
      <c r="C504">
        <f>_xlfn.XLOOKUP(A504,Energy!A:A,Energy!H:H,0,-1)</f>
        <v>2811.4390339662159</v>
      </c>
      <c r="D504">
        <f t="shared" si="28"/>
        <v>4197.5568173037836</v>
      </c>
      <c r="E504">
        <f>_xlfn.XLOOKUP(A504,Banks!A:A,Banks!I:I,0)</f>
        <v>34904.377097403987</v>
      </c>
      <c r="F504">
        <f>_xlfn.XLOOKUP(A504,Energy!A:A,Energy!I:I,0)</f>
        <v>0</v>
      </c>
      <c r="G504">
        <f t="shared" si="29"/>
        <v>34904.377097403987</v>
      </c>
      <c r="H504">
        <f t="shared" si="30"/>
        <v>30706.820280100204</v>
      </c>
      <c r="I504" t="b">
        <f t="shared" si="31"/>
        <v>0</v>
      </c>
    </row>
    <row r="505" spans="1:9">
      <c r="A505" s="1">
        <v>45989.623611111107</v>
      </c>
      <c r="B505" s="5">
        <f>_xlfn.XLOOKUP(A505,Banks!A:A,Banks!H:H,0,-1)</f>
        <v>1387.687108797563</v>
      </c>
      <c r="C505">
        <f>_xlfn.XLOOKUP(A505,Energy!A:A,Energy!H:H,0,-1)</f>
        <v>2811.4390339662159</v>
      </c>
      <c r="D505">
        <f t="shared" si="28"/>
        <v>4199.1261427637792</v>
      </c>
      <c r="E505">
        <f>_xlfn.XLOOKUP(A505,Banks!A:A,Banks!I:I,0)</f>
        <v>34897.150905945557</v>
      </c>
      <c r="F505">
        <f>_xlfn.XLOOKUP(A505,Energy!A:A,Energy!I:I,0)</f>
        <v>0</v>
      </c>
      <c r="G505">
        <f t="shared" si="29"/>
        <v>34897.150905945557</v>
      </c>
      <c r="H505">
        <f t="shared" si="30"/>
        <v>30698.024763181777</v>
      </c>
      <c r="I505" t="b">
        <f t="shared" si="31"/>
        <v>0</v>
      </c>
    </row>
    <row r="506" spans="1:9">
      <c r="A506" s="1">
        <v>45989.624305555553</v>
      </c>
      <c r="B506" s="5">
        <f>_xlfn.XLOOKUP(A506,Banks!A:A,Banks!H:H,0,-1)</f>
        <v>1362.559665581462</v>
      </c>
      <c r="C506">
        <f>_xlfn.XLOOKUP(A506,Energy!A:A,Energy!H:H,0,-1)</f>
        <v>2811.4390339662159</v>
      </c>
      <c r="D506">
        <f t="shared" si="28"/>
        <v>4173.9986995476775</v>
      </c>
      <c r="E506">
        <f>_xlfn.XLOOKUP(A506,Banks!A:A,Banks!I:I,0)</f>
        <v>34929.825700054469</v>
      </c>
      <c r="F506">
        <f>_xlfn.XLOOKUP(A506,Energy!A:A,Energy!I:I,0)</f>
        <v>0</v>
      </c>
      <c r="G506">
        <f t="shared" si="29"/>
        <v>34929.825700054469</v>
      </c>
      <c r="H506">
        <f t="shared" si="30"/>
        <v>30755.82700050679</v>
      </c>
      <c r="I506" t="b">
        <f t="shared" si="31"/>
        <v>0</v>
      </c>
    </row>
    <row r="507" spans="1:9">
      <c r="A507" s="1">
        <v>45989.625</v>
      </c>
      <c r="B507" s="5">
        <f>_xlfn.XLOOKUP(A507,Banks!A:A,Banks!H:H,0,-1)</f>
        <v>1370.4154108095011</v>
      </c>
      <c r="C507">
        <f>_xlfn.XLOOKUP(A507,Energy!A:A,Energy!H:H,0,-1)</f>
        <v>2811.4390339662159</v>
      </c>
      <c r="D507">
        <f t="shared" si="28"/>
        <v>4181.8544447757167</v>
      </c>
      <c r="E507">
        <f>_xlfn.XLOOKUP(A507,Banks!A:A,Banks!I:I,0)</f>
        <v>34935.16687737529</v>
      </c>
      <c r="F507">
        <f>_xlfn.XLOOKUP(A507,Energy!A:A,Energy!I:I,0)</f>
        <v>0</v>
      </c>
      <c r="G507">
        <f t="shared" si="29"/>
        <v>34935.16687737529</v>
      </c>
      <c r="H507">
        <f t="shared" si="30"/>
        <v>30753.312432599574</v>
      </c>
      <c r="I507" t="b">
        <f t="shared" si="31"/>
        <v>0</v>
      </c>
    </row>
    <row r="508" spans="1:9">
      <c r="A508" s="1">
        <v>45989.625694444447</v>
      </c>
      <c r="B508" s="5">
        <f>_xlfn.XLOOKUP(A508,Banks!A:A,Banks!H:H,0,-1)</f>
        <v>1447.3944197017231</v>
      </c>
      <c r="C508">
        <f>_xlfn.XLOOKUP(A508,Energy!A:A,Energy!H:H,0,-1)</f>
        <v>2811.4390339662159</v>
      </c>
      <c r="D508">
        <f t="shared" si="28"/>
        <v>4258.8334536679395</v>
      </c>
      <c r="E508">
        <f>_xlfn.XLOOKUP(A508,Banks!A:A,Banks!I:I,0)</f>
        <v>34954.332707428948</v>
      </c>
      <c r="F508">
        <f>_xlfn.XLOOKUP(A508,Energy!A:A,Energy!I:I,0)</f>
        <v>0</v>
      </c>
      <c r="G508">
        <f t="shared" si="29"/>
        <v>34954.332707428948</v>
      </c>
      <c r="H508">
        <f t="shared" si="30"/>
        <v>30695.499253761009</v>
      </c>
      <c r="I508" t="b">
        <f t="shared" si="31"/>
        <v>0</v>
      </c>
    </row>
    <row r="509" spans="1:9">
      <c r="A509" s="1">
        <v>45989.626388888893</v>
      </c>
      <c r="B509" s="5">
        <f>_xlfn.XLOOKUP(A509,Banks!A:A,Banks!H:H,0,-1)</f>
        <v>1434.830698093685</v>
      </c>
      <c r="C509">
        <f>_xlfn.XLOOKUP(A509,Energy!A:A,Energy!H:H,0,-1)</f>
        <v>2811.4390339662159</v>
      </c>
      <c r="D509">
        <f t="shared" si="28"/>
        <v>4246.2697320599009</v>
      </c>
      <c r="E509">
        <f>_xlfn.XLOOKUP(A509,Banks!A:A,Banks!I:I,0)</f>
        <v>34970.67010448339</v>
      </c>
      <c r="F509">
        <f>_xlfn.XLOOKUP(A509,Energy!A:A,Energy!I:I,0)</f>
        <v>0</v>
      </c>
      <c r="G509">
        <f t="shared" si="29"/>
        <v>34970.67010448339</v>
      </c>
      <c r="H509">
        <f t="shared" si="30"/>
        <v>30724.40037242349</v>
      </c>
      <c r="I509" t="b">
        <f t="shared" si="31"/>
        <v>0</v>
      </c>
    </row>
    <row r="510" spans="1:9">
      <c r="A510" s="1">
        <v>45989.627083333333</v>
      </c>
      <c r="B510" s="5">
        <f>_xlfn.XLOOKUP(A510,Banks!A:A,Banks!H:H,0,-1)</f>
        <v>1404.589270240584</v>
      </c>
      <c r="C510">
        <f>_xlfn.XLOOKUP(A510,Energy!A:A,Energy!H:H,0,-1)</f>
        <v>2811.4390339662159</v>
      </c>
      <c r="D510">
        <f t="shared" si="28"/>
        <v>4216.0283042068004</v>
      </c>
      <c r="E510">
        <f>_xlfn.XLOOKUP(A510,Banks!A:A,Banks!I:I,0)</f>
        <v>34964.621818912783</v>
      </c>
      <c r="F510">
        <f>_xlfn.XLOOKUP(A510,Energy!A:A,Energy!I:I,0)</f>
        <v>0</v>
      </c>
      <c r="G510">
        <f t="shared" si="29"/>
        <v>34964.621818912783</v>
      </c>
      <c r="H510">
        <f t="shared" si="30"/>
        <v>30748.593514705983</v>
      </c>
      <c r="I510" t="b">
        <f t="shared" si="31"/>
        <v>0</v>
      </c>
    </row>
    <row r="511" spans="1:9">
      <c r="A511" s="1">
        <v>45989.62777777778</v>
      </c>
      <c r="B511" s="5">
        <f>_xlfn.XLOOKUP(A511,Banks!A:A,Banks!H:H,0,-1)</f>
        <v>1400.665956590577</v>
      </c>
      <c r="C511">
        <f>_xlfn.XLOOKUP(A511,Energy!A:A,Energy!H:H,0,-1)</f>
        <v>2811.4390339662159</v>
      </c>
      <c r="D511">
        <f t="shared" si="28"/>
        <v>4212.1049905567925</v>
      </c>
      <c r="E511">
        <f>_xlfn.XLOOKUP(A511,Banks!A:A,Banks!I:I,0)</f>
        <v>34982.687297558827</v>
      </c>
      <c r="F511">
        <f>_xlfn.XLOOKUP(A511,Energy!A:A,Energy!I:I,0)</f>
        <v>0</v>
      </c>
      <c r="G511">
        <f t="shared" si="29"/>
        <v>34982.687297558827</v>
      </c>
      <c r="H511">
        <f t="shared" si="30"/>
        <v>30770.582307002034</v>
      </c>
      <c r="I511" t="b">
        <f t="shared" si="31"/>
        <v>0</v>
      </c>
    </row>
    <row r="512" spans="1:9">
      <c r="A512" s="1">
        <v>45989.628472222219</v>
      </c>
      <c r="B512" s="5">
        <f>_xlfn.XLOOKUP(A512,Banks!A:A,Banks!H:H,0,-1)</f>
        <v>1422.663866814637</v>
      </c>
      <c r="C512">
        <f>_xlfn.XLOOKUP(A512,Energy!A:A,Energy!H:H,0,-1)</f>
        <v>2811.4390339662159</v>
      </c>
      <c r="D512">
        <f t="shared" si="28"/>
        <v>4234.1029007808529</v>
      </c>
      <c r="E512">
        <f>_xlfn.XLOOKUP(A512,Banks!A:A,Banks!I:I,0)</f>
        <v>35005.937020979698</v>
      </c>
      <c r="F512">
        <f>_xlfn.XLOOKUP(A512,Energy!A:A,Energy!I:I,0)</f>
        <v>0</v>
      </c>
      <c r="G512">
        <f t="shared" si="29"/>
        <v>35005.937020979698</v>
      </c>
      <c r="H512">
        <f t="shared" si="30"/>
        <v>30771.834120198844</v>
      </c>
      <c r="I512" t="b">
        <f t="shared" si="31"/>
        <v>0</v>
      </c>
    </row>
    <row r="513" spans="1:9">
      <c r="A513" s="1">
        <v>45989.629166666673</v>
      </c>
      <c r="B513" s="5">
        <f>_xlfn.XLOOKUP(A513,Banks!A:A,Banks!H:H,0,-1)</f>
        <v>1434.0551532916561</v>
      </c>
      <c r="C513">
        <f>_xlfn.XLOOKUP(A513,Energy!A:A,Energy!H:H,0,-1)</f>
        <v>2811.4390339662159</v>
      </c>
      <c r="D513">
        <f t="shared" si="28"/>
        <v>4245.494187257872</v>
      </c>
      <c r="E513">
        <f>_xlfn.XLOOKUP(A513,Banks!A:A,Banks!I:I,0)</f>
        <v>35015.755334825539</v>
      </c>
      <c r="F513">
        <f>_xlfn.XLOOKUP(A513,Energy!A:A,Energy!I:I,0)</f>
        <v>0</v>
      </c>
      <c r="G513">
        <f t="shared" si="29"/>
        <v>35015.755334825539</v>
      </c>
      <c r="H513">
        <f t="shared" si="30"/>
        <v>30770.261147567668</v>
      </c>
      <c r="I513" t="b">
        <f t="shared" si="31"/>
        <v>0</v>
      </c>
    </row>
    <row r="514" spans="1:9">
      <c r="A514" s="1">
        <v>45989.629861111112</v>
      </c>
      <c r="B514" s="5">
        <f>_xlfn.XLOOKUP(A514,Banks!A:A,Banks!H:H,0,-1)</f>
        <v>1432.0980554306329</v>
      </c>
      <c r="C514">
        <f>_xlfn.XLOOKUP(A514,Energy!A:A,Energy!H:H,0,-1)</f>
        <v>2811.4390339662159</v>
      </c>
      <c r="D514">
        <f t="shared" si="28"/>
        <v>4243.5370893968484</v>
      </c>
      <c r="E514">
        <f>_xlfn.XLOOKUP(A514,Banks!A:A,Banks!I:I,0)</f>
        <v>35045.524141455033</v>
      </c>
      <c r="F514">
        <f>_xlfn.XLOOKUP(A514,Energy!A:A,Energy!I:I,0)</f>
        <v>0</v>
      </c>
      <c r="G514">
        <f t="shared" si="29"/>
        <v>35045.524141455033</v>
      </c>
      <c r="H514">
        <f t="shared" si="30"/>
        <v>30801.987052058183</v>
      </c>
      <c r="I514" t="b">
        <f t="shared" si="31"/>
        <v>0</v>
      </c>
    </row>
    <row r="515" spans="1:9">
      <c r="A515" s="1">
        <v>45989.630555555559</v>
      </c>
      <c r="B515" s="5">
        <f>_xlfn.XLOOKUP(A515,Banks!A:A,Banks!H:H,0,-1)</f>
        <v>1335.096470031335</v>
      </c>
      <c r="C515">
        <f>_xlfn.XLOOKUP(A515,Energy!A:A,Energy!H:H,0,-1)</f>
        <v>2811.4390339662159</v>
      </c>
      <c r="D515">
        <f t="shared" ref="D515:D578" si="32">B515+C515</f>
        <v>4146.5355039975511</v>
      </c>
      <c r="E515">
        <f>_xlfn.XLOOKUP(A515,Banks!A:A,Banks!I:I,0)</f>
        <v>35056.284050576862</v>
      </c>
      <c r="F515">
        <f>_xlfn.XLOOKUP(A515,Energy!A:A,Energy!I:I,0)</f>
        <v>0</v>
      </c>
      <c r="G515">
        <f t="shared" ref="G515:G578" si="33">F515+E515</f>
        <v>35056.284050576862</v>
      </c>
      <c r="H515">
        <f t="shared" ref="H515:H578" si="34">G515-D515</f>
        <v>30909.748546579311</v>
      </c>
      <c r="I515" t="b">
        <f t="shared" ref="I515:I578" si="35">AND(E515&gt;0,F515&gt;0)</f>
        <v>0</v>
      </c>
    </row>
    <row r="516" spans="1:9">
      <c r="A516" s="1">
        <v>45989.631249999999</v>
      </c>
      <c r="B516" s="5">
        <f>_xlfn.XLOOKUP(A516,Banks!A:A,Banks!H:H,0,-1)</f>
        <v>1398.330204256526</v>
      </c>
      <c r="C516">
        <f>_xlfn.XLOOKUP(A516,Energy!A:A,Energy!H:H,0,-1)</f>
        <v>2811.4390339662159</v>
      </c>
      <c r="D516">
        <f t="shared" si="32"/>
        <v>4209.7692382227415</v>
      </c>
      <c r="E516">
        <f>_xlfn.XLOOKUP(A516,Banks!A:A,Banks!I:I,0)</f>
        <v>35076.470853972321</v>
      </c>
      <c r="F516">
        <f>_xlfn.XLOOKUP(A516,Energy!A:A,Energy!I:I,0)</f>
        <v>0</v>
      </c>
      <c r="G516">
        <f t="shared" si="33"/>
        <v>35076.470853972321</v>
      </c>
      <c r="H516">
        <f t="shared" si="34"/>
        <v>30866.701615749582</v>
      </c>
      <c r="I516" t="b">
        <f t="shared" si="35"/>
        <v>0</v>
      </c>
    </row>
    <row r="517" spans="1:9">
      <c r="A517" s="1">
        <v>45989.631944444453</v>
      </c>
      <c r="B517" s="5">
        <f>_xlfn.XLOOKUP(A517,Banks!A:A,Banks!H:H,0,-1)</f>
        <v>1332.7424818413231</v>
      </c>
      <c r="C517">
        <f>_xlfn.XLOOKUP(A517,Energy!A:A,Energy!H:H,0,-1)</f>
        <v>2811.4390339662159</v>
      </c>
      <c r="D517">
        <f t="shared" si="32"/>
        <v>4144.1815158075387</v>
      </c>
      <c r="E517">
        <f>_xlfn.XLOOKUP(A517,Banks!A:A,Banks!I:I,0)</f>
        <v>35067.123337764489</v>
      </c>
      <c r="F517">
        <f>_xlfn.XLOOKUP(A517,Energy!A:A,Energy!I:I,0)</f>
        <v>0</v>
      </c>
      <c r="G517">
        <f t="shared" si="33"/>
        <v>35067.123337764489</v>
      </c>
      <c r="H517">
        <f t="shared" si="34"/>
        <v>30922.941821956949</v>
      </c>
      <c r="I517" t="b">
        <f t="shared" si="35"/>
        <v>0</v>
      </c>
    </row>
    <row r="518" spans="1:9">
      <c r="A518" s="1">
        <v>45989.632638888892</v>
      </c>
      <c r="B518" s="5">
        <f>_xlfn.XLOOKUP(A518,Banks!A:A,Banks!H:H,0,-1)</f>
        <v>1356.300599597404</v>
      </c>
      <c r="C518">
        <f>_xlfn.XLOOKUP(A518,Energy!A:A,Energy!H:H,0,-1)</f>
        <v>2811.4390339662159</v>
      </c>
      <c r="D518">
        <f t="shared" si="32"/>
        <v>4167.7396335636204</v>
      </c>
      <c r="E518">
        <f>_xlfn.XLOOKUP(A518,Banks!A:A,Banks!I:I,0)</f>
        <v>35041.674735114007</v>
      </c>
      <c r="F518">
        <f>_xlfn.XLOOKUP(A518,Energy!A:A,Energy!I:I,0)</f>
        <v>0</v>
      </c>
      <c r="G518">
        <f t="shared" si="33"/>
        <v>35041.674735114007</v>
      </c>
      <c r="H518">
        <f t="shared" si="34"/>
        <v>30873.935101550385</v>
      </c>
      <c r="I518" t="b">
        <f t="shared" si="35"/>
        <v>0</v>
      </c>
    </row>
    <row r="519" spans="1:9">
      <c r="A519" s="1">
        <v>45989.633333333331</v>
      </c>
      <c r="B519" s="5">
        <f>_xlfn.XLOOKUP(A519,Banks!A:A,Banks!H:H,0,-1)</f>
        <v>1325.2745090143119</v>
      </c>
      <c r="C519">
        <f>_xlfn.XLOOKUP(A519,Energy!A:A,Energy!H:H,0,-1)</f>
        <v>2811.4390339662159</v>
      </c>
      <c r="D519">
        <f t="shared" si="32"/>
        <v>4136.7135429805276</v>
      </c>
      <c r="E519">
        <f>_xlfn.XLOOKUP(A519,Banks!A:A,Banks!I:I,0)</f>
        <v>35039.239545272612</v>
      </c>
      <c r="F519">
        <f>_xlfn.XLOOKUP(A519,Energy!A:A,Energy!I:I,0)</f>
        <v>0</v>
      </c>
      <c r="G519">
        <f t="shared" si="33"/>
        <v>35039.239545272612</v>
      </c>
      <c r="H519">
        <f t="shared" si="34"/>
        <v>30902.526002292085</v>
      </c>
      <c r="I519" t="b">
        <f t="shared" si="35"/>
        <v>0</v>
      </c>
    </row>
    <row r="520" spans="1:9">
      <c r="A520" s="1">
        <v>45989.634027777778</v>
      </c>
      <c r="B520" s="5">
        <f>_xlfn.XLOOKUP(A520,Banks!A:A,Banks!H:H,0,-1)</f>
        <v>1346.875528909382</v>
      </c>
      <c r="C520">
        <f>_xlfn.XLOOKUP(A520,Energy!A:A,Energy!H:H,0,-1)</f>
        <v>2811.4390339662159</v>
      </c>
      <c r="D520">
        <f t="shared" si="32"/>
        <v>4158.3145628755974</v>
      </c>
      <c r="E520">
        <f>_xlfn.XLOOKUP(A520,Banks!A:A,Banks!I:I,0)</f>
        <v>35043.559749251617</v>
      </c>
      <c r="F520">
        <f>_xlfn.XLOOKUP(A520,Energy!A:A,Energy!I:I,0)</f>
        <v>0</v>
      </c>
      <c r="G520">
        <f t="shared" si="33"/>
        <v>35043.559749251617</v>
      </c>
      <c r="H520">
        <f t="shared" si="34"/>
        <v>30885.245186376022</v>
      </c>
      <c r="I520" t="b">
        <f t="shared" si="35"/>
        <v>0</v>
      </c>
    </row>
    <row r="521" spans="1:9">
      <c r="A521" s="1">
        <v>45989.634722222218</v>
      </c>
      <c r="B521" s="5">
        <f>_xlfn.XLOOKUP(A521,Banks!A:A,Banks!H:H,0,-1)</f>
        <v>1345.306203449361</v>
      </c>
      <c r="C521">
        <f>_xlfn.XLOOKUP(A521,Energy!A:A,Energy!H:H,0,-1)</f>
        <v>2811.4390339662159</v>
      </c>
      <c r="D521">
        <f t="shared" si="32"/>
        <v>4156.7452374155764</v>
      </c>
      <c r="E521">
        <f>_xlfn.XLOOKUP(A521,Banks!A:A,Banks!I:I,0)</f>
        <v>35050.78594071004</v>
      </c>
      <c r="F521">
        <f>_xlfn.XLOOKUP(A521,Energy!A:A,Energy!I:I,0)</f>
        <v>0</v>
      </c>
      <c r="G521">
        <f t="shared" si="33"/>
        <v>35050.78594071004</v>
      </c>
      <c r="H521">
        <f t="shared" si="34"/>
        <v>30894.040703294464</v>
      </c>
      <c r="I521" t="b">
        <f t="shared" si="35"/>
        <v>0</v>
      </c>
    </row>
    <row r="522" spans="1:9">
      <c r="A522" s="1">
        <v>45989.635416666657</v>
      </c>
      <c r="B522" s="5">
        <f>_xlfn.XLOOKUP(A522,Banks!A:A,Banks!H:H,0,-1)</f>
        <v>1352.3772859473841</v>
      </c>
      <c r="C522">
        <f>_xlfn.XLOOKUP(A522,Energy!A:A,Energy!H:H,0,-1)</f>
        <v>2811.4390339662159</v>
      </c>
      <c r="D522">
        <f t="shared" si="32"/>
        <v>4163.8163199135997</v>
      </c>
      <c r="E522">
        <f>_xlfn.XLOOKUP(A522,Banks!A:A,Banks!I:I,0)</f>
        <v>35059.740213760073</v>
      </c>
      <c r="F522">
        <f>_xlfn.XLOOKUP(A522,Energy!A:A,Energy!I:I,0)</f>
        <v>0</v>
      </c>
      <c r="G522">
        <f t="shared" si="33"/>
        <v>35059.740213760073</v>
      </c>
      <c r="H522">
        <f t="shared" si="34"/>
        <v>30895.923893846473</v>
      </c>
      <c r="I522" t="b">
        <f t="shared" si="35"/>
        <v>0</v>
      </c>
    </row>
    <row r="523" spans="1:9">
      <c r="A523" s="1">
        <v>45989.636111111111</v>
      </c>
      <c r="B523" s="5">
        <f>_xlfn.XLOOKUP(A523,Banks!A:A,Banks!H:H,0,-1)</f>
        <v>1350.807960487376</v>
      </c>
      <c r="C523">
        <f>_xlfn.XLOOKUP(A523,Energy!A:A,Energy!H:H,0,-1)</f>
        <v>2811.4390339662159</v>
      </c>
      <c r="D523">
        <f t="shared" si="32"/>
        <v>4162.2469944535915</v>
      </c>
      <c r="E523">
        <f>_xlfn.XLOOKUP(A523,Banks!A:A,Banks!I:I,0)</f>
        <v>35066.966405218489</v>
      </c>
      <c r="F523">
        <f>_xlfn.XLOOKUP(A523,Energy!A:A,Energy!I:I,0)</f>
        <v>0</v>
      </c>
      <c r="G523">
        <f t="shared" si="33"/>
        <v>35066.966405218489</v>
      </c>
      <c r="H523">
        <f t="shared" si="34"/>
        <v>30904.719410764897</v>
      </c>
      <c r="I523" t="b">
        <f t="shared" si="35"/>
        <v>0</v>
      </c>
    </row>
    <row r="524" spans="1:9">
      <c r="A524" s="1">
        <v>45989.636805555558</v>
      </c>
      <c r="B524" s="5">
        <f>_xlfn.XLOOKUP(A524,Banks!A:A,Banks!H:H,0,-1)</f>
        <v>1369.6581018634331</v>
      </c>
      <c r="C524">
        <f>_xlfn.XLOOKUP(A524,Energy!A:A,Energy!H:H,0,-1)</f>
        <v>2811.4390339662159</v>
      </c>
      <c r="D524">
        <f t="shared" si="32"/>
        <v>4181.0971358296492</v>
      </c>
      <c r="E524">
        <f>_xlfn.XLOOKUP(A524,Banks!A:A,Banks!I:I,0)</f>
        <v>35063.196376943277</v>
      </c>
      <c r="F524">
        <f>_xlfn.XLOOKUP(A524,Energy!A:A,Energy!I:I,0)</f>
        <v>0</v>
      </c>
      <c r="G524">
        <f t="shared" si="33"/>
        <v>35063.196376943277</v>
      </c>
      <c r="H524">
        <f t="shared" si="34"/>
        <v>30882.099241113629</v>
      </c>
      <c r="I524" t="b">
        <f t="shared" si="35"/>
        <v>0</v>
      </c>
    </row>
    <row r="525" spans="1:9">
      <c r="A525" s="1">
        <v>45989.637499999997</v>
      </c>
      <c r="B525" s="5">
        <f>_xlfn.XLOOKUP(A525,Banks!A:A,Banks!H:H,0,-1)</f>
        <v>1315.889677535584</v>
      </c>
      <c r="C525">
        <f>_xlfn.XLOOKUP(A525,Energy!A:A,Energy!H:H,0,-1)</f>
        <v>2811.4390339662159</v>
      </c>
      <c r="D525">
        <f t="shared" si="32"/>
        <v>4127.3287115018002</v>
      </c>
      <c r="E525">
        <f>_xlfn.XLOOKUP(A525,Banks!A:A,Banks!I:I,0)</f>
        <v>0</v>
      </c>
      <c r="F525">
        <f>_xlfn.XLOOKUP(A525,Energy!A:A,Energy!I:I,0)</f>
        <v>0</v>
      </c>
      <c r="G525">
        <f t="shared" si="33"/>
        <v>0</v>
      </c>
      <c r="H525">
        <f t="shared" si="34"/>
        <v>-4127.3287115018002</v>
      </c>
      <c r="I525" t="b">
        <f t="shared" si="35"/>
        <v>0</v>
      </c>
    </row>
    <row r="526" spans="1:9">
      <c r="A526" s="1">
        <v>45992.604166666657</v>
      </c>
      <c r="B526" s="5">
        <f>_xlfn.XLOOKUP(A526,Banks!A:A,Banks!H:H,0,-1)</f>
        <v>1315.889677535584</v>
      </c>
      <c r="C526">
        <f>_xlfn.XLOOKUP(A526,Energy!A:A,Energy!H:H,0,-1)</f>
        <v>2811.4390339662159</v>
      </c>
      <c r="D526">
        <f t="shared" si="32"/>
        <v>4127.3287115018002</v>
      </c>
      <c r="E526">
        <f>_xlfn.XLOOKUP(A526,Banks!A:A,Banks!I:I,0)</f>
        <v>34771.641445041561</v>
      </c>
      <c r="F526">
        <f>_xlfn.XLOOKUP(A526,Energy!A:A,Energy!I:I,0)</f>
        <v>0</v>
      </c>
      <c r="G526">
        <f t="shared" si="33"/>
        <v>34771.641445041561</v>
      </c>
      <c r="H526">
        <f t="shared" si="34"/>
        <v>30644.312733539762</v>
      </c>
      <c r="I526" t="b">
        <f t="shared" si="35"/>
        <v>0</v>
      </c>
    </row>
    <row r="527" spans="1:9">
      <c r="A527" s="1">
        <v>45992.604861111111</v>
      </c>
      <c r="B527" s="5">
        <f>_xlfn.XLOOKUP(A527,Banks!A:A,Banks!H:H,0,-1)</f>
        <v>1475.3687705220671</v>
      </c>
      <c r="C527">
        <f>_xlfn.XLOOKUP(A527,Energy!A:A,Energy!H:H,0,-1)</f>
        <v>2811.4390339662159</v>
      </c>
      <c r="D527">
        <f t="shared" si="32"/>
        <v>4286.8078044882832</v>
      </c>
      <c r="E527">
        <f>_xlfn.XLOOKUP(A527,Banks!A:A,Banks!I:I,0)</f>
        <v>0</v>
      </c>
      <c r="F527">
        <f>_xlfn.XLOOKUP(A527,Energy!A:A,Energy!I:I,0)</f>
        <v>27356.900153774721</v>
      </c>
      <c r="G527">
        <f t="shared" si="33"/>
        <v>27356.900153774721</v>
      </c>
      <c r="H527">
        <f t="shared" si="34"/>
        <v>23070.092349286439</v>
      </c>
      <c r="I527" t="b">
        <f t="shared" si="35"/>
        <v>0</v>
      </c>
    </row>
    <row r="528" spans="1:9">
      <c r="A528" s="1">
        <v>45992.605555555558</v>
      </c>
      <c r="B528" s="5">
        <f>_xlfn.XLOOKUP(A528,Banks!A:A,Banks!H:H,0,-1)</f>
        <v>1475.3687705220671</v>
      </c>
      <c r="C528">
        <f>_xlfn.XLOOKUP(A528,Energy!A:A,Energy!H:H,0,-1)</f>
        <v>3094.3505633307618</v>
      </c>
      <c r="D528">
        <f t="shared" si="32"/>
        <v>4569.7193338528286</v>
      </c>
      <c r="E528">
        <f>_xlfn.XLOOKUP(A528,Banks!A:A,Banks!I:I,0)</f>
        <v>0</v>
      </c>
      <c r="F528">
        <f>_xlfn.XLOOKUP(A528,Energy!A:A,Energy!I:I,0)</f>
        <v>0</v>
      </c>
      <c r="G528">
        <f t="shared" si="33"/>
        <v>0</v>
      </c>
      <c r="H528">
        <f t="shared" si="34"/>
        <v>-4569.7193338528286</v>
      </c>
      <c r="I528" t="b">
        <f t="shared" si="35"/>
        <v>0</v>
      </c>
    </row>
    <row r="529" spans="1:9">
      <c r="A529" s="1">
        <v>45993.609027777777</v>
      </c>
      <c r="B529" s="5">
        <f>_xlfn.XLOOKUP(A529,Banks!A:A,Banks!H:H,0,-1)</f>
        <v>1475.3687705220671</v>
      </c>
      <c r="C529">
        <f>_xlfn.XLOOKUP(A529,Energy!A:A,Energy!H:H,0,-1)</f>
        <v>3094.3505633307618</v>
      </c>
      <c r="D529">
        <f t="shared" si="32"/>
        <v>4569.7193338528286</v>
      </c>
      <c r="E529">
        <f>_xlfn.XLOOKUP(A529,Banks!A:A,Banks!I:I,0)</f>
        <v>34771.641445041561</v>
      </c>
      <c r="F529">
        <f>_xlfn.XLOOKUP(A529,Energy!A:A,Energy!I:I,0)</f>
        <v>0</v>
      </c>
      <c r="G529">
        <f t="shared" si="33"/>
        <v>34771.641445041561</v>
      </c>
      <c r="H529">
        <f t="shared" si="34"/>
        <v>30201.922111188731</v>
      </c>
      <c r="I529" t="b">
        <f t="shared" si="35"/>
        <v>0</v>
      </c>
    </row>
    <row r="530" spans="1:9">
      <c r="A530" s="1">
        <v>45993.609722222223</v>
      </c>
      <c r="B530" s="5">
        <f>_xlfn.XLOOKUP(A530,Banks!A:A,Banks!H:H,0,-1)</f>
        <v>1471.0631737384981</v>
      </c>
      <c r="C530">
        <f>_xlfn.XLOOKUP(A530,Energy!A:A,Energy!H:H,0,-1)</f>
        <v>3094.3505633307618</v>
      </c>
      <c r="D530">
        <f t="shared" si="32"/>
        <v>4565.4137370692597</v>
      </c>
      <c r="E530">
        <f>_xlfn.XLOOKUP(A530,Banks!A:A,Banks!I:I,0)</f>
        <v>34772.502564398274</v>
      </c>
      <c r="F530">
        <f>_xlfn.XLOOKUP(A530,Energy!A:A,Energy!I:I,0)</f>
        <v>0</v>
      </c>
      <c r="G530">
        <f t="shared" si="33"/>
        <v>34772.502564398274</v>
      </c>
      <c r="H530">
        <f t="shared" si="34"/>
        <v>30207.088827329015</v>
      </c>
      <c r="I530" t="b">
        <f t="shared" si="35"/>
        <v>0</v>
      </c>
    </row>
    <row r="531" spans="1:9">
      <c r="A531" s="1">
        <v>45993.61041666667</v>
      </c>
      <c r="B531" s="5">
        <f>_xlfn.XLOOKUP(A531,Banks!A:A,Banks!H:H,0,-1)</f>
        <v>1502.759306812183</v>
      </c>
      <c r="C531">
        <f>_xlfn.XLOOKUP(A531,Energy!A:A,Energy!H:H,0,-1)</f>
        <v>3094.3505633307618</v>
      </c>
      <c r="D531">
        <f t="shared" si="32"/>
        <v>4597.1098701429446</v>
      </c>
      <c r="E531">
        <f>_xlfn.XLOOKUP(A531,Banks!A:A,Banks!I:I,0)</f>
        <v>34773.675074872743</v>
      </c>
      <c r="F531">
        <f>_xlfn.XLOOKUP(A531,Energy!A:A,Energy!I:I,0)</f>
        <v>0</v>
      </c>
      <c r="G531">
        <f t="shared" si="33"/>
        <v>34773.675074872743</v>
      </c>
      <c r="H531">
        <f t="shared" si="34"/>
        <v>30176.565204729799</v>
      </c>
      <c r="I531" t="b">
        <f t="shared" si="35"/>
        <v>0</v>
      </c>
    </row>
    <row r="532" spans="1:9">
      <c r="A532" s="1">
        <v>45993.611111111109</v>
      </c>
      <c r="B532" s="5">
        <f>_xlfn.XLOOKUP(A532,Banks!A:A,Banks!H:H,0,-1)</f>
        <v>1535.647125491917</v>
      </c>
      <c r="C532">
        <f>_xlfn.XLOOKUP(A532,Energy!A:A,Energy!H:H,0,-1)</f>
        <v>3094.3505633307618</v>
      </c>
      <c r="D532">
        <f t="shared" si="32"/>
        <v>4629.9976888226793</v>
      </c>
      <c r="E532">
        <f>_xlfn.XLOOKUP(A532,Banks!A:A,Banks!I:I,0)</f>
        <v>34759.585774047591</v>
      </c>
      <c r="F532">
        <f>_xlfn.XLOOKUP(A532,Energy!A:A,Energy!I:I,0)</f>
        <v>0</v>
      </c>
      <c r="G532">
        <f t="shared" si="33"/>
        <v>34759.585774047591</v>
      </c>
      <c r="H532">
        <f t="shared" si="34"/>
        <v>30129.58808522491</v>
      </c>
      <c r="I532" t="b">
        <f t="shared" si="35"/>
        <v>0</v>
      </c>
    </row>
    <row r="533" spans="1:9">
      <c r="A533" s="1">
        <v>45993.611805555563</v>
      </c>
      <c r="B533" s="5">
        <f>_xlfn.XLOOKUP(A533,Banks!A:A,Banks!H:H,0,-1)</f>
        <v>1541.55761569318</v>
      </c>
      <c r="C533">
        <f>_xlfn.XLOOKUP(A533,Energy!A:A,Energy!H:H,0,-1)</f>
        <v>3094.3505633307618</v>
      </c>
      <c r="D533">
        <f t="shared" si="32"/>
        <v>4635.9081790239416</v>
      </c>
      <c r="E533">
        <f>_xlfn.XLOOKUP(A533,Banks!A:A,Banks!I:I,0)</f>
        <v>34724.600859105929</v>
      </c>
      <c r="F533">
        <f>_xlfn.XLOOKUP(A533,Energy!A:A,Energy!I:I,0)</f>
        <v>0</v>
      </c>
      <c r="G533">
        <f t="shared" si="33"/>
        <v>34724.600859105929</v>
      </c>
      <c r="H533">
        <f t="shared" si="34"/>
        <v>30088.692680081986</v>
      </c>
      <c r="I533" t="b">
        <f t="shared" si="35"/>
        <v>0</v>
      </c>
    </row>
    <row r="534" spans="1:9">
      <c r="A534" s="1">
        <v>45993.612500000003</v>
      </c>
      <c r="B534" s="5">
        <f>_xlfn.XLOOKUP(A534,Banks!A:A,Banks!H:H,0,-1)</f>
        <v>1546.2764202884071</v>
      </c>
      <c r="C534">
        <f>_xlfn.XLOOKUP(A534,Energy!A:A,Energy!H:H,0,-1)</f>
        <v>3094.3505633307618</v>
      </c>
      <c r="D534">
        <f t="shared" si="32"/>
        <v>4640.6269836191686</v>
      </c>
      <c r="E534">
        <f>_xlfn.XLOOKUP(A534,Banks!A:A,Banks!I:I,0)</f>
        <v>34704.87775546388</v>
      </c>
      <c r="F534">
        <f>_xlfn.XLOOKUP(A534,Energy!A:A,Energy!I:I,0)</f>
        <v>0</v>
      </c>
      <c r="G534">
        <f t="shared" si="33"/>
        <v>34704.87775546388</v>
      </c>
      <c r="H534">
        <f t="shared" si="34"/>
        <v>30064.250771844712</v>
      </c>
      <c r="I534" t="b">
        <f t="shared" si="35"/>
        <v>0</v>
      </c>
    </row>
    <row r="535" spans="1:9">
      <c r="A535" s="1">
        <v>45993.613194444442</v>
      </c>
      <c r="B535" s="5">
        <f>_xlfn.XLOOKUP(A535,Banks!A:A,Banks!H:H,0,-1)</f>
        <v>1419.126618010931</v>
      </c>
      <c r="C535">
        <f>_xlfn.XLOOKUP(A535,Energy!A:A,Energy!H:H,0,-1)</f>
        <v>3094.3505633307618</v>
      </c>
      <c r="D535">
        <f t="shared" si="32"/>
        <v>4513.4771813416928</v>
      </c>
      <c r="E535">
        <f>_xlfn.XLOOKUP(A535,Banks!A:A,Banks!I:I,0)</f>
        <v>34677.725556294958</v>
      </c>
      <c r="F535">
        <f>_xlfn.XLOOKUP(A535,Energy!A:A,Energy!I:I,0)</f>
        <v>0</v>
      </c>
      <c r="G535">
        <f t="shared" si="33"/>
        <v>34677.725556294958</v>
      </c>
      <c r="H535">
        <f t="shared" si="34"/>
        <v>30164.248374953266</v>
      </c>
      <c r="I535" t="b">
        <f t="shared" si="35"/>
        <v>0</v>
      </c>
    </row>
    <row r="536" spans="1:9">
      <c r="A536" s="1">
        <v>45993.613888888889</v>
      </c>
      <c r="B536" s="5">
        <f>_xlfn.XLOOKUP(A536,Banks!A:A,Banks!H:H,0,-1)</f>
        <v>1527.083869753737</v>
      </c>
      <c r="C536">
        <f>_xlfn.XLOOKUP(A536,Energy!A:A,Energy!H:H,0,-1)</f>
        <v>3094.3505633307618</v>
      </c>
      <c r="D536">
        <f t="shared" si="32"/>
        <v>4621.4344330844988</v>
      </c>
      <c r="E536">
        <f>_xlfn.XLOOKUP(A536,Banks!A:A,Banks!I:I,0)</f>
        <v>34719.983871204618</v>
      </c>
      <c r="F536">
        <f>_xlfn.XLOOKUP(A536,Energy!A:A,Energy!I:I,0)</f>
        <v>0</v>
      </c>
      <c r="G536">
        <f t="shared" si="33"/>
        <v>34719.983871204618</v>
      </c>
      <c r="H536">
        <f t="shared" si="34"/>
        <v>30098.549438120121</v>
      </c>
      <c r="I536" t="b">
        <f t="shared" si="35"/>
        <v>0</v>
      </c>
    </row>
    <row r="537" spans="1:9">
      <c r="A537" s="1">
        <v>45993.614583333343</v>
      </c>
      <c r="B537" s="5">
        <f>_xlfn.XLOOKUP(A537,Banks!A:A,Banks!H:H,0,-1)</f>
        <v>1424.5280247426581</v>
      </c>
      <c r="C537">
        <f>_xlfn.XLOOKUP(A537,Energy!A:A,Energy!H:H,0,-1)</f>
        <v>3094.3505633307618</v>
      </c>
      <c r="D537">
        <f t="shared" si="32"/>
        <v>4518.8785880734195</v>
      </c>
      <c r="E537">
        <f>_xlfn.XLOOKUP(A537,Banks!A:A,Banks!I:I,0)</f>
        <v>34744.250908751441</v>
      </c>
      <c r="F537">
        <f>_xlfn.XLOOKUP(A537,Energy!A:A,Energy!I:I,0)</f>
        <v>0</v>
      </c>
      <c r="G537">
        <f t="shared" si="33"/>
        <v>34744.250908751441</v>
      </c>
      <c r="H537">
        <f t="shared" si="34"/>
        <v>30225.37232067802</v>
      </c>
      <c r="I537" t="b">
        <f t="shared" si="35"/>
        <v>0</v>
      </c>
    </row>
    <row r="538" spans="1:9">
      <c r="A538" s="1">
        <v>45993.615277777782</v>
      </c>
      <c r="B538" s="5">
        <f>_xlfn.XLOOKUP(A538,Banks!A:A,Banks!H:H,0,-1)</f>
        <v>1523.9220207472699</v>
      </c>
      <c r="C538">
        <f>_xlfn.XLOOKUP(A538,Energy!A:A,Energy!H:H,0,-1)</f>
        <v>3094.3505633307618</v>
      </c>
      <c r="D538">
        <f t="shared" si="32"/>
        <v>4618.2725840780313</v>
      </c>
      <c r="E538">
        <f>_xlfn.XLOOKUP(A538,Banks!A:A,Banks!I:I,0)</f>
        <v>34746.907320818107</v>
      </c>
      <c r="F538">
        <f>_xlfn.XLOOKUP(A538,Energy!A:A,Energy!I:I,0)</f>
        <v>0</v>
      </c>
      <c r="G538">
        <f t="shared" si="33"/>
        <v>34746.907320818107</v>
      </c>
      <c r="H538">
        <f t="shared" si="34"/>
        <v>30128.634736740074</v>
      </c>
      <c r="I538" t="b">
        <f t="shared" si="35"/>
        <v>0</v>
      </c>
    </row>
    <row r="539" spans="1:9">
      <c r="A539" s="1">
        <v>45993.615972222222</v>
      </c>
      <c r="B539" s="5">
        <f>_xlfn.XLOOKUP(A539,Banks!A:A,Banks!H:H,0,-1)</f>
        <v>1508.2565892018019</v>
      </c>
      <c r="C539">
        <f>_xlfn.XLOOKUP(A539,Energy!A:A,Energy!H:H,0,-1)</f>
        <v>3094.3505633307618</v>
      </c>
      <c r="D539">
        <f t="shared" si="32"/>
        <v>4602.6071525325642</v>
      </c>
      <c r="E539">
        <f>_xlfn.XLOOKUP(A539,Banks!A:A,Banks!I:I,0)</f>
        <v>34757.55214421641</v>
      </c>
      <c r="F539">
        <f>_xlfn.XLOOKUP(A539,Energy!A:A,Energy!I:I,0)</f>
        <v>0</v>
      </c>
      <c r="G539">
        <f t="shared" si="33"/>
        <v>34757.55214421641</v>
      </c>
      <c r="H539">
        <f t="shared" si="34"/>
        <v>30154.944991683846</v>
      </c>
      <c r="I539" t="b">
        <f t="shared" si="35"/>
        <v>0</v>
      </c>
    </row>
    <row r="540" spans="1:9">
      <c r="A540" s="1">
        <v>45993.616666666669</v>
      </c>
      <c r="B540" s="5">
        <f>_xlfn.XLOOKUP(A540,Banks!A:A,Banks!H:H,0,-1)</f>
        <v>1503.5857224355091</v>
      </c>
      <c r="C540">
        <f>_xlfn.XLOOKUP(A540,Energy!A:A,Energy!H:H,0,-1)</f>
        <v>3094.3505633307618</v>
      </c>
      <c r="D540">
        <f t="shared" si="32"/>
        <v>4597.9362857662709</v>
      </c>
      <c r="E540">
        <f>_xlfn.XLOOKUP(A540,Banks!A:A,Banks!I:I,0)</f>
        <v>34735.951106302069</v>
      </c>
      <c r="F540">
        <f>_xlfn.XLOOKUP(A540,Energy!A:A,Energy!I:I,0)</f>
        <v>0</v>
      </c>
      <c r="G540">
        <f t="shared" si="33"/>
        <v>34735.951106302069</v>
      </c>
      <c r="H540">
        <f t="shared" si="34"/>
        <v>30138.014820535798</v>
      </c>
      <c r="I540" t="b">
        <f t="shared" si="35"/>
        <v>0</v>
      </c>
    </row>
    <row r="541" spans="1:9">
      <c r="A541" s="1">
        <v>45993.617361111108</v>
      </c>
      <c r="B541" s="5">
        <f>_xlfn.XLOOKUP(A541,Banks!A:A,Banks!H:H,0,-1)</f>
        <v>1444.133783088972</v>
      </c>
      <c r="C541">
        <f>_xlfn.XLOOKUP(A541,Energy!A:A,Energy!H:H,0,-1)</f>
        <v>3094.3505633307618</v>
      </c>
      <c r="D541">
        <f t="shared" si="32"/>
        <v>4538.4843464197338</v>
      </c>
      <c r="E541">
        <f>_xlfn.XLOOKUP(A541,Banks!A:A,Banks!I:I,0)</f>
        <v>34710.282808725373</v>
      </c>
      <c r="F541">
        <f>_xlfn.XLOOKUP(A541,Energy!A:A,Energy!I:I,0)</f>
        <v>0</v>
      </c>
      <c r="G541">
        <f t="shared" si="33"/>
        <v>34710.282808725373</v>
      </c>
      <c r="H541">
        <f t="shared" si="34"/>
        <v>30171.79846230564</v>
      </c>
      <c r="I541" t="b">
        <f t="shared" si="35"/>
        <v>0</v>
      </c>
    </row>
    <row r="542" spans="1:9">
      <c r="A542" s="1">
        <v>45993.618055555547</v>
      </c>
      <c r="B542" s="5">
        <f>_xlfn.XLOOKUP(A542,Banks!A:A,Banks!H:H,0,-1)</f>
        <v>1351.7940250627139</v>
      </c>
      <c r="C542">
        <f>_xlfn.XLOOKUP(A542,Energy!A:A,Energy!H:H,0,-1)</f>
        <v>3094.3505633307618</v>
      </c>
      <c r="D542">
        <f t="shared" si="32"/>
        <v>4446.1445883934757</v>
      </c>
      <c r="E542">
        <f>_xlfn.XLOOKUP(A542,Banks!A:A,Banks!I:I,0)</f>
        <v>34698.703811973799</v>
      </c>
      <c r="F542">
        <f>_xlfn.XLOOKUP(A542,Energy!A:A,Energy!I:I,0)</f>
        <v>0</v>
      </c>
      <c r="G542">
        <f t="shared" si="33"/>
        <v>34698.703811973799</v>
      </c>
      <c r="H542">
        <f t="shared" si="34"/>
        <v>30252.559223580323</v>
      </c>
      <c r="I542" t="b">
        <f t="shared" si="35"/>
        <v>0</v>
      </c>
    </row>
    <row r="543" spans="1:9">
      <c r="A543" s="1">
        <v>45993.618750000001</v>
      </c>
      <c r="B543" s="5">
        <f>_xlfn.XLOOKUP(A543,Banks!A:A,Banks!H:H,0,-1)</f>
        <v>1419.126618010931</v>
      </c>
      <c r="C543">
        <f>_xlfn.XLOOKUP(A543,Energy!A:A,Energy!H:H,0,-1)</f>
        <v>3094.3505633307618</v>
      </c>
      <c r="D543">
        <f t="shared" si="32"/>
        <v>4513.4771813416928</v>
      </c>
      <c r="E543">
        <f>_xlfn.XLOOKUP(A543,Banks!A:A,Banks!I:I,0)</f>
        <v>34677.725556294958</v>
      </c>
      <c r="F543">
        <f>_xlfn.XLOOKUP(A543,Energy!A:A,Energy!I:I,0)</f>
        <v>0</v>
      </c>
      <c r="G543">
        <f t="shared" si="33"/>
        <v>34677.725556294958</v>
      </c>
      <c r="H543">
        <f t="shared" si="34"/>
        <v>30164.248374953266</v>
      </c>
      <c r="I543" t="b">
        <f t="shared" si="35"/>
        <v>0</v>
      </c>
    </row>
    <row r="544" spans="1:9">
      <c r="A544" s="1">
        <v>45993.619444444441</v>
      </c>
      <c r="B544" s="5">
        <f>_xlfn.XLOOKUP(A544,Banks!A:A,Banks!H:H,0,-1)</f>
        <v>1486.8724187708169</v>
      </c>
      <c r="C544">
        <f>_xlfn.XLOOKUP(A544,Energy!A:A,Energy!H:H,0,-1)</f>
        <v>3094.3505633307618</v>
      </c>
      <c r="D544">
        <f t="shared" si="32"/>
        <v>4581.222982101579</v>
      </c>
      <c r="E544">
        <f>_xlfn.XLOOKUP(A544,Banks!A:A,Banks!I:I,0)</f>
        <v>34637.885316330779</v>
      </c>
      <c r="F544">
        <f>_xlfn.XLOOKUP(A544,Energy!A:A,Energy!I:I,0)</f>
        <v>0</v>
      </c>
      <c r="G544">
        <f t="shared" si="33"/>
        <v>34637.885316330779</v>
      </c>
      <c r="H544">
        <f t="shared" si="34"/>
        <v>30056.6623342292</v>
      </c>
      <c r="I544" t="b">
        <f t="shared" si="35"/>
        <v>0</v>
      </c>
    </row>
    <row r="545" spans="1:9">
      <c r="A545" s="1">
        <v>45993.620138888888</v>
      </c>
      <c r="B545" s="5">
        <f>_xlfn.XLOOKUP(A545,Banks!A:A,Banks!H:H,0,-1)</f>
        <v>1451.283896725218</v>
      </c>
      <c r="C545">
        <f>_xlfn.XLOOKUP(A545,Energy!A:A,Energy!H:H,0,-1)</f>
        <v>3094.3505633307618</v>
      </c>
      <c r="D545">
        <f t="shared" si="32"/>
        <v>4545.6344600559796</v>
      </c>
      <c r="E545">
        <f>_xlfn.XLOOKUP(A545,Banks!A:A,Banks!I:I,0)</f>
        <v>34618.711940927693</v>
      </c>
      <c r="F545">
        <f>_xlfn.XLOOKUP(A545,Energy!A:A,Energy!I:I,0)</f>
        <v>0</v>
      </c>
      <c r="G545">
        <f t="shared" si="33"/>
        <v>34618.711940927693</v>
      </c>
      <c r="H545">
        <f t="shared" si="34"/>
        <v>30073.077480871714</v>
      </c>
      <c r="I545" t="b">
        <f t="shared" si="35"/>
        <v>0</v>
      </c>
    </row>
    <row r="546" spans="1:9">
      <c r="A546" s="1">
        <v>45993.620833333327</v>
      </c>
      <c r="B546" s="5">
        <f>_xlfn.XLOOKUP(A546,Banks!A:A,Banks!H:H,0,-1)</f>
        <v>1524.5238258026709</v>
      </c>
      <c r="C546">
        <f>_xlfn.XLOOKUP(A546,Energy!A:A,Energy!H:H,0,-1)</f>
        <v>3094.3505633307618</v>
      </c>
      <c r="D546">
        <f t="shared" si="32"/>
        <v>4618.8743891334325</v>
      </c>
      <c r="E546">
        <f>_xlfn.XLOOKUP(A546,Banks!A:A,Banks!I:I,0)</f>
        <v>0</v>
      </c>
      <c r="F546">
        <f>_xlfn.XLOOKUP(A546,Energy!A:A,Energy!I:I,0)</f>
        <v>0</v>
      </c>
      <c r="G546">
        <f t="shared" si="33"/>
        <v>0</v>
      </c>
      <c r="H546">
        <f t="shared" si="34"/>
        <v>-4618.8743891334325</v>
      </c>
      <c r="I546" t="b">
        <f t="shared" si="35"/>
        <v>0</v>
      </c>
    </row>
    <row r="547" spans="1:9">
      <c r="A547" s="1">
        <v>45994.604166666657</v>
      </c>
      <c r="B547" s="5">
        <f>_xlfn.XLOOKUP(A547,Banks!A:A,Banks!H:H,0,-1)</f>
        <v>1524.5238258026709</v>
      </c>
      <c r="C547">
        <f>_xlfn.XLOOKUP(A547,Energy!A:A,Energy!H:H,0,-1)</f>
        <v>3094.3505633307618</v>
      </c>
      <c r="D547">
        <f t="shared" si="32"/>
        <v>4618.8743891334325</v>
      </c>
      <c r="E547">
        <f>_xlfn.XLOOKUP(A547,Banks!A:A,Banks!I:I,0)</f>
        <v>34771.641445041561</v>
      </c>
      <c r="F547">
        <f>_xlfn.XLOOKUP(A547,Energy!A:A,Energy!I:I,0)</f>
        <v>0</v>
      </c>
      <c r="G547">
        <f t="shared" si="33"/>
        <v>34771.641445041561</v>
      </c>
      <c r="H547">
        <f t="shared" si="34"/>
        <v>30152.767055908131</v>
      </c>
      <c r="I547" t="b">
        <f t="shared" si="35"/>
        <v>0</v>
      </c>
    </row>
    <row r="548" spans="1:9">
      <c r="A548" s="1">
        <v>45994.604861111111</v>
      </c>
      <c r="B548" s="5">
        <f>_xlfn.XLOOKUP(A548,Banks!A:A,Banks!H:H,0,-1)</f>
        <v>1373.1047880228109</v>
      </c>
      <c r="C548">
        <f>_xlfn.XLOOKUP(A548,Energy!A:A,Energy!H:H,0,-1)</f>
        <v>3094.3505633307618</v>
      </c>
      <c r="D548">
        <f t="shared" si="32"/>
        <v>4467.455351353573</v>
      </c>
      <c r="E548">
        <f>_xlfn.XLOOKUP(A548,Banks!A:A,Banks!I:I,0)</f>
        <v>34846.423303526863</v>
      </c>
      <c r="F548">
        <f>_xlfn.XLOOKUP(A548,Energy!A:A,Energy!I:I,0)</f>
        <v>0</v>
      </c>
      <c r="G548">
        <f t="shared" si="33"/>
        <v>34846.423303526863</v>
      </c>
      <c r="H548">
        <f t="shared" si="34"/>
        <v>30378.967952173291</v>
      </c>
      <c r="I548" t="b">
        <f t="shared" si="35"/>
        <v>0</v>
      </c>
    </row>
    <row r="549" spans="1:9">
      <c r="A549" s="1">
        <v>45994.605555555558</v>
      </c>
      <c r="B549" s="5">
        <f>_xlfn.XLOOKUP(A549,Banks!A:A,Banks!H:H,0,-1)</f>
        <v>1489.6130506205991</v>
      </c>
      <c r="C549">
        <f>_xlfn.XLOOKUP(A549,Energy!A:A,Energy!H:H,0,-1)</f>
        <v>3094.3505633307618</v>
      </c>
      <c r="D549">
        <f t="shared" si="32"/>
        <v>4583.9636139513605</v>
      </c>
      <c r="E549">
        <f>_xlfn.XLOOKUP(A549,Banks!A:A,Banks!I:I,0)</f>
        <v>34884.73433690946</v>
      </c>
      <c r="F549">
        <f>_xlfn.XLOOKUP(A549,Energy!A:A,Energy!I:I,0)</f>
        <v>0</v>
      </c>
      <c r="G549">
        <f t="shared" si="33"/>
        <v>34884.73433690946</v>
      </c>
      <c r="H549">
        <f t="shared" si="34"/>
        <v>30300.770722958099</v>
      </c>
      <c r="I549" t="b">
        <f t="shared" si="35"/>
        <v>0</v>
      </c>
    </row>
    <row r="550" spans="1:9">
      <c r="A550" s="1">
        <v>45994.606249999997</v>
      </c>
      <c r="B550" s="5">
        <f>_xlfn.XLOOKUP(A550,Banks!A:A,Banks!H:H,0,-1)</f>
        <v>1590.994521969749</v>
      </c>
      <c r="C550">
        <f>_xlfn.XLOOKUP(A550,Energy!A:A,Energy!H:H,0,-1)</f>
        <v>3094.3505633307618</v>
      </c>
      <c r="D550">
        <f t="shared" si="32"/>
        <v>4685.3450853005106</v>
      </c>
      <c r="E550">
        <f>_xlfn.XLOOKUP(A550,Banks!A:A,Banks!I:I,0)</f>
        <v>34852.477798158652</v>
      </c>
      <c r="F550">
        <f>_xlfn.XLOOKUP(A550,Energy!A:A,Energy!I:I,0)</f>
        <v>0</v>
      </c>
      <c r="G550">
        <f t="shared" si="33"/>
        <v>34852.477798158652</v>
      </c>
      <c r="H550">
        <f t="shared" si="34"/>
        <v>30167.13271285814</v>
      </c>
      <c r="I550" t="b">
        <f t="shared" si="35"/>
        <v>0</v>
      </c>
    </row>
    <row r="551" spans="1:9">
      <c r="A551" s="1">
        <v>45994.606944444437</v>
      </c>
      <c r="B551" s="5">
        <f>_xlfn.XLOOKUP(A551,Banks!A:A,Banks!H:H,0,-1)</f>
        <v>1558.07159051188</v>
      </c>
      <c r="C551">
        <f>_xlfn.XLOOKUP(A551,Energy!A:A,Energy!H:H,0,-1)</f>
        <v>3094.3505633307618</v>
      </c>
      <c r="D551">
        <f t="shared" si="32"/>
        <v>4652.4221538426418</v>
      </c>
      <c r="E551">
        <f>_xlfn.XLOOKUP(A551,Banks!A:A,Banks!I:I,0)</f>
        <v>34898.426044887718</v>
      </c>
      <c r="F551">
        <f>_xlfn.XLOOKUP(A551,Energy!A:A,Energy!I:I,0)</f>
        <v>0</v>
      </c>
      <c r="G551">
        <f t="shared" si="33"/>
        <v>34898.426044887718</v>
      </c>
      <c r="H551">
        <f t="shared" si="34"/>
        <v>30246.003891045075</v>
      </c>
      <c r="I551" t="b">
        <f t="shared" si="35"/>
        <v>0</v>
      </c>
    </row>
    <row r="552" spans="1:9">
      <c r="A552" s="1">
        <v>45994.607638888891</v>
      </c>
      <c r="B552" s="5">
        <f>_xlfn.XLOOKUP(A552,Banks!A:A,Banks!H:H,0,-1)</f>
        <v>1437.9283930839231</v>
      </c>
      <c r="C552">
        <f>_xlfn.XLOOKUP(A552,Energy!A:A,Energy!H:H,0,-1)</f>
        <v>3094.3505633307618</v>
      </c>
      <c r="D552">
        <f t="shared" si="32"/>
        <v>4532.2789564146851</v>
      </c>
      <c r="E552">
        <f>_xlfn.XLOOKUP(A552,Banks!A:A,Banks!I:I,0)</f>
        <v>34934.43492885428</v>
      </c>
      <c r="F552">
        <f>_xlfn.XLOOKUP(A552,Energy!A:A,Energy!I:I,0)</f>
        <v>0</v>
      </c>
      <c r="G552">
        <f t="shared" si="33"/>
        <v>34934.43492885428</v>
      </c>
      <c r="H552">
        <f t="shared" si="34"/>
        <v>30402.155972439596</v>
      </c>
      <c r="I552" t="b">
        <f t="shared" si="35"/>
        <v>0</v>
      </c>
    </row>
    <row r="553" spans="1:9">
      <c r="A553" s="1">
        <v>45994.60833333333</v>
      </c>
      <c r="B553" s="5">
        <f>_xlfn.XLOOKUP(A553,Banks!A:A,Banks!H:H,0,-1)</f>
        <v>1491.4021820431431</v>
      </c>
      <c r="C553">
        <f>_xlfn.XLOOKUP(A553,Energy!A:A,Energy!H:H,0,-1)</f>
        <v>3094.3505633307618</v>
      </c>
      <c r="D553">
        <f t="shared" si="32"/>
        <v>4585.7527453739049</v>
      </c>
      <c r="E553">
        <f>_xlfn.XLOOKUP(A553,Banks!A:A,Banks!I:I,0)</f>
        <v>34993.910174450997</v>
      </c>
      <c r="F553">
        <f>_xlfn.XLOOKUP(A553,Energy!A:A,Energy!I:I,0)</f>
        <v>0</v>
      </c>
      <c r="G553">
        <f t="shared" si="33"/>
        <v>34993.910174450997</v>
      </c>
      <c r="H553">
        <f t="shared" si="34"/>
        <v>30408.157429077091</v>
      </c>
      <c r="I553" t="b">
        <f t="shared" si="35"/>
        <v>0</v>
      </c>
    </row>
    <row r="554" spans="1:9">
      <c r="A554" s="1">
        <v>45994.609027777777</v>
      </c>
      <c r="B554" s="5">
        <f>_xlfn.XLOOKUP(A554,Banks!A:A,Banks!H:H,0,-1)</f>
        <v>1380.980600272788</v>
      </c>
      <c r="C554">
        <f>_xlfn.XLOOKUP(A554,Energy!A:A,Energy!H:H,0,-1)</f>
        <v>3094.3505633307618</v>
      </c>
      <c r="D554">
        <f t="shared" si="32"/>
        <v>4475.3311636035496</v>
      </c>
      <c r="E554">
        <f>_xlfn.XLOOKUP(A554,Banks!A:A,Banks!I:I,0)</f>
        <v>34968.073512881179</v>
      </c>
      <c r="F554">
        <f>_xlfn.XLOOKUP(A554,Energy!A:A,Energy!I:I,0)</f>
        <v>0</v>
      </c>
      <c r="G554">
        <f t="shared" si="33"/>
        <v>34968.073512881179</v>
      </c>
      <c r="H554">
        <f t="shared" si="34"/>
        <v>30492.742349277629</v>
      </c>
      <c r="I554" t="b">
        <f t="shared" si="35"/>
        <v>0</v>
      </c>
    </row>
    <row r="555" spans="1:9">
      <c r="A555" s="1">
        <v>45994.609722222223</v>
      </c>
      <c r="B555" s="5">
        <f>_xlfn.XLOOKUP(A555,Banks!A:A,Banks!H:H,0,-1)</f>
        <v>1324.6954220363889</v>
      </c>
      <c r="C555">
        <f>_xlfn.XLOOKUP(A555,Energy!A:A,Energy!H:H,0,-1)</f>
        <v>3094.3505633307618</v>
      </c>
      <c r="D555">
        <f t="shared" si="32"/>
        <v>4419.0459853671509</v>
      </c>
      <c r="E555">
        <f>_xlfn.XLOOKUP(A555,Banks!A:A,Banks!I:I,0)</f>
        <v>34979.330548528458</v>
      </c>
      <c r="F555">
        <f>_xlfn.XLOOKUP(A555,Energy!A:A,Energy!I:I,0)</f>
        <v>0</v>
      </c>
      <c r="G555">
        <f t="shared" si="33"/>
        <v>34979.330548528458</v>
      </c>
      <c r="H555">
        <f t="shared" si="34"/>
        <v>30560.284563161309</v>
      </c>
      <c r="I555" t="b">
        <f t="shared" si="35"/>
        <v>0</v>
      </c>
    </row>
    <row r="556" spans="1:9">
      <c r="A556" s="1">
        <v>45994.61041666667</v>
      </c>
      <c r="B556" s="5">
        <f>_xlfn.XLOOKUP(A556,Banks!A:A,Banks!H:H,0,-1)</f>
        <v>1396.4481441396399</v>
      </c>
      <c r="C556">
        <f>_xlfn.XLOOKUP(A556,Energy!A:A,Energy!H:H,0,-1)</f>
        <v>3094.3505633307618</v>
      </c>
      <c r="D556">
        <f t="shared" si="32"/>
        <v>4490.7987074704015</v>
      </c>
      <c r="E556">
        <f>_xlfn.XLOOKUP(A556,Banks!A:A,Banks!I:I,0)</f>
        <v>34978.671712086063</v>
      </c>
      <c r="F556">
        <f>_xlfn.XLOOKUP(A556,Energy!A:A,Energy!I:I,0)</f>
        <v>0</v>
      </c>
      <c r="G556">
        <f t="shared" si="33"/>
        <v>34978.671712086063</v>
      </c>
      <c r="H556">
        <f t="shared" si="34"/>
        <v>30487.873004615663</v>
      </c>
      <c r="I556" t="b">
        <f t="shared" si="35"/>
        <v>0</v>
      </c>
    </row>
    <row r="557" spans="1:9">
      <c r="A557" s="1">
        <v>45994.611111111109</v>
      </c>
      <c r="B557" s="5">
        <f>_xlfn.XLOOKUP(A557,Banks!A:A,Banks!H:H,0,-1)</f>
        <v>1397.593551649139</v>
      </c>
      <c r="C557">
        <f>_xlfn.XLOOKUP(A557,Energy!A:A,Energy!H:H,0,-1)</f>
        <v>3094.3505633307618</v>
      </c>
      <c r="D557">
        <f t="shared" si="32"/>
        <v>4491.9441149799004</v>
      </c>
      <c r="E557">
        <f>_xlfn.XLOOKUP(A557,Banks!A:A,Banks!I:I,0)</f>
        <v>35012.671900529807</v>
      </c>
      <c r="F557">
        <f>_xlfn.XLOOKUP(A557,Energy!A:A,Energy!I:I,0)</f>
        <v>0</v>
      </c>
      <c r="G557">
        <f t="shared" si="33"/>
        <v>35012.671900529807</v>
      </c>
      <c r="H557">
        <f t="shared" si="34"/>
        <v>30520.727785549905</v>
      </c>
      <c r="I557" t="b">
        <f t="shared" si="35"/>
        <v>0</v>
      </c>
    </row>
    <row r="558" spans="1:9">
      <c r="A558" s="1">
        <v>45994.611805555563</v>
      </c>
      <c r="B558" s="5">
        <f>_xlfn.XLOOKUP(A558,Banks!A:A,Banks!H:H,0,-1)</f>
        <v>1552.126950000998</v>
      </c>
      <c r="C558">
        <f>_xlfn.XLOOKUP(A558,Energy!A:A,Energy!H:H,0,-1)</f>
        <v>3094.3505633307618</v>
      </c>
      <c r="D558">
        <f t="shared" si="32"/>
        <v>4646.4775133317598</v>
      </c>
      <c r="E558">
        <f>_xlfn.XLOOKUP(A558,Banks!A:A,Banks!I:I,0)</f>
        <v>35002.302782826817</v>
      </c>
      <c r="F558">
        <f>_xlfn.XLOOKUP(A558,Energy!A:A,Energy!I:I,0)</f>
        <v>0</v>
      </c>
      <c r="G558">
        <f t="shared" si="33"/>
        <v>35002.302782826817</v>
      </c>
      <c r="H558">
        <f t="shared" si="34"/>
        <v>30355.825269495057</v>
      </c>
      <c r="I558" t="b">
        <f t="shared" si="35"/>
        <v>0</v>
      </c>
    </row>
    <row r="559" spans="1:9">
      <c r="A559" s="1">
        <v>45994.612500000003</v>
      </c>
      <c r="B559" s="5">
        <f>_xlfn.XLOOKUP(A559,Banks!A:A,Banks!H:H,0,-1)</f>
        <v>1487.2844542781841</v>
      </c>
      <c r="C559">
        <f>_xlfn.XLOOKUP(A559,Energy!A:A,Energy!H:H,0,-1)</f>
        <v>3094.3505633307618</v>
      </c>
      <c r="D559">
        <f t="shared" si="32"/>
        <v>4581.6350176089454</v>
      </c>
      <c r="E559">
        <f>_xlfn.XLOOKUP(A559,Banks!A:A,Banks!I:I,0)</f>
        <v>35011.848354976821</v>
      </c>
      <c r="F559">
        <f>_xlfn.XLOOKUP(A559,Energy!A:A,Energy!I:I,0)</f>
        <v>0</v>
      </c>
      <c r="G559">
        <f t="shared" si="33"/>
        <v>35011.848354976821</v>
      </c>
      <c r="H559">
        <f t="shared" si="34"/>
        <v>30430.213337367873</v>
      </c>
      <c r="I559" t="b">
        <f t="shared" si="35"/>
        <v>0</v>
      </c>
    </row>
    <row r="560" spans="1:9">
      <c r="A560" s="1">
        <v>45994.613194444442</v>
      </c>
      <c r="B560" s="5">
        <f>_xlfn.XLOOKUP(A560,Banks!A:A,Banks!H:H,0,-1)</f>
        <v>1553.2723575104969</v>
      </c>
      <c r="C560">
        <f>_xlfn.XLOOKUP(A560,Energy!A:A,Energy!H:H,0,-1)</f>
        <v>3094.3505633307618</v>
      </c>
      <c r="D560">
        <f t="shared" si="32"/>
        <v>4647.6229208412587</v>
      </c>
      <c r="E560">
        <f>_xlfn.XLOOKUP(A560,Banks!A:A,Banks!I:I,0)</f>
        <v>35036.302971270561</v>
      </c>
      <c r="F560">
        <f>_xlfn.XLOOKUP(A560,Energy!A:A,Energy!I:I,0)</f>
        <v>0</v>
      </c>
      <c r="G560">
        <f t="shared" si="33"/>
        <v>35036.302971270561</v>
      </c>
      <c r="H560">
        <f t="shared" si="34"/>
        <v>30388.680050429302</v>
      </c>
      <c r="I560" t="b">
        <f t="shared" si="35"/>
        <v>0</v>
      </c>
    </row>
    <row r="561" spans="1:9">
      <c r="A561" s="1">
        <v>45994.613888888889</v>
      </c>
      <c r="B561" s="5">
        <f>_xlfn.XLOOKUP(A561,Banks!A:A,Banks!H:H,0,-1)</f>
        <v>1446.1449579521261</v>
      </c>
      <c r="C561">
        <f>_xlfn.XLOOKUP(A561,Energy!A:A,Energy!H:H,0,-1)</f>
        <v>3094.3505633307618</v>
      </c>
      <c r="D561">
        <f t="shared" si="32"/>
        <v>4540.4955212828881</v>
      </c>
      <c r="E561">
        <f>_xlfn.XLOOKUP(A561,Banks!A:A,Banks!I:I,0)</f>
        <v>34996.115765280083</v>
      </c>
      <c r="F561">
        <f>_xlfn.XLOOKUP(A561,Energy!A:A,Energy!I:I,0)</f>
        <v>0</v>
      </c>
      <c r="G561">
        <f t="shared" si="33"/>
        <v>34996.115765280083</v>
      </c>
      <c r="H561">
        <f t="shared" si="34"/>
        <v>30455.620243997197</v>
      </c>
      <c r="I561" t="b">
        <f t="shared" si="35"/>
        <v>0</v>
      </c>
    </row>
    <row r="562" spans="1:9">
      <c r="A562" s="1">
        <v>45994.614583333343</v>
      </c>
      <c r="B562" s="5">
        <f>_xlfn.XLOOKUP(A562,Banks!A:A,Banks!H:H,0,-1)</f>
        <v>1474.2875470703259</v>
      </c>
      <c r="C562">
        <f>_xlfn.XLOOKUP(A562,Energy!A:A,Energy!H:H,0,-1)</f>
        <v>3094.3505633307618</v>
      </c>
      <c r="D562">
        <f t="shared" si="32"/>
        <v>4568.6381104010879</v>
      </c>
      <c r="E562">
        <f>_xlfn.XLOOKUP(A562,Banks!A:A,Banks!I:I,0)</f>
        <v>34990.48724745644</v>
      </c>
      <c r="F562">
        <f>_xlfn.XLOOKUP(A562,Energy!A:A,Energy!I:I,0)</f>
        <v>0</v>
      </c>
      <c r="G562">
        <f t="shared" si="33"/>
        <v>34990.48724745644</v>
      </c>
      <c r="H562">
        <f t="shared" si="34"/>
        <v>30421.849137055353</v>
      </c>
      <c r="I562" t="b">
        <f t="shared" si="35"/>
        <v>0</v>
      </c>
    </row>
    <row r="563" spans="1:9">
      <c r="A563" s="1">
        <v>45994.615277777782</v>
      </c>
      <c r="B563" s="5">
        <f>_xlfn.XLOOKUP(A563,Banks!A:A,Banks!H:H,0,-1)</f>
        <v>1535.5139986246479</v>
      </c>
      <c r="C563">
        <f>_xlfn.XLOOKUP(A563,Energy!A:A,Energy!H:H,0,-1)</f>
        <v>3094.3505633307618</v>
      </c>
      <c r="D563">
        <f t="shared" si="32"/>
        <v>4629.86456195541</v>
      </c>
      <c r="E563">
        <f>_xlfn.XLOOKUP(A563,Banks!A:A,Banks!I:I,0)</f>
        <v>34957.704395178203</v>
      </c>
      <c r="F563">
        <f>_xlfn.XLOOKUP(A563,Energy!A:A,Energy!I:I,0)</f>
        <v>0</v>
      </c>
      <c r="G563">
        <f t="shared" si="33"/>
        <v>34957.704395178203</v>
      </c>
      <c r="H563">
        <f t="shared" si="34"/>
        <v>30327.839833222795</v>
      </c>
      <c r="I563" t="b">
        <f t="shared" si="35"/>
        <v>0</v>
      </c>
    </row>
    <row r="564" spans="1:9">
      <c r="A564" s="1">
        <v>45994.615972222222</v>
      </c>
      <c r="B564" s="5">
        <f>_xlfn.XLOOKUP(A564,Banks!A:A,Banks!H:H,0,-1)</f>
        <v>1485.188101378161</v>
      </c>
      <c r="C564">
        <f>_xlfn.XLOOKUP(A564,Energy!A:A,Energy!H:H,0,-1)</f>
        <v>3094.3505633307618</v>
      </c>
      <c r="D564">
        <f t="shared" si="32"/>
        <v>4579.5386647089226</v>
      </c>
      <c r="E564">
        <f>_xlfn.XLOOKUP(A564,Banks!A:A,Banks!I:I,0)</f>
        <v>0</v>
      </c>
      <c r="F564">
        <f>_xlfn.XLOOKUP(A564,Energy!A:A,Energy!I:I,0)</f>
        <v>0</v>
      </c>
      <c r="G564">
        <f t="shared" si="33"/>
        <v>0</v>
      </c>
      <c r="H564">
        <f t="shared" si="34"/>
        <v>-4579.5386647089226</v>
      </c>
      <c r="I564" t="b">
        <f t="shared" si="35"/>
        <v>0</v>
      </c>
    </row>
    <row r="565" spans="1:9">
      <c r="A565" s="1">
        <v>45999.604166666657</v>
      </c>
      <c r="B565" s="5">
        <f>_xlfn.XLOOKUP(A565,Banks!A:A,Banks!H:H,0,-1)</f>
        <v>1485.188101378161</v>
      </c>
      <c r="C565">
        <f>_xlfn.XLOOKUP(A565,Energy!A:A,Energy!H:H,0,-1)</f>
        <v>3094.3505633307618</v>
      </c>
      <c r="D565">
        <f t="shared" si="32"/>
        <v>4579.5386647089226</v>
      </c>
      <c r="E565">
        <f>_xlfn.XLOOKUP(A565,Banks!A:A,Banks!I:I,0)</f>
        <v>0</v>
      </c>
      <c r="F565">
        <f>_xlfn.XLOOKUP(A565,Energy!A:A,Energy!I:I,0)</f>
        <v>27356.900153774721</v>
      </c>
      <c r="G565">
        <f t="shared" si="33"/>
        <v>27356.900153774721</v>
      </c>
      <c r="H565">
        <f t="shared" si="34"/>
        <v>22777.361489065799</v>
      </c>
      <c r="I565" t="b">
        <f t="shared" si="35"/>
        <v>0</v>
      </c>
    </row>
    <row r="566" spans="1:9">
      <c r="A566" s="1">
        <v>45999.604861111111</v>
      </c>
      <c r="B566" s="5">
        <f>_xlfn.XLOOKUP(A566,Banks!A:A,Banks!H:H,0,-1)</f>
        <v>1485.188101378161</v>
      </c>
      <c r="C566">
        <f>_xlfn.XLOOKUP(A566,Energy!A:A,Energy!H:H,0,-1)</f>
        <v>2964.480433460627</v>
      </c>
      <c r="D566">
        <f t="shared" si="32"/>
        <v>4449.6685348387882</v>
      </c>
      <c r="E566">
        <f>_xlfn.XLOOKUP(A566,Banks!A:A,Banks!I:I,0)</f>
        <v>0</v>
      </c>
      <c r="F566">
        <f>_xlfn.XLOOKUP(A566,Energy!A:A,Energy!I:I,0)</f>
        <v>27330.9261278007</v>
      </c>
      <c r="G566">
        <f t="shared" si="33"/>
        <v>27330.9261278007</v>
      </c>
      <c r="H566">
        <f t="shared" si="34"/>
        <v>22881.257592961912</v>
      </c>
      <c r="I566" t="b">
        <f t="shared" si="35"/>
        <v>0</v>
      </c>
    </row>
    <row r="567" spans="1:9">
      <c r="A567" s="1">
        <v>45999.605555555558</v>
      </c>
      <c r="B567" s="5">
        <f>_xlfn.XLOOKUP(A567,Banks!A:A,Banks!H:H,0,-1)</f>
        <v>1485.188101378161</v>
      </c>
      <c r="C567">
        <f>_xlfn.XLOOKUP(A567,Energy!A:A,Energy!H:H,0,-1)</f>
        <v>2808.6362776164779</v>
      </c>
      <c r="D567">
        <f t="shared" si="32"/>
        <v>4293.8243789946391</v>
      </c>
      <c r="E567">
        <f>_xlfn.XLOOKUP(A567,Banks!A:A,Banks!I:I,0)</f>
        <v>0</v>
      </c>
      <c r="F567">
        <f>_xlfn.XLOOKUP(A567,Energy!A:A,Energy!I:I,0)</f>
        <v>27299.757296631869</v>
      </c>
      <c r="G567">
        <f t="shared" si="33"/>
        <v>27299.757296631869</v>
      </c>
      <c r="H567">
        <f t="shared" si="34"/>
        <v>23005.93291763723</v>
      </c>
      <c r="I567" t="b">
        <f t="shared" si="35"/>
        <v>0</v>
      </c>
    </row>
    <row r="568" spans="1:9">
      <c r="A568" s="1">
        <v>45999.606249999997</v>
      </c>
      <c r="B568" s="5">
        <f>_xlfn.XLOOKUP(A568,Banks!A:A,Banks!H:H,0,-1)</f>
        <v>1485.188101378161</v>
      </c>
      <c r="C568">
        <f>_xlfn.XLOOKUP(A568,Energy!A:A,Energy!H:H,0,-1)</f>
        <v>2795.6492646294651</v>
      </c>
      <c r="D568">
        <f t="shared" si="32"/>
        <v>4280.8373660076259</v>
      </c>
      <c r="E568">
        <f>_xlfn.XLOOKUP(A568,Banks!A:A,Banks!I:I,0)</f>
        <v>0</v>
      </c>
      <c r="F568">
        <f>_xlfn.XLOOKUP(A568,Energy!A:A,Energy!I:I,0)</f>
        <v>27297.15989403447</v>
      </c>
      <c r="G568">
        <f t="shared" si="33"/>
        <v>27297.15989403447</v>
      </c>
      <c r="H568">
        <f t="shared" si="34"/>
        <v>23016.322528026845</v>
      </c>
      <c r="I568" t="b">
        <f t="shared" si="35"/>
        <v>0</v>
      </c>
    </row>
    <row r="569" spans="1:9">
      <c r="A569" s="1">
        <v>45999.606944444437</v>
      </c>
      <c r="B569" s="5">
        <f>_xlfn.XLOOKUP(A569,Banks!A:A,Banks!H:H,0,-1)</f>
        <v>1485.188101378161</v>
      </c>
      <c r="C569">
        <f>_xlfn.XLOOKUP(A569,Energy!A:A,Energy!H:H,0,-1)</f>
        <v>3258.8527278329252</v>
      </c>
      <c r="D569">
        <f t="shared" si="32"/>
        <v>4744.040829211086</v>
      </c>
      <c r="E569">
        <f>_xlfn.XLOOKUP(A569,Banks!A:A,Banks!I:I,0)</f>
        <v>0</v>
      </c>
      <c r="F569">
        <f>_xlfn.XLOOKUP(A569,Energy!A:A,Energy!I:I,0)</f>
        <v>27389.800586675159</v>
      </c>
      <c r="G569">
        <f t="shared" si="33"/>
        <v>27389.800586675159</v>
      </c>
      <c r="H569">
        <f t="shared" si="34"/>
        <v>22645.759757464075</v>
      </c>
      <c r="I569" t="b">
        <f t="shared" si="35"/>
        <v>0</v>
      </c>
    </row>
    <row r="570" spans="1:9">
      <c r="A570" s="1">
        <v>45999.607638888891</v>
      </c>
      <c r="B570" s="5">
        <f>_xlfn.XLOOKUP(A570,Banks!A:A,Banks!H:H,0,-1)</f>
        <v>1485.188101378161</v>
      </c>
      <c r="C570">
        <f>_xlfn.XLOOKUP(A570,Energy!A:A,Energy!H:H,0,-1)</f>
        <v>3270.9786361385841</v>
      </c>
      <c r="D570">
        <f t="shared" si="32"/>
        <v>4756.1667375167453</v>
      </c>
      <c r="E570">
        <f>_xlfn.XLOOKUP(A570,Banks!A:A,Banks!I:I,0)</f>
        <v>0</v>
      </c>
      <c r="F570">
        <f>_xlfn.XLOOKUP(A570,Energy!A:A,Energy!I:I,0)</f>
        <v>27432.39705003567</v>
      </c>
      <c r="G570">
        <f t="shared" si="33"/>
        <v>27432.39705003567</v>
      </c>
      <c r="H570">
        <f t="shared" si="34"/>
        <v>22676.230312518925</v>
      </c>
      <c r="I570" t="b">
        <f t="shared" si="35"/>
        <v>0</v>
      </c>
    </row>
    <row r="571" spans="1:9">
      <c r="A571" s="1">
        <v>45999.60833333333</v>
      </c>
      <c r="B571" s="5">
        <f>_xlfn.XLOOKUP(A571,Banks!A:A,Banks!H:H,0,-1)</f>
        <v>1485.188101378161</v>
      </c>
      <c r="C571">
        <f>_xlfn.XLOOKUP(A571,Energy!A:A,Energy!H:H,0,-1)</f>
        <v>3341.003494289801</v>
      </c>
      <c r="D571">
        <f t="shared" si="32"/>
        <v>4826.1915956679622</v>
      </c>
      <c r="E571">
        <f>_xlfn.XLOOKUP(A571,Banks!A:A,Banks!I:I,0)</f>
        <v>0</v>
      </c>
      <c r="F571">
        <f>_xlfn.XLOOKUP(A571,Energy!A:A,Energy!I:I,0)</f>
        <v>0</v>
      </c>
      <c r="G571">
        <f t="shared" si="33"/>
        <v>0</v>
      </c>
      <c r="H571">
        <f t="shared" si="34"/>
        <v>-4826.1915956679622</v>
      </c>
      <c r="I571" t="b">
        <f t="shared" si="35"/>
        <v>0</v>
      </c>
    </row>
    <row r="572" spans="1:9">
      <c r="A572" s="1">
        <v>46000.604166666657</v>
      </c>
      <c r="B572" s="5">
        <f>_xlfn.XLOOKUP(A572,Banks!A:A,Banks!H:H,0,-1)</f>
        <v>1485.188101378161</v>
      </c>
      <c r="C572">
        <f>_xlfn.XLOOKUP(A572,Energy!A:A,Energy!H:H,0,-1)</f>
        <v>3341.003494289801</v>
      </c>
      <c r="D572">
        <f t="shared" si="32"/>
        <v>4826.1915956679622</v>
      </c>
      <c r="E572">
        <f>_xlfn.XLOOKUP(A572,Banks!A:A,Banks!I:I,0)</f>
        <v>0</v>
      </c>
      <c r="F572">
        <f>_xlfn.XLOOKUP(A572,Energy!A:A,Energy!I:I,0)</f>
        <v>27356.900153774721</v>
      </c>
      <c r="G572">
        <f t="shared" si="33"/>
        <v>27356.900153774721</v>
      </c>
      <c r="H572">
        <f t="shared" si="34"/>
        <v>22530.708558106759</v>
      </c>
      <c r="I572" t="b">
        <f t="shared" si="35"/>
        <v>0</v>
      </c>
    </row>
    <row r="573" spans="1:9">
      <c r="A573" s="1">
        <v>46000.604861111111</v>
      </c>
      <c r="B573" s="5">
        <f>_xlfn.XLOOKUP(A573,Banks!A:A,Banks!H:H,0,-1)</f>
        <v>1485.188101378161</v>
      </c>
      <c r="C573">
        <f>_xlfn.XLOOKUP(A573,Energy!A:A,Energy!H:H,0,-1)</f>
        <v>3179.2738381781242</v>
      </c>
      <c r="D573">
        <f t="shared" si="32"/>
        <v>4664.461939556285</v>
      </c>
      <c r="E573">
        <f>_xlfn.XLOOKUP(A573,Banks!A:A,Banks!I:I,0)</f>
        <v>34771.641445041561</v>
      </c>
      <c r="F573">
        <f>_xlfn.XLOOKUP(A573,Energy!A:A,Energy!I:I,0)</f>
        <v>27389.246084997059</v>
      </c>
      <c r="G573">
        <f t="shared" si="33"/>
        <v>62160.887530038621</v>
      </c>
      <c r="H573">
        <f t="shared" si="34"/>
        <v>57496.425590482337</v>
      </c>
      <c r="I573" t="b">
        <f t="shared" si="35"/>
        <v>1</v>
      </c>
    </row>
    <row r="574" spans="1:9">
      <c r="A574" s="1">
        <v>46000.605555555558</v>
      </c>
      <c r="B574" s="5">
        <f>_xlfn.XLOOKUP(A574,Banks!A:A,Banks!H:H,0,-1)</f>
        <v>1488.2780776900361</v>
      </c>
      <c r="C574">
        <f>_xlfn.XLOOKUP(A574,Energy!A:A,Energy!H:H,0,-1)</f>
        <v>3417.1275467465589</v>
      </c>
      <c r="D574">
        <f t="shared" si="32"/>
        <v>4905.4056244365947</v>
      </c>
      <c r="E574">
        <f>_xlfn.XLOOKUP(A574,Banks!A:A,Banks!I:I,0)</f>
        <v>34761.149357904163</v>
      </c>
      <c r="F574">
        <f>_xlfn.XLOOKUP(A574,Energy!A:A,Energy!I:I,0)</f>
        <v>27436.81682671075</v>
      </c>
      <c r="G574">
        <f t="shared" si="33"/>
        <v>62197.96618461491</v>
      </c>
      <c r="H574">
        <f t="shared" si="34"/>
        <v>57292.560560178317</v>
      </c>
      <c r="I574" t="b">
        <f t="shared" si="35"/>
        <v>1</v>
      </c>
    </row>
    <row r="575" spans="1:9">
      <c r="A575" s="1">
        <v>46000.606249999997</v>
      </c>
      <c r="B575" s="5">
        <f>_xlfn.XLOOKUP(A575,Banks!A:A,Banks!H:H,0,-1)</f>
        <v>1593.210475999874</v>
      </c>
      <c r="C575">
        <f>_xlfn.XLOOKUP(A575,Energy!A:A,Energy!H:H,0,-1)</f>
        <v>3221.3495419797869</v>
      </c>
      <c r="D575">
        <f t="shared" si="32"/>
        <v>4814.5600179796611</v>
      </c>
      <c r="E575">
        <f>_xlfn.XLOOKUP(A575,Banks!A:A,Banks!I:I,0)</f>
        <v>34730.288786367157</v>
      </c>
      <c r="F575">
        <f>_xlfn.XLOOKUP(A575,Energy!A:A,Energy!I:I,0)</f>
        <v>27475.97242766411</v>
      </c>
      <c r="G575">
        <f t="shared" si="33"/>
        <v>62206.26121403127</v>
      </c>
      <c r="H575">
        <f t="shared" si="34"/>
        <v>57391.70119605161</v>
      </c>
      <c r="I575" t="b">
        <f t="shared" si="35"/>
        <v>1</v>
      </c>
    </row>
    <row r="576" spans="1:9">
      <c r="A576" s="1">
        <v>46000.606944444437</v>
      </c>
      <c r="B576" s="5">
        <f>_xlfn.XLOOKUP(A576,Banks!A:A,Banks!H:H,0,-1)</f>
        <v>1728.9792392814991</v>
      </c>
      <c r="C576">
        <f>_xlfn.XLOOKUP(A576,Energy!A:A,Energy!H:H,0,-1)</f>
        <v>2704.2445747450479</v>
      </c>
      <c r="D576">
        <f t="shared" si="32"/>
        <v>4433.2238140265472</v>
      </c>
      <c r="E576">
        <f>_xlfn.XLOOKUP(A576,Banks!A:A,Banks!I:I,0)</f>
        <v>34757.442539023483</v>
      </c>
      <c r="F576">
        <f>_xlfn.XLOOKUP(A576,Energy!A:A,Energy!I:I,0)</f>
        <v>27578.543943580451</v>
      </c>
      <c r="G576">
        <f t="shared" si="33"/>
        <v>62335.986482603934</v>
      </c>
      <c r="H576">
        <f t="shared" si="34"/>
        <v>57902.762668577387</v>
      </c>
      <c r="I576" t="b">
        <f t="shared" si="35"/>
        <v>1</v>
      </c>
    </row>
    <row r="577" spans="1:9">
      <c r="A577" s="1">
        <v>46000.607638888891</v>
      </c>
      <c r="B577" s="5">
        <f>_xlfn.XLOOKUP(A577,Banks!A:A,Banks!H:H,0,-1)</f>
        <v>1535.6116067288719</v>
      </c>
      <c r="C577">
        <f>_xlfn.XLOOKUP(A577,Energy!A:A,Energy!H:H,0,-1)</f>
        <v>2597.912732628914</v>
      </c>
      <c r="D577">
        <f t="shared" si="32"/>
        <v>4133.5243393577857</v>
      </c>
      <c r="E577">
        <f>_xlfn.XLOOKUP(A577,Banks!A:A,Banks!I:I,0)</f>
        <v>34718.769012512959</v>
      </c>
      <c r="F577">
        <f>_xlfn.XLOOKUP(A577,Energy!A:A,Energy!I:I,0)</f>
        <v>27586.218671514049</v>
      </c>
      <c r="G577">
        <f t="shared" si="33"/>
        <v>62304.987684027008</v>
      </c>
      <c r="H577">
        <f t="shared" si="34"/>
        <v>58171.463344669224</v>
      </c>
      <c r="I577" t="b">
        <f t="shared" si="35"/>
        <v>1</v>
      </c>
    </row>
    <row r="578" spans="1:9">
      <c r="A578" s="1">
        <v>46000.60833333333</v>
      </c>
      <c r="B578" s="5">
        <f>_xlfn.XLOOKUP(A578,Banks!A:A,Banks!H:H,0,-1)</f>
        <v>1743.6339269107059</v>
      </c>
      <c r="C578">
        <f>_xlfn.XLOOKUP(A578,Energy!A:A,Energy!H:H,0,-1)</f>
        <v>2640.4731684477738</v>
      </c>
      <c r="D578">
        <f t="shared" si="32"/>
        <v>4384.1070953584795</v>
      </c>
      <c r="E578">
        <f>_xlfn.XLOOKUP(A578,Banks!A:A,Banks!I:I,0)</f>
        <v>0</v>
      </c>
      <c r="F578">
        <f>_xlfn.XLOOKUP(A578,Energy!A:A,Energy!I:I,0)</f>
        <v>27577.706584350279</v>
      </c>
      <c r="G578">
        <f t="shared" si="33"/>
        <v>27577.706584350279</v>
      </c>
      <c r="H578">
        <f t="shared" si="34"/>
        <v>23193.5994889918</v>
      </c>
      <c r="I578" t="b">
        <f t="shared" si="35"/>
        <v>0</v>
      </c>
    </row>
    <row r="579" spans="1:9">
      <c r="A579" s="1">
        <v>46000.609027777777</v>
      </c>
      <c r="B579" s="5">
        <f>_xlfn.XLOOKUP(A579,Banks!A:A,Banks!H:H,0,-1)</f>
        <v>1743.6339269107059</v>
      </c>
      <c r="C579">
        <f>_xlfn.XLOOKUP(A579,Energy!A:A,Energy!H:H,0,-1)</f>
        <v>2478.9599105580601</v>
      </c>
      <c r="D579">
        <f t="shared" ref="D579:D642" si="36">B579+C579</f>
        <v>4222.5938374687657</v>
      </c>
      <c r="E579">
        <f>_xlfn.XLOOKUP(A579,Banks!A:A,Banks!I:I,0)</f>
        <v>0</v>
      </c>
      <c r="F579">
        <f>_xlfn.XLOOKUP(A579,Energy!A:A,Energy!I:I,0)</f>
        <v>27567.535359398142</v>
      </c>
      <c r="G579">
        <f t="shared" ref="G579:G642" si="37">F579+E579</f>
        <v>27567.535359398142</v>
      </c>
      <c r="H579">
        <f t="shared" ref="H579:H642" si="38">G579-D579</f>
        <v>23344.941521929377</v>
      </c>
      <c r="I579" t="b">
        <f t="shared" ref="I579:I642" si="39">AND(E579&gt;0,F579&gt;0)</f>
        <v>0</v>
      </c>
    </row>
    <row r="580" spans="1:9">
      <c r="A580" s="1">
        <v>46000.609722222223</v>
      </c>
      <c r="B580" s="5">
        <f>_xlfn.XLOOKUP(A580,Banks!A:A,Banks!H:H,0,-1)</f>
        <v>1743.6339269107059</v>
      </c>
      <c r="C580">
        <f>_xlfn.XLOOKUP(A580,Energy!A:A,Energy!H:H,0,-1)</f>
        <v>2542.8005642863568</v>
      </c>
      <c r="D580">
        <f t="shared" si="36"/>
        <v>4286.4344911970629</v>
      </c>
      <c r="E580">
        <f>_xlfn.XLOOKUP(A580,Banks!A:A,Banks!I:I,0)</f>
        <v>0</v>
      </c>
      <c r="F580">
        <f>_xlfn.XLOOKUP(A580,Energy!A:A,Energy!I:I,0)</f>
        <v>27554.767228652479</v>
      </c>
      <c r="G580">
        <f t="shared" si="37"/>
        <v>27554.767228652479</v>
      </c>
      <c r="H580">
        <f t="shared" si="38"/>
        <v>23268.332737455417</v>
      </c>
      <c r="I580" t="b">
        <f t="shared" si="39"/>
        <v>0</v>
      </c>
    </row>
    <row r="581" spans="1:9">
      <c r="A581" s="1">
        <v>46000.61041666667</v>
      </c>
      <c r="B581" s="5">
        <f>_xlfn.XLOOKUP(A581,Banks!A:A,Banks!H:H,0,-1)</f>
        <v>1743.6339269107059</v>
      </c>
      <c r="C581">
        <f>_xlfn.XLOOKUP(A581,Energy!A:A,Energy!H:H,0,-1)</f>
        <v>2355.5346466833621</v>
      </c>
      <c r="D581">
        <f t="shared" si="36"/>
        <v>4099.1685735940682</v>
      </c>
      <c r="E581">
        <f>_xlfn.XLOOKUP(A581,Banks!A:A,Banks!I:I,0)</f>
        <v>0</v>
      </c>
      <c r="F581">
        <f>_xlfn.XLOOKUP(A581,Energy!A:A,Energy!I:I,0)</f>
        <v>27592.220412173079</v>
      </c>
      <c r="G581">
        <f t="shared" si="37"/>
        <v>27592.220412173079</v>
      </c>
      <c r="H581">
        <f t="shared" si="38"/>
        <v>23493.051838579013</v>
      </c>
      <c r="I581" t="b">
        <f t="shared" si="39"/>
        <v>0</v>
      </c>
    </row>
    <row r="582" spans="1:9">
      <c r="A582" s="1">
        <v>46000.611111111109</v>
      </c>
      <c r="B582" s="5">
        <f>_xlfn.XLOOKUP(A582,Banks!A:A,Banks!H:H,0,-1)</f>
        <v>1743.6339269107059</v>
      </c>
      <c r="C582">
        <f>_xlfn.XLOOKUP(A582,Energy!A:A,Energy!H:H,0,-1)</f>
        <v>2291.6939929550649</v>
      </c>
      <c r="D582">
        <f t="shared" si="36"/>
        <v>4035.327919865771</v>
      </c>
      <c r="E582">
        <f>_xlfn.XLOOKUP(A582,Banks!A:A,Banks!I:I,0)</f>
        <v>0</v>
      </c>
      <c r="F582">
        <f>_xlfn.XLOOKUP(A582,Energy!A:A,Energy!I:I,0)</f>
        <v>27604.988542918742</v>
      </c>
      <c r="G582">
        <f t="shared" si="37"/>
        <v>27604.988542918742</v>
      </c>
      <c r="H582">
        <f t="shared" si="38"/>
        <v>23569.660623052972</v>
      </c>
      <c r="I582" t="b">
        <f t="shared" si="39"/>
        <v>0</v>
      </c>
    </row>
    <row r="583" spans="1:9">
      <c r="A583" s="1">
        <v>46000.611805555563</v>
      </c>
      <c r="B583" s="5">
        <f>_xlfn.XLOOKUP(A583,Banks!A:A,Banks!H:H,0,-1)</f>
        <v>1743.6339269107059</v>
      </c>
      <c r="C583">
        <f>_xlfn.XLOOKUP(A583,Energy!A:A,Energy!H:H,0,-1)</f>
        <v>2291.6939929550649</v>
      </c>
      <c r="D583">
        <f t="shared" si="36"/>
        <v>4035.327919865771</v>
      </c>
      <c r="E583">
        <f>_xlfn.XLOOKUP(A583,Banks!A:A,Banks!I:I,0)</f>
        <v>0</v>
      </c>
      <c r="F583">
        <f>_xlfn.XLOOKUP(A583,Energy!A:A,Energy!I:I,0)</f>
        <v>27604.988542918742</v>
      </c>
      <c r="G583">
        <f t="shared" si="37"/>
        <v>27604.988542918742</v>
      </c>
      <c r="H583">
        <f t="shared" si="38"/>
        <v>23569.660623052972</v>
      </c>
      <c r="I583" t="b">
        <f t="shared" si="39"/>
        <v>0</v>
      </c>
    </row>
    <row r="584" spans="1:9">
      <c r="A584" s="1">
        <v>46000.612500000003</v>
      </c>
      <c r="B584" s="5">
        <f>_xlfn.XLOOKUP(A584,Banks!A:A,Banks!H:H,0,-1)</f>
        <v>1743.6339269107059</v>
      </c>
      <c r="C584">
        <f>_xlfn.XLOOKUP(A584,Energy!A:A,Energy!H:H,0,-1)</f>
        <v>2091.659944606411</v>
      </c>
      <c r="D584">
        <f t="shared" si="36"/>
        <v>3835.2938715171167</v>
      </c>
      <c r="E584">
        <f>_xlfn.XLOOKUP(A584,Banks!A:A,Banks!I:I,0)</f>
        <v>0</v>
      </c>
      <c r="F584">
        <f>_xlfn.XLOOKUP(A584,Energy!A:A,Energy!I:I,0)</f>
        <v>27644.99535258847</v>
      </c>
      <c r="G584">
        <f t="shared" si="37"/>
        <v>27644.99535258847</v>
      </c>
      <c r="H584">
        <f t="shared" si="38"/>
        <v>23809.701481071352</v>
      </c>
      <c r="I584" t="b">
        <f t="shared" si="39"/>
        <v>0</v>
      </c>
    </row>
    <row r="585" spans="1:9">
      <c r="A585" s="1">
        <v>46000.613194444442</v>
      </c>
      <c r="B585" s="5">
        <f>_xlfn.XLOOKUP(A585,Banks!A:A,Banks!H:H,0,-1)</f>
        <v>1743.6339269107059</v>
      </c>
      <c r="C585">
        <f>_xlfn.XLOOKUP(A585,Energy!A:A,Energy!H:H,0,-1)</f>
        <v>1913.1657920335419</v>
      </c>
      <c r="D585">
        <f t="shared" si="36"/>
        <v>3656.7997189442476</v>
      </c>
      <c r="E585">
        <f>_xlfn.XLOOKUP(A585,Banks!A:A,Banks!I:I,0)</f>
        <v>0</v>
      </c>
      <c r="F585">
        <f>_xlfn.XLOOKUP(A585,Energy!A:A,Energy!I:I,0)</f>
        <v>27629.725531266951</v>
      </c>
      <c r="G585">
        <f t="shared" si="37"/>
        <v>27629.725531266951</v>
      </c>
      <c r="H585">
        <f t="shared" si="38"/>
        <v>23972.925812322705</v>
      </c>
      <c r="I585" t="b">
        <f t="shared" si="39"/>
        <v>0</v>
      </c>
    </row>
    <row r="586" spans="1:9">
      <c r="A586" s="1">
        <v>46000.613888888889</v>
      </c>
      <c r="B586" s="5">
        <f>_xlfn.XLOOKUP(A586,Banks!A:A,Banks!H:H,0,-1)</f>
        <v>1743.6339269107059</v>
      </c>
      <c r="C586">
        <f>_xlfn.XLOOKUP(A586,Energy!A:A,Energy!H:H,0,-1)</f>
        <v>1738.659349247333</v>
      </c>
      <c r="D586">
        <f t="shared" si="36"/>
        <v>3482.2932761580387</v>
      </c>
      <c r="E586">
        <f>_xlfn.XLOOKUP(A586,Banks!A:A,Banks!I:I,0)</f>
        <v>0</v>
      </c>
      <c r="F586">
        <f>_xlfn.XLOOKUP(A586,Energy!A:A,Energy!I:I,0)</f>
        <v>27666.325774885401</v>
      </c>
      <c r="G586">
        <f t="shared" si="37"/>
        <v>27666.325774885401</v>
      </c>
      <c r="H586">
        <f t="shared" si="38"/>
        <v>24184.032498727363</v>
      </c>
      <c r="I586" t="b">
        <f t="shared" si="39"/>
        <v>0</v>
      </c>
    </row>
    <row r="587" spans="1:9">
      <c r="A587" s="1">
        <v>46000.614583333343</v>
      </c>
      <c r="B587" s="5">
        <f>_xlfn.XLOOKUP(A587,Banks!A:A,Banks!H:H,0,-1)</f>
        <v>1743.6339269107059</v>
      </c>
      <c r="C587">
        <f>_xlfn.XLOOKUP(A587,Energy!A:A,Energy!H:H,0,-1)</f>
        <v>1613.153671190513</v>
      </c>
      <c r="D587">
        <f t="shared" si="36"/>
        <v>3356.7875981012189</v>
      </c>
      <c r="E587">
        <f>_xlfn.XLOOKUP(A587,Banks!A:A,Banks!I:I,0)</f>
        <v>0</v>
      </c>
      <c r="F587">
        <f>_xlfn.XLOOKUP(A587,Energy!A:A,Energy!I:I,0)</f>
        <v>27682.082657660139</v>
      </c>
      <c r="G587">
        <f t="shared" si="37"/>
        <v>27682.082657660139</v>
      </c>
      <c r="H587">
        <f t="shared" si="38"/>
        <v>24325.295059558921</v>
      </c>
      <c r="I587" t="b">
        <f t="shared" si="39"/>
        <v>0</v>
      </c>
    </row>
    <row r="588" spans="1:9">
      <c r="A588" s="1">
        <v>46000.615277777782</v>
      </c>
      <c r="B588" s="5">
        <f>_xlfn.XLOOKUP(A588,Banks!A:A,Banks!H:H,0,-1)</f>
        <v>1743.6339269107059</v>
      </c>
      <c r="C588">
        <f>_xlfn.XLOOKUP(A588,Energy!A:A,Energy!H:H,0,-1)</f>
        <v>1648.32445826101</v>
      </c>
      <c r="D588">
        <f t="shared" si="36"/>
        <v>3391.9583851717161</v>
      </c>
      <c r="E588">
        <f>_xlfn.XLOOKUP(A588,Banks!A:A,Banks!I:I,0)</f>
        <v>0</v>
      </c>
      <c r="F588">
        <f>_xlfn.XLOOKUP(A588,Energy!A:A,Energy!I:I,0)</f>
        <v>27663.580553582931</v>
      </c>
      <c r="G588">
        <f t="shared" si="37"/>
        <v>27663.580553582931</v>
      </c>
      <c r="H588">
        <f t="shared" si="38"/>
        <v>24271.622168411217</v>
      </c>
      <c r="I588" t="b">
        <f t="shared" si="39"/>
        <v>0</v>
      </c>
    </row>
    <row r="589" spans="1:9">
      <c r="A589" s="1">
        <v>46000.615972222222</v>
      </c>
      <c r="B589" s="5">
        <f>_xlfn.XLOOKUP(A589,Banks!A:A,Banks!H:H,0,-1)</f>
        <v>1743.6339269107059</v>
      </c>
      <c r="C589">
        <f>_xlfn.XLOOKUP(A589,Energy!A:A,Energy!H:H,0,-1)</f>
        <v>1547.189323635715</v>
      </c>
      <c r="D589">
        <f t="shared" si="36"/>
        <v>3290.8232505464211</v>
      </c>
      <c r="E589">
        <f>_xlfn.XLOOKUP(A589,Banks!A:A,Banks!I:I,0)</f>
        <v>0</v>
      </c>
      <c r="F589">
        <f>_xlfn.XLOOKUP(A589,Energy!A:A,Energy!I:I,0)</f>
        <v>27694.4260496405</v>
      </c>
      <c r="G589">
        <f t="shared" si="37"/>
        <v>27694.4260496405</v>
      </c>
      <c r="H589">
        <f t="shared" si="38"/>
        <v>24403.602799094078</v>
      </c>
      <c r="I589" t="b">
        <f t="shared" si="39"/>
        <v>0</v>
      </c>
    </row>
    <row r="590" spans="1:9">
      <c r="A590" s="1">
        <v>46000.616666666669</v>
      </c>
      <c r="B590" s="5">
        <f>_xlfn.XLOOKUP(A590,Banks!A:A,Banks!H:H,0,-1)</f>
        <v>1743.6339269107059</v>
      </c>
      <c r="C590">
        <f>_xlfn.XLOOKUP(A590,Energy!A:A,Energy!H:H,0,-1)</f>
        <v>1240.8840246730811</v>
      </c>
      <c r="D590">
        <f t="shared" si="36"/>
        <v>2984.5179515837872</v>
      </c>
      <c r="E590">
        <f>_xlfn.XLOOKUP(A590,Banks!A:A,Banks!I:I,0)</f>
        <v>0</v>
      </c>
      <c r="F590">
        <f>_xlfn.XLOOKUP(A590,Energy!A:A,Energy!I:I,0)</f>
        <v>27730.202783514978</v>
      </c>
      <c r="G590">
        <f t="shared" si="37"/>
        <v>27730.202783514978</v>
      </c>
      <c r="H590">
        <f t="shared" si="38"/>
        <v>24745.68483193119</v>
      </c>
      <c r="I590" t="b">
        <f t="shared" si="39"/>
        <v>0</v>
      </c>
    </row>
    <row r="591" spans="1:9">
      <c r="A591" s="1">
        <v>46000.617361111108</v>
      </c>
      <c r="B591" s="5">
        <f>_xlfn.XLOOKUP(A591,Banks!A:A,Banks!H:H,0,-1)</f>
        <v>1743.6339269107059</v>
      </c>
      <c r="C591">
        <f>_xlfn.XLOOKUP(A591,Energy!A:A,Energy!H:H,0,-1)</f>
        <v>1211.09171959988</v>
      </c>
      <c r="D591">
        <f t="shared" si="36"/>
        <v>2954.7256465105856</v>
      </c>
      <c r="E591">
        <f>_xlfn.XLOOKUP(A591,Banks!A:A,Banks!I:I,0)</f>
        <v>0</v>
      </c>
      <c r="F591">
        <f>_xlfn.XLOOKUP(A591,Energy!A:A,Energy!I:I,0)</f>
        <v>27736.16124452962</v>
      </c>
      <c r="G591">
        <f t="shared" si="37"/>
        <v>27736.16124452962</v>
      </c>
      <c r="H591">
        <f t="shared" si="38"/>
        <v>24781.435598019034</v>
      </c>
      <c r="I591" t="b">
        <f t="shared" si="39"/>
        <v>0</v>
      </c>
    </row>
    <row r="592" spans="1:9">
      <c r="A592" s="1">
        <v>46000.618055555547</v>
      </c>
      <c r="B592" s="5">
        <f>_xlfn.XLOOKUP(A592,Banks!A:A,Banks!H:H,0,-1)</f>
        <v>1743.6339269107059</v>
      </c>
      <c r="C592">
        <f>_xlfn.XLOOKUP(A592,Energy!A:A,Energy!H:H,0,-1)</f>
        <v>1021.615548881598</v>
      </c>
      <c r="D592">
        <f t="shared" si="36"/>
        <v>2765.2494757923041</v>
      </c>
      <c r="E592">
        <f>_xlfn.XLOOKUP(A592,Banks!A:A,Banks!I:I,0)</f>
        <v>0</v>
      </c>
      <c r="F592">
        <f>_xlfn.XLOOKUP(A592,Energy!A:A,Energy!I:I,0)</f>
        <v>27790.196551754711</v>
      </c>
      <c r="G592">
        <f t="shared" si="37"/>
        <v>27790.196551754711</v>
      </c>
      <c r="H592">
        <f t="shared" si="38"/>
        <v>25024.947075962406</v>
      </c>
      <c r="I592" t="b">
        <f t="shared" si="39"/>
        <v>0</v>
      </c>
    </row>
    <row r="593" spans="1:9">
      <c r="A593" s="1">
        <v>46000.618750000001</v>
      </c>
      <c r="B593" s="5">
        <f>_xlfn.XLOOKUP(A593,Banks!A:A,Banks!H:H,0,-1)</f>
        <v>1743.6339269107059</v>
      </c>
      <c r="C593">
        <f>_xlfn.XLOOKUP(A593,Energy!A:A,Energy!H:H,0,-1)</f>
        <v>1085.456202609882</v>
      </c>
      <c r="D593">
        <f t="shared" si="36"/>
        <v>2829.0901295205877</v>
      </c>
      <c r="E593">
        <f>_xlfn.XLOOKUP(A593,Banks!A:A,Banks!I:I,0)</f>
        <v>0</v>
      </c>
      <c r="F593">
        <f>_xlfn.XLOOKUP(A593,Energy!A:A,Energy!I:I,0)</f>
        <v>27777.428421009059</v>
      </c>
      <c r="G593">
        <f t="shared" si="37"/>
        <v>27777.428421009059</v>
      </c>
      <c r="H593">
        <f t="shared" si="38"/>
        <v>24948.338291488471</v>
      </c>
      <c r="I593" t="b">
        <f t="shared" si="39"/>
        <v>0</v>
      </c>
    </row>
    <row r="594" spans="1:9">
      <c r="A594" s="1">
        <v>46000.619444444441</v>
      </c>
      <c r="B594" s="5">
        <f>_xlfn.XLOOKUP(A594,Banks!A:A,Banks!H:H,0,-1)</f>
        <v>1743.6339269107059</v>
      </c>
      <c r="C594">
        <f>_xlfn.XLOOKUP(A594,Energy!A:A,Energy!H:H,0,-1)</f>
        <v>898.19028500688682</v>
      </c>
      <c r="D594">
        <f t="shared" si="36"/>
        <v>2641.8242119175929</v>
      </c>
      <c r="E594">
        <f>_xlfn.XLOOKUP(A594,Banks!A:A,Banks!I:I,0)</f>
        <v>0</v>
      </c>
      <c r="F594">
        <f>_xlfn.XLOOKUP(A594,Energy!A:A,Energy!I:I,0)</f>
        <v>27814.881604529652</v>
      </c>
      <c r="G594">
        <f t="shared" si="37"/>
        <v>27814.881604529652</v>
      </c>
      <c r="H594">
        <f t="shared" si="38"/>
        <v>25173.05739261206</v>
      </c>
      <c r="I594" t="b">
        <f t="shared" si="39"/>
        <v>0</v>
      </c>
    </row>
    <row r="595" spans="1:9">
      <c r="A595" s="1">
        <v>46000.620138888888</v>
      </c>
      <c r="B595" s="5">
        <f>_xlfn.XLOOKUP(A595,Banks!A:A,Banks!H:H,0,-1)</f>
        <v>1743.6339269107059</v>
      </c>
      <c r="C595">
        <f>_xlfn.XLOOKUP(A595,Energy!A:A,Energy!H:H,0,-1)</f>
        <v>885.42215426122766</v>
      </c>
      <c r="D595">
        <f t="shared" si="36"/>
        <v>2629.0560811719333</v>
      </c>
      <c r="E595">
        <f>_xlfn.XLOOKUP(A595,Banks!A:A,Banks!I:I,0)</f>
        <v>0</v>
      </c>
      <c r="F595">
        <f>_xlfn.XLOOKUP(A595,Energy!A:A,Energy!I:I,0)</f>
        <v>27817.43523067878</v>
      </c>
      <c r="G595">
        <f t="shared" si="37"/>
        <v>27817.43523067878</v>
      </c>
      <c r="H595">
        <f t="shared" si="38"/>
        <v>25188.379149506847</v>
      </c>
      <c r="I595" t="b">
        <f t="shared" si="39"/>
        <v>0</v>
      </c>
    </row>
    <row r="596" spans="1:9">
      <c r="A596" s="1">
        <v>46000.620833333327</v>
      </c>
      <c r="B596" s="5">
        <f>_xlfn.XLOOKUP(A596,Banks!A:A,Banks!H:H,0,-1)</f>
        <v>1743.6339269107059</v>
      </c>
      <c r="C596">
        <f>_xlfn.XLOOKUP(A596,Energy!A:A,Energy!H:H,0,-1)</f>
        <v>872.65402351556804</v>
      </c>
      <c r="D596">
        <f t="shared" si="36"/>
        <v>2616.2879504262737</v>
      </c>
      <c r="E596">
        <f>_xlfn.XLOOKUP(A596,Banks!A:A,Banks!I:I,0)</f>
        <v>0</v>
      </c>
      <c r="F596">
        <f>_xlfn.XLOOKUP(A596,Energy!A:A,Energy!I:I,0)</f>
        <v>27819.98885682792</v>
      </c>
      <c r="G596">
        <f t="shared" si="37"/>
        <v>27819.98885682792</v>
      </c>
      <c r="H596">
        <f t="shared" si="38"/>
        <v>25203.700906401646</v>
      </c>
      <c r="I596" t="b">
        <f t="shared" si="39"/>
        <v>0</v>
      </c>
    </row>
    <row r="597" spans="1:9">
      <c r="A597" s="1">
        <v>46000.621527777781</v>
      </c>
      <c r="B597" s="5">
        <f>_xlfn.XLOOKUP(A597,Banks!A:A,Banks!H:H,0,-1)</f>
        <v>1743.6339269107059</v>
      </c>
      <c r="C597">
        <f>_xlfn.XLOOKUP(A597,Energy!A:A,Energy!H:H,0,-1)</f>
        <v>1125.6159548781279</v>
      </c>
      <c r="D597">
        <f t="shared" si="36"/>
        <v>2869.2498817888336</v>
      </c>
      <c r="E597">
        <f>_xlfn.XLOOKUP(A597,Banks!A:A,Banks!I:I,0)</f>
        <v>0</v>
      </c>
      <c r="F597">
        <f>_xlfn.XLOOKUP(A597,Energy!A:A,Energy!I:I,0)</f>
        <v>27822.913554983301</v>
      </c>
      <c r="G597">
        <f t="shared" si="37"/>
        <v>27822.913554983301</v>
      </c>
      <c r="H597">
        <f t="shared" si="38"/>
        <v>24953.663673194467</v>
      </c>
      <c r="I597" t="b">
        <f t="shared" si="39"/>
        <v>0</v>
      </c>
    </row>
    <row r="598" spans="1:9">
      <c r="A598" s="1">
        <v>46000.62222222222</v>
      </c>
      <c r="B598" s="5">
        <f>_xlfn.XLOOKUP(A598,Banks!A:A,Banks!H:H,0,-1)</f>
        <v>1743.6339269107059</v>
      </c>
      <c r="C598">
        <f>_xlfn.XLOOKUP(A598,Energy!A:A,Energy!H:H,0,-1)</f>
        <v>1202.224739352084</v>
      </c>
      <c r="D598">
        <f t="shared" si="36"/>
        <v>2945.8586662627899</v>
      </c>
      <c r="E598">
        <f>_xlfn.XLOOKUP(A598,Banks!A:A,Banks!I:I,0)</f>
        <v>0</v>
      </c>
      <c r="F598">
        <f>_xlfn.XLOOKUP(A598,Energy!A:A,Energy!I:I,0)</f>
        <v>27807.59179808851</v>
      </c>
      <c r="G598">
        <f t="shared" si="37"/>
        <v>27807.59179808851</v>
      </c>
      <c r="H598">
        <f t="shared" si="38"/>
        <v>24861.73313182572</v>
      </c>
      <c r="I598" t="b">
        <f t="shared" si="39"/>
        <v>0</v>
      </c>
    </row>
    <row r="599" spans="1:9">
      <c r="A599" s="1">
        <v>46000.622916666667</v>
      </c>
      <c r="B599" s="5">
        <f>_xlfn.XLOOKUP(A599,Banks!A:A,Banks!H:H,0,-1)</f>
        <v>1743.6339269107059</v>
      </c>
      <c r="C599">
        <f>_xlfn.XLOOKUP(A599,Energy!A:A,Energy!H:H,0,-1)</f>
        <v>1227.7610008434019</v>
      </c>
      <c r="D599">
        <f t="shared" si="36"/>
        <v>2971.3949277541078</v>
      </c>
      <c r="E599">
        <f>_xlfn.XLOOKUP(A599,Banks!A:A,Banks!I:I,0)</f>
        <v>0</v>
      </c>
      <c r="F599">
        <f>_xlfn.XLOOKUP(A599,Energy!A:A,Energy!I:I,0)</f>
        <v>27802.484545790241</v>
      </c>
      <c r="G599">
        <f t="shared" si="37"/>
        <v>27802.484545790241</v>
      </c>
      <c r="H599">
        <f t="shared" si="38"/>
        <v>24831.089618036134</v>
      </c>
      <c r="I599" t="b">
        <f t="shared" si="39"/>
        <v>0</v>
      </c>
    </row>
    <row r="600" spans="1:9">
      <c r="A600" s="1">
        <v>46000.623611111107</v>
      </c>
      <c r="B600" s="5">
        <f>_xlfn.XLOOKUP(A600,Banks!A:A,Banks!H:H,0,-1)</f>
        <v>1743.6339269107059</v>
      </c>
      <c r="C600">
        <f>_xlfn.XLOOKUP(A600,Energy!A:A,Energy!H:H,0,-1)</f>
        <v>1168.089831408209</v>
      </c>
      <c r="D600">
        <f t="shared" si="36"/>
        <v>2911.7237583189149</v>
      </c>
      <c r="E600">
        <f>_xlfn.XLOOKUP(A600,Banks!A:A,Banks!I:I,0)</f>
        <v>0</v>
      </c>
      <c r="F600">
        <f>_xlfn.XLOOKUP(A600,Energy!A:A,Energy!I:I,0)</f>
        <v>27831.40833028932</v>
      </c>
      <c r="G600">
        <f t="shared" si="37"/>
        <v>27831.40833028932</v>
      </c>
      <c r="H600">
        <f t="shared" si="38"/>
        <v>24919.684571970403</v>
      </c>
      <c r="I600" t="b">
        <f t="shared" si="39"/>
        <v>0</v>
      </c>
    </row>
    <row r="601" spans="1:9">
      <c r="A601" s="1">
        <v>46000.624305555553</v>
      </c>
      <c r="B601" s="5">
        <f>_xlfn.XLOOKUP(A601,Banks!A:A,Banks!H:H,0,-1)</f>
        <v>1743.6339269107059</v>
      </c>
      <c r="C601">
        <f>_xlfn.XLOOKUP(A601,Energy!A:A,Energy!H:H,0,-1)</f>
        <v>1219.2316018218801</v>
      </c>
      <c r="D601">
        <f t="shared" si="36"/>
        <v>2962.865528732586</v>
      </c>
      <c r="E601">
        <f>_xlfn.XLOOKUP(A601,Banks!A:A,Banks!I:I,0)</f>
        <v>0</v>
      </c>
      <c r="F601">
        <f>_xlfn.XLOOKUP(A601,Energy!A:A,Energy!I:I,0)</f>
        <v>27807.588335716959</v>
      </c>
      <c r="G601">
        <f t="shared" si="37"/>
        <v>27807.588335716959</v>
      </c>
      <c r="H601">
        <f t="shared" si="38"/>
        <v>24844.722806984373</v>
      </c>
      <c r="I601" t="b">
        <f t="shared" si="39"/>
        <v>0</v>
      </c>
    </row>
    <row r="602" spans="1:9">
      <c r="A602" s="1">
        <v>46000.625</v>
      </c>
      <c r="B602" s="5">
        <f>_xlfn.XLOOKUP(A602,Banks!A:A,Banks!H:H,0,-1)</f>
        <v>1743.6339269107059</v>
      </c>
      <c r="C602">
        <f>_xlfn.XLOOKUP(A602,Energy!A:A,Energy!H:H,0,-1)</f>
        <v>1074.50015225111</v>
      </c>
      <c r="D602">
        <f t="shared" si="36"/>
        <v>2818.1340791618159</v>
      </c>
      <c r="E602">
        <f>_xlfn.XLOOKUP(A602,Banks!A:A,Banks!I:I,0)</f>
        <v>0</v>
      </c>
      <c r="F602">
        <f>_xlfn.XLOOKUP(A602,Energy!A:A,Energy!I:I,0)</f>
        <v>27841.631490814721</v>
      </c>
      <c r="G602">
        <f t="shared" si="37"/>
        <v>27841.631490814721</v>
      </c>
      <c r="H602">
        <f t="shared" si="38"/>
        <v>25023.497411652905</v>
      </c>
      <c r="I602" t="b">
        <f t="shared" si="39"/>
        <v>0</v>
      </c>
    </row>
    <row r="603" spans="1:9">
      <c r="A603" s="1">
        <v>46000.625694444447</v>
      </c>
      <c r="B603" s="5">
        <f>_xlfn.XLOOKUP(A603,Banks!A:A,Banks!H:H,0,-1)</f>
        <v>1743.6339269107059</v>
      </c>
      <c r="C603">
        <f>_xlfn.XLOOKUP(A603,Energy!A:A,Energy!H:H,0,-1)</f>
        <v>1180.9012417982669</v>
      </c>
      <c r="D603">
        <f t="shared" si="36"/>
        <v>2924.5351687089728</v>
      </c>
      <c r="E603">
        <f>_xlfn.XLOOKUP(A603,Banks!A:A,Banks!I:I,0)</f>
        <v>0</v>
      </c>
      <c r="F603">
        <f>_xlfn.XLOOKUP(A603,Energy!A:A,Energy!I:I,0)</f>
        <v>27820.351272905289</v>
      </c>
      <c r="G603">
        <f t="shared" si="37"/>
        <v>27820.351272905289</v>
      </c>
      <c r="H603">
        <f t="shared" si="38"/>
        <v>24895.816104196318</v>
      </c>
      <c r="I603" t="b">
        <f t="shared" si="39"/>
        <v>0</v>
      </c>
    </row>
    <row r="604" spans="1:9">
      <c r="A604" s="1">
        <v>46000.626388888893</v>
      </c>
      <c r="B604" s="5">
        <f>_xlfn.XLOOKUP(A604,Banks!A:A,Banks!H:H,0,-1)</f>
        <v>1743.6339269107059</v>
      </c>
      <c r="C604">
        <f>_xlfn.XLOOKUP(A604,Energy!A:A,Energy!H:H,0,-1)</f>
        <v>1312.9356025444361</v>
      </c>
      <c r="D604">
        <f t="shared" si="36"/>
        <v>3056.5695294551419</v>
      </c>
      <c r="E604">
        <f>_xlfn.XLOOKUP(A604,Banks!A:A,Banks!I:I,0)</f>
        <v>0</v>
      </c>
      <c r="F604">
        <f>_xlfn.XLOOKUP(A604,Energy!A:A,Energy!I:I,0)</f>
        <v>0</v>
      </c>
      <c r="G604">
        <f t="shared" si="37"/>
        <v>0</v>
      </c>
      <c r="H604">
        <f t="shared" si="38"/>
        <v>-3056.5695294551419</v>
      </c>
      <c r="I604" t="b">
        <f t="shared" si="39"/>
        <v>0</v>
      </c>
    </row>
    <row r="605" spans="1:9">
      <c r="A605" s="1">
        <v>46001.604166666657</v>
      </c>
      <c r="B605" s="5">
        <f>_xlfn.XLOOKUP(A605,Banks!A:A,Banks!H:H,0,-1)</f>
        <v>1743.6339269107059</v>
      </c>
      <c r="C605">
        <f>_xlfn.XLOOKUP(A605,Energy!A:A,Energy!H:H,0,-1)</f>
        <v>1312.9356025444361</v>
      </c>
      <c r="D605">
        <f t="shared" si="36"/>
        <v>3056.5695294551419</v>
      </c>
      <c r="E605">
        <f>_xlfn.XLOOKUP(A605,Banks!A:A,Banks!I:I,0)</f>
        <v>0</v>
      </c>
      <c r="F605">
        <f>_xlfn.XLOOKUP(A605,Energy!A:A,Energy!I:I,0)</f>
        <v>27356.900153774721</v>
      </c>
      <c r="G605">
        <f t="shared" si="37"/>
        <v>27356.900153774721</v>
      </c>
      <c r="H605">
        <f t="shared" si="38"/>
        <v>24300.33062431958</v>
      </c>
      <c r="I605" t="b">
        <f t="shared" si="39"/>
        <v>0</v>
      </c>
    </row>
    <row r="606" spans="1:9">
      <c r="A606" s="1">
        <v>46001.604861111111</v>
      </c>
      <c r="B606" s="5">
        <f>_xlfn.XLOOKUP(A606,Banks!A:A,Banks!H:H,0,-1)</f>
        <v>1743.6339269107059</v>
      </c>
      <c r="C606">
        <f>_xlfn.XLOOKUP(A606,Energy!A:A,Energy!H:H,0,-1)</f>
        <v>1203.2309611942289</v>
      </c>
      <c r="D606">
        <f t="shared" si="36"/>
        <v>2946.8648881049348</v>
      </c>
      <c r="E606">
        <f>_xlfn.XLOOKUP(A606,Banks!A:A,Banks!I:I,0)</f>
        <v>0</v>
      </c>
      <c r="F606">
        <f>_xlfn.XLOOKUP(A606,Energy!A:A,Energy!I:I,0)</f>
        <v>27378.841082044772</v>
      </c>
      <c r="G606">
        <f t="shared" si="37"/>
        <v>27378.841082044772</v>
      </c>
      <c r="H606">
        <f t="shared" si="38"/>
        <v>24431.976193939838</v>
      </c>
      <c r="I606" t="b">
        <f t="shared" si="39"/>
        <v>0</v>
      </c>
    </row>
    <row r="607" spans="1:9">
      <c r="A607" s="1">
        <v>46001.605555555558</v>
      </c>
      <c r="B607" s="5">
        <f>_xlfn.XLOOKUP(A607,Banks!A:A,Banks!H:H,0,-1)</f>
        <v>1743.6339269107059</v>
      </c>
      <c r="C607">
        <f>_xlfn.XLOOKUP(A607,Energy!A:A,Energy!H:H,0,-1)</f>
        <v>1241.2056447385339</v>
      </c>
      <c r="D607">
        <f t="shared" si="36"/>
        <v>2984.8395716492396</v>
      </c>
      <c r="E607">
        <f>_xlfn.XLOOKUP(A607,Banks!A:A,Banks!I:I,0)</f>
        <v>0</v>
      </c>
      <c r="F607">
        <f>_xlfn.XLOOKUP(A607,Energy!A:A,Energy!I:I,0)</f>
        <v>27371.24614533591</v>
      </c>
      <c r="G607">
        <f t="shared" si="37"/>
        <v>27371.24614533591</v>
      </c>
      <c r="H607">
        <f t="shared" si="38"/>
        <v>24386.406573686669</v>
      </c>
      <c r="I607" t="b">
        <f t="shared" si="39"/>
        <v>0</v>
      </c>
    </row>
    <row r="608" spans="1:9">
      <c r="A608" s="1">
        <v>46001.606249999997</v>
      </c>
      <c r="B608" s="5">
        <f>_xlfn.XLOOKUP(A608,Banks!A:A,Banks!H:H,0,-1)</f>
        <v>1743.6339269107059</v>
      </c>
      <c r="C608">
        <f>_xlfn.XLOOKUP(A608,Energy!A:A,Energy!H:H,0,-1)</f>
        <v>1148.4137747945811</v>
      </c>
      <c r="D608">
        <f t="shared" si="36"/>
        <v>2892.0477017052872</v>
      </c>
      <c r="E608">
        <f>_xlfn.XLOOKUP(A608,Banks!A:A,Banks!I:I,0)</f>
        <v>0</v>
      </c>
      <c r="F608">
        <f>_xlfn.XLOOKUP(A608,Energy!A:A,Energy!I:I,0)</f>
        <v>27374.628699617158</v>
      </c>
      <c r="G608">
        <f t="shared" si="37"/>
        <v>27374.628699617158</v>
      </c>
      <c r="H608">
        <f t="shared" si="38"/>
        <v>24482.580997911871</v>
      </c>
      <c r="I608" t="b">
        <f t="shared" si="39"/>
        <v>0</v>
      </c>
    </row>
    <row r="609" spans="1:9">
      <c r="A609" s="1">
        <v>46001.606944444437</v>
      </c>
      <c r="B609" s="5">
        <f>_xlfn.XLOOKUP(A609,Banks!A:A,Banks!H:H,0,-1)</f>
        <v>1743.6339269107059</v>
      </c>
      <c r="C609">
        <f>_xlfn.XLOOKUP(A609,Energy!A:A,Energy!H:H,0,-1)</f>
        <v>760.22812078614743</v>
      </c>
      <c r="D609">
        <f t="shared" si="36"/>
        <v>2503.8620476968536</v>
      </c>
      <c r="E609">
        <f>_xlfn.XLOOKUP(A609,Banks!A:A,Banks!I:I,0)</f>
        <v>0</v>
      </c>
      <c r="F609">
        <f>_xlfn.XLOOKUP(A609,Energy!A:A,Energy!I:I,0)</f>
        <v>27452.265830418852</v>
      </c>
      <c r="G609">
        <f t="shared" si="37"/>
        <v>27452.265830418852</v>
      </c>
      <c r="H609">
        <f t="shared" si="38"/>
        <v>24948.403782721998</v>
      </c>
      <c r="I609" t="b">
        <f t="shared" si="39"/>
        <v>0</v>
      </c>
    </row>
    <row r="610" spans="1:9">
      <c r="A610" s="1">
        <v>46001.607638888891</v>
      </c>
      <c r="B610" s="5">
        <f>_xlfn.XLOOKUP(A610,Banks!A:A,Banks!H:H,0,-1)</f>
        <v>1743.6339269107059</v>
      </c>
      <c r="C610">
        <f>_xlfn.XLOOKUP(A610,Energy!A:A,Energy!H:H,0,-1)</f>
        <v>650.52347943594032</v>
      </c>
      <c r="D610">
        <f t="shared" si="36"/>
        <v>2394.157406346646</v>
      </c>
      <c r="E610">
        <f>_xlfn.XLOOKUP(A610,Banks!A:A,Banks!I:I,0)</f>
        <v>0</v>
      </c>
      <c r="F610">
        <f>_xlfn.XLOOKUP(A610,Energy!A:A,Energy!I:I,0)</f>
        <v>27474.206758688892</v>
      </c>
      <c r="G610">
        <f t="shared" si="37"/>
        <v>27474.206758688892</v>
      </c>
      <c r="H610">
        <f t="shared" si="38"/>
        <v>25080.049352342245</v>
      </c>
      <c r="I610" t="b">
        <f t="shared" si="39"/>
        <v>0</v>
      </c>
    </row>
    <row r="611" spans="1:9">
      <c r="A611" s="1">
        <v>46001.60833333333</v>
      </c>
      <c r="B611" s="5">
        <f>_xlfn.XLOOKUP(A611,Banks!A:A,Banks!H:H,0,-1)</f>
        <v>1743.6339269107059</v>
      </c>
      <c r="C611">
        <f>_xlfn.XLOOKUP(A611,Energy!A:A,Energy!H:H,0,-1)</f>
        <v>667.40111656673866</v>
      </c>
      <c r="D611">
        <f t="shared" si="36"/>
        <v>2411.0350434774446</v>
      </c>
      <c r="E611">
        <f>_xlfn.XLOOKUP(A611,Banks!A:A,Banks!I:I,0)</f>
        <v>0</v>
      </c>
      <c r="F611">
        <f>_xlfn.XLOOKUP(A611,Energy!A:A,Energy!I:I,0)</f>
        <v>27470.831231262731</v>
      </c>
      <c r="G611">
        <f t="shared" si="37"/>
        <v>27470.831231262731</v>
      </c>
      <c r="H611">
        <f t="shared" si="38"/>
        <v>25059.796187785287</v>
      </c>
      <c r="I611" t="b">
        <f t="shared" si="39"/>
        <v>0</v>
      </c>
    </row>
    <row r="612" spans="1:9">
      <c r="A612" s="1">
        <v>46001.609027777777</v>
      </c>
      <c r="B612" s="5">
        <f>_xlfn.XLOOKUP(A612,Banks!A:A,Banks!H:H,0,-1)</f>
        <v>1743.6339269107059</v>
      </c>
      <c r="C612">
        <f>_xlfn.XLOOKUP(A612,Energy!A:A,Energy!H:H,0,-1)</f>
        <v>731.75784360098112</v>
      </c>
      <c r="D612">
        <f t="shared" si="36"/>
        <v>2475.3917705116869</v>
      </c>
      <c r="E612">
        <f>_xlfn.XLOOKUP(A612,Banks!A:A,Banks!I:I,0)</f>
        <v>0</v>
      </c>
      <c r="F612">
        <f>_xlfn.XLOOKUP(A612,Energy!A:A,Energy!I:I,0)</f>
        <v>27453.322829834131</v>
      </c>
      <c r="G612">
        <f t="shared" si="37"/>
        <v>27453.322829834131</v>
      </c>
      <c r="H612">
        <f t="shared" si="38"/>
        <v>24977.931059322444</v>
      </c>
      <c r="I612" t="b">
        <f t="shared" si="39"/>
        <v>0</v>
      </c>
    </row>
    <row r="613" spans="1:9">
      <c r="A613" s="1">
        <v>46001.609722222223</v>
      </c>
      <c r="B613" s="5">
        <f>_xlfn.XLOOKUP(A613,Banks!A:A,Banks!H:H,0,-1)</f>
        <v>1743.6339269107059</v>
      </c>
      <c r="C613">
        <f>_xlfn.XLOOKUP(A613,Energy!A:A,Energy!H:H,0,-1)</f>
        <v>782.3907549933881</v>
      </c>
      <c r="D613">
        <f t="shared" si="36"/>
        <v>2526.024681904094</v>
      </c>
      <c r="E613">
        <f>_xlfn.XLOOKUP(A613,Banks!A:A,Banks!I:I,0)</f>
        <v>0</v>
      </c>
      <c r="F613">
        <f>_xlfn.XLOOKUP(A613,Energy!A:A,Energy!I:I,0)</f>
        <v>27443.19624755565</v>
      </c>
      <c r="G613">
        <f t="shared" si="37"/>
        <v>27443.19624755565</v>
      </c>
      <c r="H613">
        <f t="shared" si="38"/>
        <v>24917.171565651555</v>
      </c>
      <c r="I613" t="b">
        <f t="shared" si="39"/>
        <v>0</v>
      </c>
    </row>
    <row r="614" spans="1:9">
      <c r="A614" s="1">
        <v>46001.61041666667</v>
      </c>
      <c r="B614" s="5">
        <f>_xlfn.XLOOKUP(A614,Banks!A:A,Banks!H:H,0,-1)</f>
        <v>1743.6339269107059</v>
      </c>
      <c r="C614">
        <f>_xlfn.XLOOKUP(A614,Energy!A:A,Energy!H:H,0,-1)</f>
        <v>765.51311786257781</v>
      </c>
      <c r="D614">
        <f t="shared" si="36"/>
        <v>2509.1470447732836</v>
      </c>
      <c r="E614">
        <f>_xlfn.XLOOKUP(A614,Banks!A:A,Banks!I:I,0)</f>
        <v>0</v>
      </c>
      <c r="F614">
        <f>_xlfn.XLOOKUP(A614,Energy!A:A,Energy!I:I,0)</f>
        <v>27446.57177498181</v>
      </c>
      <c r="G614">
        <f t="shared" si="37"/>
        <v>27446.57177498181</v>
      </c>
      <c r="H614">
        <f t="shared" si="38"/>
        <v>24937.424730208528</v>
      </c>
      <c r="I614" t="b">
        <f t="shared" si="39"/>
        <v>0</v>
      </c>
    </row>
    <row r="615" spans="1:9">
      <c r="A615" s="1">
        <v>46001.611111111109</v>
      </c>
      <c r="B615" s="5">
        <f>_xlfn.XLOOKUP(A615,Banks!A:A,Banks!H:H,0,-1)</f>
        <v>1743.6339269107059</v>
      </c>
      <c r="C615">
        <f>_xlfn.XLOOKUP(A615,Energy!A:A,Energy!H:H,0,-1)</f>
        <v>826.76286910847523</v>
      </c>
      <c r="D615">
        <f t="shared" si="36"/>
        <v>2570.3967960191812</v>
      </c>
      <c r="E615">
        <f>_xlfn.XLOOKUP(A615,Banks!A:A,Banks!I:I,0)</f>
        <v>0</v>
      </c>
      <c r="F615">
        <f>_xlfn.XLOOKUP(A615,Energy!A:A,Energy!I:I,0)</f>
        <v>27404.813286412431</v>
      </c>
      <c r="G615">
        <f t="shared" si="37"/>
        <v>27404.813286412431</v>
      </c>
      <c r="H615">
        <f t="shared" si="38"/>
        <v>24834.416490393251</v>
      </c>
      <c r="I615" t="b">
        <f t="shared" si="39"/>
        <v>0</v>
      </c>
    </row>
    <row r="616" spans="1:9">
      <c r="A616" s="1">
        <v>46001.611805555563</v>
      </c>
      <c r="B616" s="5">
        <f>_xlfn.XLOOKUP(A616,Banks!A:A,Banks!H:H,0,-1)</f>
        <v>1743.6339269107059</v>
      </c>
      <c r="C616">
        <f>_xlfn.XLOOKUP(A616,Energy!A:A,Energy!H:H,0,-1)</f>
        <v>864.73755265278044</v>
      </c>
      <c r="D616">
        <f t="shared" si="36"/>
        <v>2608.3714795634864</v>
      </c>
      <c r="E616">
        <f>_xlfn.XLOOKUP(A616,Banks!A:A,Banks!I:I,0)</f>
        <v>0</v>
      </c>
      <c r="F616">
        <f>_xlfn.XLOOKUP(A616,Energy!A:A,Energy!I:I,0)</f>
        <v>27397.218349703569</v>
      </c>
      <c r="G616">
        <f t="shared" si="37"/>
        <v>27397.218349703569</v>
      </c>
      <c r="H616">
        <f t="shared" si="38"/>
        <v>24788.846870140082</v>
      </c>
      <c r="I616" t="b">
        <f t="shared" si="39"/>
        <v>0</v>
      </c>
    </row>
    <row r="617" spans="1:9">
      <c r="A617" s="1">
        <v>46001.612500000003</v>
      </c>
      <c r="B617" s="5">
        <f>_xlfn.XLOOKUP(A617,Banks!A:A,Banks!H:H,0,-1)</f>
        <v>1743.6339269107059</v>
      </c>
      <c r="C617">
        <f>_xlfn.XLOOKUP(A617,Energy!A:A,Energy!H:H,0,-1)</f>
        <v>801.44641341228373</v>
      </c>
      <c r="D617">
        <f t="shared" si="36"/>
        <v>2545.0803403229897</v>
      </c>
      <c r="E617">
        <f>_xlfn.XLOOKUP(A617,Banks!A:A,Banks!I:I,0)</f>
        <v>0</v>
      </c>
      <c r="F617">
        <f>_xlfn.XLOOKUP(A617,Energy!A:A,Energy!I:I,0)</f>
        <v>27409.876577551669</v>
      </c>
      <c r="G617">
        <f t="shared" si="37"/>
        <v>27409.876577551669</v>
      </c>
      <c r="H617">
        <f t="shared" si="38"/>
        <v>24864.796237228678</v>
      </c>
      <c r="I617" t="b">
        <f t="shared" si="39"/>
        <v>0</v>
      </c>
    </row>
    <row r="618" spans="1:9">
      <c r="A618" s="1">
        <v>46001.613194444442</v>
      </c>
      <c r="B618" s="5">
        <f>_xlfn.XLOOKUP(A618,Banks!A:A,Banks!H:H,0,-1)</f>
        <v>1743.6339269107059</v>
      </c>
      <c r="C618">
        <f>_xlfn.XLOOKUP(A618,Energy!A:A,Energy!H:H,0,-1)</f>
        <v>784.56877628147345</v>
      </c>
      <c r="D618">
        <f t="shared" si="36"/>
        <v>2528.2027031921793</v>
      </c>
      <c r="E618">
        <f>_xlfn.XLOOKUP(A618,Banks!A:A,Banks!I:I,0)</f>
        <v>0</v>
      </c>
      <c r="F618">
        <f>_xlfn.XLOOKUP(A618,Energy!A:A,Energy!I:I,0)</f>
        <v>27413.25210497783</v>
      </c>
      <c r="G618">
        <f t="shared" si="37"/>
        <v>27413.25210497783</v>
      </c>
      <c r="H618">
        <f t="shared" si="38"/>
        <v>24885.049401785651</v>
      </c>
      <c r="I618" t="b">
        <f t="shared" si="39"/>
        <v>0</v>
      </c>
    </row>
    <row r="619" spans="1:9">
      <c r="A619" s="1">
        <v>46001.613888888889</v>
      </c>
      <c r="B619" s="5">
        <f>_xlfn.XLOOKUP(A619,Banks!A:A,Banks!H:H,0,-1)</f>
        <v>1743.6339269107059</v>
      </c>
      <c r="C619">
        <f>_xlfn.XLOOKUP(A619,Energy!A:A,Energy!H:H,0,-1)</f>
        <v>932.24810117598577</v>
      </c>
      <c r="D619">
        <f t="shared" si="36"/>
        <v>2675.8820280866917</v>
      </c>
      <c r="E619">
        <f>_xlfn.XLOOKUP(A619,Banks!A:A,Banks!I:I,0)</f>
        <v>0</v>
      </c>
      <c r="F619">
        <f>_xlfn.XLOOKUP(A619,Energy!A:A,Energy!I:I,0)</f>
        <v>27383.716239998928</v>
      </c>
      <c r="G619">
        <f t="shared" si="37"/>
        <v>27383.716239998928</v>
      </c>
      <c r="H619">
        <f t="shared" si="38"/>
        <v>24707.834211912235</v>
      </c>
      <c r="I619" t="b">
        <f t="shared" si="39"/>
        <v>0</v>
      </c>
    </row>
    <row r="620" spans="1:9">
      <c r="A620" s="1">
        <v>46001.614583333343</v>
      </c>
      <c r="B620" s="5">
        <f>_xlfn.XLOOKUP(A620,Banks!A:A,Banks!H:H,0,-1)</f>
        <v>1743.6339269107059</v>
      </c>
      <c r="C620">
        <f>_xlfn.XLOOKUP(A620,Energy!A:A,Energy!H:H,0,-1)</f>
        <v>733.93586488906647</v>
      </c>
      <c r="D620">
        <f t="shared" si="36"/>
        <v>2477.5697917997722</v>
      </c>
      <c r="E620">
        <f>_xlfn.XLOOKUP(A620,Banks!A:A,Banks!I:I,0)</f>
        <v>0</v>
      </c>
      <c r="F620">
        <f>_xlfn.XLOOKUP(A620,Energy!A:A,Energy!I:I,0)</f>
        <v>27423.378687256311</v>
      </c>
      <c r="G620">
        <f t="shared" si="37"/>
        <v>27423.378687256311</v>
      </c>
      <c r="H620">
        <f t="shared" si="38"/>
        <v>24945.808895456539</v>
      </c>
      <c r="I620" t="b">
        <f t="shared" si="39"/>
        <v>0</v>
      </c>
    </row>
    <row r="621" spans="1:9">
      <c r="A621" s="1">
        <v>46001.615277777782</v>
      </c>
      <c r="B621" s="5">
        <f>_xlfn.XLOOKUP(A621,Banks!A:A,Banks!H:H,0,-1)</f>
        <v>1743.6339269107059</v>
      </c>
      <c r="C621">
        <f>_xlfn.XLOOKUP(A621,Energy!A:A,Energy!H:H,0,-1)</f>
        <v>805.66582269498031</v>
      </c>
      <c r="D621">
        <f t="shared" si="36"/>
        <v>2549.299749605686</v>
      </c>
      <c r="E621">
        <f>_xlfn.XLOOKUP(A621,Banks!A:A,Banks!I:I,0)</f>
        <v>0</v>
      </c>
      <c r="F621">
        <f>_xlfn.XLOOKUP(A621,Energy!A:A,Energy!I:I,0)</f>
        <v>27409.032695695128</v>
      </c>
      <c r="G621">
        <f t="shared" si="37"/>
        <v>27409.032695695128</v>
      </c>
      <c r="H621">
        <f t="shared" si="38"/>
        <v>24859.732946089443</v>
      </c>
      <c r="I621" t="b">
        <f t="shared" si="39"/>
        <v>0</v>
      </c>
    </row>
    <row r="622" spans="1:9">
      <c r="A622" s="1">
        <v>46001.615972222222</v>
      </c>
      <c r="B622" s="5">
        <f>_xlfn.XLOOKUP(A622,Banks!A:A,Banks!H:H,0,-1)</f>
        <v>1743.6339269107059</v>
      </c>
      <c r="C622">
        <f>_xlfn.XLOOKUP(A622,Energy!A:A,Energy!H:H,0,-1)</f>
        <v>902.71223619708564</v>
      </c>
      <c r="D622">
        <f t="shared" si="36"/>
        <v>2646.3461631077917</v>
      </c>
      <c r="E622">
        <f>_xlfn.XLOOKUP(A622,Banks!A:A,Banks!I:I,0)</f>
        <v>0</v>
      </c>
      <c r="F622">
        <f>_xlfn.XLOOKUP(A622,Energy!A:A,Energy!I:I,0)</f>
        <v>27389.623412994712</v>
      </c>
      <c r="G622">
        <f t="shared" si="37"/>
        <v>27389.623412994712</v>
      </c>
      <c r="H622">
        <f t="shared" si="38"/>
        <v>24743.27724988692</v>
      </c>
      <c r="I622" t="b">
        <f t="shared" si="39"/>
        <v>0</v>
      </c>
    </row>
    <row r="623" spans="1:9">
      <c r="A623" s="1">
        <v>46001.616666666669</v>
      </c>
      <c r="B623" s="5">
        <f>_xlfn.XLOOKUP(A623,Banks!A:A,Banks!H:H,0,-1)</f>
        <v>1743.6339269107059</v>
      </c>
      <c r="C623">
        <f>_xlfn.XLOOKUP(A623,Energy!A:A,Energy!H:H,0,-1)</f>
        <v>885.83459906628741</v>
      </c>
      <c r="D623">
        <f t="shared" si="36"/>
        <v>2629.4685259769931</v>
      </c>
      <c r="E623">
        <f>_xlfn.XLOOKUP(A623,Banks!A:A,Banks!I:I,0)</f>
        <v>0</v>
      </c>
      <c r="F623">
        <f>_xlfn.XLOOKUP(A623,Energy!A:A,Energy!I:I,0)</f>
        <v>27392.998940420872</v>
      </c>
      <c r="G623">
        <f t="shared" si="37"/>
        <v>27392.998940420872</v>
      </c>
      <c r="H623">
        <f t="shared" si="38"/>
        <v>24763.530414443878</v>
      </c>
      <c r="I623" t="b">
        <f t="shared" si="39"/>
        <v>0</v>
      </c>
    </row>
    <row r="624" spans="1:9">
      <c r="A624" s="1">
        <v>46001.617361111108</v>
      </c>
      <c r="B624" s="5">
        <f>_xlfn.XLOOKUP(A624,Banks!A:A,Banks!H:H,0,-1)</f>
        <v>1743.6339269107059</v>
      </c>
      <c r="C624">
        <f>_xlfn.XLOOKUP(A624,Energy!A:A,Energy!H:H,0,-1)</f>
        <v>710.76620001388369</v>
      </c>
      <c r="D624">
        <f t="shared" si="36"/>
        <v>2454.4001269245896</v>
      </c>
      <c r="E624">
        <f>_xlfn.XLOOKUP(A624,Banks!A:A,Banks!I:I,0)</f>
        <v>0</v>
      </c>
      <c r="F624">
        <f>_xlfn.XLOOKUP(A624,Energy!A:A,Energy!I:I,0)</f>
        <v>27411.993699428949</v>
      </c>
      <c r="G624">
        <f t="shared" si="37"/>
        <v>27411.993699428949</v>
      </c>
      <c r="H624">
        <f t="shared" si="38"/>
        <v>24957.59357250436</v>
      </c>
      <c r="I624" t="b">
        <f t="shared" si="39"/>
        <v>0</v>
      </c>
    </row>
    <row r="625" spans="1:9">
      <c r="A625" s="1">
        <v>46001.618055555547</v>
      </c>
      <c r="B625" s="5">
        <f>_xlfn.XLOOKUP(A625,Banks!A:A,Banks!H:H,0,-1)</f>
        <v>1743.6339269107059</v>
      </c>
      <c r="C625">
        <f>_xlfn.XLOOKUP(A625,Energy!A:A,Energy!H:H,0,-1)</f>
        <v>756.12582575500426</v>
      </c>
      <c r="D625">
        <f t="shared" si="36"/>
        <v>2499.75975266571</v>
      </c>
      <c r="E625">
        <f>_xlfn.XLOOKUP(A625,Banks!A:A,Banks!I:I,0)</f>
        <v>0</v>
      </c>
      <c r="F625">
        <f>_xlfn.XLOOKUP(A625,Energy!A:A,Energy!I:I,0)</f>
        <v>27402.500223733299</v>
      </c>
      <c r="G625">
        <f t="shared" si="37"/>
        <v>27402.500223733299</v>
      </c>
      <c r="H625">
        <f t="shared" si="38"/>
        <v>24902.740471067591</v>
      </c>
      <c r="I625" t="b">
        <f t="shared" si="39"/>
        <v>0</v>
      </c>
    </row>
    <row r="626" spans="1:9">
      <c r="A626" s="1">
        <v>46001.618750000001</v>
      </c>
      <c r="B626" s="5">
        <f>_xlfn.XLOOKUP(A626,Banks!A:A,Banks!H:H,0,-1)</f>
        <v>1743.6339269107059</v>
      </c>
      <c r="C626">
        <f>_xlfn.XLOOKUP(A626,Energy!A:A,Energy!H:H,0,-1)</f>
        <v>705.50852959614463</v>
      </c>
      <c r="D626">
        <f t="shared" si="36"/>
        <v>2449.1424565068505</v>
      </c>
      <c r="E626">
        <f>_xlfn.XLOOKUP(A626,Banks!A:A,Banks!I:I,0)</f>
        <v>0</v>
      </c>
      <c r="F626">
        <f>_xlfn.XLOOKUP(A626,Energy!A:A,Energy!I:I,0)</f>
        <v>27405.87887420617</v>
      </c>
      <c r="G626">
        <f t="shared" si="37"/>
        <v>27405.87887420617</v>
      </c>
      <c r="H626">
        <f t="shared" si="38"/>
        <v>24956.736417699318</v>
      </c>
      <c r="I626" t="b">
        <f t="shared" si="39"/>
        <v>0</v>
      </c>
    </row>
    <row r="627" spans="1:9">
      <c r="A627" s="1">
        <v>46001.619444444441</v>
      </c>
      <c r="B627" s="5">
        <f>_xlfn.XLOOKUP(A627,Banks!A:A,Banks!H:H,0,-1)</f>
        <v>1743.6339269107059</v>
      </c>
      <c r="C627">
        <f>_xlfn.XLOOKUP(A627,Energy!A:A,Energy!H:H,0,-1)</f>
        <v>751.92203170584298</v>
      </c>
      <c r="D627">
        <f t="shared" si="36"/>
        <v>2495.5559586165491</v>
      </c>
      <c r="E627">
        <f>_xlfn.XLOOKUP(A627,Banks!A:A,Banks!I:I,0)</f>
        <v>0</v>
      </c>
      <c r="F627">
        <f>_xlfn.XLOOKUP(A627,Energy!A:A,Energy!I:I,0)</f>
        <v>27396.59617378423</v>
      </c>
      <c r="G627">
        <f t="shared" si="37"/>
        <v>27396.59617378423</v>
      </c>
      <c r="H627">
        <f t="shared" si="38"/>
        <v>24901.040215167683</v>
      </c>
      <c r="I627" t="b">
        <f t="shared" si="39"/>
        <v>0</v>
      </c>
    </row>
    <row r="628" spans="1:9">
      <c r="A628" s="1">
        <v>46001.620138888888</v>
      </c>
      <c r="B628" s="5">
        <f>_xlfn.XLOOKUP(A628,Banks!A:A,Banks!H:H,0,-1)</f>
        <v>1743.6339269107059</v>
      </c>
      <c r="C628">
        <f>_xlfn.XLOOKUP(A628,Energy!A:A,Energy!H:H,0,-1)</f>
        <v>743.48321314044983</v>
      </c>
      <c r="D628">
        <f t="shared" si="36"/>
        <v>2487.1171400511557</v>
      </c>
      <c r="E628">
        <f>_xlfn.XLOOKUP(A628,Banks!A:A,Banks!I:I,0)</f>
        <v>0</v>
      </c>
      <c r="F628">
        <f>_xlfn.XLOOKUP(A628,Energy!A:A,Energy!I:I,0)</f>
        <v>27398.283937497301</v>
      </c>
      <c r="G628">
        <f t="shared" si="37"/>
        <v>27398.283937497301</v>
      </c>
      <c r="H628">
        <f t="shared" si="38"/>
        <v>24911.166797446145</v>
      </c>
      <c r="I628" t="b">
        <f t="shared" si="39"/>
        <v>0</v>
      </c>
    </row>
    <row r="629" spans="1:9">
      <c r="A629" s="1">
        <v>46001.620833333327</v>
      </c>
      <c r="B629" s="5">
        <f>_xlfn.XLOOKUP(A629,Banks!A:A,Banks!H:H,0,-1)</f>
        <v>1743.6339269107059</v>
      </c>
      <c r="C629">
        <f>_xlfn.XLOOKUP(A629,Energy!A:A,Energy!H:H,0,-1)</f>
        <v>726.55873030901569</v>
      </c>
      <c r="D629">
        <f t="shared" si="36"/>
        <v>2470.1926572197217</v>
      </c>
      <c r="E629">
        <f>_xlfn.XLOOKUP(A629,Banks!A:A,Banks!I:I,0)</f>
        <v>0</v>
      </c>
      <c r="F629">
        <f>_xlfn.XLOOKUP(A629,Energy!A:A,Energy!I:I,0)</f>
        <v>27421.903260340299</v>
      </c>
      <c r="G629">
        <f t="shared" si="37"/>
        <v>27421.903260340299</v>
      </c>
      <c r="H629">
        <f t="shared" si="38"/>
        <v>24951.710603120577</v>
      </c>
      <c r="I629" t="b">
        <f t="shared" si="39"/>
        <v>0</v>
      </c>
    </row>
    <row r="630" spans="1:9">
      <c r="A630" s="1">
        <v>46001.621527777781</v>
      </c>
      <c r="B630" s="5">
        <f>_xlfn.XLOOKUP(A630,Banks!A:A,Banks!H:H,0,-1)</f>
        <v>1743.6339269107059</v>
      </c>
      <c r="C630">
        <f>_xlfn.XLOOKUP(A630,Energy!A:A,Energy!H:H,0,-1)</f>
        <v>760.31400457062432</v>
      </c>
      <c r="D630">
        <f t="shared" si="36"/>
        <v>2503.9479314813302</v>
      </c>
      <c r="E630">
        <f>_xlfn.XLOOKUP(A630,Banks!A:A,Banks!I:I,0)</f>
        <v>0</v>
      </c>
      <c r="F630">
        <f>_xlfn.XLOOKUP(A630,Energy!A:A,Energy!I:I,0)</f>
        <v>27415.152205487979</v>
      </c>
      <c r="G630">
        <f t="shared" si="37"/>
        <v>27415.152205487979</v>
      </c>
      <c r="H630">
        <f t="shared" si="38"/>
        <v>24911.20427400665</v>
      </c>
      <c r="I630" t="b">
        <f t="shared" si="39"/>
        <v>0</v>
      </c>
    </row>
    <row r="631" spans="1:9">
      <c r="A631" s="1">
        <v>46001.62222222222</v>
      </c>
      <c r="B631" s="5">
        <f>_xlfn.XLOOKUP(A631,Banks!A:A,Banks!H:H,0,-1)</f>
        <v>1743.6339269107059</v>
      </c>
      <c r="C631">
        <f>_xlfn.XLOOKUP(A631,Energy!A:A,Energy!H:H,0,-1)</f>
        <v>856.32425686473425</v>
      </c>
      <c r="D631">
        <f t="shared" si="36"/>
        <v>2599.9581837754404</v>
      </c>
      <c r="E631">
        <f>_xlfn.XLOOKUP(A631,Banks!A:A,Banks!I:I,0)</f>
        <v>0</v>
      </c>
      <c r="F631">
        <f>_xlfn.XLOOKUP(A631,Energy!A:A,Energy!I:I,0)</f>
        <v>0</v>
      </c>
      <c r="G631">
        <f t="shared" si="37"/>
        <v>0</v>
      </c>
      <c r="H631">
        <f t="shared" si="38"/>
        <v>-2599.9581837754404</v>
      </c>
      <c r="I631" t="b">
        <f t="shared" si="39"/>
        <v>0</v>
      </c>
    </row>
    <row r="632" spans="1:9">
      <c r="A632" s="1">
        <v>46001.739583333343</v>
      </c>
      <c r="B632" s="5">
        <f>_xlfn.XLOOKUP(A632,Banks!A:A,Banks!H:H,0,-1)</f>
        <v>1743.6339269107059</v>
      </c>
      <c r="C632">
        <f>_xlfn.XLOOKUP(A632,Energy!A:A,Energy!H:H,0,-1)</f>
        <v>856.32425686473425</v>
      </c>
      <c r="D632">
        <f t="shared" si="36"/>
        <v>2599.9581837754404</v>
      </c>
      <c r="E632">
        <f>_xlfn.XLOOKUP(A632,Banks!A:A,Banks!I:I,0)</f>
        <v>0</v>
      </c>
      <c r="F632">
        <f>_xlfn.XLOOKUP(A632,Energy!A:A,Energy!I:I,0)</f>
        <v>27356.900153774721</v>
      </c>
      <c r="G632">
        <f t="shared" si="37"/>
        <v>27356.900153774721</v>
      </c>
      <c r="H632">
        <f t="shared" si="38"/>
        <v>24756.94196999928</v>
      </c>
      <c r="I632" t="b">
        <f t="shared" si="39"/>
        <v>0</v>
      </c>
    </row>
    <row r="633" spans="1:9">
      <c r="A633" s="1">
        <v>46001.740277777782</v>
      </c>
      <c r="B633" s="5">
        <f>_xlfn.XLOOKUP(A633,Banks!A:A,Banks!H:H,0,-1)</f>
        <v>1743.6339269107059</v>
      </c>
      <c r="C633">
        <f>_xlfn.XLOOKUP(A633,Energy!A:A,Energy!H:H,0,-1)</f>
        <v>858.41262411628645</v>
      </c>
      <c r="D633">
        <f t="shared" si="36"/>
        <v>2602.0465510269923</v>
      </c>
      <c r="E633">
        <f>_xlfn.XLOOKUP(A633,Banks!A:A,Banks!I:I,0)</f>
        <v>0</v>
      </c>
      <c r="F633">
        <f>_xlfn.XLOOKUP(A633,Energy!A:A,Energy!I:I,0)</f>
        <v>27356.482480324419</v>
      </c>
      <c r="G633">
        <f t="shared" si="37"/>
        <v>27356.482480324419</v>
      </c>
      <c r="H633">
        <f t="shared" si="38"/>
        <v>24754.435929297426</v>
      </c>
      <c r="I633" t="b">
        <f t="shared" si="39"/>
        <v>0</v>
      </c>
    </row>
    <row r="634" spans="1:9">
      <c r="A634" s="1">
        <v>46001.740972222222</v>
      </c>
      <c r="B634" s="5">
        <f>_xlfn.XLOOKUP(A634,Banks!A:A,Banks!H:H,0,-1)</f>
        <v>1743.6339269107059</v>
      </c>
      <c r="C634">
        <f>_xlfn.XLOOKUP(A634,Energy!A:A,Energy!H:H,0,-1)</f>
        <v>896.18014404913367</v>
      </c>
      <c r="D634">
        <f t="shared" si="36"/>
        <v>2639.8140709598397</v>
      </c>
      <c r="E634">
        <f>_xlfn.XLOOKUP(A634,Banks!A:A,Banks!I:I,0)</f>
        <v>0</v>
      </c>
      <c r="F634">
        <f>_xlfn.XLOOKUP(A634,Energy!A:A,Energy!I:I,0)</f>
        <v>27364.035984310991</v>
      </c>
      <c r="G634">
        <f t="shared" si="37"/>
        <v>27364.035984310991</v>
      </c>
      <c r="H634">
        <f t="shared" si="38"/>
        <v>24724.22191335115</v>
      </c>
      <c r="I634" t="b">
        <f t="shared" si="39"/>
        <v>0</v>
      </c>
    </row>
    <row r="635" spans="1:9">
      <c r="A635" s="1">
        <v>46001.741666666669</v>
      </c>
      <c r="B635" s="5">
        <f>_xlfn.XLOOKUP(A635,Banks!A:A,Banks!H:H,0,-1)</f>
        <v>1743.6339269107059</v>
      </c>
      <c r="C635">
        <f>_xlfn.XLOOKUP(A635,Energy!A:A,Energy!H:H,0,-1)</f>
        <v>921.35849067103982</v>
      </c>
      <c r="D635">
        <f t="shared" si="36"/>
        <v>2664.9924175817459</v>
      </c>
      <c r="E635">
        <f>_xlfn.XLOOKUP(A635,Banks!A:A,Banks!I:I,0)</f>
        <v>0</v>
      </c>
      <c r="F635">
        <f>_xlfn.XLOOKUP(A635,Energy!A:A,Energy!I:I,0)</f>
        <v>27369.071653635368</v>
      </c>
      <c r="G635">
        <f t="shared" si="37"/>
        <v>27369.071653635368</v>
      </c>
      <c r="H635">
        <f t="shared" si="38"/>
        <v>24704.079236053622</v>
      </c>
      <c r="I635" t="b">
        <f t="shared" si="39"/>
        <v>0</v>
      </c>
    </row>
    <row r="636" spans="1:9">
      <c r="A636" s="1">
        <v>46001.742361111108</v>
      </c>
      <c r="B636" s="5">
        <f>_xlfn.XLOOKUP(A636,Banks!A:A,Banks!H:H,0,-1)</f>
        <v>1743.6339269107059</v>
      </c>
      <c r="C636">
        <f>_xlfn.XLOOKUP(A636,Energy!A:A,Energy!H:H,0,-1)</f>
        <v>897.28329747653788</v>
      </c>
      <c r="D636">
        <f t="shared" si="36"/>
        <v>2640.9172243872436</v>
      </c>
      <c r="E636">
        <f>_xlfn.XLOOKUP(A636,Banks!A:A,Banks!I:I,0)</f>
        <v>0</v>
      </c>
      <c r="F636">
        <f>_xlfn.XLOOKUP(A636,Energy!A:A,Energy!I:I,0)</f>
        <v>27368.85102294989</v>
      </c>
      <c r="G636">
        <f t="shared" si="37"/>
        <v>27368.85102294989</v>
      </c>
      <c r="H636">
        <f t="shared" si="38"/>
        <v>24727.933798562648</v>
      </c>
      <c r="I636" t="b">
        <f t="shared" si="39"/>
        <v>0</v>
      </c>
    </row>
    <row r="637" spans="1:9">
      <c r="A637" s="1">
        <v>46001.743055555547</v>
      </c>
      <c r="B637" s="5">
        <f>_xlfn.XLOOKUP(A637,Banks!A:A,Banks!H:H,0,-1)</f>
        <v>1743.6339269107059</v>
      </c>
      <c r="C637">
        <f>_xlfn.XLOOKUP(A637,Energy!A:A,Energy!H:H,0,-1)</f>
        <v>896.2784270518531</v>
      </c>
      <c r="D637">
        <f t="shared" si="36"/>
        <v>2639.9123539625589</v>
      </c>
      <c r="E637">
        <f>_xlfn.XLOOKUP(A637,Banks!A:A,Banks!I:I,0)</f>
        <v>0</v>
      </c>
      <c r="F637">
        <f>_xlfn.XLOOKUP(A637,Energy!A:A,Energy!I:I,0)</f>
        <v>27372.409109917749</v>
      </c>
      <c r="G637">
        <f t="shared" si="37"/>
        <v>27372.409109917749</v>
      </c>
      <c r="H637">
        <f t="shared" si="38"/>
        <v>24732.496755955191</v>
      </c>
      <c r="I637" t="b">
        <f t="shared" si="39"/>
        <v>0</v>
      </c>
    </row>
    <row r="638" spans="1:9">
      <c r="A638" s="1">
        <v>46001.743750000001</v>
      </c>
      <c r="B638" s="5">
        <f>_xlfn.XLOOKUP(A638,Banks!A:A,Banks!H:H,0,-1)</f>
        <v>1743.6339269107059</v>
      </c>
      <c r="C638">
        <f>_xlfn.XLOOKUP(A638,Energy!A:A,Energy!H:H,0,-1)</f>
        <v>896.2784270518531</v>
      </c>
      <c r="D638">
        <f t="shared" si="36"/>
        <v>2639.9123539625589</v>
      </c>
      <c r="E638">
        <f>_xlfn.XLOOKUP(A638,Banks!A:A,Banks!I:I,0)</f>
        <v>0</v>
      </c>
      <c r="F638">
        <f>_xlfn.XLOOKUP(A638,Energy!A:A,Energy!I:I,0)</f>
        <v>27372.409109917749</v>
      </c>
      <c r="G638">
        <f t="shared" si="37"/>
        <v>27372.409109917749</v>
      </c>
      <c r="H638">
        <f t="shared" si="38"/>
        <v>24732.496755955191</v>
      </c>
      <c r="I638" t="b">
        <f t="shared" si="39"/>
        <v>0</v>
      </c>
    </row>
    <row r="639" spans="1:9">
      <c r="A639" s="1">
        <v>46001.744444444441</v>
      </c>
      <c r="B639" s="5">
        <f>_xlfn.XLOOKUP(A639,Banks!A:A,Banks!H:H,0,-1)</f>
        <v>1743.6339269107059</v>
      </c>
      <c r="C639">
        <f>_xlfn.XLOOKUP(A639,Energy!A:A,Energy!H:H,0,-1)</f>
        <v>851.37853114343966</v>
      </c>
      <c r="D639">
        <f t="shared" si="36"/>
        <v>2595.0124580541456</v>
      </c>
      <c r="E639">
        <f>_xlfn.XLOOKUP(A639,Banks!A:A,Banks!I:I,0)</f>
        <v>0</v>
      </c>
      <c r="F639">
        <f>_xlfn.XLOOKUP(A639,Energy!A:A,Energy!I:I,0)</f>
        <v>27381.38908909943</v>
      </c>
      <c r="G639">
        <f t="shared" si="37"/>
        <v>27381.38908909943</v>
      </c>
      <c r="H639">
        <f t="shared" si="38"/>
        <v>24786.376631045285</v>
      </c>
      <c r="I639" t="b">
        <f t="shared" si="39"/>
        <v>0</v>
      </c>
    </row>
    <row r="640" spans="1:9">
      <c r="A640" s="1">
        <v>46001.745138888888</v>
      </c>
      <c r="B640" s="5">
        <f>_xlfn.XLOOKUP(A640,Banks!A:A,Banks!H:H,0,-1)</f>
        <v>1743.6339269107059</v>
      </c>
      <c r="C640">
        <f>_xlfn.XLOOKUP(A640,Energy!A:A,Energy!H:H,0,-1)</f>
        <v>800.01696747493668</v>
      </c>
      <c r="D640">
        <f t="shared" si="36"/>
        <v>2543.6508943856425</v>
      </c>
      <c r="E640">
        <f>_xlfn.XLOOKUP(A640,Banks!A:A,Banks!I:I,0)</f>
        <v>0</v>
      </c>
      <c r="F640">
        <f>_xlfn.XLOOKUP(A640,Energy!A:A,Energy!I:I,0)</f>
        <v>27374.875837418531</v>
      </c>
      <c r="G640">
        <f t="shared" si="37"/>
        <v>27374.875837418531</v>
      </c>
      <c r="H640">
        <f t="shared" si="38"/>
        <v>24831.224943032888</v>
      </c>
      <c r="I640" t="b">
        <f t="shared" si="39"/>
        <v>0</v>
      </c>
    </row>
    <row r="641" spans="1:9">
      <c r="A641" s="1">
        <v>46001.745833333327</v>
      </c>
      <c r="B641" s="5">
        <f>_xlfn.XLOOKUP(A641,Banks!A:A,Banks!H:H,0,-1)</f>
        <v>1743.6339269107059</v>
      </c>
      <c r="C641">
        <f>_xlfn.XLOOKUP(A641,Energy!A:A,Energy!H:H,0,-1)</f>
        <v>804.21335857858378</v>
      </c>
      <c r="D641">
        <f t="shared" si="36"/>
        <v>2547.8472854892898</v>
      </c>
      <c r="E641">
        <f>_xlfn.XLOOKUP(A641,Banks!A:A,Banks!I:I,0)</f>
        <v>0</v>
      </c>
      <c r="F641">
        <f>_xlfn.XLOOKUP(A641,Energy!A:A,Energy!I:I,0)</f>
        <v>27375.71511563925</v>
      </c>
      <c r="G641">
        <f t="shared" si="37"/>
        <v>27375.71511563925</v>
      </c>
      <c r="H641">
        <f t="shared" si="38"/>
        <v>24827.86783014996</v>
      </c>
      <c r="I641" t="b">
        <f t="shared" si="39"/>
        <v>0</v>
      </c>
    </row>
    <row r="642" spans="1:9">
      <c r="A642" s="1">
        <v>46001.746527777781</v>
      </c>
      <c r="B642" s="5">
        <f>_xlfn.XLOOKUP(A642,Banks!A:A,Banks!H:H,0,-1)</f>
        <v>1743.6339269107059</v>
      </c>
      <c r="C642">
        <f>_xlfn.XLOOKUP(A642,Energy!A:A,Energy!H:H,0,-1)</f>
        <v>825.19531409684282</v>
      </c>
      <c r="D642">
        <f t="shared" si="36"/>
        <v>2568.8292410075487</v>
      </c>
      <c r="E642">
        <f>_xlfn.XLOOKUP(A642,Banks!A:A,Banks!I:I,0)</f>
        <v>0</v>
      </c>
      <c r="F642">
        <f>_xlfn.XLOOKUP(A642,Energy!A:A,Energy!I:I,0)</f>
        <v>27379.911506742901</v>
      </c>
      <c r="G642">
        <f t="shared" si="37"/>
        <v>27379.911506742901</v>
      </c>
      <c r="H642">
        <f t="shared" si="38"/>
        <v>24811.082265735353</v>
      </c>
      <c r="I642" t="b">
        <f t="shared" si="39"/>
        <v>0</v>
      </c>
    </row>
    <row r="643" spans="1:9">
      <c r="A643" s="1">
        <v>46001.74722222222</v>
      </c>
      <c r="B643" s="5">
        <f>_xlfn.XLOOKUP(A643,Banks!A:A,Banks!H:H,0,-1)</f>
        <v>1743.6339269107059</v>
      </c>
      <c r="C643">
        <f>_xlfn.XLOOKUP(A643,Energy!A:A,Energy!H:H,0,-1)</f>
        <v>846.15761301455325</v>
      </c>
      <c r="D643">
        <f t="shared" ref="D643:D706" si="40">B643+C643</f>
        <v>2589.7915399252593</v>
      </c>
      <c r="E643">
        <f>_xlfn.XLOOKUP(A643,Banks!A:A,Banks!I:I,0)</f>
        <v>0</v>
      </c>
      <c r="F643">
        <f>_xlfn.XLOOKUP(A643,Energy!A:A,Energy!I:I,0)</f>
        <v>27382.4332727252</v>
      </c>
      <c r="G643">
        <f t="shared" ref="G643:G706" si="41">F643+E643</f>
        <v>27382.4332727252</v>
      </c>
      <c r="H643">
        <f t="shared" ref="H643:H706" si="42">G643-D643</f>
        <v>24792.641732799941</v>
      </c>
      <c r="I643" t="b">
        <f t="shared" ref="I643:I706" si="43">AND(E643&gt;0,F643&gt;0)</f>
        <v>0</v>
      </c>
    </row>
    <row r="644" spans="1:9">
      <c r="A644" s="1">
        <v>46001.747916666667</v>
      </c>
      <c r="B644" s="5">
        <f>_xlfn.XLOOKUP(A644,Banks!A:A,Banks!H:H,0,-1)</f>
        <v>1743.6339269107059</v>
      </c>
      <c r="C644">
        <f>_xlfn.XLOOKUP(A644,Energy!A:A,Energy!H:H,0,-1)</f>
        <v>820.97926639264711</v>
      </c>
      <c r="D644">
        <f t="shared" si="40"/>
        <v>2564.613193303353</v>
      </c>
      <c r="E644">
        <f>_xlfn.XLOOKUP(A644,Banks!A:A,Banks!I:I,0)</f>
        <v>0</v>
      </c>
      <c r="F644">
        <f>_xlfn.XLOOKUP(A644,Energy!A:A,Energy!I:I,0)</f>
        <v>27377.39760340083</v>
      </c>
      <c r="G644">
        <f t="shared" si="41"/>
        <v>27377.39760340083</v>
      </c>
      <c r="H644">
        <f t="shared" si="42"/>
        <v>24812.784410097476</v>
      </c>
      <c r="I644" t="b">
        <f t="shared" si="43"/>
        <v>0</v>
      </c>
    </row>
    <row r="645" spans="1:9">
      <c r="A645" s="1">
        <v>46001.748611111107</v>
      </c>
      <c r="B645" s="5">
        <f>_xlfn.XLOOKUP(A645,Banks!A:A,Banks!H:H,0,-1)</f>
        <v>1743.6339269107059</v>
      </c>
      <c r="C645">
        <f>_xlfn.XLOOKUP(A645,Energy!A:A,Energy!H:H,0,-1)</f>
        <v>812.58648418535302</v>
      </c>
      <c r="D645">
        <f t="shared" si="40"/>
        <v>2556.2204110960588</v>
      </c>
      <c r="E645">
        <f>_xlfn.XLOOKUP(A645,Banks!A:A,Banks!I:I,0)</f>
        <v>0</v>
      </c>
      <c r="F645">
        <f>_xlfn.XLOOKUP(A645,Energy!A:A,Energy!I:I,0)</f>
        <v>27375.719046959359</v>
      </c>
      <c r="G645">
        <f t="shared" si="41"/>
        <v>27375.719046959359</v>
      </c>
      <c r="H645">
        <f t="shared" si="42"/>
        <v>24819.4986358633</v>
      </c>
      <c r="I645" t="b">
        <f t="shared" si="43"/>
        <v>0</v>
      </c>
    </row>
    <row r="646" spans="1:9">
      <c r="A646" s="1">
        <v>46001.749305555553</v>
      </c>
      <c r="B646" s="5">
        <f>_xlfn.XLOOKUP(A646,Banks!A:A,Banks!H:H,0,-1)</f>
        <v>1743.6339269107059</v>
      </c>
      <c r="C646">
        <f>_xlfn.XLOOKUP(A646,Energy!A:A,Energy!H:H,0,-1)</f>
        <v>837.76483080724722</v>
      </c>
      <c r="D646">
        <f t="shared" si="40"/>
        <v>2581.3987577179532</v>
      </c>
      <c r="E646">
        <f>_xlfn.XLOOKUP(A646,Banks!A:A,Banks!I:I,0)</f>
        <v>0</v>
      </c>
      <c r="F646">
        <f>_xlfn.XLOOKUP(A646,Energy!A:A,Energy!I:I,0)</f>
        <v>27380.754716283751</v>
      </c>
      <c r="G646">
        <f t="shared" si="41"/>
        <v>27380.754716283751</v>
      </c>
      <c r="H646">
        <f t="shared" si="42"/>
        <v>24799.355958565797</v>
      </c>
      <c r="I646" t="b">
        <f t="shared" si="43"/>
        <v>0</v>
      </c>
    </row>
    <row r="647" spans="1:9">
      <c r="A647" s="1">
        <v>46001.75</v>
      </c>
      <c r="B647" s="5">
        <f>_xlfn.XLOOKUP(A647,Banks!A:A,Banks!H:H,0,-1)</f>
        <v>1743.6339269107059</v>
      </c>
      <c r="C647">
        <f>_xlfn.XLOOKUP(A647,Energy!A:A,Energy!H:H,0,-1)</f>
        <v>871.33595963645928</v>
      </c>
      <c r="D647">
        <f t="shared" si="40"/>
        <v>2614.9698865471651</v>
      </c>
      <c r="E647">
        <f>_xlfn.XLOOKUP(A647,Banks!A:A,Banks!I:I,0)</f>
        <v>0</v>
      </c>
      <c r="F647">
        <f>_xlfn.XLOOKUP(A647,Energy!A:A,Energy!I:I,0)</f>
        <v>27387.468942049589</v>
      </c>
      <c r="G647">
        <f t="shared" si="41"/>
        <v>27387.468942049589</v>
      </c>
      <c r="H647">
        <f t="shared" si="42"/>
        <v>24772.499055502423</v>
      </c>
      <c r="I647" t="b">
        <f t="shared" si="43"/>
        <v>0</v>
      </c>
    </row>
    <row r="648" spans="1:9">
      <c r="A648" s="1">
        <v>46001.750694444447</v>
      </c>
      <c r="B648" s="5">
        <f>_xlfn.XLOOKUP(A648,Banks!A:A,Banks!H:H,0,-1)</f>
        <v>1743.6339269107059</v>
      </c>
      <c r="C648">
        <f>_xlfn.XLOOKUP(A648,Energy!A:A,Energy!H:H,0,-1)</f>
        <v>846.15761301455325</v>
      </c>
      <c r="D648">
        <f t="shared" si="40"/>
        <v>2589.7915399252593</v>
      </c>
      <c r="E648">
        <f>_xlfn.XLOOKUP(A648,Banks!A:A,Banks!I:I,0)</f>
        <v>0</v>
      </c>
      <c r="F648">
        <f>_xlfn.XLOOKUP(A648,Energy!A:A,Energy!I:I,0)</f>
        <v>27382.4332727252</v>
      </c>
      <c r="G648">
        <f t="shared" si="41"/>
        <v>27382.4332727252</v>
      </c>
      <c r="H648">
        <f t="shared" si="42"/>
        <v>24792.641732799941</v>
      </c>
      <c r="I648" t="b">
        <f t="shared" si="43"/>
        <v>0</v>
      </c>
    </row>
    <row r="649" spans="1:9">
      <c r="A649" s="1">
        <v>46001.751388888893</v>
      </c>
      <c r="B649" s="5">
        <f>_xlfn.XLOOKUP(A649,Banks!A:A,Banks!H:H,0,-1)</f>
        <v>1743.6339269107059</v>
      </c>
      <c r="C649">
        <f>_xlfn.XLOOKUP(A649,Energy!A:A,Energy!H:H,0,-1)</f>
        <v>809.59152951181761</v>
      </c>
      <c r="D649">
        <f t="shared" si="40"/>
        <v>2553.2254564225236</v>
      </c>
      <c r="E649">
        <f>_xlfn.XLOOKUP(A649,Banks!A:A,Banks!I:I,0)</f>
        <v>0</v>
      </c>
      <c r="F649">
        <f>_xlfn.XLOOKUP(A649,Energy!A:A,Energy!I:I,0)</f>
        <v>27388.06793298429</v>
      </c>
      <c r="G649">
        <f t="shared" si="41"/>
        <v>27388.06793298429</v>
      </c>
      <c r="H649">
        <f t="shared" si="42"/>
        <v>24834.842476561767</v>
      </c>
      <c r="I649" t="b">
        <f t="shared" si="43"/>
        <v>0</v>
      </c>
    </row>
    <row r="650" spans="1:9">
      <c r="A650" s="1">
        <v>46001.752083333333</v>
      </c>
      <c r="B650" s="5">
        <f>_xlfn.XLOOKUP(A650,Banks!A:A,Banks!H:H,0,-1)</f>
        <v>1743.6339269107059</v>
      </c>
      <c r="C650">
        <f>_xlfn.XLOOKUP(A650,Energy!A:A,Energy!H:H,0,-1)</f>
        <v>860.91377997922916</v>
      </c>
      <c r="D650">
        <f t="shared" si="40"/>
        <v>2604.5477068899349</v>
      </c>
      <c r="E650">
        <f>_xlfn.XLOOKUP(A650,Banks!A:A,Banks!I:I,0)</f>
        <v>0</v>
      </c>
      <c r="F650">
        <f>_xlfn.XLOOKUP(A650,Energy!A:A,Energy!I:I,0)</f>
        <v>27391.231934422489</v>
      </c>
      <c r="G650">
        <f t="shared" si="41"/>
        <v>27391.231934422489</v>
      </c>
      <c r="H650">
        <f t="shared" si="42"/>
        <v>24786.684227532554</v>
      </c>
      <c r="I650" t="b">
        <f t="shared" si="43"/>
        <v>0</v>
      </c>
    </row>
    <row r="651" spans="1:9">
      <c r="A651" s="1">
        <v>46001.75277777778</v>
      </c>
      <c r="B651" s="5">
        <f>_xlfn.XLOOKUP(A651,Banks!A:A,Banks!H:H,0,-1)</f>
        <v>1743.6339269107059</v>
      </c>
      <c r="C651">
        <f>_xlfn.XLOOKUP(A651,Energy!A:A,Energy!H:H,0,-1)</f>
        <v>831.43168811737291</v>
      </c>
      <c r="D651">
        <f t="shared" si="40"/>
        <v>2575.0656150280788</v>
      </c>
      <c r="E651">
        <f>_xlfn.XLOOKUP(A651,Banks!A:A,Banks!I:I,0)</f>
        <v>0</v>
      </c>
      <c r="F651">
        <f>_xlfn.XLOOKUP(A651,Energy!A:A,Energy!I:I,0)</f>
        <v>0</v>
      </c>
      <c r="G651">
        <f t="shared" si="41"/>
        <v>0</v>
      </c>
      <c r="H651">
        <f t="shared" si="42"/>
        <v>-2575.0656150280788</v>
      </c>
      <c r="I651" t="b">
        <f t="shared" si="43"/>
        <v>0</v>
      </c>
    </row>
    <row r="652" spans="1:9">
      <c r="A652" s="1">
        <v>46001.775694444441</v>
      </c>
      <c r="B652" s="5">
        <f>_xlfn.XLOOKUP(A652,Banks!A:A,Banks!H:H,0,-1)</f>
        <v>1743.6339269107059</v>
      </c>
      <c r="C652">
        <f>_xlfn.XLOOKUP(A652,Energy!A:A,Energy!H:H,0,-1)</f>
        <v>831.43168811737291</v>
      </c>
      <c r="D652">
        <f t="shared" si="40"/>
        <v>2575.0656150280788</v>
      </c>
      <c r="E652">
        <f>_xlfn.XLOOKUP(A652,Banks!A:A,Banks!I:I,0)</f>
        <v>0</v>
      </c>
      <c r="F652">
        <f>_xlfn.XLOOKUP(A652,Energy!A:A,Energy!I:I,0)</f>
        <v>27356.900153774721</v>
      </c>
      <c r="G652">
        <f t="shared" si="41"/>
        <v>27356.900153774721</v>
      </c>
      <c r="H652">
        <f t="shared" si="42"/>
        <v>24781.834538746643</v>
      </c>
      <c r="I652" t="b">
        <f t="shared" si="43"/>
        <v>0</v>
      </c>
    </row>
    <row r="653" spans="1:9">
      <c r="A653" s="1">
        <v>46001.776388888888</v>
      </c>
      <c r="B653" s="5">
        <f>_xlfn.XLOOKUP(A653,Banks!A:A,Banks!H:H,0,-1)</f>
        <v>1743.6339269107059</v>
      </c>
      <c r="C653">
        <f>_xlfn.XLOOKUP(A653,Energy!A:A,Energy!H:H,0,-1)</f>
        <v>797.79280156452455</v>
      </c>
      <c r="D653">
        <f t="shared" si="40"/>
        <v>2541.4267284752304</v>
      </c>
      <c r="E653">
        <f>_xlfn.XLOOKUP(A653,Banks!A:A,Banks!I:I,0)</f>
        <v>0</v>
      </c>
      <c r="F653">
        <f>_xlfn.XLOOKUP(A653,Energy!A:A,Energy!I:I,0)</f>
        <v>27350.172376464161</v>
      </c>
      <c r="G653">
        <f t="shared" si="41"/>
        <v>27350.172376464161</v>
      </c>
      <c r="H653">
        <f t="shared" si="42"/>
        <v>24808.74564798893</v>
      </c>
      <c r="I653" t="b">
        <f t="shared" si="43"/>
        <v>0</v>
      </c>
    </row>
    <row r="654" spans="1:9">
      <c r="A654" s="1">
        <v>46001.777083333327</v>
      </c>
      <c r="B654" s="5">
        <f>_xlfn.XLOOKUP(A654,Banks!A:A,Banks!H:H,0,-1)</f>
        <v>1743.6339269107059</v>
      </c>
      <c r="C654">
        <f>_xlfn.XLOOKUP(A654,Energy!A:A,Energy!H:H,0,-1)</f>
        <v>831.43168811737291</v>
      </c>
      <c r="D654">
        <f t="shared" si="40"/>
        <v>2575.0656150280788</v>
      </c>
      <c r="E654">
        <f>_xlfn.XLOOKUP(A654,Banks!A:A,Banks!I:I,0)</f>
        <v>0</v>
      </c>
      <c r="F654">
        <f>_xlfn.XLOOKUP(A654,Energy!A:A,Energy!I:I,0)</f>
        <v>27356.900153774721</v>
      </c>
      <c r="G654">
        <f t="shared" si="41"/>
        <v>27356.900153774721</v>
      </c>
      <c r="H654">
        <f t="shared" si="42"/>
        <v>24781.834538746643</v>
      </c>
      <c r="I654" t="b">
        <f t="shared" si="43"/>
        <v>0</v>
      </c>
    </row>
    <row r="655" spans="1:9">
      <c r="A655" s="1">
        <v>46001.777777777781</v>
      </c>
      <c r="B655" s="5">
        <f>_xlfn.XLOOKUP(A655,Banks!A:A,Banks!H:H,0,-1)</f>
        <v>1743.6339269107059</v>
      </c>
      <c r="C655">
        <f>_xlfn.XLOOKUP(A655,Energy!A:A,Energy!H:H,0,-1)</f>
        <v>866.11461011339281</v>
      </c>
      <c r="D655">
        <f t="shared" si="40"/>
        <v>2609.7485370240988</v>
      </c>
      <c r="E655">
        <f>_xlfn.XLOOKUP(A655,Banks!A:A,Banks!I:I,0)</f>
        <v>0</v>
      </c>
      <c r="F655">
        <f>_xlfn.XLOOKUP(A655,Energy!A:A,Energy!I:I,0)</f>
        <v>27363.419123996671</v>
      </c>
      <c r="G655">
        <f t="shared" si="41"/>
        <v>27363.419123996671</v>
      </c>
      <c r="H655">
        <f t="shared" si="42"/>
        <v>24753.670586972574</v>
      </c>
      <c r="I655" t="b">
        <f t="shared" si="43"/>
        <v>0</v>
      </c>
    </row>
    <row r="656" spans="1:9">
      <c r="A656" s="1">
        <v>46001.77847222222</v>
      </c>
      <c r="B656" s="5">
        <f>_xlfn.XLOOKUP(A656,Banks!A:A,Banks!H:H,0,-1)</f>
        <v>1743.6339269107059</v>
      </c>
      <c r="C656">
        <f>_xlfn.XLOOKUP(A656,Energy!A:A,Energy!H:H,0,-1)</f>
        <v>781.959955638324</v>
      </c>
      <c r="D656">
        <f t="shared" si="40"/>
        <v>2525.5938825490298</v>
      </c>
      <c r="E656">
        <f>_xlfn.XLOOKUP(A656,Banks!A:A,Banks!I:I,0)</f>
        <v>0</v>
      </c>
      <c r="F656">
        <f>_xlfn.XLOOKUP(A656,Energy!A:A,Energy!I:I,0)</f>
        <v>27343.247279683539</v>
      </c>
      <c r="G656">
        <f t="shared" si="41"/>
        <v>27343.247279683539</v>
      </c>
      <c r="H656">
        <f t="shared" si="42"/>
        <v>24817.653397134509</v>
      </c>
      <c r="I656" t="b">
        <f t="shared" si="43"/>
        <v>0</v>
      </c>
    </row>
    <row r="657" spans="1:9">
      <c r="A657" s="1">
        <v>46001.779166666667</v>
      </c>
      <c r="B657" s="5">
        <f>_xlfn.XLOOKUP(A657,Banks!A:A,Banks!H:H,0,-1)</f>
        <v>1743.6339269107059</v>
      </c>
      <c r="C657">
        <f>_xlfn.XLOOKUP(A657,Energy!A:A,Energy!H:H,0,-1)</f>
        <v>790.36967727653018</v>
      </c>
      <c r="D657">
        <f t="shared" si="40"/>
        <v>2534.0036041872363</v>
      </c>
      <c r="E657">
        <f>_xlfn.XLOOKUP(A657,Banks!A:A,Banks!I:I,0)</f>
        <v>0</v>
      </c>
      <c r="F657">
        <f>_xlfn.XLOOKUP(A657,Energy!A:A,Energy!I:I,0)</f>
        <v>27344.929224011179</v>
      </c>
      <c r="G657">
        <f t="shared" si="41"/>
        <v>27344.929224011179</v>
      </c>
      <c r="H657">
        <f t="shared" si="42"/>
        <v>24810.925619823942</v>
      </c>
      <c r="I657" t="b">
        <f t="shared" si="43"/>
        <v>0</v>
      </c>
    </row>
    <row r="658" spans="1:9">
      <c r="A658" s="1">
        <v>46001.779861111107</v>
      </c>
      <c r="B658" s="5">
        <f>_xlfn.XLOOKUP(A658,Banks!A:A,Banks!H:H,0,-1)</f>
        <v>1743.6339269107059</v>
      </c>
      <c r="C658">
        <f>_xlfn.XLOOKUP(A658,Energy!A:A,Energy!H:H,0,-1)</f>
        <v>839.78397166265518</v>
      </c>
      <c r="D658">
        <f t="shared" si="40"/>
        <v>2583.4178985733611</v>
      </c>
      <c r="E658">
        <f>_xlfn.XLOOKUP(A658,Banks!A:A,Banks!I:I,0)</f>
        <v>0</v>
      </c>
      <c r="F658">
        <f>_xlfn.XLOOKUP(A658,Energy!A:A,Energy!I:I,0)</f>
        <v>27355.229697065672</v>
      </c>
      <c r="G658">
        <f t="shared" si="41"/>
        <v>27355.229697065672</v>
      </c>
      <c r="H658">
        <f t="shared" si="42"/>
        <v>24771.811798492312</v>
      </c>
      <c r="I658" t="b">
        <f t="shared" si="43"/>
        <v>0</v>
      </c>
    </row>
    <row r="659" spans="1:9">
      <c r="A659" s="1">
        <v>46001.780555555553</v>
      </c>
      <c r="B659" s="5">
        <f>_xlfn.XLOOKUP(A659,Banks!A:A,Banks!H:H,0,-1)</f>
        <v>1743.6339269107059</v>
      </c>
      <c r="C659">
        <f>_xlfn.XLOOKUP(A659,Energy!A:A,Energy!H:H,0,-1)</f>
        <v>828.12726750909883</v>
      </c>
      <c r="D659">
        <f t="shared" si="40"/>
        <v>2571.7611944198047</v>
      </c>
      <c r="E659">
        <f>_xlfn.XLOOKUP(A659,Banks!A:A,Banks!I:I,0)</f>
        <v>0</v>
      </c>
      <c r="F659">
        <f>_xlfn.XLOOKUP(A659,Energy!A:A,Energy!I:I,0)</f>
        <v>27347.469371930521</v>
      </c>
      <c r="G659">
        <f t="shared" si="41"/>
        <v>27347.469371930521</v>
      </c>
      <c r="H659">
        <f t="shared" si="42"/>
        <v>24775.708177510718</v>
      </c>
      <c r="I659" t="b">
        <f t="shared" si="43"/>
        <v>0</v>
      </c>
    </row>
    <row r="660" spans="1:9">
      <c r="A660" s="1">
        <v>46001.78125</v>
      </c>
      <c r="B660" s="5">
        <f>_xlfn.XLOOKUP(A660,Banks!A:A,Banks!H:H,0,-1)</f>
        <v>1743.6339269107059</v>
      </c>
      <c r="C660">
        <f>_xlfn.XLOOKUP(A660,Energy!A:A,Energy!H:H,0,-1)</f>
        <v>849.15157160463809</v>
      </c>
      <c r="D660">
        <f t="shared" si="40"/>
        <v>2592.785498515344</v>
      </c>
      <c r="E660">
        <f>_xlfn.XLOOKUP(A660,Banks!A:A,Banks!I:I,0)</f>
        <v>0</v>
      </c>
      <c r="F660">
        <f>_xlfn.XLOOKUP(A660,Energy!A:A,Energy!I:I,0)</f>
        <v>27351.674232749629</v>
      </c>
      <c r="G660">
        <f t="shared" si="41"/>
        <v>27351.674232749629</v>
      </c>
      <c r="H660">
        <f t="shared" si="42"/>
        <v>24758.888734234286</v>
      </c>
      <c r="I660" t="b">
        <f t="shared" si="43"/>
        <v>0</v>
      </c>
    </row>
    <row r="661" spans="1:9">
      <c r="A661" s="1">
        <v>46001.781944444447</v>
      </c>
      <c r="B661" s="5">
        <f>_xlfn.XLOOKUP(A661,Banks!A:A,Banks!H:H,0,-1)</f>
        <v>1743.6339269107059</v>
      </c>
      <c r="C661">
        <f>_xlfn.XLOOKUP(A661,Energy!A:A,Energy!H:H,0,-1)</f>
        <v>834.391480168062</v>
      </c>
      <c r="D661">
        <f t="shared" si="40"/>
        <v>2578.0254070787678</v>
      </c>
      <c r="E661">
        <f>_xlfn.XLOOKUP(A661,Banks!A:A,Banks!I:I,0)</f>
        <v>0</v>
      </c>
      <c r="F661">
        <f>_xlfn.XLOOKUP(A661,Energy!A:A,Energy!I:I,0)</f>
        <v>27346.216529398731</v>
      </c>
      <c r="G661">
        <f t="shared" si="41"/>
        <v>27346.216529398731</v>
      </c>
      <c r="H661">
        <f t="shared" si="42"/>
        <v>24768.191122319964</v>
      </c>
      <c r="I661" t="b">
        <f t="shared" si="43"/>
        <v>0</v>
      </c>
    </row>
    <row r="662" spans="1:9">
      <c r="A662" s="1">
        <v>46001.782638888893</v>
      </c>
      <c r="B662" s="5">
        <f>_xlfn.XLOOKUP(A662,Banks!A:A,Banks!H:H,0,-1)</f>
        <v>1743.6339269107059</v>
      </c>
      <c r="C662">
        <f>_xlfn.XLOOKUP(A662,Energy!A:A,Energy!H:H,0,-1)</f>
        <v>893.25953163556471</v>
      </c>
      <c r="D662">
        <f t="shared" si="40"/>
        <v>2636.8934585462707</v>
      </c>
      <c r="E662">
        <f>_xlfn.XLOOKUP(A662,Banks!A:A,Banks!I:I,0)</f>
        <v>0</v>
      </c>
      <c r="F662">
        <f>_xlfn.XLOOKUP(A662,Energy!A:A,Energy!I:I,0)</f>
        <v>27357.990139692229</v>
      </c>
      <c r="G662">
        <f t="shared" si="41"/>
        <v>27357.990139692229</v>
      </c>
      <c r="H662">
        <f t="shared" si="42"/>
        <v>24721.096681145958</v>
      </c>
      <c r="I662" t="b">
        <f t="shared" si="43"/>
        <v>0</v>
      </c>
    </row>
    <row r="663" spans="1:9">
      <c r="A663" s="1">
        <v>46001.783333333333</v>
      </c>
      <c r="B663" s="5">
        <f>_xlfn.XLOOKUP(A663,Banks!A:A,Banks!H:H,0,-1)</f>
        <v>1743.6339269107059</v>
      </c>
      <c r="C663">
        <f>_xlfn.XLOOKUP(A663,Energy!A:A,Energy!H:H,0,-1)</f>
        <v>851.21092344449812</v>
      </c>
      <c r="D663">
        <f t="shared" si="40"/>
        <v>2594.844850355204</v>
      </c>
      <c r="E663">
        <f>_xlfn.XLOOKUP(A663,Banks!A:A,Banks!I:I,0)</f>
        <v>0</v>
      </c>
      <c r="F663">
        <f>_xlfn.XLOOKUP(A663,Energy!A:A,Energy!I:I,0)</f>
        <v>27349.580418054011</v>
      </c>
      <c r="G663">
        <f t="shared" si="41"/>
        <v>27349.580418054011</v>
      </c>
      <c r="H663">
        <f t="shared" si="42"/>
        <v>24754.735567698808</v>
      </c>
      <c r="I663" t="b">
        <f t="shared" si="43"/>
        <v>0</v>
      </c>
    </row>
    <row r="664" spans="1:9">
      <c r="A664" s="1">
        <v>46001.78402777778</v>
      </c>
      <c r="B664" s="5">
        <f>_xlfn.XLOOKUP(A664,Banks!A:A,Banks!H:H,0,-1)</f>
        <v>1743.6339269107059</v>
      </c>
      <c r="C664">
        <f>_xlfn.XLOOKUP(A664,Energy!A:A,Energy!H:H,0,-1)</f>
        <v>905.85757796059556</v>
      </c>
      <c r="D664">
        <f t="shared" si="40"/>
        <v>2649.4915048713015</v>
      </c>
      <c r="E664">
        <f>_xlfn.XLOOKUP(A664,Banks!A:A,Banks!I:I,0)</f>
        <v>0</v>
      </c>
      <c r="F664">
        <f>_xlfn.XLOOKUP(A664,Energy!A:A,Energy!I:I,0)</f>
        <v>0</v>
      </c>
      <c r="G664">
        <f t="shared" si="41"/>
        <v>0</v>
      </c>
      <c r="H664">
        <f t="shared" si="42"/>
        <v>-2649.4915048713015</v>
      </c>
      <c r="I664" t="b">
        <f t="shared" si="43"/>
        <v>0</v>
      </c>
    </row>
    <row r="665" spans="1:9">
      <c r="A665" s="1">
        <v>46001.851388888892</v>
      </c>
      <c r="B665" s="5">
        <f>_xlfn.XLOOKUP(A665,Banks!A:A,Banks!H:H,0,-1)</f>
        <v>1743.6339269107059</v>
      </c>
      <c r="C665">
        <f>_xlfn.XLOOKUP(A665,Energy!A:A,Energy!H:H,0,-1)</f>
        <v>905.85757796059556</v>
      </c>
      <c r="D665">
        <f t="shared" si="40"/>
        <v>2649.4915048713015</v>
      </c>
      <c r="E665">
        <f>_xlfn.XLOOKUP(A665,Banks!A:A,Banks!I:I,0)</f>
        <v>34771.641445041561</v>
      </c>
      <c r="F665">
        <f>_xlfn.XLOOKUP(A665,Energy!A:A,Energy!I:I,0)</f>
        <v>0</v>
      </c>
      <c r="G665">
        <f t="shared" si="41"/>
        <v>34771.641445041561</v>
      </c>
      <c r="H665">
        <f t="shared" si="42"/>
        <v>32122.14994017026</v>
      </c>
      <c r="I665" t="b">
        <f t="shared" si="43"/>
        <v>0</v>
      </c>
    </row>
    <row r="666" spans="1:9">
      <c r="A666" s="1">
        <v>46001.852083333331</v>
      </c>
      <c r="B666" s="5">
        <f>_xlfn.XLOOKUP(A666,Banks!A:A,Banks!H:H,0,-1)</f>
        <v>2111.8931380001982</v>
      </c>
      <c r="C666">
        <f>_xlfn.XLOOKUP(A666,Energy!A:A,Energy!H:H,0,-1)</f>
        <v>905.85757796059556</v>
      </c>
      <c r="D666">
        <f t="shared" si="40"/>
        <v>3017.750715960794</v>
      </c>
      <c r="E666">
        <f>_xlfn.XLOOKUP(A666,Banks!A:A,Banks!I:I,0)</f>
        <v>34864.919028771918</v>
      </c>
      <c r="F666">
        <f>_xlfn.XLOOKUP(A666,Energy!A:A,Energy!I:I,0)</f>
        <v>0</v>
      </c>
      <c r="G666">
        <f t="shared" si="41"/>
        <v>34864.919028771918</v>
      </c>
      <c r="H666">
        <f t="shared" si="42"/>
        <v>31847.168312811125</v>
      </c>
      <c r="I666" t="b">
        <f t="shared" si="43"/>
        <v>0</v>
      </c>
    </row>
    <row r="667" spans="1:9">
      <c r="A667" s="1">
        <v>46001.852777777778</v>
      </c>
      <c r="B667" s="5">
        <f>_xlfn.XLOOKUP(A667,Banks!A:A,Banks!H:H,0,-1)</f>
        <v>2105.6115124512362</v>
      </c>
      <c r="C667">
        <f>_xlfn.XLOOKUP(A667,Energy!A:A,Energy!H:H,0,-1)</f>
        <v>905.85757796059556</v>
      </c>
      <c r="D667">
        <f t="shared" si="40"/>
        <v>3011.4690904118315</v>
      </c>
      <c r="E667">
        <f>_xlfn.XLOOKUP(A667,Banks!A:A,Banks!I:I,0)</f>
        <v>34858.756268284007</v>
      </c>
      <c r="F667">
        <f>_xlfn.XLOOKUP(A667,Energy!A:A,Energy!I:I,0)</f>
        <v>0</v>
      </c>
      <c r="G667">
        <f t="shared" si="41"/>
        <v>34858.756268284007</v>
      </c>
      <c r="H667">
        <f t="shared" si="42"/>
        <v>31847.287177872175</v>
      </c>
      <c r="I667" t="b">
        <f t="shared" si="43"/>
        <v>0</v>
      </c>
    </row>
    <row r="668" spans="1:9">
      <c r="A668" s="1">
        <v>46001.853472222218</v>
      </c>
      <c r="B668" s="5">
        <f>_xlfn.XLOOKUP(A668,Banks!A:A,Banks!H:H,0,-1)</f>
        <v>1946.562316147189</v>
      </c>
      <c r="C668">
        <f>_xlfn.XLOOKUP(A668,Energy!A:A,Energy!H:H,0,-1)</f>
        <v>905.85757796059556</v>
      </c>
      <c r="D668">
        <f t="shared" si="40"/>
        <v>2852.4198941077848</v>
      </c>
      <c r="E668">
        <f>_xlfn.XLOOKUP(A668,Banks!A:A,Banks!I:I,0)</f>
        <v>34808.956165970121</v>
      </c>
      <c r="F668">
        <f>_xlfn.XLOOKUP(A668,Energy!A:A,Energy!I:I,0)</f>
        <v>0</v>
      </c>
      <c r="G668">
        <f t="shared" si="41"/>
        <v>34808.956165970121</v>
      </c>
      <c r="H668">
        <f t="shared" si="42"/>
        <v>31956.536271862336</v>
      </c>
      <c r="I668" t="b">
        <f t="shared" si="43"/>
        <v>0</v>
      </c>
    </row>
    <row r="669" spans="1:9">
      <c r="A669" s="1">
        <v>46001.854166666657</v>
      </c>
      <c r="B669" s="5">
        <f>_xlfn.XLOOKUP(A669,Banks!A:A,Banks!H:H,0,-1)</f>
        <v>2109.700208599661</v>
      </c>
      <c r="C669">
        <f>_xlfn.XLOOKUP(A669,Energy!A:A,Energy!H:H,0,-1)</f>
        <v>905.85757796059556</v>
      </c>
      <c r="D669">
        <f t="shared" si="40"/>
        <v>3015.5577865602563</v>
      </c>
      <c r="E669">
        <f>_xlfn.XLOOKUP(A669,Banks!A:A,Banks!I:I,0)</f>
        <v>34857.938529054321</v>
      </c>
      <c r="F669">
        <f>_xlfn.XLOOKUP(A669,Energy!A:A,Energy!I:I,0)</f>
        <v>0</v>
      </c>
      <c r="G669">
        <f t="shared" si="41"/>
        <v>34857.938529054321</v>
      </c>
      <c r="H669">
        <f t="shared" si="42"/>
        <v>31842.380742494064</v>
      </c>
      <c r="I669" t="b">
        <f t="shared" si="43"/>
        <v>0</v>
      </c>
    </row>
    <row r="670" spans="1:9">
      <c r="A670" s="1">
        <v>46001.854861111111</v>
      </c>
      <c r="B670" s="5">
        <f>_xlfn.XLOOKUP(A670,Banks!A:A,Banks!H:H,0,-1)</f>
        <v>2159.358887686089</v>
      </c>
      <c r="C670">
        <f>_xlfn.XLOOKUP(A670,Energy!A:A,Energy!H:H,0,-1)</f>
        <v>905.85757796059556</v>
      </c>
      <c r="D670">
        <f t="shared" si="40"/>
        <v>3065.2164656466848</v>
      </c>
      <c r="E670">
        <f>_xlfn.XLOOKUP(A670,Banks!A:A,Banks!I:I,0)</f>
        <v>34877.683135627842</v>
      </c>
      <c r="F670">
        <f>_xlfn.XLOOKUP(A670,Energy!A:A,Energy!I:I,0)</f>
        <v>0</v>
      </c>
      <c r="G670">
        <f t="shared" si="41"/>
        <v>34877.683135627842</v>
      </c>
      <c r="H670">
        <f t="shared" si="42"/>
        <v>31812.466669981157</v>
      </c>
      <c r="I670" t="b">
        <f t="shared" si="43"/>
        <v>0</v>
      </c>
    </row>
    <row r="671" spans="1:9">
      <c r="A671" s="1">
        <v>46001.855555555558</v>
      </c>
      <c r="B671" s="5">
        <f>_xlfn.XLOOKUP(A671,Banks!A:A,Banks!H:H,0,-1)</f>
        <v>2287.3568163511941</v>
      </c>
      <c r="C671">
        <f>_xlfn.XLOOKUP(A671,Energy!A:A,Energy!H:H,0,-1)</f>
        <v>905.85757796059556</v>
      </c>
      <c r="D671">
        <f t="shared" si="40"/>
        <v>3193.2143943117899</v>
      </c>
      <c r="E671">
        <f>_xlfn.XLOOKUP(A671,Banks!A:A,Banks!I:I,0)</f>
        <v>0</v>
      </c>
      <c r="F671">
        <f>_xlfn.XLOOKUP(A671,Energy!A:A,Energy!I:I,0)</f>
        <v>0</v>
      </c>
      <c r="G671">
        <f t="shared" si="41"/>
        <v>0</v>
      </c>
      <c r="H671">
        <f t="shared" si="42"/>
        <v>-3193.2143943117899</v>
      </c>
      <c r="I671" t="b">
        <f t="shared" si="43"/>
        <v>0</v>
      </c>
    </row>
    <row r="672" spans="1:9">
      <c r="A672" s="1">
        <v>46002.604166666657</v>
      </c>
      <c r="B672" s="5">
        <f>_xlfn.XLOOKUP(A672,Banks!A:A,Banks!H:H,0,-1)</f>
        <v>2287.3568163511941</v>
      </c>
      <c r="C672">
        <f>_xlfn.XLOOKUP(A672,Energy!A:A,Energy!H:H,0,-1)</f>
        <v>905.85757796059556</v>
      </c>
      <c r="D672">
        <f t="shared" si="40"/>
        <v>3193.2143943117899</v>
      </c>
      <c r="E672">
        <f>_xlfn.XLOOKUP(A672,Banks!A:A,Banks!I:I,0)</f>
        <v>0</v>
      </c>
      <c r="F672">
        <f>_xlfn.XLOOKUP(A672,Energy!A:A,Energy!I:I,0)</f>
        <v>27356.900153774721</v>
      </c>
      <c r="G672">
        <f t="shared" si="41"/>
        <v>27356.900153774721</v>
      </c>
      <c r="H672">
        <f t="shared" si="42"/>
        <v>24163.685759462933</v>
      </c>
      <c r="I672" t="b">
        <f t="shared" si="43"/>
        <v>0</v>
      </c>
    </row>
    <row r="673" spans="1:9">
      <c r="A673" s="1">
        <v>46002.604861111111</v>
      </c>
      <c r="B673" s="5">
        <f>_xlfn.XLOOKUP(A673,Banks!A:A,Banks!H:H,0,-1)</f>
        <v>2287.3568163511941</v>
      </c>
      <c r="C673">
        <f>_xlfn.XLOOKUP(A673,Energy!A:A,Energy!H:H,0,-1)</f>
        <v>742.83477528434207</v>
      </c>
      <c r="D673">
        <f t="shared" si="40"/>
        <v>3030.191591635536</v>
      </c>
      <c r="E673">
        <f>_xlfn.XLOOKUP(A673,Banks!A:A,Banks!I:I,0)</f>
        <v>0</v>
      </c>
      <c r="F673">
        <f>_xlfn.XLOOKUP(A673,Energy!A:A,Energy!I:I,0)</f>
        <v>27351.111984758791</v>
      </c>
      <c r="G673">
        <f t="shared" si="41"/>
        <v>27351.111984758791</v>
      </c>
      <c r="H673">
        <f t="shared" si="42"/>
        <v>24320.920393123255</v>
      </c>
      <c r="I673" t="b">
        <f t="shared" si="43"/>
        <v>0</v>
      </c>
    </row>
    <row r="674" spans="1:9">
      <c r="A674" s="1">
        <v>46002.605555555558</v>
      </c>
      <c r="B674" s="5">
        <f>_xlfn.XLOOKUP(A674,Banks!A:A,Banks!H:H,0,-1)</f>
        <v>2287.3568163511941</v>
      </c>
      <c r="C674">
        <f>_xlfn.XLOOKUP(A674,Energy!A:A,Energy!H:H,0,-1)</f>
        <v>852.2311518163242</v>
      </c>
      <c r="D674">
        <f t="shared" si="40"/>
        <v>3139.5879681675183</v>
      </c>
      <c r="E674">
        <f>_xlfn.XLOOKUP(A674,Banks!A:A,Banks!I:I,0)</f>
        <v>0</v>
      </c>
      <c r="F674">
        <f>_xlfn.XLOOKUP(A674,Energy!A:A,Energy!I:I,0)</f>
        <v>27339.470770666041</v>
      </c>
      <c r="G674">
        <f t="shared" si="41"/>
        <v>27339.470770666041</v>
      </c>
      <c r="H674">
        <f t="shared" si="42"/>
        <v>24199.882802498523</v>
      </c>
      <c r="I674" t="b">
        <f t="shared" si="43"/>
        <v>0</v>
      </c>
    </row>
    <row r="675" spans="1:9">
      <c r="A675" s="1">
        <v>46002.606249999997</v>
      </c>
      <c r="B675" s="5">
        <f>_xlfn.XLOOKUP(A675,Banks!A:A,Banks!H:H,0,-1)</f>
        <v>2287.3568163511941</v>
      </c>
      <c r="C675">
        <f>_xlfn.XLOOKUP(A675,Energy!A:A,Energy!H:H,0,-1)</f>
        <v>903.49725554869917</v>
      </c>
      <c r="D675">
        <f t="shared" si="40"/>
        <v>3190.8540718998934</v>
      </c>
      <c r="E675">
        <f>_xlfn.XLOOKUP(A675,Banks!A:A,Banks!I:I,0)</f>
        <v>0</v>
      </c>
      <c r="F675">
        <f>_xlfn.XLOOKUP(A675,Energy!A:A,Energy!I:I,0)</f>
        <v>27351.400015882471</v>
      </c>
      <c r="G675">
        <f t="shared" si="41"/>
        <v>27351.400015882471</v>
      </c>
      <c r="H675">
        <f t="shared" si="42"/>
        <v>24160.545943982579</v>
      </c>
      <c r="I675" t="b">
        <f t="shared" si="43"/>
        <v>0</v>
      </c>
    </row>
    <row r="676" spans="1:9">
      <c r="A676" s="1">
        <v>46002.606944444437</v>
      </c>
      <c r="B676" s="5">
        <f>_xlfn.XLOOKUP(A676,Banks!A:A,Banks!H:H,0,-1)</f>
        <v>2287.3568163511941</v>
      </c>
      <c r="C676">
        <f>_xlfn.XLOOKUP(A676,Energy!A:A,Energy!H:H,0,-1)</f>
        <v>1011.978762699188</v>
      </c>
      <c r="D676">
        <f t="shared" si="40"/>
        <v>3299.335579050382</v>
      </c>
      <c r="E676">
        <f>_xlfn.XLOOKUP(A676,Banks!A:A,Banks!I:I,0)</f>
        <v>0</v>
      </c>
      <c r="F676">
        <f>_xlfn.XLOOKUP(A676,Energy!A:A,Energy!I:I,0)</f>
        <v>27342.92787685334</v>
      </c>
      <c r="G676">
        <f t="shared" si="41"/>
        <v>27342.92787685334</v>
      </c>
      <c r="H676">
        <f t="shared" si="42"/>
        <v>24043.592297802959</v>
      </c>
      <c r="I676" t="b">
        <f t="shared" si="43"/>
        <v>0</v>
      </c>
    </row>
    <row r="677" spans="1:9">
      <c r="A677" s="1">
        <v>46002.607638888891</v>
      </c>
      <c r="B677" s="5">
        <f>_xlfn.XLOOKUP(A677,Banks!A:A,Banks!H:H,0,-1)</f>
        <v>2287.3568163511941</v>
      </c>
      <c r="C677">
        <f>_xlfn.XLOOKUP(A677,Energy!A:A,Energy!H:H,0,-1)</f>
        <v>1028.7390073987569</v>
      </c>
      <c r="D677">
        <f t="shared" si="40"/>
        <v>3316.0958237499508</v>
      </c>
      <c r="E677">
        <f>_xlfn.XLOOKUP(A677,Banks!A:A,Banks!I:I,0)</f>
        <v>0</v>
      </c>
      <c r="F677">
        <f>_xlfn.XLOOKUP(A677,Energy!A:A,Energy!I:I,0)</f>
        <v>27339.575827913421</v>
      </c>
      <c r="G677">
        <f t="shared" si="41"/>
        <v>27339.575827913421</v>
      </c>
      <c r="H677">
        <f t="shared" si="42"/>
        <v>24023.48000416347</v>
      </c>
      <c r="I677" t="b">
        <f t="shared" si="43"/>
        <v>0</v>
      </c>
    </row>
    <row r="678" spans="1:9">
      <c r="A678" s="1">
        <v>46002.60833333333</v>
      </c>
      <c r="B678" s="5">
        <f>_xlfn.XLOOKUP(A678,Banks!A:A,Banks!H:H,0,-1)</f>
        <v>2287.3568163511941</v>
      </c>
      <c r="C678">
        <f>_xlfn.XLOOKUP(A678,Energy!A:A,Energy!H:H,0,-1)</f>
        <v>957.50796742556679</v>
      </c>
      <c r="D678">
        <f t="shared" si="40"/>
        <v>3244.8647837767608</v>
      </c>
      <c r="E678">
        <f>_xlfn.XLOOKUP(A678,Banks!A:A,Banks!I:I,0)</f>
        <v>0</v>
      </c>
      <c r="F678">
        <f>_xlfn.XLOOKUP(A678,Energy!A:A,Energy!I:I,0)</f>
        <v>27353.822035908059</v>
      </c>
      <c r="G678">
        <f t="shared" si="41"/>
        <v>27353.822035908059</v>
      </c>
      <c r="H678">
        <f t="shared" si="42"/>
        <v>24108.957252131298</v>
      </c>
      <c r="I678" t="b">
        <f t="shared" si="43"/>
        <v>0</v>
      </c>
    </row>
    <row r="679" spans="1:9">
      <c r="A679" s="1">
        <v>46002.609027777777</v>
      </c>
      <c r="B679" s="5">
        <f>_xlfn.XLOOKUP(A679,Banks!A:A,Banks!H:H,0,-1)</f>
        <v>2287.3568163511941</v>
      </c>
      <c r="C679">
        <f>_xlfn.XLOOKUP(A679,Energy!A:A,Energy!H:H,0,-1)</f>
        <v>865.32662157791788</v>
      </c>
      <c r="D679">
        <f t="shared" si="40"/>
        <v>3152.6834379291122</v>
      </c>
      <c r="E679">
        <f>_xlfn.XLOOKUP(A679,Banks!A:A,Banks!I:I,0)</f>
        <v>0</v>
      </c>
      <c r="F679">
        <f>_xlfn.XLOOKUP(A679,Energy!A:A,Energy!I:I,0)</f>
        <v>27372.25830507759</v>
      </c>
      <c r="G679">
        <f t="shared" si="41"/>
        <v>27372.25830507759</v>
      </c>
      <c r="H679">
        <f t="shared" si="42"/>
        <v>24219.574867148476</v>
      </c>
      <c r="I679" t="b">
        <f t="shared" si="43"/>
        <v>0</v>
      </c>
    </row>
    <row r="680" spans="1:9">
      <c r="A680" s="1">
        <v>46002.609722222223</v>
      </c>
      <c r="B680" s="5">
        <f>_xlfn.XLOOKUP(A680,Banks!A:A,Banks!H:H,0,-1)</f>
        <v>2287.3568163511941</v>
      </c>
      <c r="C680">
        <f>_xlfn.XLOOKUP(A680,Energy!A:A,Energy!H:H,0,-1)</f>
        <v>974.26821212514801</v>
      </c>
      <c r="D680">
        <f t="shared" si="40"/>
        <v>3261.6250284763419</v>
      </c>
      <c r="E680">
        <f>_xlfn.XLOOKUP(A680,Banks!A:A,Banks!I:I,0)</f>
        <v>0</v>
      </c>
      <c r="F680">
        <f>_xlfn.XLOOKUP(A680,Energy!A:A,Energy!I:I,0)</f>
        <v>27350.46998696815</v>
      </c>
      <c r="G680">
        <f t="shared" si="41"/>
        <v>27350.46998696815</v>
      </c>
      <c r="H680">
        <f t="shared" si="42"/>
        <v>24088.844958491809</v>
      </c>
      <c r="I680" t="b">
        <f t="shared" si="43"/>
        <v>0</v>
      </c>
    </row>
    <row r="681" spans="1:9">
      <c r="A681" s="1">
        <v>46002.61041666667</v>
      </c>
      <c r="B681" s="5">
        <f>_xlfn.XLOOKUP(A681,Banks!A:A,Banks!H:H,0,-1)</f>
        <v>2287.3568163511941</v>
      </c>
      <c r="C681">
        <f>_xlfn.XLOOKUP(A681,Energy!A:A,Energy!H:H,0,-1)</f>
        <v>907.22723332685894</v>
      </c>
      <c r="D681">
        <f t="shared" si="40"/>
        <v>3194.5840496780529</v>
      </c>
      <c r="E681">
        <f>_xlfn.XLOOKUP(A681,Banks!A:A,Banks!I:I,0)</f>
        <v>0</v>
      </c>
      <c r="F681">
        <f>_xlfn.XLOOKUP(A681,Energy!A:A,Energy!I:I,0)</f>
        <v>27363.8781827278</v>
      </c>
      <c r="G681">
        <f t="shared" si="41"/>
        <v>27363.8781827278</v>
      </c>
      <c r="H681">
        <f t="shared" si="42"/>
        <v>24169.294133049749</v>
      </c>
      <c r="I681" t="b">
        <f t="shared" si="43"/>
        <v>0</v>
      </c>
    </row>
    <row r="682" spans="1:9">
      <c r="A682" s="1">
        <v>46002.611111111109</v>
      </c>
      <c r="B682" s="5">
        <f>_xlfn.XLOOKUP(A682,Banks!A:A,Banks!H:H,0,-1)</f>
        <v>2287.3568163511941</v>
      </c>
      <c r="C682">
        <f>_xlfn.XLOOKUP(A682,Energy!A:A,Energy!H:H,0,-1)</f>
        <v>844.28462580341727</v>
      </c>
      <c r="D682">
        <f t="shared" si="40"/>
        <v>3131.6414421546115</v>
      </c>
      <c r="E682">
        <f>_xlfn.XLOOKUP(A682,Banks!A:A,Banks!I:I,0)</f>
        <v>0</v>
      </c>
      <c r="F682">
        <f>_xlfn.XLOOKUP(A682,Energy!A:A,Energy!I:I,0)</f>
        <v>27445.147031540731</v>
      </c>
      <c r="G682">
        <f t="shared" si="41"/>
        <v>27445.147031540731</v>
      </c>
      <c r="H682">
        <f t="shared" si="42"/>
        <v>24313.505589386121</v>
      </c>
      <c r="I682" t="b">
        <f t="shared" si="43"/>
        <v>0</v>
      </c>
    </row>
    <row r="683" spans="1:9">
      <c r="A683" s="1">
        <v>46002.611805555563</v>
      </c>
      <c r="B683" s="5">
        <f>_xlfn.XLOOKUP(A683,Banks!A:A,Banks!H:H,0,-1)</f>
        <v>2287.3568163511941</v>
      </c>
      <c r="C683">
        <f>_xlfn.XLOOKUP(A683,Energy!A:A,Energy!H:H,0,-1)</f>
        <v>852.664748153196</v>
      </c>
      <c r="D683">
        <f t="shared" si="40"/>
        <v>3140.02156450439</v>
      </c>
      <c r="E683">
        <f>_xlfn.XLOOKUP(A683,Banks!A:A,Banks!I:I,0)</f>
        <v>0</v>
      </c>
      <c r="F683">
        <f>_xlfn.XLOOKUP(A683,Energy!A:A,Energy!I:I,0)</f>
        <v>27443.47100707077</v>
      </c>
      <c r="G683">
        <f t="shared" si="41"/>
        <v>27443.47100707077</v>
      </c>
      <c r="H683">
        <f t="shared" si="42"/>
        <v>24303.44944256638</v>
      </c>
      <c r="I683" t="b">
        <f t="shared" si="43"/>
        <v>0</v>
      </c>
    </row>
    <row r="684" spans="1:9">
      <c r="A684" s="1">
        <v>46002.612500000003</v>
      </c>
      <c r="B684" s="5">
        <f>_xlfn.XLOOKUP(A684,Banks!A:A,Banks!H:H,0,-1)</f>
        <v>2287.3568163511941</v>
      </c>
      <c r="C684">
        <f>_xlfn.XLOOKUP(A684,Energy!A:A,Energy!H:H,0,-1)</f>
        <v>834.38325275910859</v>
      </c>
      <c r="D684">
        <f t="shared" si="40"/>
        <v>3121.7400691103026</v>
      </c>
      <c r="E684">
        <f>_xlfn.XLOOKUP(A684,Banks!A:A,Banks!I:I,0)</f>
        <v>0</v>
      </c>
      <c r="F684">
        <f>_xlfn.XLOOKUP(A684,Energy!A:A,Energy!I:I,0)</f>
        <v>27436.462659052031</v>
      </c>
      <c r="G684">
        <f t="shared" si="41"/>
        <v>27436.462659052031</v>
      </c>
      <c r="H684">
        <f t="shared" si="42"/>
        <v>24314.722589941728</v>
      </c>
      <c r="I684" t="b">
        <f t="shared" si="43"/>
        <v>0</v>
      </c>
    </row>
    <row r="685" spans="1:9">
      <c r="A685" s="1">
        <v>46002.613194444442</v>
      </c>
      <c r="B685" s="5">
        <f>_xlfn.XLOOKUP(A685,Banks!A:A,Banks!H:H,0,-1)</f>
        <v>2287.3568163511941</v>
      </c>
      <c r="C685">
        <f>_xlfn.XLOOKUP(A685,Energy!A:A,Energy!H:H,0,-1)</f>
        <v>727.26610356291189</v>
      </c>
      <c r="D685">
        <f t="shared" si="40"/>
        <v>3014.6229199141062</v>
      </c>
      <c r="E685">
        <f>_xlfn.XLOOKUP(A685,Banks!A:A,Banks!I:I,0)</f>
        <v>0</v>
      </c>
      <c r="F685">
        <f>_xlfn.XLOOKUP(A685,Energy!A:A,Energy!I:I,0)</f>
        <v>27475.376110131259</v>
      </c>
      <c r="G685">
        <f t="shared" si="41"/>
        <v>27475.376110131259</v>
      </c>
      <c r="H685">
        <f t="shared" si="42"/>
        <v>24460.753190217154</v>
      </c>
      <c r="I685" t="b">
        <f t="shared" si="43"/>
        <v>0</v>
      </c>
    </row>
    <row r="686" spans="1:9">
      <c r="A686" s="1">
        <v>46002.613888888889</v>
      </c>
      <c r="B686" s="5">
        <f>_xlfn.XLOOKUP(A686,Banks!A:A,Banks!H:H,0,-1)</f>
        <v>2287.3568163511941</v>
      </c>
      <c r="C686">
        <f>_xlfn.XLOOKUP(A686,Energy!A:A,Energy!H:H,0,-1)</f>
        <v>660.22512476462293</v>
      </c>
      <c r="D686">
        <f t="shared" si="40"/>
        <v>2947.5819411158172</v>
      </c>
      <c r="E686">
        <f>_xlfn.XLOOKUP(A686,Banks!A:A,Banks!I:I,0)</f>
        <v>0</v>
      </c>
      <c r="F686">
        <f>_xlfn.XLOOKUP(A686,Energy!A:A,Energy!I:I,0)</f>
        <v>27488.78430589092</v>
      </c>
      <c r="G686">
        <f t="shared" si="41"/>
        <v>27488.78430589092</v>
      </c>
      <c r="H686">
        <f t="shared" si="42"/>
        <v>24541.202364775105</v>
      </c>
      <c r="I686" t="b">
        <f t="shared" si="43"/>
        <v>0</v>
      </c>
    </row>
    <row r="687" spans="1:9">
      <c r="A687" s="1">
        <v>46002.614583333343</v>
      </c>
      <c r="B687" s="5">
        <f>_xlfn.XLOOKUP(A687,Banks!A:A,Banks!H:H,0,-1)</f>
        <v>2287.3568163511941</v>
      </c>
      <c r="C687">
        <f>_xlfn.XLOOKUP(A687,Energy!A:A,Energy!H:H,0,-1)</f>
        <v>744.02634826249312</v>
      </c>
      <c r="D687">
        <f t="shared" si="40"/>
        <v>3031.3831646136873</v>
      </c>
      <c r="E687">
        <f>_xlfn.XLOOKUP(A687,Banks!A:A,Banks!I:I,0)</f>
        <v>0</v>
      </c>
      <c r="F687">
        <f>_xlfn.XLOOKUP(A687,Energy!A:A,Energy!I:I,0)</f>
        <v>27472.02406119134</v>
      </c>
      <c r="G687">
        <f t="shared" si="41"/>
        <v>27472.02406119134</v>
      </c>
      <c r="H687">
        <f t="shared" si="42"/>
        <v>24440.640896577654</v>
      </c>
      <c r="I687" t="b">
        <f t="shared" si="43"/>
        <v>0</v>
      </c>
    </row>
    <row r="688" spans="1:9">
      <c r="A688" s="1">
        <v>46002.615277777782</v>
      </c>
      <c r="B688" s="5">
        <f>_xlfn.XLOOKUP(A688,Banks!A:A,Banks!H:H,0,-1)</f>
        <v>2287.3568163511941</v>
      </c>
      <c r="C688">
        <f>_xlfn.XLOOKUP(A688,Energy!A:A,Energy!H:H,0,-1)</f>
        <v>792.92683217100034</v>
      </c>
      <c r="D688">
        <f t="shared" si="40"/>
        <v>3080.2836485221942</v>
      </c>
      <c r="E688">
        <f>_xlfn.XLOOKUP(A688,Banks!A:A,Banks!I:I,0)</f>
        <v>0</v>
      </c>
      <c r="F688">
        <f>_xlfn.XLOOKUP(A688,Energy!A:A,Energy!I:I,0)</f>
        <v>27501.916451612531</v>
      </c>
      <c r="G688">
        <f t="shared" si="41"/>
        <v>27501.916451612531</v>
      </c>
      <c r="H688">
        <f t="shared" si="42"/>
        <v>24421.632803090339</v>
      </c>
      <c r="I688" t="b">
        <f t="shared" si="43"/>
        <v>0</v>
      </c>
    </row>
    <row r="689" spans="1:9">
      <c r="A689" s="1">
        <v>46002.615972222222</v>
      </c>
      <c r="B689" s="5">
        <f>_xlfn.XLOOKUP(A689,Banks!A:A,Banks!H:H,0,-1)</f>
        <v>2287.3568163511941</v>
      </c>
      <c r="C689">
        <f>_xlfn.XLOOKUP(A689,Energy!A:A,Energy!H:H,0,-1)</f>
        <v>731.37506966171429</v>
      </c>
      <c r="D689">
        <f t="shared" si="40"/>
        <v>3018.7318860129085</v>
      </c>
      <c r="E689">
        <f>_xlfn.XLOOKUP(A689,Banks!A:A,Banks!I:I,0)</f>
        <v>0</v>
      </c>
      <c r="F689">
        <f>_xlfn.XLOOKUP(A689,Energy!A:A,Energy!I:I,0)</f>
        <v>27496.3101969905</v>
      </c>
      <c r="G689">
        <f t="shared" si="41"/>
        <v>27496.3101969905</v>
      </c>
      <c r="H689">
        <f t="shared" si="42"/>
        <v>24477.578310977591</v>
      </c>
      <c r="I689" t="b">
        <f t="shared" si="43"/>
        <v>0</v>
      </c>
    </row>
    <row r="690" spans="1:9">
      <c r="A690" s="1">
        <v>46002.616666666669</v>
      </c>
      <c r="B690" s="5">
        <f>_xlfn.XLOOKUP(A690,Banks!A:A,Banks!H:H,0,-1)</f>
        <v>2287.3568163511941</v>
      </c>
      <c r="C690">
        <f>_xlfn.XLOOKUP(A690,Energy!A:A,Energy!H:H,0,-1)</f>
        <v>655.95396851363466</v>
      </c>
      <c r="D690">
        <f t="shared" si="40"/>
        <v>2943.3107848648287</v>
      </c>
      <c r="E690">
        <f>_xlfn.XLOOKUP(A690,Banks!A:A,Banks!I:I,0)</f>
        <v>0</v>
      </c>
      <c r="F690">
        <f>_xlfn.XLOOKUP(A690,Energy!A:A,Energy!I:I,0)</f>
        <v>27511.394417220119</v>
      </c>
      <c r="G690">
        <f t="shared" si="41"/>
        <v>27511.394417220119</v>
      </c>
      <c r="H690">
        <f t="shared" si="42"/>
        <v>24568.08363235529</v>
      </c>
      <c r="I690" t="b">
        <f t="shared" si="43"/>
        <v>0</v>
      </c>
    </row>
    <row r="691" spans="1:9">
      <c r="A691" s="1">
        <v>46002.617361111108</v>
      </c>
      <c r="B691" s="5">
        <f>_xlfn.XLOOKUP(A691,Banks!A:A,Banks!H:H,0,-1)</f>
        <v>2287.3568163511941</v>
      </c>
      <c r="C691">
        <f>_xlfn.XLOOKUP(A691,Energy!A:A,Energy!H:H,0,-1)</f>
        <v>840.31666020893249</v>
      </c>
      <c r="D691">
        <f t="shared" si="40"/>
        <v>3127.6734765601268</v>
      </c>
      <c r="E691">
        <f>_xlfn.XLOOKUP(A691,Banks!A:A,Banks!I:I,0)</f>
        <v>0</v>
      </c>
      <c r="F691">
        <f>_xlfn.XLOOKUP(A691,Energy!A:A,Energy!I:I,0)</f>
        <v>27474.52187888106</v>
      </c>
      <c r="G691">
        <f t="shared" si="41"/>
        <v>27474.52187888106</v>
      </c>
      <c r="H691">
        <f t="shared" si="42"/>
        <v>24346.848402320931</v>
      </c>
      <c r="I691" t="b">
        <f t="shared" si="43"/>
        <v>0</v>
      </c>
    </row>
    <row r="692" spans="1:9">
      <c r="A692" s="1">
        <v>46002.618055555547</v>
      </c>
      <c r="B692" s="5">
        <f>_xlfn.XLOOKUP(A692,Banks!A:A,Banks!H:H,0,-1)</f>
        <v>2287.3568163511941</v>
      </c>
      <c r="C692">
        <f>_xlfn.XLOOKUP(A692,Energy!A:A,Energy!H:H,0,-1)</f>
        <v>806.79617080978198</v>
      </c>
      <c r="D692">
        <f t="shared" si="40"/>
        <v>3094.152987160976</v>
      </c>
      <c r="E692">
        <f>_xlfn.XLOOKUP(A692,Banks!A:A,Banks!I:I,0)</f>
        <v>0</v>
      </c>
      <c r="F692">
        <f>_xlfn.XLOOKUP(A692,Energy!A:A,Energy!I:I,0)</f>
        <v>27481.225976760888</v>
      </c>
      <c r="G692">
        <f t="shared" si="41"/>
        <v>27481.225976760888</v>
      </c>
      <c r="H692">
        <f t="shared" si="42"/>
        <v>24387.072989599914</v>
      </c>
      <c r="I692" t="b">
        <f t="shared" si="43"/>
        <v>0</v>
      </c>
    </row>
    <row r="693" spans="1:9">
      <c r="A693" s="1">
        <v>46002.618750000001</v>
      </c>
      <c r="B693" s="5">
        <f>_xlfn.XLOOKUP(A693,Banks!A:A,Banks!H:H,0,-1)</f>
        <v>2287.3568163511941</v>
      </c>
      <c r="C693">
        <f>_xlfn.XLOOKUP(A693,Energy!A:A,Energy!H:H,0,-1)</f>
        <v>714.61482496213307</v>
      </c>
      <c r="D693">
        <f t="shared" si="40"/>
        <v>3001.9716413133274</v>
      </c>
      <c r="E693">
        <f>_xlfn.XLOOKUP(A693,Banks!A:A,Banks!I:I,0)</f>
        <v>0</v>
      </c>
      <c r="F693">
        <f>_xlfn.XLOOKUP(A693,Energy!A:A,Energy!I:I,0)</f>
        <v>27499.66224593042</v>
      </c>
      <c r="G693">
        <f t="shared" si="41"/>
        <v>27499.66224593042</v>
      </c>
      <c r="H693">
        <f t="shared" si="42"/>
        <v>24497.690604617092</v>
      </c>
      <c r="I693" t="b">
        <f t="shared" si="43"/>
        <v>0</v>
      </c>
    </row>
    <row r="694" spans="1:9">
      <c r="A694" s="1">
        <v>46002.619444444441</v>
      </c>
      <c r="B694" s="5">
        <f>_xlfn.XLOOKUP(A694,Banks!A:A,Banks!H:H,0,-1)</f>
        <v>2287.3568163511941</v>
      </c>
      <c r="C694">
        <f>_xlfn.XLOOKUP(A694,Energy!A:A,Energy!H:H,0,-1)</f>
        <v>788.52527023963762</v>
      </c>
      <c r="D694">
        <f t="shared" si="40"/>
        <v>3075.8820865908319</v>
      </c>
      <c r="E694">
        <f>_xlfn.XLOOKUP(A694,Banks!A:A,Banks!I:I,0)</f>
        <v>0</v>
      </c>
      <c r="F694">
        <f>_xlfn.XLOOKUP(A694,Energy!A:A,Energy!I:I,0)</f>
        <v>27427.291062548142</v>
      </c>
      <c r="G694">
        <f t="shared" si="41"/>
        <v>27427.291062548142</v>
      </c>
      <c r="H694">
        <f t="shared" si="42"/>
        <v>24351.408975957311</v>
      </c>
      <c r="I694" t="b">
        <f t="shared" si="43"/>
        <v>0</v>
      </c>
    </row>
    <row r="695" spans="1:9">
      <c r="A695" s="1">
        <v>46002.620138888888</v>
      </c>
      <c r="B695" s="5">
        <f>_xlfn.XLOOKUP(A695,Banks!A:A,Banks!H:H,0,-1)</f>
        <v>2287.3568163511941</v>
      </c>
      <c r="C695">
        <f>_xlfn.XLOOKUP(A695,Energy!A:A,Energy!H:H,0,-1)</f>
        <v>784.14396431027399</v>
      </c>
      <c r="D695">
        <f t="shared" si="40"/>
        <v>3071.5007806614681</v>
      </c>
      <c r="E695">
        <f>_xlfn.XLOOKUP(A695,Banks!A:A,Banks!I:I,0)</f>
        <v>0</v>
      </c>
      <c r="F695">
        <f>_xlfn.XLOOKUP(A695,Energy!A:A,Energy!I:I,0)</f>
        <v>0</v>
      </c>
      <c r="G695">
        <f t="shared" si="41"/>
        <v>0</v>
      </c>
      <c r="H695">
        <f t="shared" si="42"/>
        <v>-3071.5007806614681</v>
      </c>
      <c r="I695" t="b">
        <f t="shared" si="43"/>
        <v>0</v>
      </c>
    </row>
    <row r="696" spans="1:9">
      <c r="A696" s="1">
        <v>46002.82708333333</v>
      </c>
      <c r="B696" s="5">
        <f>_xlfn.XLOOKUP(A696,Banks!A:A,Banks!H:H,0,-1)</f>
        <v>2287.3568163511941</v>
      </c>
      <c r="C696">
        <f>_xlfn.XLOOKUP(A696,Energy!A:A,Energy!H:H,0,-1)</f>
        <v>784.14396431027399</v>
      </c>
      <c r="D696">
        <f t="shared" si="40"/>
        <v>3071.5007806614681</v>
      </c>
      <c r="E696">
        <f>_xlfn.XLOOKUP(A696,Banks!A:A,Banks!I:I,0)</f>
        <v>34771.641445041561</v>
      </c>
      <c r="F696">
        <f>_xlfn.XLOOKUP(A696,Energy!A:A,Energy!I:I,0)</f>
        <v>0</v>
      </c>
      <c r="G696">
        <f t="shared" si="41"/>
        <v>34771.641445041561</v>
      </c>
      <c r="H696">
        <f t="shared" si="42"/>
        <v>31700.140664380095</v>
      </c>
      <c r="I696" t="b">
        <f t="shared" si="43"/>
        <v>0</v>
      </c>
    </row>
    <row r="697" spans="1:9">
      <c r="A697" s="1">
        <v>46002.827777777777</v>
      </c>
      <c r="B697" s="5">
        <f>_xlfn.XLOOKUP(A697,Banks!A:A,Banks!H:H,0,-1)</f>
        <v>2330.7614268540592</v>
      </c>
      <c r="C697">
        <f>_xlfn.XLOOKUP(A697,Energy!A:A,Energy!H:H,0,-1)</f>
        <v>784.14396431027399</v>
      </c>
      <c r="D697">
        <f t="shared" si="40"/>
        <v>3114.9053911643332</v>
      </c>
      <c r="E697">
        <f>_xlfn.XLOOKUP(A697,Banks!A:A,Banks!I:I,0)</f>
        <v>34769.310161948037</v>
      </c>
      <c r="F697">
        <f>_xlfn.XLOOKUP(A697,Energy!A:A,Energy!I:I,0)</f>
        <v>0</v>
      </c>
      <c r="G697">
        <f t="shared" si="41"/>
        <v>34769.310161948037</v>
      </c>
      <c r="H697">
        <f t="shared" si="42"/>
        <v>31654.404770783702</v>
      </c>
      <c r="I697" t="b">
        <f t="shared" si="43"/>
        <v>0</v>
      </c>
    </row>
    <row r="698" spans="1:9">
      <c r="A698" s="1">
        <v>46002.828472222223</v>
      </c>
      <c r="B698" s="5">
        <f>_xlfn.XLOOKUP(A698,Banks!A:A,Banks!H:H,0,-1)</f>
        <v>2356.3106773747431</v>
      </c>
      <c r="C698">
        <f>_xlfn.XLOOKUP(A698,Energy!A:A,Energy!H:H,0,-1)</f>
        <v>784.14396431027399</v>
      </c>
      <c r="D698">
        <f t="shared" si="40"/>
        <v>3140.4546416850171</v>
      </c>
      <c r="E698">
        <f>_xlfn.XLOOKUP(A698,Banks!A:A,Banks!I:I,0)</f>
        <v>34792.773687375673</v>
      </c>
      <c r="F698">
        <f>_xlfn.XLOOKUP(A698,Energy!A:A,Energy!I:I,0)</f>
        <v>0</v>
      </c>
      <c r="G698">
        <f t="shared" si="41"/>
        <v>34792.773687375673</v>
      </c>
      <c r="H698">
        <f t="shared" si="42"/>
        <v>31652.319045690656</v>
      </c>
      <c r="I698" t="b">
        <f t="shared" si="43"/>
        <v>0</v>
      </c>
    </row>
    <row r="699" spans="1:9">
      <c r="A699" s="1">
        <v>46002.82916666667</v>
      </c>
      <c r="B699" s="5">
        <f>_xlfn.XLOOKUP(A699,Banks!A:A,Banks!H:H,0,-1)</f>
        <v>2359.039412851228</v>
      </c>
      <c r="C699">
        <f>_xlfn.XLOOKUP(A699,Energy!A:A,Energy!H:H,0,-1)</f>
        <v>784.14396431027399</v>
      </c>
      <c r="D699">
        <f t="shared" si="40"/>
        <v>3143.183377161502</v>
      </c>
      <c r="E699">
        <f>_xlfn.XLOOKUP(A699,Banks!A:A,Banks!I:I,0)</f>
        <v>34796.99016953566</v>
      </c>
      <c r="F699">
        <f>_xlfn.XLOOKUP(A699,Energy!A:A,Energy!I:I,0)</f>
        <v>0</v>
      </c>
      <c r="G699">
        <f t="shared" si="41"/>
        <v>34796.99016953566</v>
      </c>
      <c r="H699">
        <f t="shared" si="42"/>
        <v>31653.806792374158</v>
      </c>
      <c r="I699" t="b">
        <f t="shared" si="43"/>
        <v>0</v>
      </c>
    </row>
    <row r="700" spans="1:9">
      <c r="A700" s="1">
        <v>46002.829861111109</v>
      </c>
      <c r="B700" s="5">
        <f>_xlfn.XLOOKUP(A700,Banks!A:A,Banks!H:H,0,-1)</f>
        <v>2365.9858303777651</v>
      </c>
      <c r="C700">
        <f>_xlfn.XLOOKUP(A700,Energy!A:A,Energy!H:H,0,-1)</f>
        <v>784.14396431027399</v>
      </c>
      <c r="D700">
        <f t="shared" si="40"/>
        <v>3150.1297946880391</v>
      </c>
      <c r="E700">
        <f>_xlfn.XLOOKUP(A700,Banks!A:A,Banks!I:I,0)</f>
        <v>34813.062393299762</v>
      </c>
      <c r="F700">
        <f>_xlfn.XLOOKUP(A700,Energy!A:A,Energy!I:I,0)</f>
        <v>0</v>
      </c>
      <c r="G700">
        <f t="shared" si="41"/>
        <v>34813.062393299762</v>
      </c>
      <c r="H700">
        <f t="shared" si="42"/>
        <v>31662.932598611722</v>
      </c>
      <c r="I700" t="b">
        <f t="shared" si="43"/>
        <v>0</v>
      </c>
    </row>
    <row r="701" spans="1:9">
      <c r="A701" s="1">
        <v>46002.830555555563</v>
      </c>
      <c r="B701" s="5">
        <f>_xlfn.XLOOKUP(A701,Banks!A:A,Banks!H:H,0,-1)</f>
        <v>2350.1117328601258</v>
      </c>
      <c r="C701">
        <f>_xlfn.XLOOKUP(A701,Energy!A:A,Energy!H:H,0,-1)</f>
        <v>784.14396431027399</v>
      </c>
      <c r="D701">
        <f t="shared" si="40"/>
        <v>3134.2556971703998</v>
      </c>
      <c r="E701">
        <f>_xlfn.XLOOKUP(A701,Banks!A:A,Banks!I:I,0)</f>
        <v>34809.887573796223</v>
      </c>
      <c r="F701">
        <f>_xlfn.XLOOKUP(A701,Energy!A:A,Energy!I:I,0)</f>
        <v>0</v>
      </c>
      <c r="G701">
        <f t="shared" si="41"/>
        <v>34809.887573796223</v>
      </c>
      <c r="H701">
        <f t="shared" si="42"/>
        <v>31675.631876625823</v>
      </c>
      <c r="I701" t="b">
        <f t="shared" si="43"/>
        <v>0</v>
      </c>
    </row>
    <row r="702" spans="1:9">
      <c r="A702" s="1">
        <v>46002.831250000003</v>
      </c>
      <c r="B702" s="5">
        <f>_xlfn.XLOOKUP(A702,Banks!A:A,Banks!H:H,0,-1)</f>
        <v>2357.0581503866752</v>
      </c>
      <c r="C702">
        <f>_xlfn.XLOOKUP(A702,Energy!A:A,Energy!H:H,0,-1)</f>
        <v>784.14396431027399</v>
      </c>
      <c r="D702">
        <f t="shared" si="40"/>
        <v>3141.2021146969491</v>
      </c>
      <c r="E702">
        <f>_xlfn.XLOOKUP(A702,Banks!A:A,Banks!I:I,0)</f>
        <v>34825.959797560317</v>
      </c>
      <c r="F702">
        <f>_xlfn.XLOOKUP(A702,Energy!A:A,Energy!I:I,0)</f>
        <v>0</v>
      </c>
      <c r="G702">
        <f t="shared" si="41"/>
        <v>34825.959797560317</v>
      </c>
      <c r="H702">
        <f t="shared" si="42"/>
        <v>31684.757682863368</v>
      </c>
      <c r="I702" t="b">
        <f t="shared" si="43"/>
        <v>0</v>
      </c>
    </row>
    <row r="703" spans="1:9">
      <c r="A703" s="1">
        <v>46002.831944444442</v>
      </c>
      <c r="B703" s="5">
        <f>_xlfn.XLOOKUP(A703,Banks!A:A,Banks!H:H,0,-1)</f>
        <v>2370.20351242784</v>
      </c>
      <c r="C703">
        <f>_xlfn.XLOOKUP(A703,Energy!A:A,Energy!H:H,0,-1)</f>
        <v>784.14396431027399</v>
      </c>
      <c r="D703">
        <f t="shared" si="40"/>
        <v>3154.347476738114</v>
      </c>
      <c r="E703">
        <f>_xlfn.XLOOKUP(A703,Banks!A:A,Banks!I:I,0)</f>
        <v>34824.918134903848</v>
      </c>
      <c r="F703">
        <f>_xlfn.XLOOKUP(A703,Energy!A:A,Energy!I:I,0)</f>
        <v>0</v>
      </c>
      <c r="G703">
        <f t="shared" si="41"/>
        <v>34824.918134903848</v>
      </c>
      <c r="H703">
        <f t="shared" si="42"/>
        <v>31670.570658165736</v>
      </c>
      <c r="I703" t="b">
        <f t="shared" si="43"/>
        <v>0</v>
      </c>
    </row>
    <row r="704" spans="1:9">
      <c r="A704" s="1">
        <v>46002.832638888889</v>
      </c>
      <c r="B704" s="5">
        <f>_xlfn.XLOOKUP(A704,Banks!A:A,Banks!H:H,0,-1)</f>
        <v>2329.5276374014488</v>
      </c>
      <c r="C704">
        <f>_xlfn.XLOOKUP(A704,Energy!A:A,Energy!H:H,0,-1)</f>
        <v>784.14396431027399</v>
      </c>
      <c r="D704">
        <f t="shared" si="40"/>
        <v>3113.6716017117228</v>
      </c>
      <c r="E704">
        <f>_xlfn.XLOOKUP(A704,Banks!A:A,Banks!I:I,0)</f>
        <v>34831.465900157367</v>
      </c>
      <c r="F704">
        <f>_xlfn.XLOOKUP(A704,Energy!A:A,Energy!I:I,0)</f>
        <v>0</v>
      </c>
      <c r="G704">
        <f t="shared" si="41"/>
        <v>34831.465900157367</v>
      </c>
      <c r="H704">
        <f t="shared" si="42"/>
        <v>31717.794298445646</v>
      </c>
      <c r="I704" t="b">
        <f t="shared" si="43"/>
        <v>0</v>
      </c>
    </row>
    <row r="705" spans="1:9">
      <c r="A705" s="1">
        <v>46002.833333333343</v>
      </c>
      <c r="B705" s="5">
        <f>_xlfn.XLOOKUP(A705,Banks!A:A,Banks!H:H,0,-1)</f>
        <v>2360.28520120446</v>
      </c>
      <c r="C705">
        <f>_xlfn.XLOOKUP(A705,Energy!A:A,Energy!H:H,0,-1)</f>
        <v>784.14396431027399</v>
      </c>
      <c r="D705">
        <f t="shared" si="40"/>
        <v>3144.429165514734</v>
      </c>
      <c r="E705">
        <f>_xlfn.XLOOKUP(A705,Banks!A:A,Banks!I:I,0)</f>
        <v>34852.300353176754</v>
      </c>
      <c r="F705">
        <f>_xlfn.XLOOKUP(A705,Energy!A:A,Energy!I:I,0)</f>
        <v>0</v>
      </c>
      <c r="G705">
        <f t="shared" si="41"/>
        <v>34852.300353176754</v>
      </c>
      <c r="H705">
        <f t="shared" si="42"/>
        <v>31707.871187662018</v>
      </c>
      <c r="I705" t="b">
        <f t="shared" si="43"/>
        <v>0</v>
      </c>
    </row>
    <row r="706" spans="1:9">
      <c r="A706" s="1">
        <v>46002.834027777782</v>
      </c>
      <c r="B706" s="5">
        <f>_xlfn.XLOOKUP(A706,Banks!A:A,Banks!H:H,0,-1)</f>
        <v>2389.553818433908</v>
      </c>
      <c r="C706">
        <f>_xlfn.XLOOKUP(A706,Energy!A:A,Energy!H:H,0,-1)</f>
        <v>784.14396431027399</v>
      </c>
      <c r="D706">
        <f t="shared" si="40"/>
        <v>3173.6977827441819</v>
      </c>
      <c r="E706">
        <f>_xlfn.XLOOKUP(A706,Banks!A:A,Banks!I:I,0)</f>
        <v>34865.495546752041</v>
      </c>
      <c r="F706">
        <f>_xlfn.XLOOKUP(A706,Energy!A:A,Energy!I:I,0)</f>
        <v>0</v>
      </c>
      <c r="G706">
        <f t="shared" si="41"/>
        <v>34865.495546752041</v>
      </c>
      <c r="H706">
        <f t="shared" si="42"/>
        <v>31691.797764007861</v>
      </c>
      <c r="I706" t="b">
        <f t="shared" si="43"/>
        <v>0</v>
      </c>
    </row>
    <row r="707" spans="1:9">
      <c r="A707" s="1">
        <v>46002.834722222222</v>
      </c>
      <c r="B707" s="5">
        <f>_xlfn.XLOOKUP(A707,Banks!A:A,Banks!H:H,0,-1)</f>
        <v>2325.8082706926862</v>
      </c>
      <c r="C707">
        <f>_xlfn.XLOOKUP(A707,Energy!A:A,Energy!H:H,0,-1)</f>
        <v>784.14396431027399</v>
      </c>
      <c r="D707">
        <f t="shared" ref="D707:D770" si="44">B707+C707</f>
        <v>3109.9522350029602</v>
      </c>
      <c r="E707">
        <f>_xlfn.XLOOKUP(A707,Banks!A:A,Banks!I:I,0)</f>
        <v>34841.734232009701</v>
      </c>
      <c r="F707">
        <f>_xlfn.XLOOKUP(A707,Energy!A:A,Energy!I:I,0)</f>
        <v>0</v>
      </c>
      <c r="G707">
        <f t="shared" ref="G707:G770" si="45">F707+E707</f>
        <v>34841.734232009701</v>
      </c>
      <c r="H707">
        <f t="shared" ref="H707:H770" si="46">G707-D707</f>
        <v>31731.781997006743</v>
      </c>
      <c r="I707" t="b">
        <f t="shared" ref="I707:I770" si="47">AND(E707&gt;0,F707&gt;0)</f>
        <v>0</v>
      </c>
    </row>
    <row r="708" spans="1:9">
      <c r="A708" s="1">
        <v>46002.835416666669</v>
      </c>
      <c r="B708" s="5">
        <f>_xlfn.XLOOKUP(A708,Banks!A:A,Banks!H:H,0,-1)</f>
        <v>2324.3193241191211</v>
      </c>
      <c r="C708">
        <f>_xlfn.XLOOKUP(A708,Energy!A:A,Energy!H:H,0,-1)</f>
        <v>784.14396431027399</v>
      </c>
      <c r="D708">
        <f t="shared" si="44"/>
        <v>3108.4632884293951</v>
      </c>
      <c r="E708">
        <f>_xlfn.XLOOKUP(A708,Banks!A:A,Banks!I:I,0)</f>
        <v>34834.094972565603</v>
      </c>
      <c r="F708">
        <f>_xlfn.XLOOKUP(A708,Energy!A:A,Energy!I:I,0)</f>
        <v>0</v>
      </c>
      <c r="G708">
        <f t="shared" si="45"/>
        <v>34834.094972565603</v>
      </c>
      <c r="H708">
        <f t="shared" si="46"/>
        <v>31725.631684136206</v>
      </c>
      <c r="I708" t="b">
        <f t="shared" si="47"/>
        <v>0</v>
      </c>
    </row>
    <row r="709" spans="1:9">
      <c r="A709" s="1">
        <v>46002.836111111108</v>
      </c>
      <c r="B709" s="5">
        <f>_xlfn.XLOOKUP(A709,Banks!A:A,Banks!H:H,0,-1)</f>
        <v>2319.1110108367939</v>
      </c>
      <c r="C709">
        <f>_xlfn.XLOOKUP(A709,Energy!A:A,Energy!H:H,0,-1)</f>
        <v>784.14396431027399</v>
      </c>
      <c r="D709">
        <f t="shared" si="44"/>
        <v>3103.2549751470679</v>
      </c>
      <c r="E709">
        <f>_xlfn.XLOOKUP(A709,Banks!A:A,Banks!I:I,0)</f>
        <v>34836.724044973816</v>
      </c>
      <c r="F709">
        <f>_xlfn.XLOOKUP(A709,Energy!A:A,Energy!I:I,0)</f>
        <v>0</v>
      </c>
      <c r="G709">
        <f t="shared" si="45"/>
        <v>34836.724044973816</v>
      </c>
      <c r="H709">
        <f t="shared" si="46"/>
        <v>31733.469069826748</v>
      </c>
      <c r="I709" t="b">
        <f t="shared" si="47"/>
        <v>0</v>
      </c>
    </row>
    <row r="710" spans="1:9">
      <c r="A710" s="1">
        <v>46002.836805555547</v>
      </c>
      <c r="B710" s="5">
        <f>_xlfn.XLOOKUP(A710,Banks!A:A,Banks!H:H,0,-1)</f>
        <v>2346.3923661513759</v>
      </c>
      <c r="C710">
        <f>_xlfn.XLOOKUP(A710,Energy!A:A,Energy!H:H,0,-1)</f>
        <v>784.14396431027399</v>
      </c>
      <c r="D710">
        <f t="shared" si="44"/>
        <v>3130.5363304616499</v>
      </c>
      <c r="E710">
        <f>_xlfn.XLOOKUP(A710,Banks!A:A,Banks!I:I,0)</f>
        <v>34820.155905648557</v>
      </c>
      <c r="F710">
        <f>_xlfn.XLOOKUP(A710,Energy!A:A,Energy!I:I,0)</f>
        <v>0</v>
      </c>
      <c r="G710">
        <f t="shared" si="45"/>
        <v>34820.155905648557</v>
      </c>
      <c r="H710">
        <f t="shared" si="46"/>
        <v>31689.619575186905</v>
      </c>
      <c r="I710" t="b">
        <f t="shared" si="47"/>
        <v>0</v>
      </c>
    </row>
    <row r="711" spans="1:9">
      <c r="A711" s="1">
        <v>46002.837500000001</v>
      </c>
      <c r="B711" s="5">
        <f>_xlfn.XLOOKUP(A711,Banks!A:A,Banks!H:H,0,-1)</f>
        <v>2331.758057536646</v>
      </c>
      <c r="C711">
        <f>_xlfn.XLOOKUP(A711,Energy!A:A,Energy!H:H,0,-1)</f>
        <v>784.14396431027399</v>
      </c>
      <c r="D711">
        <f t="shared" si="44"/>
        <v>3115.90202184692</v>
      </c>
      <c r="E711">
        <f>_xlfn.XLOOKUP(A711,Banks!A:A,Banks!I:I,0)</f>
        <v>34813.55830886092</v>
      </c>
      <c r="F711">
        <f>_xlfn.XLOOKUP(A711,Energy!A:A,Energy!I:I,0)</f>
        <v>0</v>
      </c>
      <c r="G711">
        <f t="shared" si="45"/>
        <v>34813.55830886092</v>
      </c>
      <c r="H711">
        <f t="shared" si="46"/>
        <v>31697.656287014001</v>
      </c>
      <c r="I711" t="b">
        <f t="shared" si="47"/>
        <v>0</v>
      </c>
    </row>
    <row r="712" spans="1:9">
      <c r="A712" s="1">
        <v>46002.838194444441</v>
      </c>
      <c r="B712" s="5">
        <f>_xlfn.XLOOKUP(A712,Banks!A:A,Banks!H:H,0,-1)</f>
        <v>2266.0312473308832</v>
      </c>
      <c r="C712">
        <f>_xlfn.XLOOKUP(A712,Energy!A:A,Energy!H:H,0,-1)</f>
        <v>784.14396431027399</v>
      </c>
      <c r="D712">
        <f t="shared" si="44"/>
        <v>3050.1752116411571</v>
      </c>
      <c r="E712">
        <f>_xlfn.XLOOKUP(A712,Banks!A:A,Banks!I:I,0)</f>
        <v>34818.766622143252</v>
      </c>
      <c r="F712">
        <f>_xlfn.XLOOKUP(A712,Energy!A:A,Energy!I:I,0)</f>
        <v>0</v>
      </c>
      <c r="G712">
        <f t="shared" si="45"/>
        <v>34818.766622143252</v>
      </c>
      <c r="H712">
        <f t="shared" si="46"/>
        <v>31768.591410502093</v>
      </c>
      <c r="I712" t="b">
        <f t="shared" si="47"/>
        <v>0</v>
      </c>
    </row>
    <row r="713" spans="1:9">
      <c r="A713" s="1">
        <v>46002.838888888888</v>
      </c>
      <c r="B713" s="5">
        <f>_xlfn.XLOOKUP(A713,Banks!A:A,Banks!H:H,0,-1)</f>
        <v>2250.1571498132439</v>
      </c>
      <c r="C713">
        <f>_xlfn.XLOOKUP(A713,Energy!A:A,Energy!H:H,0,-1)</f>
        <v>784.14396431027399</v>
      </c>
      <c r="D713">
        <f t="shared" si="44"/>
        <v>3034.3011141235179</v>
      </c>
      <c r="E713">
        <f>_xlfn.XLOOKUP(A713,Banks!A:A,Banks!I:I,0)</f>
        <v>34815.591802639727</v>
      </c>
      <c r="F713">
        <f>_xlfn.XLOOKUP(A713,Energy!A:A,Energy!I:I,0)</f>
        <v>0</v>
      </c>
      <c r="G713">
        <f t="shared" si="45"/>
        <v>34815.591802639727</v>
      </c>
      <c r="H713">
        <f t="shared" si="46"/>
        <v>31781.290688516208</v>
      </c>
      <c r="I713" t="b">
        <f t="shared" si="47"/>
        <v>0</v>
      </c>
    </row>
    <row r="714" spans="1:9">
      <c r="A714" s="1">
        <v>46002.839583333327</v>
      </c>
      <c r="B714" s="5">
        <f>_xlfn.XLOOKUP(A714,Banks!A:A,Banks!H:H,0,-1)</f>
        <v>2295.0507068896859</v>
      </c>
      <c r="C714">
        <f>_xlfn.XLOOKUP(A714,Energy!A:A,Energy!H:H,0,-1)</f>
        <v>784.14396431027399</v>
      </c>
      <c r="D714">
        <f t="shared" si="44"/>
        <v>3079.1946711999599</v>
      </c>
      <c r="E714">
        <f>_xlfn.XLOOKUP(A714,Banks!A:A,Banks!I:I,0)</f>
        <v>34820.899778990308</v>
      </c>
      <c r="F714">
        <f>_xlfn.XLOOKUP(A714,Energy!A:A,Energy!I:I,0)</f>
        <v>0</v>
      </c>
      <c r="G714">
        <f t="shared" si="45"/>
        <v>34820.899778990308</v>
      </c>
      <c r="H714">
        <f t="shared" si="46"/>
        <v>31741.705107790349</v>
      </c>
      <c r="I714" t="b">
        <f t="shared" si="47"/>
        <v>0</v>
      </c>
    </row>
    <row r="715" spans="1:9">
      <c r="A715" s="1">
        <v>46002.840277777781</v>
      </c>
      <c r="B715" s="5">
        <f>_xlfn.XLOOKUP(A715,Banks!A:A,Banks!H:H,0,-1)</f>
        <v>2274.9589273219849</v>
      </c>
      <c r="C715">
        <f>_xlfn.XLOOKUP(A715,Energy!A:A,Energy!H:H,0,-1)</f>
        <v>784.14396431027399</v>
      </c>
      <c r="D715">
        <f t="shared" si="44"/>
        <v>3059.1028916322589</v>
      </c>
      <c r="E715">
        <f>_xlfn.XLOOKUP(A715,Banks!A:A,Banks!I:I,0)</f>
        <v>34805.869217882682</v>
      </c>
      <c r="F715">
        <f>_xlfn.XLOOKUP(A715,Energy!A:A,Energy!I:I,0)</f>
        <v>0</v>
      </c>
      <c r="G715">
        <f t="shared" si="45"/>
        <v>34805.869217882682</v>
      </c>
      <c r="H715">
        <f t="shared" si="46"/>
        <v>31746.766326250425</v>
      </c>
      <c r="I715" t="b">
        <f t="shared" si="47"/>
        <v>0</v>
      </c>
    </row>
    <row r="716" spans="1:9">
      <c r="A716" s="1">
        <v>46002.84097222222</v>
      </c>
      <c r="B716" s="5">
        <f>_xlfn.XLOOKUP(A716,Banks!A:A,Banks!H:H,0,-1)</f>
        <v>2280.1672406043122</v>
      </c>
      <c r="C716">
        <f>_xlfn.XLOOKUP(A716,Energy!A:A,Energy!H:H,0,-1)</f>
        <v>784.14396431027399</v>
      </c>
      <c r="D716">
        <f t="shared" si="44"/>
        <v>3064.3112049145861</v>
      </c>
      <c r="E716">
        <f>_xlfn.XLOOKUP(A716,Banks!A:A,Banks!I:I,0)</f>
        <v>34803.240145474447</v>
      </c>
      <c r="F716">
        <f>_xlfn.XLOOKUP(A716,Energy!A:A,Energy!I:I,0)</f>
        <v>0</v>
      </c>
      <c r="G716">
        <f t="shared" si="45"/>
        <v>34803.240145474447</v>
      </c>
      <c r="H716">
        <f t="shared" si="46"/>
        <v>31738.928940559861</v>
      </c>
      <c r="I716" t="b">
        <f t="shared" si="47"/>
        <v>0</v>
      </c>
    </row>
    <row r="717" spans="1:9">
      <c r="A717" s="1">
        <v>46002.841666666667</v>
      </c>
      <c r="B717" s="5">
        <f>_xlfn.XLOOKUP(A717,Banks!A:A,Banks!H:H,0,-1)</f>
        <v>2290.5838671689671</v>
      </c>
      <c r="C717">
        <f>_xlfn.XLOOKUP(A717,Energy!A:A,Energy!H:H,0,-1)</f>
        <v>784.14396431027399</v>
      </c>
      <c r="D717">
        <f t="shared" si="44"/>
        <v>3074.7278314792411</v>
      </c>
      <c r="E717">
        <f>_xlfn.XLOOKUP(A717,Banks!A:A,Banks!I:I,0)</f>
        <v>34797.98200065799</v>
      </c>
      <c r="F717">
        <f>_xlfn.XLOOKUP(A717,Energy!A:A,Energy!I:I,0)</f>
        <v>0</v>
      </c>
      <c r="G717">
        <f t="shared" si="45"/>
        <v>34797.98200065799</v>
      </c>
      <c r="H717">
        <f t="shared" si="46"/>
        <v>31723.254169178748</v>
      </c>
      <c r="I717" t="b">
        <f t="shared" si="47"/>
        <v>0</v>
      </c>
    </row>
    <row r="718" spans="1:9">
      <c r="A718" s="1">
        <v>46002.842361111107</v>
      </c>
      <c r="B718" s="5">
        <f>_xlfn.XLOOKUP(A718,Banks!A:A,Banks!H:H,0,-1)</f>
        <v>2317.1237489219288</v>
      </c>
      <c r="C718">
        <f>_xlfn.XLOOKUP(A718,Energy!A:A,Energy!H:H,0,-1)</f>
        <v>784.14396431027399</v>
      </c>
      <c r="D718">
        <f t="shared" si="44"/>
        <v>3101.2677132322028</v>
      </c>
      <c r="E718">
        <f>_xlfn.XLOOKUP(A718,Banks!A:A,Banks!I:I,0)</f>
        <v>34806.960712073284</v>
      </c>
      <c r="F718">
        <f>_xlfn.XLOOKUP(A718,Energy!A:A,Energy!I:I,0)</f>
        <v>0</v>
      </c>
      <c r="G718">
        <f t="shared" si="45"/>
        <v>34806.960712073284</v>
      </c>
      <c r="H718">
        <f t="shared" si="46"/>
        <v>31705.692998841081</v>
      </c>
      <c r="I718" t="b">
        <f t="shared" si="47"/>
        <v>0</v>
      </c>
    </row>
    <row r="719" spans="1:9">
      <c r="A719" s="1">
        <v>46002.843055555553</v>
      </c>
      <c r="B719" s="5">
        <f>_xlfn.XLOOKUP(A719,Banks!A:A,Banks!H:H,0,-1)</f>
        <v>2251.396938716166</v>
      </c>
      <c r="C719">
        <f>_xlfn.XLOOKUP(A719,Energy!A:A,Energy!H:H,0,-1)</f>
        <v>784.14396431027399</v>
      </c>
      <c r="D719">
        <f t="shared" si="44"/>
        <v>3035.54090302644</v>
      </c>
      <c r="E719">
        <f>_xlfn.XLOOKUP(A719,Banks!A:A,Banks!I:I,0)</f>
        <v>34812.169025355608</v>
      </c>
      <c r="F719">
        <f>_xlfn.XLOOKUP(A719,Energy!A:A,Energy!I:I,0)</f>
        <v>0</v>
      </c>
      <c r="G719">
        <f t="shared" si="45"/>
        <v>34812.169025355608</v>
      </c>
      <c r="H719">
        <f t="shared" si="46"/>
        <v>31776.628122329166</v>
      </c>
      <c r="I719" t="b">
        <f t="shared" si="47"/>
        <v>0</v>
      </c>
    </row>
    <row r="720" spans="1:9">
      <c r="A720" s="1">
        <v>46002.84375</v>
      </c>
      <c r="B720" s="5">
        <f>_xlfn.XLOOKUP(A720,Banks!A:A,Banks!H:H,0,-1)</f>
        <v>2263.5516695250421</v>
      </c>
      <c r="C720">
        <f>_xlfn.XLOOKUP(A720,Energy!A:A,Energy!H:H,0,-1)</f>
        <v>784.14396431027399</v>
      </c>
      <c r="D720">
        <f t="shared" si="44"/>
        <v>3047.6956338353161</v>
      </c>
      <c r="E720">
        <f>_xlfn.XLOOKUP(A720,Banks!A:A,Banks!I:I,0)</f>
        <v>34825.612176711467</v>
      </c>
      <c r="F720">
        <f>_xlfn.XLOOKUP(A720,Energy!A:A,Energy!I:I,0)</f>
        <v>0</v>
      </c>
      <c r="G720">
        <f t="shared" si="45"/>
        <v>34825.612176711467</v>
      </c>
      <c r="H720">
        <f t="shared" si="46"/>
        <v>31777.916542876152</v>
      </c>
      <c r="I720" t="b">
        <f t="shared" si="47"/>
        <v>0</v>
      </c>
    </row>
    <row r="721" spans="1:9">
      <c r="A721" s="1">
        <v>46002.844444444447</v>
      </c>
      <c r="B721" s="5">
        <f>_xlfn.XLOOKUP(A721,Banks!A:A,Banks!H:H,0,-1)</f>
        <v>2256.1129361075159</v>
      </c>
      <c r="C721">
        <f>_xlfn.XLOOKUP(A721,Energy!A:A,Energy!H:H,0,-1)</f>
        <v>784.14396431027399</v>
      </c>
      <c r="D721">
        <f t="shared" si="44"/>
        <v>3040.2569004177899</v>
      </c>
      <c r="E721">
        <f>_xlfn.XLOOKUP(A721,Banks!A:A,Banks!I:I,0)</f>
        <v>34846.148840416157</v>
      </c>
      <c r="F721">
        <f>_xlfn.XLOOKUP(A721,Energy!A:A,Energy!I:I,0)</f>
        <v>0</v>
      </c>
      <c r="G721">
        <f t="shared" si="45"/>
        <v>34846.148840416157</v>
      </c>
      <c r="H721">
        <f t="shared" si="46"/>
        <v>31805.891939998368</v>
      </c>
      <c r="I721" t="b">
        <f t="shared" si="47"/>
        <v>0</v>
      </c>
    </row>
    <row r="722" spans="1:9">
      <c r="A722" s="1">
        <v>46002.845138888893</v>
      </c>
      <c r="B722" s="5">
        <f>_xlfn.XLOOKUP(A722,Banks!A:A,Banks!H:H,0,-1)</f>
        <v>2278.435135810415</v>
      </c>
      <c r="C722">
        <f>_xlfn.XLOOKUP(A722,Energy!A:A,Energy!H:H,0,-1)</f>
        <v>784.14396431027399</v>
      </c>
      <c r="D722">
        <f t="shared" si="44"/>
        <v>3062.579100120689</v>
      </c>
      <c r="E722">
        <f>_xlfn.XLOOKUP(A722,Banks!A:A,Banks!I:I,0)</f>
        <v>34843.271810227343</v>
      </c>
      <c r="F722">
        <f>_xlfn.XLOOKUP(A722,Energy!A:A,Energy!I:I,0)</f>
        <v>0</v>
      </c>
      <c r="G722">
        <f t="shared" si="45"/>
        <v>34843.271810227343</v>
      </c>
      <c r="H722">
        <f t="shared" si="46"/>
        <v>31780.692710106654</v>
      </c>
      <c r="I722" t="b">
        <f t="shared" si="47"/>
        <v>0</v>
      </c>
    </row>
    <row r="723" spans="1:9">
      <c r="A723" s="1">
        <v>46002.845833333333</v>
      </c>
      <c r="B723" s="5">
        <f>_xlfn.XLOOKUP(A723,Banks!A:A,Banks!H:H,0,-1)</f>
        <v>2245.4471518722039</v>
      </c>
      <c r="C723">
        <f>_xlfn.XLOOKUP(A723,Energy!A:A,Energy!H:H,0,-1)</f>
        <v>784.14396431027399</v>
      </c>
      <c r="D723">
        <f t="shared" si="44"/>
        <v>3029.5911161824779</v>
      </c>
      <c r="E723">
        <f>_xlfn.XLOOKUP(A723,Banks!A:A,Banks!I:I,0)</f>
        <v>34840.344948504397</v>
      </c>
      <c r="F723">
        <f>_xlfn.XLOOKUP(A723,Energy!A:A,Energy!I:I,0)</f>
        <v>0</v>
      </c>
      <c r="G723">
        <f t="shared" si="45"/>
        <v>34840.344948504397</v>
      </c>
      <c r="H723">
        <f t="shared" si="46"/>
        <v>31810.75383232192</v>
      </c>
      <c r="I723" t="b">
        <f t="shared" si="47"/>
        <v>0</v>
      </c>
    </row>
    <row r="724" spans="1:9">
      <c r="A724" s="1">
        <v>46002.84652777778</v>
      </c>
      <c r="B724" s="5">
        <f>_xlfn.XLOOKUP(A724,Banks!A:A,Banks!H:H,0,-1)</f>
        <v>2258.5925139133578</v>
      </c>
      <c r="C724">
        <f>_xlfn.XLOOKUP(A724,Energy!A:A,Energy!H:H,0,-1)</f>
        <v>784.14396431027399</v>
      </c>
      <c r="D724">
        <f t="shared" si="44"/>
        <v>3042.7364782236318</v>
      </c>
      <c r="E724">
        <f>_xlfn.XLOOKUP(A724,Banks!A:A,Banks!I:I,0)</f>
        <v>34839.303285847927</v>
      </c>
      <c r="F724">
        <f>_xlfn.XLOOKUP(A724,Energy!A:A,Energy!I:I,0)</f>
        <v>0</v>
      </c>
      <c r="G724">
        <f t="shared" si="45"/>
        <v>34839.303285847927</v>
      </c>
      <c r="H724">
        <f t="shared" si="46"/>
        <v>31796.566807624295</v>
      </c>
      <c r="I724" t="b">
        <f t="shared" si="47"/>
        <v>0</v>
      </c>
    </row>
    <row r="725" spans="1:9">
      <c r="A725" s="1">
        <v>46002.847222222219</v>
      </c>
      <c r="B725" s="5">
        <f>_xlfn.XLOOKUP(A725,Banks!A:A,Banks!H:H,0,-1)</f>
        <v>2221.8851632663982</v>
      </c>
      <c r="C725">
        <f>_xlfn.XLOOKUP(A725,Energy!A:A,Energy!H:H,0,-1)</f>
        <v>784.14396431027399</v>
      </c>
      <c r="D725">
        <f t="shared" si="44"/>
        <v>3006.0291275766722</v>
      </c>
      <c r="E725">
        <f>_xlfn.XLOOKUP(A725,Banks!A:A,Banks!I:I,0)</f>
        <v>34846.644755977322</v>
      </c>
      <c r="F725">
        <f>_xlfn.XLOOKUP(A725,Energy!A:A,Energy!I:I,0)</f>
        <v>0</v>
      </c>
      <c r="G725">
        <f t="shared" si="45"/>
        <v>34846.644755977322</v>
      </c>
      <c r="H725">
        <f t="shared" si="46"/>
        <v>31840.61562840065</v>
      </c>
      <c r="I725" t="b">
        <f t="shared" si="47"/>
        <v>0</v>
      </c>
    </row>
    <row r="726" spans="1:9">
      <c r="A726" s="1">
        <v>46002.847916666673</v>
      </c>
      <c r="B726" s="5">
        <f>_xlfn.XLOOKUP(A726,Banks!A:A,Banks!H:H,0,-1)</f>
        <v>2198.074016989935</v>
      </c>
      <c r="C726">
        <f>_xlfn.XLOOKUP(A726,Energy!A:A,Energy!H:H,0,-1)</f>
        <v>784.14396431027399</v>
      </c>
      <c r="D726">
        <f t="shared" si="44"/>
        <v>2982.217981300209</v>
      </c>
      <c r="E726">
        <f>_xlfn.XLOOKUP(A726,Banks!A:A,Banks!I:I,0)</f>
        <v>34841.882526722031</v>
      </c>
      <c r="F726">
        <f>_xlfn.XLOOKUP(A726,Energy!A:A,Energy!I:I,0)</f>
        <v>0</v>
      </c>
      <c r="G726">
        <f t="shared" si="45"/>
        <v>34841.882526722031</v>
      </c>
      <c r="H726">
        <f t="shared" si="46"/>
        <v>31859.664545421823</v>
      </c>
      <c r="I726" t="b">
        <f t="shared" si="47"/>
        <v>0</v>
      </c>
    </row>
    <row r="727" spans="1:9">
      <c r="A727" s="1">
        <v>46002.848611111112</v>
      </c>
      <c r="B727" s="5">
        <f>_xlfn.XLOOKUP(A727,Banks!A:A,Banks!H:H,0,-1)</f>
        <v>2217.6674812163228</v>
      </c>
      <c r="C727">
        <f>_xlfn.XLOOKUP(A727,Energy!A:A,Energy!H:H,0,-1)</f>
        <v>784.14396431027399</v>
      </c>
      <c r="D727">
        <f t="shared" si="44"/>
        <v>3001.8114455265968</v>
      </c>
      <c r="E727">
        <f>_xlfn.XLOOKUP(A727,Banks!A:A,Banks!I:I,0)</f>
        <v>34834.789014373222</v>
      </c>
      <c r="F727">
        <f>_xlfn.XLOOKUP(A727,Energy!A:A,Energy!I:I,0)</f>
        <v>0</v>
      </c>
      <c r="G727">
        <f t="shared" si="45"/>
        <v>34834.789014373222</v>
      </c>
      <c r="H727">
        <f t="shared" si="46"/>
        <v>31832.977568846625</v>
      </c>
      <c r="I727" t="b">
        <f t="shared" si="47"/>
        <v>0</v>
      </c>
    </row>
    <row r="728" spans="1:9">
      <c r="A728" s="1">
        <v>46002.849305555559</v>
      </c>
      <c r="B728" s="5">
        <f>_xlfn.XLOOKUP(A728,Banks!A:A,Banks!H:H,0,-1)</f>
        <v>2236.0211565398158</v>
      </c>
      <c r="C728">
        <f>_xlfn.XLOOKUP(A728,Energy!A:A,Energy!H:H,0,-1)</f>
        <v>784.14396431027399</v>
      </c>
      <c r="D728">
        <f t="shared" si="44"/>
        <v>3020.1651208500898</v>
      </c>
      <c r="E728">
        <f>_xlfn.XLOOKUP(A728,Banks!A:A,Banks!I:I,0)</f>
        <v>34831.118279308517</v>
      </c>
      <c r="F728">
        <f>_xlfn.XLOOKUP(A728,Energy!A:A,Energy!I:I,0)</f>
        <v>0</v>
      </c>
      <c r="G728">
        <f t="shared" si="45"/>
        <v>34831.118279308517</v>
      </c>
      <c r="H728">
        <f t="shared" si="46"/>
        <v>31810.953158458426</v>
      </c>
      <c r="I728" t="b">
        <f t="shared" si="47"/>
        <v>0</v>
      </c>
    </row>
    <row r="729" spans="1:9">
      <c r="A729" s="1">
        <v>46002.85</v>
      </c>
      <c r="B729" s="5">
        <f>_xlfn.XLOOKUP(A729,Banks!A:A,Banks!H:H,0,-1)</f>
        <v>2229.5730543545551</v>
      </c>
      <c r="C729">
        <f>_xlfn.XLOOKUP(A729,Energy!A:A,Energy!H:H,0,-1)</f>
        <v>784.14396431027399</v>
      </c>
      <c r="D729">
        <f t="shared" si="44"/>
        <v>3013.7170186648291</v>
      </c>
      <c r="E729">
        <f>_xlfn.XLOOKUP(A729,Banks!A:A,Banks!I:I,0)</f>
        <v>34837.170129000857</v>
      </c>
      <c r="F729">
        <f>_xlfn.XLOOKUP(A729,Energy!A:A,Energy!I:I,0)</f>
        <v>0</v>
      </c>
      <c r="G729">
        <f t="shared" si="45"/>
        <v>34837.170129000857</v>
      </c>
      <c r="H729">
        <f t="shared" si="46"/>
        <v>31823.453110336028</v>
      </c>
      <c r="I729" t="b">
        <f t="shared" si="47"/>
        <v>0</v>
      </c>
    </row>
    <row r="730" spans="1:9">
      <c r="A730" s="1">
        <v>46002.850694444453</v>
      </c>
      <c r="B730" s="5">
        <f>_xlfn.XLOOKUP(A730,Banks!A:A,Banks!H:H,0,-1)</f>
        <v>2185.9192861810461</v>
      </c>
      <c r="C730">
        <f>_xlfn.XLOOKUP(A730,Energy!A:A,Energy!H:H,0,-1)</f>
        <v>784.14396431027399</v>
      </c>
      <c r="D730">
        <f t="shared" si="44"/>
        <v>2970.0632504913201</v>
      </c>
      <c r="E730">
        <f>_xlfn.XLOOKUP(A730,Banks!A:A,Banks!I:I,0)</f>
        <v>34828.439375366157</v>
      </c>
      <c r="F730">
        <f>_xlfn.XLOOKUP(A730,Energy!A:A,Energy!I:I,0)</f>
        <v>0</v>
      </c>
      <c r="G730">
        <f t="shared" si="45"/>
        <v>34828.439375366157</v>
      </c>
      <c r="H730">
        <f t="shared" si="46"/>
        <v>31858.376124874838</v>
      </c>
      <c r="I730" t="b">
        <f t="shared" si="47"/>
        <v>0</v>
      </c>
    </row>
    <row r="731" spans="1:9">
      <c r="A731" s="1">
        <v>46002.851388888892</v>
      </c>
      <c r="B731" s="5">
        <f>_xlfn.XLOOKUP(A731,Banks!A:A,Banks!H:H,0,-1)</f>
        <v>2181.9507618016391</v>
      </c>
      <c r="C731">
        <f>_xlfn.XLOOKUP(A731,Energy!A:A,Energy!H:H,0,-1)</f>
        <v>784.14396431027399</v>
      </c>
      <c r="D731">
        <f t="shared" si="44"/>
        <v>2966.0947261119131</v>
      </c>
      <c r="E731">
        <f>_xlfn.XLOOKUP(A731,Banks!A:A,Banks!I:I,0)</f>
        <v>34827.645670490281</v>
      </c>
      <c r="F731">
        <f>_xlfn.XLOOKUP(A731,Energy!A:A,Energy!I:I,0)</f>
        <v>0</v>
      </c>
      <c r="G731">
        <f t="shared" si="45"/>
        <v>34827.645670490281</v>
      </c>
      <c r="H731">
        <f t="shared" si="46"/>
        <v>31861.550944378367</v>
      </c>
      <c r="I731" t="b">
        <f t="shared" si="47"/>
        <v>0</v>
      </c>
    </row>
    <row r="732" spans="1:9">
      <c r="A732" s="1">
        <v>46002.852083333331</v>
      </c>
      <c r="B732" s="5">
        <f>_xlfn.XLOOKUP(A732,Banks!A:A,Banks!H:H,0,-1)</f>
        <v>2193.856334939871</v>
      </c>
      <c r="C732">
        <f>_xlfn.XLOOKUP(A732,Energy!A:A,Energy!H:H,0,-1)</f>
        <v>784.14396431027399</v>
      </c>
      <c r="D732">
        <f t="shared" si="44"/>
        <v>2978.000299250145</v>
      </c>
      <c r="E732">
        <f>_xlfn.XLOOKUP(A732,Banks!A:A,Banks!I:I,0)</f>
        <v>34830.026785117923</v>
      </c>
      <c r="F732">
        <f>_xlfn.XLOOKUP(A732,Energy!A:A,Energy!I:I,0)</f>
        <v>0</v>
      </c>
      <c r="G732">
        <f t="shared" si="45"/>
        <v>34830.026785117923</v>
      </c>
      <c r="H732">
        <f t="shared" si="46"/>
        <v>31852.026485867777</v>
      </c>
      <c r="I732" t="b">
        <f t="shared" si="47"/>
        <v>0</v>
      </c>
    </row>
    <row r="733" spans="1:9">
      <c r="A733" s="1">
        <v>46002.852777777778</v>
      </c>
      <c r="B733" s="5">
        <f>_xlfn.XLOOKUP(A733,Banks!A:A,Banks!H:H,0,-1)</f>
        <v>2163.5970864781589</v>
      </c>
      <c r="C733">
        <f>_xlfn.XLOOKUP(A733,Energy!A:A,Energy!H:H,0,-1)</f>
        <v>784.14396431027399</v>
      </c>
      <c r="D733">
        <f t="shared" si="44"/>
        <v>2947.7410507884329</v>
      </c>
      <c r="E733">
        <f>_xlfn.XLOOKUP(A733,Banks!A:A,Banks!I:I,0)</f>
        <v>34831.316405554979</v>
      </c>
      <c r="F733">
        <f>_xlfn.XLOOKUP(A733,Energy!A:A,Energy!I:I,0)</f>
        <v>0</v>
      </c>
      <c r="G733">
        <f t="shared" si="45"/>
        <v>34831.316405554979</v>
      </c>
      <c r="H733">
        <f t="shared" si="46"/>
        <v>31883.575354766544</v>
      </c>
      <c r="I733" t="b">
        <f t="shared" si="47"/>
        <v>0</v>
      </c>
    </row>
    <row r="734" spans="1:9">
      <c r="A734" s="1">
        <v>46002.853472222218</v>
      </c>
      <c r="B734" s="5">
        <f>_xlfn.XLOOKUP(A734,Banks!A:A,Banks!H:H,0,-1)</f>
        <v>2125.4007892576219</v>
      </c>
      <c r="C734">
        <f>_xlfn.XLOOKUP(A734,Energy!A:A,Energy!H:H,0,-1)</f>
        <v>784.14396431027399</v>
      </c>
      <c r="D734">
        <f t="shared" si="44"/>
        <v>2909.5447535678959</v>
      </c>
      <c r="E734">
        <f>_xlfn.XLOOKUP(A734,Banks!A:A,Banks!I:I,0)</f>
        <v>34831.018616240261</v>
      </c>
      <c r="F734">
        <f>_xlfn.XLOOKUP(A734,Energy!A:A,Energy!I:I,0)</f>
        <v>0</v>
      </c>
      <c r="G734">
        <f t="shared" si="45"/>
        <v>34831.018616240261</v>
      </c>
      <c r="H734">
        <f t="shared" si="46"/>
        <v>31921.473862672363</v>
      </c>
      <c r="I734" t="b">
        <f t="shared" si="47"/>
        <v>0</v>
      </c>
    </row>
    <row r="735" spans="1:9">
      <c r="A735" s="1">
        <v>46002.854166666657</v>
      </c>
      <c r="B735" s="5">
        <f>_xlfn.XLOOKUP(A735,Banks!A:A,Banks!H:H,0,-1)</f>
        <v>2162.6064552458829</v>
      </c>
      <c r="C735">
        <f>_xlfn.XLOOKUP(A735,Energy!A:A,Energy!H:H,0,-1)</f>
        <v>784.14396431027399</v>
      </c>
      <c r="D735">
        <f t="shared" si="44"/>
        <v>2946.7504195561569</v>
      </c>
      <c r="E735">
        <f>_xlfn.XLOOKUP(A735,Banks!A:A,Banks!I:I,0)</f>
        <v>34845.801219567307</v>
      </c>
      <c r="F735">
        <f>_xlfn.XLOOKUP(A735,Energy!A:A,Energy!I:I,0)</f>
        <v>0</v>
      </c>
      <c r="G735">
        <f t="shared" si="45"/>
        <v>34845.801219567307</v>
      </c>
      <c r="H735">
        <f t="shared" si="46"/>
        <v>31899.050800011151</v>
      </c>
      <c r="I735" t="b">
        <f t="shared" si="47"/>
        <v>0</v>
      </c>
    </row>
    <row r="736" spans="1:9">
      <c r="A736" s="1">
        <v>46002.854861111111</v>
      </c>
      <c r="B736" s="5">
        <f>_xlfn.XLOOKUP(A736,Banks!A:A,Banks!H:H,0,-1)</f>
        <v>2191.8750724753172</v>
      </c>
      <c r="C736">
        <f>_xlfn.XLOOKUP(A736,Energy!A:A,Energy!H:H,0,-1)</f>
        <v>784.14396431027399</v>
      </c>
      <c r="D736">
        <f t="shared" si="44"/>
        <v>2976.0190367855912</v>
      </c>
      <c r="E736">
        <f>_xlfn.XLOOKUP(A736,Banks!A:A,Banks!I:I,0)</f>
        <v>34858.996413142588</v>
      </c>
      <c r="F736">
        <f>_xlfn.XLOOKUP(A736,Energy!A:A,Energy!I:I,0)</f>
        <v>0</v>
      </c>
      <c r="G736">
        <f t="shared" si="45"/>
        <v>34858.996413142588</v>
      </c>
      <c r="H736">
        <f t="shared" si="46"/>
        <v>31882.977376356997</v>
      </c>
      <c r="I736" t="b">
        <f t="shared" si="47"/>
        <v>0</v>
      </c>
    </row>
    <row r="737" spans="1:9">
      <c r="A737" s="1">
        <v>46002.855555555558</v>
      </c>
      <c r="B737" s="5">
        <f>_xlfn.XLOOKUP(A737,Banks!A:A,Banks!H:H,0,-1)</f>
        <v>2189.1463369988319</v>
      </c>
      <c r="C737">
        <f>_xlfn.XLOOKUP(A737,Energy!A:A,Energy!H:H,0,-1)</f>
        <v>784.14396431027399</v>
      </c>
      <c r="D737">
        <f t="shared" si="44"/>
        <v>2973.2903013091059</v>
      </c>
      <c r="E737">
        <f>_xlfn.XLOOKUP(A737,Banks!A:A,Banks!I:I,0)</f>
        <v>34854.779930982593</v>
      </c>
      <c r="F737">
        <f>_xlfn.XLOOKUP(A737,Energy!A:A,Energy!I:I,0)</f>
        <v>0</v>
      </c>
      <c r="G737">
        <f t="shared" si="45"/>
        <v>34854.779930982593</v>
      </c>
      <c r="H737">
        <f t="shared" si="46"/>
        <v>31881.489629673488</v>
      </c>
      <c r="I737" t="b">
        <f t="shared" si="47"/>
        <v>0</v>
      </c>
    </row>
    <row r="738" spans="1:9">
      <c r="A738" s="1">
        <v>46002.856249999997</v>
      </c>
      <c r="B738" s="5">
        <f>_xlfn.XLOOKUP(A738,Banks!A:A,Banks!H:H,0,-1)</f>
        <v>2176.0009749576789</v>
      </c>
      <c r="C738">
        <f>_xlfn.XLOOKUP(A738,Energy!A:A,Energy!H:H,0,-1)</f>
        <v>784.14396431027399</v>
      </c>
      <c r="D738">
        <f t="shared" si="44"/>
        <v>2960.1449392679529</v>
      </c>
      <c r="E738">
        <f>_xlfn.XLOOKUP(A738,Banks!A:A,Banks!I:I,0)</f>
        <v>34855.821593639062</v>
      </c>
      <c r="F738">
        <f>_xlfn.XLOOKUP(A738,Energy!A:A,Energy!I:I,0)</f>
        <v>0</v>
      </c>
      <c r="G738">
        <f t="shared" si="45"/>
        <v>34855.821593639062</v>
      </c>
      <c r="H738">
        <f t="shared" si="46"/>
        <v>31895.676654371109</v>
      </c>
      <c r="I738" t="b">
        <f t="shared" si="47"/>
        <v>0</v>
      </c>
    </row>
    <row r="739" spans="1:9">
      <c r="A739" s="1">
        <v>46002.856944444437</v>
      </c>
      <c r="B739" s="5">
        <f>_xlfn.XLOOKUP(A739,Banks!A:A,Banks!H:H,0,-1)</f>
        <v>2181.2092882400179</v>
      </c>
      <c r="C739">
        <f>_xlfn.XLOOKUP(A739,Energy!A:A,Energy!H:H,0,-1)</f>
        <v>784.14396431027399</v>
      </c>
      <c r="D739">
        <f t="shared" si="44"/>
        <v>2965.3532525502919</v>
      </c>
      <c r="E739">
        <f>_xlfn.XLOOKUP(A739,Banks!A:A,Banks!I:I,0)</f>
        <v>34853.192521230827</v>
      </c>
      <c r="F739">
        <f>_xlfn.XLOOKUP(A739,Energy!A:A,Energy!I:I,0)</f>
        <v>0</v>
      </c>
      <c r="G739">
        <f t="shared" si="45"/>
        <v>34853.192521230827</v>
      </c>
      <c r="H739">
        <f t="shared" si="46"/>
        <v>31887.839268680535</v>
      </c>
      <c r="I739" t="b">
        <f t="shared" si="47"/>
        <v>0</v>
      </c>
    </row>
    <row r="740" spans="1:9">
      <c r="A740" s="1">
        <v>46002.857638888891</v>
      </c>
      <c r="B740" s="5">
        <f>_xlfn.XLOOKUP(A740,Banks!A:A,Banks!H:H,0,-1)</f>
        <v>2157.14898429291</v>
      </c>
      <c r="C740">
        <f>_xlfn.XLOOKUP(A740,Energy!A:A,Energy!H:H,0,-1)</f>
        <v>784.14396431027399</v>
      </c>
      <c r="D740">
        <f t="shared" si="44"/>
        <v>2941.292948603184</v>
      </c>
      <c r="E740">
        <f>_xlfn.XLOOKUP(A740,Banks!A:A,Banks!I:I,0)</f>
        <v>34837.368255247318</v>
      </c>
      <c r="F740">
        <f>_xlfn.XLOOKUP(A740,Energy!A:A,Energy!I:I,0)</f>
        <v>0</v>
      </c>
      <c r="G740">
        <f t="shared" si="45"/>
        <v>34837.368255247318</v>
      </c>
      <c r="H740">
        <f t="shared" si="46"/>
        <v>31896.075306644136</v>
      </c>
      <c r="I740" t="b">
        <f t="shared" si="47"/>
        <v>0</v>
      </c>
    </row>
    <row r="741" spans="1:9">
      <c r="A741" s="1">
        <v>46002.85833333333</v>
      </c>
      <c r="B741" s="5">
        <f>_xlfn.XLOOKUP(A741,Banks!A:A,Banks!H:H,0,-1)</f>
        <v>2121.1831072075602</v>
      </c>
      <c r="C741">
        <f>_xlfn.XLOOKUP(A741,Energy!A:A,Energy!H:H,0,-1)</f>
        <v>784.14396431027399</v>
      </c>
      <c r="D741">
        <f t="shared" si="44"/>
        <v>2905.3270715178342</v>
      </c>
      <c r="E741">
        <f>_xlfn.XLOOKUP(A741,Banks!A:A,Banks!I:I,0)</f>
        <v>34819.16287463616</v>
      </c>
      <c r="F741">
        <f>_xlfn.XLOOKUP(A741,Energy!A:A,Energy!I:I,0)</f>
        <v>0</v>
      </c>
      <c r="G741">
        <f t="shared" si="45"/>
        <v>34819.16287463616</v>
      </c>
      <c r="H741">
        <f t="shared" si="46"/>
        <v>31913.835803118327</v>
      </c>
      <c r="I741" t="b">
        <f t="shared" si="47"/>
        <v>0</v>
      </c>
    </row>
    <row r="742" spans="1:9">
      <c r="A742" s="1">
        <v>46002.859027777777</v>
      </c>
      <c r="B742" s="5">
        <f>_xlfn.XLOOKUP(A742,Banks!A:A,Banks!H:H,0,-1)</f>
        <v>2093.40343655169</v>
      </c>
      <c r="C742">
        <f>_xlfn.XLOOKUP(A742,Energy!A:A,Energy!H:H,0,-1)</f>
        <v>784.14396431027399</v>
      </c>
      <c r="D742">
        <f t="shared" si="44"/>
        <v>2877.547400861964</v>
      </c>
      <c r="E742">
        <f>_xlfn.XLOOKUP(A742,Banks!A:A,Banks!I:I,0)</f>
        <v>34813.606940504993</v>
      </c>
      <c r="F742">
        <f>_xlfn.XLOOKUP(A742,Energy!A:A,Energy!I:I,0)</f>
        <v>0</v>
      </c>
      <c r="G742">
        <f t="shared" si="45"/>
        <v>34813.606940504993</v>
      </c>
      <c r="H742">
        <f t="shared" si="46"/>
        <v>31936.059539643029</v>
      </c>
      <c r="I742" t="b">
        <f t="shared" si="47"/>
        <v>0</v>
      </c>
    </row>
    <row r="743" spans="1:9">
      <c r="A743" s="1">
        <v>46002.859722222223</v>
      </c>
      <c r="B743" s="5">
        <f>_xlfn.XLOOKUP(A743,Banks!A:A,Banks!H:H,0,-1)</f>
        <v>2077.778496704695</v>
      </c>
      <c r="C743">
        <f>_xlfn.XLOOKUP(A743,Energy!A:A,Energy!H:H,0,-1)</f>
        <v>784.14396431027399</v>
      </c>
      <c r="D743">
        <f t="shared" si="44"/>
        <v>2861.922461014969</v>
      </c>
      <c r="E743">
        <f>_xlfn.XLOOKUP(A743,Banks!A:A,Banks!I:I,0)</f>
        <v>34821.494157729678</v>
      </c>
      <c r="F743">
        <f>_xlfn.XLOOKUP(A743,Energy!A:A,Energy!I:I,0)</f>
        <v>0</v>
      </c>
      <c r="G743">
        <f t="shared" si="45"/>
        <v>34821.494157729678</v>
      </c>
      <c r="H743">
        <f t="shared" si="46"/>
        <v>31959.571696714709</v>
      </c>
      <c r="I743" t="b">
        <f t="shared" si="47"/>
        <v>0</v>
      </c>
    </row>
    <row r="744" spans="1:9">
      <c r="A744" s="1">
        <v>46002.86041666667</v>
      </c>
      <c r="B744" s="5">
        <f>_xlfn.XLOOKUP(A744,Banks!A:A,Banks!H:H,0,-1)</f>
        <v>2102.8294318840799</v>
      </c>
      <c r="C744">
        <f>_xlfn.XLOOKUP(A744,Energy!A:A,Energy!H:H,0,-1)</f>
        <v>784.14396431027399</v>
      </c>
      <c r="D744">
        <f t="shared" si="44"/>
        <v>2886.9733961943539</v>
      </c>
      <c r="E744">
        <f>_xlfn.XLOOKUP(A744,Banks!A:A,Banks!I:I,0)</f>
        <v>34822.833609700858</v>
      </c>
      <c r="F744">
        <f>_xlfn.XLOOKUP(A744,Energy!A:A,Energy!I:I,0)</f>
        <v>0</v>
      </c>
      <c r="G744">
        <f t="shared" si="45"/>
        <v>34822.833609700858</v>
      </c>
      <c r="H744">
        <f t="shared" si="46"/>
        <v>31935.860213506505</v>
      </c>
      <c r="I744" t="b">
        <f t="shared" si="47"/>
        <v>0</v>
      </c>
    </row>
    <row r="745" spans="1:9">
      <c r="A745" s="1">
        <v>46002.861111111109</v>
      </c>
      <c r="B745" s="5">
        <f>_xlfn.XLOOKUP(A745,Banks!A:A,Banks!H:H,0,-1)</f>
        <v>2058.185032478294</v>
      </c>
      <c r="C745">
        <f>_xlfn.XLOOKUP(A745,Energy!A:A,Energy!H:H,0,-1)</f>
        <v>784.14396431027399</v>
      </c>
      <c r="D745">
        <f t="shared" si="44"/>
        <v>2842.328996788568</v>
      </c>
      <c r="E745">
        <f>_xlfn.XLOOKUP(A745,Banks!A:A,Banks!I:I,0)</f>
        <v>34828.587670078487</v>
      </c>
      <c r="F745">
        <f>_xlfn.XLOOKUP(A745,Energy!A:A,Energy!I:I,0)</f>
        <v>0</v>
      </c>
      <c r="G745">
        <f t="shared" si="45"/>
        <v>34828.587670078487</v>
      </c>
      <c r="H745">
        <f t="shared" si="46"/>
        <v>31986.258673289918</v>
      </c>
      <c r="I745" t="b">
        <f t="shared" si="47"/>
        <v>0</v>
      </c>
    </row>
    <row r="746" spans="1:9">
      <c r="A746" s="1">
        <v>46002.861805555563</v>
      </c>
      <c r="B746" s="5">
        <f>_xlfn.XLOOKUP(A746,Banks!A:A,Banks!H:H,0,-1)</f>
        <v>2035.8628327753961</v>
      </c>
      <c r="C746">
        <f>_xlfn.XLOOKUP(A746,Energy!A:A,Energy!H:H,0,-1)</f>
        <v>784.14396431027399</v>
      </c>
      <c r="D746">
        <f t="shared" si="44"/>
        <v>2820.0067970856699</v>
      </c>
      <c r="E746">
        <f>_xlfn.XLOOKUP(A746,Banks!A:A,Banks!I:I,0)</f>
        <v>34831.464700267301</v>
      </c>
      <c r="F746">
        <f>_xlfn.XLOOKUP(A746,Energy!A:A,Energy!I:I,0)</f>
        <v>0</v>
      </c>
      <c r="G746">
        <f t="shared" si="45"/>
        <v>34831.464700267301</v>
      </c>
      <c r="H746">
        <f t="shared" si="46"/>
        <v>32011.457903181632</v>
      </c>
      <c r="I746" t="b">
        <f t="shared" si="47"/>
        <v>0</v>
      </c>
    </row>
    <row r="747" spans="1:9">
      <c r="A747" s="1">
        <v>46002.862500000003</v>
      </c>
      <c r="B747" s="5">
        <f>_xlfn.XLOOKUP(A747,Banks!A:A,Banks!H:H,0,-1)</f>
        <v>2012.0516864989429</v>
      </c>
      <c r="C747">
        <f>_xlfn.XLOOKUP(A747,Energy!A:A,Energy!H:H,0,-1)</f>
        <v>784.14396431027399</v>
      </c>
      <c r="D747">
        <f t="shared" si="44"/>
        <v>2796.1956508092171</v>
      </c>
      <c r="E747">
        <f>_xlfn.XLOOKUP(A747,Banks!A:A,Banks!I:I,0)</f>
        <v>34826.702471012009</v>
      </c>
      <c r="F747">
        <f>_xlfn.XLOOKUP(A747,Energy!A:A,Energy!I:I,0)</f>
        <v>0</v>
      </c>
      <c r="G747">
        <f t="shared" si="45"/>
        <v>34826.702471012009</v>
      </c>
      <c r="H747">
        <f t="shared" si="46"/>
        <v>32030.506820202791</v>
      </c>
      <c r="I747" t="b">
        <f t="shared" si="47"/>
        <v>0</v>
      </c>
    </row>
    <row r="748" spans="1:9">
      <c r="A748" s="1">
        <v>46002.863194444442</v>
      </c>
      <c r="B748" s="5">
        <f>_xlfn.XLOOKUP(A748,Banks!A:A,Banks!H:H,0,-1)</f>
        <v>2022.4683130635981</v>
      </c>
      <c r="C748">
        <f>_xlfn.XLOOKUP(A748,Energy!A:A,Energy!H:H,0,-1)</f>
        <v>784.14396431027399</v>
      </c>
      <c r="D748">
        <f t="shared" si="44"/>
        <v>2806.6122773738721</v>
      </c>
      <c r="E748">
        <f>_xlfn.XLOOKUP(A748,Banks!A:A,Banks!I:I,0)</f>
        <v>34821.444326195553</v>
      </c>
      <c r="F748">
        <f>_xlfn.XLOOKUP(A748,Energy!A:A,Energy!I:I,0)</f>
        <v>0</v>
      </c>
      <c r="G748">
        <f t="shared" si="45"/>
        <v>34821.444326195553</v>
      </c>
      <c r="H748">
        <f t="shared" si="46"/>
        <v>32014.832048821681</v>
      </c>
      <c r="I748" t="b">
        <f t="shared" si="47"/>
        <v>0</v>
      </c>
    </row>
    <row r="749" spans="1:9">
      <c r="A749" s="1">
        <v>46002.863888888889</v>
      </c>
      <c r="B749" s="5">
        <f>_xlfn.XLOOKUP(A749,Banks!A:A,Banks!H:H,0,-1)</f>
        <v>2011.8025288282879</v>
      </c>
      <c r="C749">
        <f>_xlfn.XLOOKUP(A749,Energy!A:A,Energy!H:H,0,-1)</f>
        <v>784.14396431027399</v>
      </c>
      <c r="D749">
        <f t="shared" si="44"/>
        <v>2795.9464931385619</v>
      </c>
      <c r="E749">
        <f>_xlfn.XLOOKUP(A749,Banks!A:A,Banks!I:I,0)</f>
        <v>34815.640434283778</v>
      </c>
      <c r="F749">
        <f>_xlfn.XLOOKUP(A749,Energy!A:A,Energy!I:I,0)</f>
        <v>0</v>
      </c>
      <c r="G749">
        <f t="shared" si="45"/>
        <v>34815.640434283778</v>
      </c>
      <c r="H749">
        <f t="shared" si="46"/>
        <v>32019.693941145215</v>
      </c>
      <c r="I749" t="b">
        <f t="shared" si="47"/>
        <v>0</v>
      </c>
    </row>
    <row r="750" spans="1:9">
      <c r="A750" s="1">
        <v>46002.864583333343</v>
      </c>
      <c r="B750" s="5">
        <f>_xlfn.XLOOKUP(A750,Banks!A:A,Banks!H:H,0,-1)</f>
        <v>2056.6960859047172</v>
      </c>
      <c r="C750">
        <f>_xlfn.XLOOKUP(A750,Energy!A:A,Energy!H:H,0,-1)</f>
        <v>784.14396431027399</v>
      </c>
      <c r="D750">
        <f t="shared" si="44"/>
        <v>2840.8400502149912</v>
      </c>
      <c r="E750">
        <f>_xlfn.XLOOKUP(A750,Banks!A:A,Banks!I:I,0)</f>
        <v>34820.948410634381</v>
      </c>
      <c r="F750">
        <f>_xlfn.XLOOKUP(A750,Energy!A:A,Energy!I:I,0)</f>
        <v>0</v>
      </c>
      <c r="G750">
        <f t="shared" si="45"/>
        <v>34820.948410634381</v>
      </c>
      <c r="H750">
        <f t="shared" si="46"/>
        <v>31980.108360419388</v>
      </c>
      <c r="I750" t="b">
        <f t="shared" si="47"/>
        <v>0</v>
      </c>
    </row>
    <row r="751" spans="1:9">
      <c r="A751" s="1">
        <v>46002.865277777782</v>
      </c>
      <c r="B751" s="5">
        <f>_xlfn.XLOOKUP(A751,Banks!A:A,Banks!H:H,0,-1)</f>
        <v>2056.4469282340729</v>
      </c>
      <c r="C751">
        <f>_xlfn.XLOOKUP(A751,Energy!A:A,Energy!H:H,0,-1)</f>
        <v>784.14396431027399</v>
      </c>
      <c r="D751">
        <f t="shared" si="44"/>
        <v>2840.5908925443468</v>
      </c>
      <c r="E751">
        <f>_xlfn.XLOOKUP(A751,Banks!A:A,Banks!I:I,0)</f>
        <v>34809.886373906163</v>
      </c>
      <c r="F751">
        <f>_xlfn.XLOOKUP(A751,Energy!A:A,Energy!I:I,0)</f>
        <v>0</v>
      </c>
      <c r="G751">
        <f t="shared" si="45"/>
        <v>34809.886373906163</v>
      </c>
      <c r="H751">
        <f t="shared" si="46"/>
        <v>31969.295481361816</v>
      </c>
      <c r="I751" t="b">
        <f t="shared" si="47"/>
        <v>0</v>
      </c>
    </row>
    <row r="752" spans="1:9">
      <c r="A752" s="1">
        <v>46002.865972222222</v>
      </c>
      <c r="B752" s="5">
        <f>_xlfn.XLOOKUP(A752,Banks!A:A,Banks!H:H,0,-1)</f>
        <v>2053.9673504282309</v>
      </c>
      <c r="C752">
        <f>_xlfn.XLOOKUP(A752,Energy!A:A,Energy!H:H,0,-1)</f>
        <v>784.14396431027399</v>
      </c>
      <c r="D752">
        <f t="shared" si="44"/>
        <v>2838.1113147385049</v>
      </c>
      <c r="E752">
        <f>_xlfn.XLOOKUP(A752,Banks!A:A,Banks!I:I,0)</f>
        <v>34816.731928474393</v>
      </c>
      <c r="F752">
        <f>_xlfn.XLOOKUP(A752,Energy!A:A,Energy!I:I,0)</f>
        <v>0</v>
      </c>
      <c r="G752">
        <f t="shared" si="45"/>
        <v>34816.731928474393</v>
      </c>
      <c r="H752">
        <f t="shared" si="46"/>
        <v>31978.620613735889</v>
      </c>
      <c r="I752" t="b">
        <f t="shared" si="47"/>
        <v>0</v>
      </c>
    </row>
    <row r="753" spans="1:9">
      <c r="A753" s="1">
        <v>46002.866666666669</v>
      </c>
      <c r="B753" s="5">
        <f>_xlfn.XLOOKUP(A753,Banks!A:A,Banks!H:H,0,-1)</f>
        <v>2024.44957552814</v>
      </c>
      <c r="C753">
        <f>_xlfn.XLOOKUP(A753,Energy!A:A,Energy!H:H,0,-1)</f>
        <v>784.14396431027399</v>
      </c>
      <c r="D753">
        <f t="shared" si="44"/>
        <v>2808.593539838414</v>
      </c>
      <c r="E753">
        <f>_xlfn.XLOOKUP(A753,Banks!A:A,Banks!I:I,0)</f>
        <v>34792.474698170881</v>
      </c>
      <c r="F753">
        <f>_xlfn.XLOOKUP(A753,Energy!A:A,Energy!I:I,0)</f>
        <v>0</v>
      </c>
      <c r="G753">
        <f t="shared" si="45"/>
        <v>34792.474698170881</v>
      </c>
      <c r="H753">
        <f t="shared" si="46"/>
        <v>31983.881158332468</v>
      </c>
      <c r="I753" t="b">
        <f t="shared" si="47"/>
        <v>0</v>
      </c>
    </row>
    <row r="754" spans="1:9">
      <c r="A754" s="1">
        <v>46002.867361111108</v>
      </c>
      <c r="B754" s="5">
        <f>_xlfn.XLOOKUP(A754,Banks!A:A,Banks!H:H,0,-1)</f>
        <v>2034.6170444221509</v>
      </c>
      <c r="C754">
        <f>_xlfn.XLOOKUP(A754,Energy!A:A,Energy!H:H,0,-1)</f>
        <v>784.14396431027399</v>
      </c>
      <c r="D754">
        <f t="shared" si="44"/>
        <v>2818.7610087324247</v>
      </c>
      <c r="E754">
        <f>_xlfn.XLOOKUP(A754,Banks!A:A,Banks!I:I,0)</f>
        <v>34776.1545166262</v>
      </c>
      <c r="F754">
        <f>_xlfn.XLOOKUP(A754,Energy!A:A,Energy!I:I,0)</f>
        <v>0</v>
      </c>
      <c r="G754">
        <f t="shared" si="45"/>
        <v>34776.1545166262</v>
      </c>
      <c r="H754">
        <f t="shared" si="46"/>
        <v>31957.393507893776</v>
      </c>
      <c r="I754" t="b">
        <f t="shared" si="47"/>
        <v>0</v>
      </c>
    </row>
    <row r="755" spans="1:9">
      <c r="A755" s="1">
        <v>46002.868055555547</v>
      </c>
      <c r="B755" s="5">
        <f>_xlfn.XLOOKUP(A755,Banks!A:A,Banks!H:H,0,-1)</f>
        <v>2032.3866242869649</v>
      </c>
      <c r="C755">
        <f>_xlfn.XLOOKUP(A755,Energy!A:A,Energy!H:H,0,-1)</f>
        <v>784.14396431027399</v>
      </c>
      <c r="D755">
        <f t="shared" si="44"/>
        <v>2816.5305885972389</v>
      </c>
      <c r="E755">
        <f>_xlfn.XLOOKUP(A755,Banks!A:A,Banks!I:I,0)</f>
        <v>34794.062107922648</v>
      </c>
      <c r="F755">
        <f>_xlfn.XLOOKUP(A755,Energy!A:A,Energy!I:I,0)</f>
        <v>0</v>
      </c>
      <c r="G755">
        <f t="shared" si="45"/>
        <v>34794.062107922648</v>
      </c>
      <c r="H755">
        <f t="shared" si="46"/>
        <v>31977.53151932541</v>
      </c>
      <c r="I755" t="b">
        <f t="shared" si="47"/>
        <v>0</v>
      </c>
    </row>
    <row r="756" spans="1:9">
      <c r="A756" s="1">
        <v>46002.868750000001</v>
      </c>
      <c r="B756" s="5">
        <f>_xlfn.XLOOKUP(A756,Banks!A:A,Banks!H:H,0,-1)</f>
        <v>1977.0764406458679</v>
      </c>
      <c r="C756">
        <f>_xlfn.XLOOKUP(A756,Energy!A:A,Energy!H:H,0,-1)</f>
        <v>784.14396431027399</v>
      </c>
      <c r="D756">
        <f t="shared" si="44"/>
        <v>2761.2204049561419</v>
      </c>
      <c r="E756">
        <f>_xlfn.XLOOKUP(A756,Banks!A:A,Banks!I:I,0)</f>
        <v>34794.012276388523</v>
      </c>
      <c r="F756">
        <f>_xlfn.XLOOKUP(A756,Energy!A:A,Energy!I:I,0)</f>
        <v>0</v>
      </c>
      <c r="G756">
        <f t="shared" si="45"/>
        <v>34794.012276388523</v>
      </c>
      <c r="H756">
        <f t="shared" si="46"/>
        <v>32032.791871432382</v>
      </c>
      <c r="I756" t="b">
        <f t="shared" si="47"/>
        <v>0</v>
      </c>
    </row>
    <row r="757" spans="1:9">
      <c r="A757" s="1">
        <v>46002.869444444441</v>
      </c>
      <c r="B757" s="5">
        <f>_xlfn.XLOOKUP(A757,Banks!A:A,Banks!H:H,0,-1)</f>
        <v>1987.243909539879</v>
      </c>
      <c r="C757">
        <f>_xlfn.XLOOKUP(A757,Energy!A:A,Energy!H:H,0,-1)</f>
        <v>784.14396431027399</v>
      </c>
      <c r="D757">
        <f t="shared" si="44"/>
        <v>2771.387873850153</v>
      </c>
      <c r="E757">
        <f>_xlfn.XLOOKUP(A757,Banks!A:A,Banks!I:I,0)</f>
        <v>34777.692094843842</v>
      </c>
      <c r="F757">
        <f>_xlfn.XLOOKUP(A757,Energy!A:A,Energy!I:I,0)</f>
        <v>0</v>
      </c>
      <c r="G757">
        <f t="shared" si="45"/>
        <v>34777.692094843842</v>
      </c>
      <c r="H757">
        <f t="shared" si="46"/>
        <v>32006.30422099369</v>
      </c>
      <c r="I757" t="b">
        <f t="shared" si="47"/>
        <v>0</v>
      </c>
    </row>
    <row r="758" spans="1:9">
      <c r="A758" s="1">
        <v>46002.870138888888</v>
      </c>
      <c r="B758" s="5">
        <f>_xlfn.XLOOKUP(A758,Banks!A:A,Banks!H:H,0,-1)</f>
        <v>1908.62089496362</v>
      </c>
      <c r="C758">
        <f>_xlfn.XLOOKUP(A758,Energy!A:A,Energy!H:H,0,-1)</f>
        <v>784.14396431027399</v>
      </c>
      <c r="D758">
        <f t="shared" si="44"/>
        <v>2692.7648592738942</v>
      </c>
      <c r="E758">
        <f>_xlfn.XLOOKUP(A758,Banks!A:A,Banks!I:I,0)</f>
        <v>34795.00410751086</v>
      </c>
      <c r="F758">
        <f>_xlfn.XLOOKUP(A758,Energy!A:A,Energy!I:I,0)</f>
        <v>0</v>
      </c>
      <c r="G758">
        <f t="shared" si="45"/>
        <v>34795.00410751086</v>
      </c>
      <c r="H758">
        <f t="shared" si="46"/>
        <v>32102.239248236965</v>
      </c>
      <c r="I758" t="b">
        <f t="shared" si="47"/>
        <v>0</v>
      </c>
    </row>
    <row r="759" spans="1:9">
      <c r="A759" s="1">
        <v>46002.870833333327</v>
      </c>
      <c r="B759" s="5">
        <f>_xlfn.XLOOKUP(A759,Banks!A:A,Banks!H:H,0,-1)</f>
        <v>1894.977217581167</v>
      </c>
      <c r="C759">
        <f>_xlfn.XLOOKUP(A759,Energy!A:A,Energy!H:H,0,-1)</f>
        <v>784.14396431027399</v>
      </c>
      <c r="D759">
        <f t="shared" si="44"/>
        <v>2679.1211818914408</v>
      </c>
      <c r="E759">
        <f>_xlfn.XLOOKUP(A759,Banks!A:A,Banks!I:I,0)</f>
        <v>34773.92169671088</v>
      </c>
      <c r="F759">
        <f>_xlfn.XLOOKUP(A759,Energy!A:A,Energy!I:I,0)</f>
        <v>0</v>
      </c>
      <c r="G759">
        <f t="shared" si="45"/>
        <v>34773.92169671088</v>
      </c>
      <c r="H759">
        <f t="shared" si="46"/>
        <v>32094.800514819439</v>
      </c>
      <c r="I759" t="b">
        <f t="shared" si="47"/>
        <v>0</v>
      </c>
    </row>
    <row r="760" spans="1:9">
      <c r="A760" s="1">
        <v>46002.871527777781</v>
      </c>
      <c r="B760" s="5">
        <f>_xlfn.XLOOKUP(A760,Banks!A:A,Banks!H:H,0,-1)</f>
        <v>1918.040890845687</v>
      </c>
      <c r="C760">
        <f>_xlfn.XLOOKUP(A760,Energy!A:A,Energy!H:H,0,-1)</f>
        <v>784.14396431027399</v>
      </c>
      <c r="D760">
        <f t="shared" si="44"/>
        <v>2702.184855155961</v>
      </c>
      <c r="E760">
        <f>_xlfn.XLOOKUP(A760,Banks!A:A,Banks!I:I,0)</f>
        <v>34745.497815781513</v>
      </c>
      <c r="F760">
        <f>_xlfn.XLOOKUP(A760,Energy!A:A,Energy!I:I,0)</f>
        <v>0</v>
      </c>
      <c r="G760">
        <f t="shared" si="45"/>
        <v>34745.497815781513</v>
      </c>
      <c r="H760">
        <f t="shared" si="46"/>
        <v>32043.312960625553</v>
      </c>
      <c r="I760" t="b">
        <f t="shared" si="47"/>
        <v>0</v>
      </c>
    </row>
    <row r="761" spans="1:9">
      <c r="A761" s="1">
        <v>46002.87222222222</v>
      </c>
      <c r="B761" s="5">
        <f>_xlfn.XLOOKUP(A761,Banks!A:A,Banks!H:H,0,-1)</f>
        <v>1900.6778467544721</v>
      </c>
      <c r="C761">
        <f>_xlfn.XLOOKUP(A761,Energy!A:A,Energy!H:H,0,-1)</f>
        <v>784.14396431027399</v>
      </c>
      <c r="D761">
        <f t="shared" si="44"/>
        <v>2684.8218110647458</v>
      </c>
      <c r="E761">
        <f>_xlfn.XLOOKUP(A761,Banks!A:A,Banks!I:I,0)</f>
        <v>34734.683736833882</v>
      </c>
      <c r="F761">
        <f>_xlfn.XLOOKUP(A761,Energy!A:A,Energy!I:I,0)</f>
        <v>0</v>
      </c>
      <c r="G761">
        <f t="shared" si="45"/>
        <v>34734.683736833882</v>
      </c>
      <c r="H761">
        <f t="shared" si="46"/>
        <v>32049.861925769135</v>
      </c>
      <c r="I761" t="b">
        <f t="shared" si="47"/>
        <v>0</v>
      </c>
    </row>
    <row r="762" spans="1:9">
      <c r="A762" s="1">
        <v>46002.872916666667</v>
      </c>
      <c r="B762" s="5">
        <f>_xlfn.XLOOKUP(A762,Banks!A:A,Banks!H:H,0,-1)</f>
        <v>1859.7528140574479</v>
      </c>
      <c r="C762">
        <f>_xlfn.XLOOKUP(A762,Energy!A:A,Energy!H:H,0,-1)</f>
        <v>784.14396431027399</v>
      </c>
      <c r="D762">
        <f t="shared" si="44"/>
        <v>2643.8967783677217</v>
      </c>
      <c r="E762">
        <f>_xlfn.XLOOKUP(A762,Banks!A:A,Banks!I:I,0)</f>
        <v>34730.169465359177</v>
      </c>
      <c r="F762">
        <f>_xlfn.XLOOKUP(A762,Energy!A:A,Energy!I:I,0)</f>
        <v>0</v>
      </c>
      <c r="G762">
        <f t="shared" si="45"/>
        <v>34730.169465359177</v>
      </c>
      <c r="H762">
        <f t="shared" si="46"/>
        <v>32086.272686991455</v>
      </c>
      <c r="I762" t="b">
        <f t="shared" si="47"/>
        <v>0</v>
      </c>
    </row>
    <row r="763" spans="1:9">
      <c r="A763" s="1">
        <v>46002.873611111107</v>
      </c>
      <c r="B763" s="5">
        <f>_xlfn.XLOOKUP(A763,Banks!A:A,Banks!H:H,0,-1)</f>
        <v>1723.8323539252269</v>
      </c>
      <c r="C763">
        <f>_xlfn.XLOOKUP(A763,Energy!A:A,Energy!H:H,0,-1)</f>
        <v>784.14396431027399</v>
      </c>
      <c r="D763">
        <f t="shared" si="44"/>
        <v>2507.9763182355009</v>
      </c>
      <c r="E763">
        <f>_xlfn.XLOOKUP(A763,Banks!A:A,Banks!I:I,0)</f>
        <v>34717.668313591508</v>
      </c>
      <c r="F763">
        <f>_xlfn.XLOOKUP(A763,Energy!A:A,Energy!I:I,0)</f>
        <v>0</v>
      </c>
      <c r="G763">
        <f t="shared" si="45"/>
        <v>34717.668313591508</v>
      </c>
      <c r="H763">
        <f t="shared" si="46"/>
        <v>32209.691995356006</v>
      </c>
      <c r="I763" t="b">
        <f t="shared" si="47"/>
        <v>0</v>
      </c>
    </row>
    <row r="764" spans="1:9">
      <c r="A764" s="1">
        <v>46002.874305555553</v>
      </c>
      <c r="B764" s="5">
        <f>_xlfn.XLOOKUP(A764,Banks!A:A,Banks!H:H,0,-1)</f>
        <v>1775.672328528206</v>
      </c>
      <c r="C764">
        <f>_xlfn.XLOOKUP(A764,Energy!A:A,Energy!H:H,0,-1)</f>
        <v>784.14396431027399</v>
      </c>
      <c r="D764">
        <f t="shared" si="44"/>
        <v>2559.81629283848</v>
      </c>
      <c r="E764">
        <f>_xlfn.XLOOKUP(A764,Banks!A:A,Banks!I:I,0)</f>
        <v>34739.048513706199</v>
      </c>
      <c r="F764">
        <f>_xlfn.XLOOKUP(A764,Energy!A:A,Energy!I:I,0)</f>
        <v>0</v>
      </c>
      <c r="G764">
        <f t="shared" si="45"/>
        <v>34739.048513706199</v>
      </c>
      <c r="H764">
        <f t="shared" si="46"/>
        <v>32179.232220867718</v>
      </c>
      <c r="I764" t="b">
        <f t="shared" si="47"/>
        <v>0</v>
      </c>
    </row>
    <row r="765" spans="1:9">
      <c r="A765" s="1">
        <v>46003.604166666657</v>
      </c>
      <c r="B765" s="5">
        <f>_xlfn.XLOOKUP(A765,Banks!A:A,Banks!H:H,0,-1)</f>
        <v>1957.738133540423</v>
      </c>
      <c r="C765">
        <f>_xlfn.XLOOKUP(A765,Energy!A:A,Energy!H:H,0,-1)</f>
        <v>784.14396431027399</v>
      </c>
      <c r="D765">
        <f t="shared" si="44"/>
        <v>2741.8820978506969</v>
      </c>
      <c r="E765">
        <f>_xlfn.XLOOKUP(A765,Banks!A:A,Banks!I:I,0)</f>
        <v>34870.900786390754</v>
      </c>
      <c r="F765">
        <f>_xlfn.XLOOKUP(A765,Energy!A:A,Energy!I:I,0)</f>
        <v>0</v>
      </c>
      <c r="G765">
        <f t="shared" si="45"/>
        <v>34870.900786390754</v>
      </c>
      <c r="H765">
        <f t="shared" si="46"/>
        <v>32129.018688540058</v>
      </c>
      <c r="I765" t="b">
        <f t="shared" si="47"/>
        <v>0</v>
      </c>
    </row>
    <row r="766" spans="1:9">
      <c r="A766" s="1">
        <v>46003.604861111111</v>
      </c>
      <c r="B766" s="5">
        <f>_xlfn.XLOOKUP(A766,Banks!A:A,Banks!H:H,0,-1)</f>
        <v>1828.0226173731289</v>
      </c>
      <c r="C766">
        <f>_xlfn.XLOOKUP(A766,Energy!A:A,Energy!H:H,0,-1)</f>
        <v>784.14396431027399</v>
      </c>
      <c r="D766">
        <f t="shared" si="44"/>
        <v>2612.1665816834029</v>
      </c>
      <c r="E766">
        <f>_xlfn.XLOOKUP(A766,Banks!A:A,Banks!I:I,0)</f>
        <v>34900.018709127748</v>
      </c>
      <c r="F766">
        <f>_xlfn.XLOOKUP(A766,Energy!A:A,Energy!I:I,0)</f>
        <v>0</v>
      </c>
      <c r="G766">
        <f t="shared" si="45"/>
        <v>34900.018709127748</v>
      </c>
      <c r="H766">
        <f t="shared" si="46"/>
        <v>32287.852127444345</v>
      </c>
      <c r="I766" t="b">
        <f t="shared" si="47"/>
        <v>0</v>
      </c>
    </row>
    <row r="767" spans="1:9">
      <c r="A767" s="1">
        <v>46003.605555555558</v>
      </c>
      <c r="B767" s="5">
        <f>_xlfn.XLOOKUP(A767,Banks!A:A,Banks!H:H,0,-1)</f>
        <v>1926.986569187733</v>
      </c>
      <c r="C767">
        <f>_xlfn.XLOOKUP(A767,Energy!A:A,Energy!H:H,0,-1)</f>
        <v>784.14396431027399</v>
      </c>
      <c r="D767">
        <f t="shared" si="44"/>
        <v>2711.130533498007</v>
      </c>
      <c r="E767">
        <f>_xlfn.XLOOKUP(A767,Banks!A:A,Banks!I:I,0)</f>
        <v>34908.799294296587</v>
      </c>
      <c r="F767">
        <f>_xlfn.XLOOKUP(A767,Energy!A:A,Energy!I:I,0)</f>
        <v>0</v>
      </c>
      <c r="G767">
        <f t="shared" si="45"/>
        <v>34908.799294296587</v>
      </c>
      <c r="H767">
        <f t="shared" si="46"/>
        <v>32197.66876079858</v>
      </c>
      <c r="I767" t="b">
        <f t="shared" si="47"/>
        <v>0</v>
      </c>
    </row>
    <row r="768" spans="1:9">
      <c r="A768" s="1">
        <v>46003.606249999997</v>
      </c>
      <c r="B768" s="5">
        <f>_xlfn.XLOOKUP(A768,Banks!A:A,Banks!H:H,0,-1)</f>
        <v>2086.4630184754519</v>
      </c>
      <c r="C768">
        <f>_xlfn.XLOOKUP(A768,Energy!A:A,Energy!H:H,0,-1)</f>
        <v>784.14396431027399</v>
      </c>
      <c r="D768">
        <f t="shared" si="44"/>
        <v>2870.6069827857259</v>
      </c>
      <c r="E768">
        <f>_xlfn.XLOOKUP(A768,Banks!A:A,Banks!I:I,0)</f>
        <v>34856.267677666103</v>
      </c>
      <c r="F768">
        <f>_xlfn.XLOOKUP(A768,Energy!A:A,Energy!I:I,0)</f>
        <v>0</v>
      </c>
      <c r="G768">
        <f t="shared" si="45"/>
        <v>34856.267677666103</v>
      </c>
      <c r="H768">
        <f t="shared" si="46"/>
        <v>31985.660694880378</v>
      </c>
      <c r="I768" t="b">
        <f t="shared" si="47"/>
        <v>0</v>
      </c>
    </row>
    <row r="769" spans="1:9">
      <c r="A769" s="1">
        <v>46003.606944444437</v>
      </c>
      <c r="B769" s="5">
        <f>_xlfn.XLOOKUP(A769,Banks!A:A,Banks!H:H,0,-1)</f>
        <v>1651.9125986551701</v>
      </c>
      <c r="C769">
        <f>_xlfn.XLOOKUP(A769,Energy!A:A,Energy!H:H,0,-1)</f>
        <v>784.14396431027399</v>
      </c>
      <c r="D769">
        <f t="shared" si="44"/>
        <v>2436.0565629654438</v>
      </c>
      <c r="E769">
        <f>_xlfn.XLOOKUP(A769,Banks!A:A,Banks!I:I,0)</f>
        <v>34798.723474219623</v>
      </c>
      <c r="F769">
        <f>_xlfn.XLOOKUP(A769,Energy!A:A,Energy!I:I,0)</f>
        <v>0</v>
      </c>
      <c r="G769">
        <f t="shared" si="45"/>
        <v>34798.723474219623</v>
      </c>
      <c r="H769">
        <f t="shared" si="46"/>
        <v>32362.666911254179</v>
      </c>
      <c r="I769" t="b">
        <f t="shared" si="47"/>
        <v>0</v>
      </c>
    </row>
    <row r="770" spans="1:9">
      <c r="A770" s="1">
        <v>46003.607638888891</v>
      </c>
      <c r="B770" s="5">
        <f>_xlfn.XLOOKUP(A770,Banks!A:A,Banks!H:H,0,-1)</f>
        <v>1643.9755498963571</v>
      </c>
      <c r="C770">
        <f>_xlfn.XLOOKUP(A770,Energy!A:A,Energy!H:H,0,-1)</f>
        <v>784.14396431027399</v>
      </c>
      <c r="D770">
        <f t="shared" si="44"/>
        <v>2428.1195142066308</v>
      </c>
      <c r="E770">
        <f>_xlfn.XLOOKUP(A770,Banks!A:A,Banks!I:I,0)</f>
        <v>34797.136064467857</v>
      </c>
      <c r="F770">
        <f>_xlfn.XLOOKUP(A770,Energy!A:A,Energy!I:I,0)</f>
        <v>0</v>
      </c>
      <c r="G770">
        <f t="shared" si="45"/>
        <v>34797.136064467857</v>
      </c>
      <c r="H770">
        <f t="shared" si="46"/>
        <v>32369.016550261225</v>
      </c>
      <c r="I770" t="b">
        <f t="shared" si="47"/>
        <v>0</v>
      </c>
    </row>
    <row r="771" spans="1:9">
      <c r="A771" s="1">
        <v>46003.60833333333</v>
      </c>
      <c r="B771" s="5">
        <f>_xlfn.XLOOKUP(A771,Banks!A:A,Banks!H:H,0,-1)</f>
        <v>1648.9347055080409</v>
      </c>
      <c r="C771">
        <f>_xlfn.XLOOKUP(A771,Energy!A:A,Energy!H:H,0,-1)</f>
        <v>784.14396431027399</v>
      </c>
      <c r="D771">
        <f t="shared" ref="D771:D834" si="48">B771+C771</f>
        <v>2433.0786698183147</v>
      </c>
      <c r="E771">
        <f>_xlfn.XLOOKUP(A771,Banks!A:A,Banks!I:I,0)</f>
        <v>34783.444955331397</v>
      </c>
      <c r="F771">
        <f>_xlfn.XLOOKUP(A771,Energy!A:A,Energy!I:I,0)</f>
        <v>0</v>
      </c>
      <c r="G771">
        <f t="shared" ref="G771:G834" si="49">F771+E771</f>
        <v>34783.444955331397</v>
      </c>
      <c r="H771">
        <f t="shared" ref="H771:H834" si="50">G771-D771</f>
        <v>32350.366285513082</v>
      </c>
      <c r="I771" t="b">
        <f t="shared" ref="I771:I834" si="51">AND(E771&gt;0,F771&gt;0)</f>
        <v>0</v>
      </c>
    </row>
    <row r="772" spans="1:9">
      <c r="A772" s="1">
        <v>46003.609027777777</v>
      </c>
      <c r="B772" s="5">
        <f>_xlfn.XLOOKUP(A772,Banks!A:A,Banks!H:H,0,-1)</f>
        <v>1501.1086722375751</v>
      </c>
      <c r="C772">
        <f>_xlfn.XLOOKUP(A772,Energy!A:A,Energy!H:H,0,-1)</f>
        <v>784.14396431027399</v>
      </c>
      <c r="D772">
        <f t="shared" si="48"/>
        <v>2285.2526365478489</v>
      </c>
      <c r="E772">
        <f>_xlfn.XLOOKUP(A772,Banks!A:A,Banks!I:I,0)</f>
        <v>34768.562688936086</v>
      </c>
      <c r="F772">
        <f>_xlfn.XLOOKUP(A772,Energy!A:A,Energy!I:I,0)</f>
        <v>0</v>
      </c>
      <c r="G772">
        <f t="shared" si="49"/>
        <v>34768.562688936086</v>
      </c>
      <c r="H772">
        <f t="shared" si="50"/>
        <v>32483.310052388239</v>
      </c>
      <c r="I772" t="b">
        <f t="shared" si="51"/>
        <v>0</v>
      </c>
    </row>
    <row r="773" spans="1:9">
      <c r="A773" s="1">
        <v>46003.609722222223</v>
      </c>
      <c r="B773" s="5">
        <f>_xlfn.XLOOKUP(A773,Banks!A:A,Banks!H:H,0,-1)</f>
        <v>1657.8623854991299</v>
      </c>
      <c r="C773">
        <f>_xlfn.XLOOKUP(A773,Energy!A:A,Energy!H:H,0,-1)</f>
        <v>784.14396431027399</v>
      </c>
      <c r="D773">
        <f t="shared" si="48"/>
        <v>2442.0063498094041</v>
      </c>
      <c r="E773">
        <f>_xlfn.XLOOKUP(A773,Banks!A:A,Banks!I:I,0)</f>
        <v>34770.547551070827</v>
      </c>
      <c r="F773">
        <f>_xlfn.XLOOKUP(A773,Energy!A:A,Energy!I:I,0)</f>
        <v>0</v>
      </c>
      <c r="G773">
        <f t="shared" si="49"/>
        <v>34770.547551070827</v>
      </c>
      <c r="H773">
        <f t="shared" si="50"/>
        <v>32328.541201261425</v>
      </c>
      <c r="I773" t="b">
        <f t="shared" si="51"/>
        <v>0</v>
      </c>
    </row>
    <row r="774" spans="1:9">
      <c r="A774" s="1">
        <v>46003.61041666667</v>
      </c>
      <c r="B774" s="5">
        <f>_xlfn.XLOOKUP(A774,Banks!A:A,Banks!H:H,0,-1)</f>
        <v>1717.6334094106101</v>
      </c>
      <c r="C774">
        <f>_xlfn.XLOOKUP(A774,Energy!A:A,Energy!H:H,0,-1)</f>
        <v>784.14396431027399</v>
      </c>
      <c r="D774">
        <f t="shared" si="48"/>
        <v>2501.777373720884</v>
      </c>
      <c r="E774">
        <f>_xlfn.XLOOKUP(A774,Banks!A:A,Banks!I:I,0)</f>
        <v>34734.78220001208</v>
      </c>
      <c r="F774">
        <f>_xlfn.XLOOKUP(A774,Energy!A:A,Energy!I:I,0)</f>
        <v>0</v>
      </c>
      <c r="G774">
        <f t="shared" si="49"/>
        <v>34734.78220001208</v>
      </c>
      <c r="H774">
        <f t="shared" si="50"/>
        <v>32233.004826291195</v>
      </c>
      <c r="I774" t="b">
        <f t="shared" si="51"/>
        <v>0</v>
      </c>
    </row>
    <row r="775" spans="1:9">
      <c r="A775" s="1">
        <v>46003.611111111109</v>
      </c>
      <c r="B775" s="5">
        <f>_xlfn.XLOOKUP(A775,Banks!A:A,Banks!H:H,0,-1)</f>
        <v>1786.3195486344539</v>
      </c>
      <c r="C775">
        <f>_xlfn.XLOOKUP(A775,Energy!A:A,Energy!H:H,0,-1)</f>
        <v>784.14396431027399</v>
      </c>
      <c r="D775">
        <f t="shared" si="48"/>
        <v>2570.4635129447279</v>
      </c>
      <c r="E775">
        <f>_xlfn.XLOOKUP(A775,Banks!A:A,Banks!I:I,0)</f>
        <v>0</v>
      </c>
      <c r="F775">
        <f>_xlfn.XLOOKUP(A775,Energy!A:A,Energy!I:I,0)</f>
        <v>0</v>
      </c>
      <c r="G775">
        <f t="shared" si="49"/>
        <v>0</v>
      </c>
      <c r="H775">
        <f t="shared" si="50"/>
        <v>-2570.4635129447279</v>
      </c>
      <c r="I775" t="b">
        <f t="shared" si="51"/>
        <v>0</v>
      </c>
    </row>
    <row r="776" spans="1:9">
      <c r="A776" s="1">
        <v>46007.604166666657</v>
      </c>
      <c r="B776" s="5">
        <f>_xlfn.XLOOKUP(A776,Banks!A:A,Banks!H:H,0,-1)</f>
        <v>1786.3195486344539</v>
      </c>
      <c r="C776">
        <f>_xlfn.XLOOKUP(A776,Energy!A:A,Energy!H:H,0,-1)</f>
        <v>784.14396431027399</v>
      </c>
      <c r="D776">
        <f t="shared" si="48"/>
        <v>2570.4635129447279</v>
      </c>
      <c r="E776">
        <f>_xlfn.XLOOKUP(A776,Banks!A:A,Banks!I:I,0)</f>
        <v>33508.938904547373</v>
      </c>
      <c r="F776">
        <f>_xlfn.XLOOKUP(A776,Energy!A:A,Energy!I:I,0)</f>
        <v>0</v>
      </c>
      <c r="G776">
        <f t="shared" si="49"/>
        <v>33508.938904547373</v>
      </c>
      <c r="H776">
        <f t="shared" si="50"/>
        <v>30938.475391602646</v>
      </c>
      <c r="I776" t="b">
        <f t="shared" si="51"/>
        <v>0</v>
      </c>
    </row>
    <row r="777" spans="1:9">
      <c r="A777" s="1">
        <v>46007.604861111111</v>
      </c>
      <c r="B777" s="5">
        <f>_xlfn.XLOOKUP(A777,Banks!A:A,Banks!H:H,0,-1)</f>
        <v>2107.8777407444991</v>
      </c>
      <c r="C777">
        <f>_xlfn.XLOOKUP(A777,Energy!A:A,Energy!H:H,0,-1)</f>
        <v>784.14396431027399</v>
      </c>
      <c r="D777">
        <f t="shared" si="48"/>
        <v>2892.0217050547731</v>
      </c>
      <c r="E777">
        <f>_xlfn.XLOOKUP(A777,Banks!A:A,Banks!I:I,0)</f>
        <v>33513.762170155198</v>
      </c>
      <c r="F777">
        <f>_xlfn.XLOOKUP(A777,Energy!A:A,Energy!I:I,0)</f>
        <v>0</v>
      </c>
      <c r="G777">
        <f t="shared" si="49"/>
        <v>33513.762170155198</v>
      </c>
      <c r="H777">
        <f t="shared" si="50"/>
        <v>30621.740465100425</v>
      </c>
      <c r="I777" t="b">
        <f t="shared" si="51"/>
        <v>0</v>
      </c>
    </row>
    <row r="778" spans="1:9">
      <c r="A778" s="1">
        <v>46007.605555555558</v>
      </c>
      <c r="B778" s="5">
        <f>_xlfn.XLOOKUP(A778,Banks!A:A,Banks!H:H,0,-1)</f>
        <v>2195.387470231216</v>
      </c>
      <c r="C778">
        <f>_xlfn.XLOOKUP(A778,Energy!A:A,Energy!H:H,0,-1)</f>
        <v>784.14396431027399</v>
      </c>
      <c r="D778">
        <f t="shared" si="48"/>
        <v>2979.5314345414899</v>
      </c>
      <c r="E778">
        <f>_xlfn.XLOOKUP(A778,Banks!A:A,Banks!I:I,0)</f>
        <v>33554.479090809291</v>
      </c>
      <c r="F778">
        <f>_xlfn.XLOOKUP(A778,Energy!A:A,Energy!I:I,0)</f>
        <v>0</v>
      </c>
      <c r="G778">
        <f t="shared" si="49"/>
        <v>33554.479090809291</v>
      </c>
      <c r="H778">
        <f t="shared" si="50"/>
        <v>30574.947656267803</v>
      </c>
      <c r="I778" t="b">
        <f t="shared" si="51"/>
        <v>0</v>
      </c>
    </row>
    <row r="779" spans="1:9">
      <c r="A779" s="1">
        <v>46007.606249999997</v>
      </c>
      <c r="B779" s="5">
        <f>_xlfn.XLOOKUP(A779,Banks!A:A,Banks!H:H,0,-1)</f>
        <v>2198.844719731122</v>
      </c>
      <c r="C779">
        <f>_xlfn.XLOOKUP(A779,Energy!A:A,Energy!H:H,0,-1)</f>
        <v>784.14396431027399</v>
      </c>
      <c r="D779">
        <f t="shared" si="48"/>
        <v>2982.988684041396</v>
      </c>
      <c r="E779">
        <f>_xlfn.XLOOKUP(A779,Banks!A:A,Banks!I:I,0)</f>
        <v>33531.955565952521</v>
      </c>
      <c r="F779">
        <f>_xlfn.XLOOKUP(A779,Energy!A:A,Energy!I:I,0)</f>
        <v>0</v>
      </c>
      <c r="G779">
        <f t="shared" si="49"/>
        <v>33531.955565952521</v>
      </c>
      <c r="H779">
        <f t="shared" si="50"/>
        <v>30548.966881911125</v>
      </c>
      <c r="I779" t="b">
        <f t="shared" si="51"/>
        <v>0</v>
      </c>
    </row>
    <row r="780" spans="1:9">
      <c r="A780" s="1">
        <v>46007.606944444437</v>
      </c>
      <c r="B780" s="5">
        <f>_xlfn.XLOOKUP(A780,Banks!A:A,Banks!H:H,0,-1)</f>
        <v>2298.9083966164121</v>
      </c>
      <c r="C780">
        <f>_xlfn.XLOOKUP(A780,Energy!A:A,Energy!H:H,0,-1)</f>
        <v>784.14396431027399</v>
      </c>
      <c r="D780">
        <f t="shared" si="48"/>
        <v>3083.0523609266861</v>
      </c>
      <c r="E780">
        <f>_xlfn.XLOOKUP(A780,Banks!A:A,Banks!I:I,0)</f>
        <v>33551.96830132958</v>
      </c>
      <c r="F780">
        <f>_xlfn.XLOOKUP(A780,Energy!A:A,Energy!I:I,0)</f>
        <v>0</v>
      </c>
      <c r="G780">
        <f t="shared" si="49"/>
        <v>33551.96830132958</v>
      </c>
      <c r="H780">
        <f t="shared" si="50"/>
        <v>30468.915940402894</v>
      </c>
      <c r="I780" t="b">
        <f t="shared" si="51"/>
        <v>0</v>
      </c>
    </row>
    <row r="781" spans="1:9">
      <c r="A781" s="1">
        <v>46007.607638888891</v>
      </c>
      <c r="B781" s="5">
        <f>_xlfn.XLOOKUP(A781,Banks!A:A,Banks!H:H,0,-1)</f>
        <v>2286.3544492178389</v>
      </c>
      <c r="C781">
        <f>_xlfn.XLOOKUP(A781,Energy!A:A,Energy!H:H,0,-1)</f>
        <v>784.14396431027399</v>
      </c>
      <c r="D781">
        <f t="shared" si="48"/>
        <v>3070.4984135281129</v>
      </c>
      <c r="E781">
        <f>_xlfn.XLOOKUP(A781,Banks!A:A,Banks!I:I,0)</f>
        <v>33572.672486606607</v>
      </c>
      <c r="F781">
        <f>_xlfn.XLOOKUP(A781,Energy!A:A,Energy!I:I,0)</f>
        <v>0</v>
      </c>
      <c r="G781">
        <f t="shared" si="49"/>
        <v>33572.672486606607</v>
      </c>
      <c r="H781">
        <f t="shared" si="50"/>
        <v>30502.174073078495</v>
      </c>
      <c r="I781" t="b">
        <f t="shared" si="51"/>
        <v>0</v>
      </c>
    </row>
    <row r="782" spans="1:9">
      <c r="A782" s="1">
        <v>46007.60833333333</v>
      </c>
      <c r="B782" s="5">
        <f>_xlfn.XLOOKUP(A782,Banks!A:A,Banks!H:H,0,-1)</f>
        <v>2350.1447280457028</v>
      </c>
      <c r="C782">
        <f>_xlfn.XLOOKUP(A782,Energy!A:A,Energy!H:H,0,-1)</f>
        <v>784.14396431027399</v>
      </c>
      <c r="D782">
        <f t="shared" si="48"/>
        <v>3134.2886923559768</v>
      </c>
      <c r="E782">
        <f>_xlfn.XLOOKUP(A782,Banks!A:A,Banks!I:I,0)</f>
        <v>33599.939901595157</v>
      </c>
      <c r="F782">
        <f>_xlfn.XLOOKUP(A782,Energy!A:A,Energy!I:I,0)</f>
        <v>0</v>
      </c>
      <c r="G782">
        <f t="shared" si="49"/>
        <v>33599.939901595157</v>
      </c>
      <c r="H782">
        <f t="shared" si="50"/>
        <v>30465.651209239179</v>
      </c>
      <c r="I782" t="b">
        <f t="shared" si="51"/>
        <v>0</v>
      </c>
    </row>
    <row r="783" spans="1:9">
      <c r="A783" s="1">
        <v>46007.609027777777</v>
      </c>
      <c r="B783" s="5">
        <f>_xlfn.XLOOKUP(A783,Banks!A:A,Banks!H:H,0,-1)</f>
        <v>2482.1537660401559</v>
      </c>
      <c r="C783">
        <f>_xlfn.XLOOKUP(A783,Energy!A:A,Energy!H:H,0,-1)</f>
        <v>784.14396431027399</v>
      </c>
      <c r="D783">
        <f t="shared" si="48"/>
        <v>3266.2977303504299</v>
      </c>
      <c r="E783">
        <f>_xlfn.XLOOKUP(A783,Banks!A:A,Banks!I:I,0)</f>
        <v>0</v>
      </c>
      <c r="F783">
        <f>_xlfn.XLOOKUP(A783,Energy!A:A,Energy!I:I,0)</f>
        <v>0</v>
      </c>
      <c r="G783">
        <f t="shared" si="49"/>
        <v>0</v>
      </c>
      <c r="H783">
        <f t="shared" si="50"/>
        <v>-3266.2977303504299</v>
      </c>
      <c r="I783" t="b">
        <f t="shared" si="51"/>
        <v>0</v>
      </c>
    </row>
    <row r="784" spans="1:9">
      <c r="A784" s="1">
        <v>46009.604861111111</v>
      </c>
      <c r="B784" s="5">
        <f>_xlfn.XLOOKUP(A784,Banks!A:A,Banks!H:H,0,-1)</f>
        <v>2482.1537660401559</v>
      </c>
      <c r="C784">
        <f>_xlfn.XLOOKUP(A784,Energy!A:A,Energy!H:H,0,-1)</f>
        <v>784.14396431027399</v>
      </c>
      <c r="D784">
        <f t="shared" si="48"/>
        <v>3266.2977303504299</v>
      </c>
      <c r="E784">
        <f>_xlfn.XLOOKUP(A784,Banks!A:A,Banks!I:I,0)</f>
        <v>33508.938904547373</v>
      </c>
      <c r="F784">
        <f>_xlfn.XLOOKUP(A784,Energy!A:A,Energy!I:I,0)</f>
        <v>0</v>
      </c>
      <c r="G784">
        <f t="shared" si="49"/>
        <v>33508.938904547373</v>
      </c>
      <c r="H784">
        <f t="shared" si="50"/>
        <v>30242.641174196942</v>
      </c>
      <c r="I784" t="b">
        <f t="shared" si="51"/>
        <v>0</v>
      </c>
    </row>
    <row r="785" spans="1:9">
      <c r="A785" s="1">
        <v>46009.605555555558</v>
      </c>
      <c r="B785" s="5">
        <f>_xlfn.XLOOKUP(A785,Banks!A:A,Banks!H:H,0,-1)</f>
        <v>2553.6974614930118</v>
      </c>
      <c r="C785">
        <f>_xlfn.XLOOKUP(A785,Energy!A:A,Energy!H:H,0,-1)</f>
        <v>784.14396431027399</v>
      </c>
      <c r="D785">
        <f t="shared" si="48"/>
        <v>3337.8414258032858</v>
      </c>
      <c r="E785">
        <f>_xlfn.XLOOKUP(A785,Banks!A:A,Banks!I:I,0)</f>
        <v>33527.600217659383</v>
      </c>
      <c r="F785">
        <f>_xlfn.XLOOKUP(A785,Energy!A:A,Energy!I:I,0)</f>
        <v>0</v>
      </c>
      <c r="G785">
        <f t="shared" si="49"/>
        <v>33527.600217659383</v>
      </c>
      <c r="H785">
        <f t="shared" si="50"/>
        <v>30189.758791856097</v>
      </c>
      <c r="I785" t="b">
        <f t="shared" si="51"/>
        <v>0</v>
      </c>
    </row>
    <row r="786" spans="1:9">
      <c r="A786" s="1">
        <v>46009.606249999997</v>
      </c>
      <c r="B786" s="5">
        <f>_xlfn.XLOOKUP(A786,Banks!A:A,Banks!H:H,0,-1)</f>
        <v>2541.635850956131</v>
      </c>
      <c r="C786">
        <f>_xlfn.XLOOKUP(A786,Energy!A:A,Energy!H:H,0,-1)</f>
        <v>784.14396431027399</v>
      </c>
      <c r="D786">
        <f t="shared" si="48"/>
        <v>3325.779815266405</v>
      </c>
      <c r="E786">
        <f>_xlfn.XLOOKUP(A786,Banks!A:A,Banks!I:I,0)</f>
        <v>33555.655913702103</v>
      </c>
      <c r="F786">
        <f>_xlfn.XLOOKUP(A786,Energy!A:A,Energy!I:I,0)</f>
        <v>0</v>
      </c>
      <c r="G786">
        <f t="shared" si="49"/>
        <v>33555.655913702103</v>
      </c>
      <c r="H786">
        <f t="shared" si="50"/>
        <v>30229.8760984357</v>
      </c>
      <c r="I786" t="b">
        <f t="shared" si="51"/>
        <v>0</v>
      </c>
    </row>
    <row r="787" spans="1:9">
      <c r="A787" s="1">
        <v>46009.606944444437</v>
      </c>
      <c r="B787" s="5">
        <f>_xlfn.XLOOKUP(A787,Banks!A:A,Banks!H:H,0,-1)</f>
        <v>2637.7513272083252</v>
      </c>
      <c r="C787">
        <f>_xlfn.XLOOKUP(A787,Energy!A:A,Energy!H:H,0,-1)</f>
        <v>784.14396431027399</v>
      </c>
      <c r="D787">
        <f t="shared" si="48"/>
        <v>3421.8952915185992</v>
      </c>
      <c r="E787">
        <f>_xlfn.XLOOKUP(A787,Banks!A:A,Banks!I:I,0)</f>
        <v>33609.699601124063</v>
      </c>
      <c r="F787">
        <f>_xlfn.XLOOKUP(A787,Energy!A:A,Energy!I:I,0)</f>
        <v>0</v>
      </c>
      <c r="G787">
        <f t="shared" si="49"/>
        <v>33609.699601124063</v>
      </c>
      <c r="H787">
        <f t="shared" si="50"/>
        <v>30187.804309605464</v>
      </c>
      <c r="I787" t="b">
        <f t="shared" si="51"/>
        <v>0</v>
      </c>
    </row>
    <row r="788" spans="1:9">
      <c r="A788" s="1">
        <v>46009.607638888891</v>
      </c>
      <c r="B788" s="5">
        <f>_xlfn.XLOOKUP(A788,Banks!A:A,Banks!H:H,0,-1)</f>
        <v>2802.6015882212441</v>
      </c>
      <c r="C788">
        <f>_xlfn.XLOOKUP(A788,Energy!A:A,Energy!H:H,0,-1)</f>
        <v>784.14396431027399</v>
      </c>
      <c r="D788">
        <f t="shared" si="48"/>
        <v>3586.7455525315181</v>
      </c>
      <c r="E788">
        <f>_xlfn.XLOOKUP(A788,Banks!A:A,Banks!I:I,0)</f>
        <v>33642.669653326637</v>
      </c>
      <c r="F788">
        <f>_xlfn.XLOOKUP(A788,Energy!A:A,Energy!I:I,0)</f>
        <v>0</v>
      </c>
      <c r="G788">
        <f t="shared" si="49"/>
        <v>33642.669653326637</v>
      </c>
      <c r="H788">
        <f t="shared" si="50"/>
        <v>30055.92410079512</v>
      </c>
      <c r="I788" t="b">
        <f t="shared" si="51"/>
        <v>0</v>
      </c>
    </row>
    <row r="789" spans="1:9">
      <c r="A789" s="1">
        <v>46009.60833333333</v>
      </c>
      <c r="B789" s="5">
        <f>_xlfn.XLOOKUP(A789,Banks!A:A,Banks!H:H,0,-1)</f>
        <v>2848.3933273914949</v>
      </c>
      <c r="C789">
        <f>_xlfn.XLOOKUP(A789,Energy!A:A,Energy!H:H,0,-1)</f>
        <v>784.14396431027399</v>
      </c>
      <c r="D789">
        <f t="shared" si="48"/>
        <v>3632.5372917017689</v>
      </c>
      <c r="E789">
        <f>_xlfn.XLOOKUP(A789,Banks!A:A,Banks!I:I,0)</f>
        <v>33651.828001160698</v>
      </c>
      <c r="F789">
        <f>_xlfn.XLOOKUP(A789,Energy!A:A,Energy!I:I,0)</f>
        <v>0</v>
      </c>
      <c r="G789">
        <f t="shared" si="49"/>
        <v>33651.828001160698</v>
      </c>
      <c r="H789">
        <f t="shared" si="50"/>
        <v>30019.290709458928</v>
      </c>
      <c r="I789" t="b">
        <f t="shared" si="51"/>
        <v>0</v>
      </c>
    </row>
    <row r="790" spans="1:9">
      <c r="A790" s="1">
        <v>46009.609027777777</v>
      </c>
      <c r="B790" s="5">
        <f>_xlfn.XLOOKUP(A790,Banks!A:A,Banks!H:H,0,-1)</f>
        <v>2935.8067489778368</v>
      </c>
      <c r="C790">
        <f>_xlfn.XLOOKUP(A790,Energy!A:A,Energy!H:H,0,-1)</f>
        <v>784.14396431027399</v>
      </c>
      <c r="D790">
        <f t="shared" si="48"/>
        <v>3719.9507132881108</v>
      </c>
      <c r="E790">
        <f>_xlfn.XLOOKUP(A790,Banks!A:A,Banks!I:I,0)</f>
        <v>33648.998673377908</v>
      </c>
      <c r="F790">
        <f>_xlfn.XLOOKUP(A790,Energy!A:A,Energy!I:I,0)</f>
        <v>0</v>
      </c>
      <c r="G790">
        <f t="shared" si="49"/>
        <v>33648.998673377908</v>
      </c>
      <c r="H790">
        <f t="shared" si="50"/>
        <v>29929.047960089796</v>
      </c>
      <c r="I790" t="b">
        <f t="shared" si="51"/>
        <v>0</v>
      </c>
    </row>
    <row r="791" spans="1:9">
      <c r="A791" s="1">
        <v>46009.609722222223</v>
      </c>
      <c r="B791" s="5">
        <f>_xlfn.XLOOKUP(A791,Banks!A:A,Banks!H:H,0,-1)</f>
        <v>2966.9089374978548</v>
      </c>
      <c r="C791">
        <f>_xlfn.XLOOKUP(A791,Energy!A:A,Energy!H:H,0,-1)</f>
        <v>784.14396431027399</v>
      </c>
      <c r="D791">
        <f t="shared" si="48"/>
        <v>3751.0529018081288</v>
      </c>
      <c r="E791">
        <f>_xlfn.XLOOKUP(A791,Banks!A:A,Banks!I:I,0)</f>
        <v>33653.76825307477</v>
      </c>
      <c r="F791">
        <f>_xlfn.XLOOKUP(A791,Energy!A:A,Energy!I:I,0)</f>
        <v>0</v>
      </c>
      <c r="G791">
        <f t="shared" si="49"/>
        <v>33653.76825307477</v>
      </c>
      <c r="H791">
        <f t="shared" si="50"/>
        <v>29902.715351266641</v>
      </c>
      <c r="I791" t="b">
        <f t="shared" si="51"/>
        <v>0</v>
      </c>
    </row>
    <row r="792" spans="1:9">
      <c r="A792" s="1">
        <v>46009.61041666667</v>
      </c>
      <c r="B792" s="5">
        <f>_xlfn.XLOOKUP(A792,Banks!A:A,Banks!H:H,0,-1)</f>
        <v>3010.6156482910501</v>
      </c>
      <c r="C792">
        <f>_xlfn.XLOOKUP(A792,Energy!A:A,Energy!H:H,0,-1)</f>
        <v>784.14396431027399</v>
      </c>
      <c r="D792">
        <f t="shared" si="48"/>
        <v>3794.7596126013241</v>
      </c>
      <c r="E792">
        <f>_xlfn.XLOOKUP(A792,Banks!A:A,Banks!I:I,0)</f>
        <v>33652.353589183367</v>
      </c>
      <c r="F792">
        <f>_xlfn.XLOOKUP(A792,Energy!A:A,Energy!I:I,0)</f>
        <v>0</v>
      </c>
      <c r="G792">
        <f t="shared" si="49"/>
        <v>33652.353589183367</v>
      </c>
      <c r="H792">
        <f t="shared" si="50"/>
        <v>29857.593976582044</v>
      </c>
      <c r="I792" t="b">
        <f t="shared" si="51"/>
        <v>0</v>
      </c>
    </row>
    <row r="793" spans="1:9">
      <c r="A793" s="1">
        <v>46009.611111111109</v>
      </c>
      <c r="B793" s="5">
        <f>_xlfn.XLOOKUP(A793,Banks!A:A,Banks!H:H,0,-1)</f>
        <v>3046.70612789095</v>
      </c>
      <c r="C793">
        <f>_xlfn.XLOOKUP(A793,Energy!A:A,Energy!H:H,0,-1)</f>
        <v>784.14396431027399</v>
      </c>
      <c r="D793">
        <f t="shared" si="48"/>
        <v>3830.850092201224</v>
      </c>
      <c r="E793">
        <f>_xlfn.XLOOKUP(A793,Banks!A:A,Banks!I:I,0)</f>
        <v>33637.808814996148</v>
      </c>
      <c r="F793">
        <f>_xlfn.XLOOKUP(A793,Energy!A:A,Energy!I:I,0)</f>
        <v>0</v>
      </c>
      <c r="G793">
        <f t="shared" si="49"/>
        <v>33637.808814996148</v>
      </c>
      <c r="H793">
        <f t="shared" si="50"/>
        <v>29806.958722794923</v>
      </c>
      <c r="I793" t="b">
        <f t="shared" si="51"/>
        <v>0</v>
      </c>
    </row>
    <row r="794" spans="1:9">
      <c r="A794" s="1">
        <v>46009.611805555563</v>
      </c>
      <c r="B794" s="5">
        <f>_xlfn.XLOOKUP(A794,Banks!A:A,Banks!H:H,0,-1)</f>
        <v>3085.605518183002</v>
      </c>
      <c r="C794">
        <f>_xlfn.XLOOKUP(A794,Energy!A:A,Energy!H:H,0,-1)</f>
        <v>784.14396431027399</v>
      </c>
      <c r="D794">
        <f t="shared" si="48"/>
        <v>3869.749482493276</v>
      </c>
      <c r="E794">
        <f>_xlfn.XLOOKUP(A794,Banks!A:A,Banks!I:I,0)</f>
        <v>33662.998989140317</v>
      </c>
      <c r="F794">
        <f>_xlfn.XLOOKUP(A794,Energy!A:A,Energy!I:I,0)</f>
        <v>0</v>
      </c>
      <c r="G794">
        <f t="shared" si="49"/>
        <v>33662.998989140317</v>
      </c>
      <c r="H794">
        <f t="shared" si="50"/>
        <v>29793.24950664704</v>
      </c>
      <c r="I794" t="b">
        <f t="shared" si="51"/>
        <v>0</v>
      </c>
    </row>
    <row r="795" spans="1:9">
      <c r="A795" s="1">
        <v>46009.612500000003</v>
      </c>
      <c r="B795" s="5">
        <f>_xlfn.XLOOKUP(A795,Banks!A:A,Banks!H:H,0,-1)</f>
        <v>2949.5914467342668</v>
      </c>
      <c r="C795">
        <f>_xlfn.XLOOKUP(A795,Energy!A:A,Energy!H:H,0,-1)</f>
        <v>784.14396431027399</v>
      </c>
      <c r="D795">
        <f t="shared" si="48"/>
        <v>3733.7354110445408</v>
      </c>
      <c r="E795">
        <f>_xlfn.XLOOKUP(A795,Banks!A:A,Banks!I:I,0)</f>
        <v>33616.935020757657</v>
      </c>
      <c r="F795">
        <f>_xlfn.XLOOKUP(A795,Energy!A:A,Energy!I:I,0)</f>
        <v>0</v>
      </c>
      <c r="G795">
        <f t="shared" si="49"/>
        <v>33616.935020757657</v>
      </c>
      <c r="H795">
        <f t="shared" si="50"/>
        <v>29883.199609713116</v>
      </c>
      <c r="I795" t="b">
        <f t="shared" si="51"/>
        <v>0</v>
      </c>
    </row>
    <row r="796" spans="1:9">
      <c r="A796" s="1">
        <v>46009.613194444442</v>
      </c>
      <c r="B796" s="5">
        <f>_xlfn.XLOOKUP(A796,Banks!A:A,Banks!H:H,0,-1)</f>
        <v>2912.9580553980709</v>
      </c>
      <c r="C796">
        <f>_xlfn.XLOOKUP(A796,Energy!A:A,Energy!H:H,0,-1)</f>
        <v>784.14396431027399</v>
      </c>
      <c r="D796">
        <f t="shared" si="48"/>
        <v>3697.1020197083449</v>
      </c>
      <c r="E796">
        <f>_xlfn.XLOOKUP(A796,Banks!A:A,Banks!I:I,0)</f>
        <v>33609.608342490428</v>
      </c>
      <c r="F796">
        <f>_xlfn.XLOOKUP(A796,Energy!A:A,Energy!I:I,0)</f>
        <v>0</v>
      </c>
      <c r="G796">
        <f t="shared" si="49"/>
        <v>33609.608342490428</v>
      </c>
      <c r="H796">
        <f t="shared" si="50"/>
        <v>29912.506322782083</v>
      </c>
      <c r="I796" t="b">
        <f t="shared" si="51"/>
        <v>0</v>
      </c>
    </row>
    <row r="797" spans="1:9">
      <c r="A797" s="1">
        <v>46009.613888888889</v>
      </c>
      <c r="B797" s="5">
        <f>_xlfn.XLOOKUP(A797,Banks!A:A,Banks!H:H,0,-1)</f>
        <v>3171.571175139256</v>
      </c>
      <c r="C797">
        <f>_xlfn.XLOOKUP(A797,Energy!A:A,Energy!H:H,0,-1)</f>
        <v>784.14396431027399</v>
      </c>
      <c r="D797">
        <f t="shared" si="48"/>
        <v>3955.7151394495299</v>
      </c>
      <c r="E797">
        <f>_xlfn.XLOOKUP(A797,Banks!A:A,Banks!I:I,0)</f>
        <v>33601.845788145627</v>
      </c>
      <c r="F797">
        <f>_xlfn.XLOOKUP(A797,Energy!A:A,Energy!I:I,0)</f>
        <v>0</v>
      </c>
      <c r="G797">
        <f t="shared" si="49"/>
        <v>33601.845788145627</v>
      </c>
      <c r="H797">
        <f t="shared" si="50"/>
        <v>29646.130648696097</v>
      </c>
      <c r="I797" t="b">
        <f t="shared" si="51"/>
        <v>0</v>
      </c>
    </row>
    <row r="798" spans="1:9">
      <c r="A798" s="1">
        <v>46009.614583333343</v>
      </c>
      <c r="B798" s="5">
        <f>_xlfn.XLOOKUP(A798,Banks!A:A,Banks!H:H,0,-1)</f>
        <v>3112.5376499488598</v>
      </c>
      <c r="C798">
        <f>_xlfn.XLOOKUP(A798,Energy!A:A,Energy!H:H,0,-1)</f>
        <v>784.14396431027399</v>
      </c>
      <c r="D798">
        <f t="shared" si="48"/>
        <v>3896.6816142591338</v>
      </c>
      <c r="E798">
        <f>_xlfn.XLOOKUP(A798,Banks!A:A,Banks!I:I,0)</f>
        <v>33646.622545386293</v>
      </c>
      <c r="F798">
        <f>_xlfn.XLOOKUP(A798,Energy!A:A,Energy!I:I,0)</f>
        <v>0</v>
      </c>
      <c r="G798">
        <f t="shared" si="49"/>
        <v>33646.622545386293</v>
      </c>
      <c r="H798">
        <f t="shared" si="50"/>
        <v>29749.940931127159</v>
      </c>
      <c r="I798" t="b">
        <f t="shared" si="51"/>
        <v>0</v>
      </c>
    </row>
    <row r="799" spans="1:9">
      <c r="A799" s="1">
        <v>46009.615277777782</v>
      </c>
      <c r="B799" s="5">
        <f>_xlfn.XLOOKUP(A799,Banks!A:A,Banks!H:H,0,-1)</f>
        <v>3020.9541716083581</v>
      </c>
      <c r="C799">
        <f>_xlfn.XLOOKUP(A799,Energy!A:A,Energy!H:H,0,-1)</f>
        <v>784.14396431027399</v>
      </c>
      <c r="D799">
        <f t="shared" si="48"/>
        <v>3805.0981359186321</v>
      </c>
      <c r="E799">
        <f>_xlfn.XLOOKUP(A799,Banks!A:A,Banks!I:I,0)</f>
        <v>33628.305849718177</v>
      </c>
      <c r="F799">
        <f>_xlfn.XLOOKUP(A799,Energy!A:A,Energy!I:I,0)</f>
        <v>0</v>
      </c>
      <c r="G799">
        <f t="shared" si="49"/>
        <v>33628.305849718177</v>
      </c>
      <c r="H799">
        <f t="shared" si="50"/>
        <v>29823.207713799544</v>
      </c>
      <c r="I799" t="b">
        <f t="shared" si="51"/>
        <v>0</v>
      </c>
    </row>
    <row r="800" spans="1:9">
      <c r="A800" s="1">
        <v>46009.615972222222</v>
      </c>
      <c r="B800" s="5">
        <f>_xlfn.XLOOKUP(A800,Banks!A:A,Banks!H:H,0,-1)</f>
        <v>3142.915956153839</v>
      </c>
      <c r="C800">
        <f>_xlfn.XLOOKUP(A800,Energy!A:A,Energy!H:H,0,-1)</f>
        <v>784.14396431027399</v>
      </c>
      <c r="D800">
        <f t="shared" si="48"/>
        <v>3927.059920464113</v>
      </c>
      <c r="E800">
        <f>_xlfn.XLOOKUP(A800,Banks!A:A,Banks!I:I,0)</f>
        <v>33622.230188477202</v>
      </c>
      <c r="F800">
        <f>_xlfn.XLOOKUP(A800,Energy!A:A,Energy!I:I,0)</f>
        <v>0</v>
      </c>
      <c r="G800">
        <f t="shared" si="49"/>
        <v>33622.230188477202</v>
      </c>
      <c r="H800">
        <f t="shared" si="50"/>
        <v>29695.170268013091</v>
      </c>
      <c r="I800" t="b">
        <f t="shared" si="51"/>
        <v>0</v>
      </c>
    </row>
    <row r="801" spans="1:9">
      <c r="A801" s="1">
        <v>46009.616666666669</v>
      </c>
      <c r="B801" s="5">
        <f>_xlfn.XLOOKUP(A801,Banks!A:A,Banks!H:H,0,-1)</f>
        <v>3071.9151724372691</v>
      </c>
      <c r="C801">
        <f>_xlfn.XLOOKUP(A801,Energy!A:A,Energy!H:H,0,-1)</f>
        <v>784.14396431027399</v>
      </c>
      <c r="D801">
        <f t="shared" si="48"/>
        <v>3856.0591367475431</v>
      </c>
      <c r="E801">
        <f>_xlfn.XLOOKUP(A801,Banks!A:A,Banks!I:I,0)</f>
        <v>33625.440327819648</v>
      </c>
      <c r="F801">
        <f>_xlfn.XLOOKUP(A801,Energy!A:A,Energy!I:I,0)</f>
        <v>0</v>
      </c>
      <c r="G801">
        <f t="shared" si="49"/>
        <v>33625.440327819648</v>
      </c>
      <c r="H801">
        <f t="shared" si="50"/>
        <v>29769.381191072105</v>
      </c>
      <c r="I801" t="b">
        <f t="shared" si="51"/>
        <v>0</v>
      </c>
    </row>
    <row r="802" spans="1:9">
      <c r="A802" s="1">
        <v>46009.617361111108</v>
      </c>
      <c r="B802" s="5">
        <f>_xlfn.XLOOKUP(A802,Banks!A:A,Banks!H:H,0,-1)</f>
        <v>3182.814551350391</v>
      </c>
      <c r="C802">
        <f>_xlfn.XLOOKUP(A802,Energy!A:A,Energy!H:H,0,-1)</f>
        <v>784.14396431027399</v>
      </c>
      <c r="D802">
        <f t="shared" si="48"/>
        <v>3966.9585156606649</v>
      </c>
      <c r="E802">
        <f>_xlfn.XLOOKUP(A802,Banks!A:A,Banks!I:I,0)</f>
        <v>33614.25046943788</v>
      </c>
      <c r="F802">
        <f>_xlfn.XLOOKUP(A802,Energy!A:A,Energy!I:I,0)</f>
        <v>0</v>
      </c>
      <c r="G802">
        <f t="shared" si="49"/>
        <v>33614.25046943788</v>
      </c>
      <c r="H802">
        <f t="shared" si="50"/>
        <v>29647.291953777214</v>
      </c>
      <c r="I802" t="b">
        <f t="shared" si="51"/>
        <v>0</v>
      </c>
    </row>
    <row r="803" spans="1:9">
      <c r="A803" s="1">
        <v>46009.618055555547</v>
      </c>
      <c r="B803" s="5">
        <f>_xlfn.XLOOKUP(A803,Banks!A:A,Banks!H:H,0,-1)</f>
        <v>3141.373839513054</v>
      </c>
      <c r="C803">
        <f>_xlfn.XLOOKUP(A803,Energy!A:A,Energy!H:H,0,-1)</f>
        <v>784.14396431027399</v>
      </c>
      <c r="D803">
        <f t="shared" si="48"/>
        <v>3925.517803823328</v>
      </c>
      <c r="E803">
        <f>_xlfn.XLOOKUP(A803,Banks!A:A,Banks!I:I,0)</f>
        <v>33633.528629206223</v>
      </c>
      <c r="F803">
        <f>_xlfn.XLOOKUP(A803,Energy!A:A,Energy!I:I,0)</f>
        <v>0</v>
      </c>
      <c r="G803">
        <f t="shared" si="49"/>
        <v>33633.528629206223</v>
      </c>
      <c r="H803">
        <f t="shared" si="50"/>
        <v>29708.010825382895</v>
      </c>
      <c r="I803" t="b">
        <f t="shared" si="51"/>
        <v>0</v>
      </c>
    </row>
    <row r="804" spans="1:9">
      <c r="A804" s="1">
        <v>46009.618750000001</v>
      </c>
      <c r="B804" s="5">
        <f>_xlfn.XLOOKUP(A804,Banks!A:A,Banks!H:H,0,-1)</f>
        <v>3216.3637094050082</v>
      </c>
      <c r="C804">
        <f>_xlfn.XLOOKUP(A804,Energy!A:A,Energy!H:H,0,-1)</f>
        <v>784.14396431027399</v>
      </c>
      <c r="D804">
        <f t="shared" si="48"/>
        <v>4000.5076737152822</v>
      </c>
      <c r="E804">
        <f>_xlfn.XLOOKUP(A804,Banks!A:A,Banks!I:I,0)</f>
        <v>33644.174029163158</v>
      </c>
      <c r="F804">
        <f>_xlfn.XLOOKUP(A804,Energy!A:A,Energy!I:I,0)</f>
        <v>0</v>
      </c>
      <c r="G804">
        <f t="shared" si="49"/>
        <v>33644.174029163158</v>
      </c>
      <c r="H804">
        <f t="shared" si="50"/>
        <v>29643.666355447876</v>
      </c>
      <c r="I804" t="b">
        <f t="shared" si="51"/>
        <v>0</v>
      </c>
    </row>
    <row r="805" spans="1:9">
      <c r="A805" s="1">
        <v>46009.619444444441</v>
      </c>
      <c r="B805" s="5">
        <f>_xlfn.XLOOKUP(A805,Banks!A:A,Banks!H:H,0,-1)</f>
        <v>3293.4386076740439</v>
      </c>
      <c r="C805">
        <f>_xlfn.XLOOKUP(A805,Energy!A:A,Energy!H:H,0,-1)</f>
        <v>784.14396431027399</v>
      </c>
      <c r="D805">
        <f t="shared" si="48"/>
        <v>4077.5825719843178</v>
      </c>
      <c r="E805">
        <f>_xlfn.XLOOKUP(A805,Banks!A:A,Banks!I:I,0)</f>
        <v>33665.392440845557</v>
      </c>
      <c r="F805">
        <f>_xlfn.XLOOKUP(A805,Energy!A:A,Energy!I:I,0)</f>
        <v>0</v>
      </c>
      <c r="G805">
        <f t="shared" si="49"/>
        <v>33665.392440845557</v>
      </c>
      <c r="H805">
        <f t="shared" si="50"/>
        <v>29587.809868861237</v>
      </c>
      <c r="I805" t="b">
        <f t="shared" si="51"/>
        <v>0</v>
      </c>
    </row>
    <row r="806" spans="1:9">
      <c r="A806" s="1">
        <v>46009.620138888888</v>
      </c>
      <c r="B806" s="5">
        <f>_xlfn.XLOOKUP(A806,Banks!A:A,Banks!H:H,0,-1)</f>
        <v>3176.8270553659868</v>
      </c>
      <c r="C806">
        <f>_xlfn.XLOOKUP(A806,Energy!A:A,Energy!H:H,0,-1)</f>
        <v>784.14396431027399</v>
      </c>
      <c r="D806">
        <f t="shared" si="48"/>
        <v>3960.9710196762608</v>
      </c>
      <c r="E806">
        <f>_xlfn.XLOOKUP(A806,Banks!A:A,Banks!I:I,0)</f>
        <v>33666.734716505453</v>
      </c>
      <c r="F806">
        <f>_xlfn.XLOOKUP(A806,Energy!A:A,Energy!I:I,0)</f>
        <v>0</v>
      </c>
      <c r="G806">
        <f t="shared" si="49"/>
        <v>33666.734716505453</v>
      </c>
      <c r="H806">
        <f t="shared" si="50"/>
        <v>29705.763696829192</v>
      </c>
      <c r="I806" t="b">
        <f t="shared" si="51"/>
        <v>0</v>
      </c>
    </row>
    <row r="807" spans="1:9">
      <c r="A807" s="1">
        <v>46009.620833333327</v>
      </c>
      <c r="B807" s="5">
        <f>_xlfn.XLOOKUP(A807,Banks!A:A,Banks!H:H,0,-1)</f>
        <v>3077.171052663999</v>
      </c>
      <c r="C807">
        <f>_xlfn.XLOOKUP(A807,Energy!A:A,Energy!H:H,0,-1)</f>
        <v>784.14396431027399</v>
      </c>
      <c r="D807">
        <f t="shared" si="48"/>
        <v>3861.315016974273</v>
      </c>
      <c r="E807">
        <f>_xlfn.XLOOKUP(A807,Banks!A:A,Banks!I:I,0)</f>
        <v>33690.329256179473</v>
      </c>
      <c r="F807">
        <f>_xlfn.XLOOKUP(A807,Energy!A:A,Energy!I:I,0)</f>
        <v>0</v>
      </c>
      <c r="G807">
        <f t="shared" si="49"/>
        <v>33690.329256179473</v>
      </c>
      <c r="H807">
        <f t="shared" si="50"/>
        <v>29829.0142392052</v>
      </c>
      <c r="I807" t="b">
        <f t="shared" si="51"/>
        <v>0</v>
      </c>
    </row>
    <row r="808" spans="1:9">
      <c r="A808" s="1">
        <v>46009.621527777781</v>
      </c>
      <c r="B808" s="5">
        <f>_xlfn.XLOOKUP(A808,Banks!A:A,Banks!H:H,0,-1)</f>
        <v>3059.3972687321739</v>
      </c>
      <c r="C808">
        <f>_xlfn.XLOOKUP(A808,Energy!A:A,Energy!H:H,0,-1)</f>
        <v>784.14396431027399</v>
      </c>
      <c r="D808">
        <f t="shared" si="48"/>
        <v>3843.5412330424479</v>
      </c>
      <c r="E808">
        <f>_xlfn.XLOOKUP(A808,Banks!A:A,Banks!I:I,0)</f>
        <v>33708.537369500307</v>
      </c>
      <c r="F808">
        <f>_xlfn.XLOOKUP(A808,Energy!A:A,Energy!I:I,0)</f>
        <v>0</v>
      </c>
      <c r="G808">
        <f t="shared" si="49"/>
        <v>33708.537369500307</v>
      </c>
      <c r="H808">
        <f t="shared" si="50"/>
        <v>29864.996136457859</v>
      </c>
      <c r="I808" t="b">
        <f t="shared" si="51"/>
        <v>0</v>
      </c>
    </row>
    <row r="809" spans="1:9">
      <c r="A809" s="1">
        <v>46009.62222222222</v>
      </c>
      <c r="B809" s="5">
        <f>_xlfn.XLOOKUP(A809,Banks!A:A,Banks!H:H,0,-1)</f>
        <v>2916.301053205777</v>
      </c>
      <c r="C809">
        <f>_xlfn.XLOOKUP(A809,Energy!A:A,Energy!H:H,0,-1)</f>
        <v>784.14396431027399</v>
      </c>
      <c r="D809">
        <f t="shared" si="48"/>
        <v>3700.4450175160509</v>
      </c>
      <c r="E809">
        <f>_xlfn.XLOOKUP(A809,Banks!A:A,Banks!I:I,0)</f>
        <v>0</v>
      </c>
      <c r="F809">
        <f>_xlfn.XLOOKUP(A809,Energy!A:A,Energy!I:I,0)</f>
        <v>0</v>
      </c>
      <c r="G809">
        <f t="shared" si="49"/>
        <v>0</v>
      </c>
      <c r="H809">
        <f t="shared" si="50"/>
        <v>-3700.4450175160509</v>
      </c>
      <c r="I809" t="b">
        <f t="shared" si="51"/>
        <v>0</v>
      </c>
    </row>
    <row r="810" spans="1:9">
      <c r="A810" s="1">
        <v>46010.604166666657</v>
      </c>
      <c r="B810" s="5">
        <f>_xlfn.XLOOKUP(A810,Banks!A:A,Banks!H:H,0,-1)</f>
        <v>2916.301053205777</v>
      </c>
      <c r="C810">
        <f>_xlfn.XLOOKUP(A810,Energy!A:A,Energy!H:H,0,-1)</f>
        <v>784.14396431027399</v>
      </c>
      <c r="D810">
        <f t="shared" si="48"/>
        <v>3700.4450175160509</v>
      </c>
      <c r="E810">
        <f>_xlfn.XLOOKUP(A810,Banks!A:A,Banks!I:I,0)</f>
        <v>33508.938904547373</v>
      </c>
      <c r="F810">
        <f>_xlfn.XLOOKUP(A810,Energy!A:A,Energy!I:I,0)</f>
        <v>0</v>
      </c>
      <c r="G810">
        <f t="shared" si="49"/>
        <v>33508.938904547373</v>
      </c>
      <c r="H810">
        <f t="shared" si="50"/>
        <v>29808.49388703132</v>
      </c>
      <c r="I810" t="b">
        <f t="shared" si="51"/>
        <v>0</v>
      </c>
    </row>
    <row r="811" spans="1:9">
      <c r="A811" s="1">
        <v>46010.604861111111</v>
      </c>
      <c r="B811" s="5">
        <f>_xlfn.XLOOKUP(A811,Banks!A:A,Banks!H:H,0,-1)</f>
        <v>2971.9922908807939</v>
      </c>
      <c r="C811">
        <f>_xlfn.XLOOKUP(A811,Energy!A:A,Energy!H:H,0,-1)</f>
        <v>784.14396431027399</v>
      </c>
      <c r="D811">
        <f t="shared" si="48"/>
        <v>3756.1362551910679</v>
      </c>
      <c r="E811">
        <f>_xlfn.XLOOKUP(A811,Banks!A:A,Banks!I:I,0)</f>
        <v>33556.727326170701</v>
      </c>
      <c r="F811">
        <f>_xlfn.XLOOKUP(A811,Energy!A:A,Energy!I:I,0)</f>
        <v>0</v>
      </c>
      <c r="G811">
        <f t="shared" si="49"/>
        <v>33556.727326170701</v>
      </c>
      <c r="H811">
        <f t="shared" si="50"/>
        <v>29800.591070979634</v>
      </c>
      <c r="I811" t="b">
        <f t="shared" si="51"/>
        <v>0</v>
      </c>
    </row>
    <row r="812" spans="1:9">
      <c r="A812" s="1">
        <v>46010.605555555558</v>
      </c>
      <c r="B812" s="5">
        <f>_xlfn.XLOOKUP(A812,Banks!A:A,Banks!H:H,0,-1)</f>
        <v>2955.6429078495348</v>
      </c>
      <c r="C812">
        <f>_xlfn.XLOOKUP(A812,Energy!A:A,Energy!H:H,0,-1)</f>
        <v>784.14396431027399</v>
      </c>
      <c r="D812">
        <f t="shared" si="48"/>
        <v>3739.7868721598088</v>
      </c>
      <c r="E812">
        <f>_xlfn.XLOOKUP(A812,Banks!A:A,Banks!I:I,0)</f>
        <v>33571.782536608618</v>
      </c>
      <c r="F812">
        <f>_xlfn.XLOOKUP(A812,Energy!A:A,Energy!I:I,0)</f>
        <v>0</v>
      </c>
      <c r="G812">
        <f t="shared" si="49"/>
        <v>33571.782536608618</v>
      </c>
      <c r="H812">
        <f t="shared" si="50"/>
        <v>29831.995664448808</v>
      </c>
      <c r="I812" t="b">
        <f t="shared" si="51"/>
        <v>0</v>
      </c>
    </row>
    <row r="813" spans="1:9">
      <c r="A813" s="1">
        <v>46010.606249999997</v>
      </c>
      <c r="B813" s="5">
        <f>_xlfn.XLOOKUP(A813,Banks!A:A,Banks!H:H,0,-1)</f>
        <v>2915.6678052100801</v>
      </c>
      <c r="C813">
        <f>_xlfn.XLOOKUP(A813,Energy!A:A,Energy!H:H,0,-1)</f>
        <v>784.14396431027399</v>
      </c>
      <c r="D813">
        <f t="shared" si="48"/>
        <v>3699.8117695203541</v>
      </c>
      <c r="E813">
        <f>_xlfn.XLOOKUP(A813,Banks!A:A,Banks!I:I,0)</f>
        <v>33607.767724986712</v>
      </c>
      <c r="F813">
        <f>_xlfn.XLOOKUP(A813,Energy!A:A,Energy!I:I,0)</f>
        <v>0</v>
      </c>
      <c r="G813">
        <f t="shared" si="49"/>
        <v>33607.767724986712</v>
      </c>
      <c r="H813">
        <f t="shared" si="50"/>
        <v>29907.955955466357</v>
      </c>
      <c r="I813" t="b">
        <f t="shared" si="51"/>
        <v>0</v>
      </c>
    </row>
    <row r="814" spans="1:9">
      <c r="A814" s="1">
        <v>46010.606944444437</v>
      </c>
      <c r="B814" s="5">
        <f>_xlfn.XLOOKUP(A814,Banks!A:A,Banks!H:H,0,-1)</f>
        <v>2907.4002323661412</v>
      </c>
      <c r="C814">
        <f>_xlfn.XLOOKUP(A814,Energy!A:A,Energy!H:H,0,-1)</f>
        <v>784.14396431027399</v>
      </c>
      <c r="D814">
        <f t="shared" si="48"/>
        <v>3691.5441966764151</v>
      </c>
      <c r="E814">
        <f>_xlfn.XLOOKUP(A814,Banks!A:A,Banks!I:I,0)</f>
        <v>33683.079576003423</v>
      </c>
      <c r="F814">
        <f>_xlfn.XLOOKUP(A814,Energy!A:A,Energy!I:I,0)</f>
        <v>0</v>
      </c>
      <c r="G814">
        <f t="shared" si="49"/>
        <v>33683.079576003423</v>
      </c>
      <c r="H814">
        <f t="shared" si="50"/>
        <v>29991.535379327008</v>
      </c>
      <c r="I814" t="b">
        <f t="shared" si="51"/>
        <v>0</v>
      </c>
    </row>
    <row r="815" spans="1:9">
      <c r="A815" s="1">
        <v>46010.607638888891</v>
      </c>
      <c r="B815" s="5">
        <f>_xlfn.XLOOKUP(A815,Banks!A:A,Banks!H:H,0,-1)</f>
        <v>2845.6856170635788</v>
      </c>
      <c r="C815">
        <f>_xlfn.XLOOKUP(A815,Energy!A:A,Energy!H:H,0,-1)</f>
        <v>784.14396431027399</v>
      </c>
      <c r="D815">
        <f t="shared" si="48"/>
        <v>3629.8295813738528</v>
      </c>
      <c r="E815">
        <f>_xlfn.XLOOKUP(A815,Banks!A:A,Banks!I:I,0)</f>
        <v>33744.037001119563</v>
      </c>
      <c r="F815">
        <f>_xlfn.XLOOKUP(A815,Energy!A:A,Energy!I:I,0)</f>
        <v>0</v>
      </c>
      <c r="G815">
        <f t="shared" si="49"/>
        <v>33744.037001119563</v>
      </c>
      <c r="H815">
        <f t="shared" si="50"/>
        <v>30114.207419745711</v>
      </c>
      <c r="I815" t="b">
        <f t="shared" si="51"/>
        <v>0</v>
      </c>
    </row>
    <row r="816" spans="1:9">
      <c r="A816" s="1">
        <v>46010.60833333333</v>
      </c>
      <c r="B816" s="5">
        <f>_xlfn.XLOOKUP(A816,Banks!A:A,Banks!H:H,0,-1)</f>
        <v>2864.18969824336</v>
      </c>
      <c r="C816">
        <f>_xlfn.XLOOKUP(A816,Energy!A:A,Energy!H:H,0,-1)</f>
        <v>784.14396431027399</v>
      </c>
      <c r="D816">
        <f t="shared" si="48"/>
        <v>3648.333662553634</v>
      </c>
      <c r="E816">
        <f>_xlfn.XLOOKUP(A816,Banks!A:A,Banks!I:I,0)</f>
        <v>33755.067852173182</v>
      </c>
      <c r="F816">
        <f>_xlfn.XLOOKUP(A816,Energy!A:A,Energy!I:I,0)</f>
        <v>0</v>
      </c>
      <c r="G816">
        <f t="shared" si="49"/>
        <v>33755.067852173182</v>
      </c>
      <c r="H816">
        <f t="shared" si="50"/>
        <v>30106.73418961955</v>
      </c>
      <c r="I816" t="b">
        <f t="shared" si="51"/>
        <v>0</v>
      </c>
    </row>
    <row r="817" spans="1:9">
      <c r="A817" s="1">
        <v>46010.609027777777</v>
      </c>
      <c r="B817" s="5">
        <f>_xlfn.XLOOKUP(A817,Banks!A:A,Banks!H:H,0,-1)</f>
        <v>2933.717632529811</v>
      </c>
      <c r="C817">
        <f>_xlfn.XLOOKUP(A817,Energy!A:A,Energy!H:H,0,-1)</f>
        <v>784.14396431027399</v>
      </c>
      <c r="D817">
        <f t="shared" si="48"/>
        <v>3717.861596840085</v>
      </c>
      <c r="E817">
        <f>_xlfn.XLOOKUP(A817,Banks!A:A,Banks!I:I,0)</f>
        <v>33732.323264942133</v>
      </c>
      <c r="F817">
        <f>_xlfn.XLOOKUP(A817,Energy!A:A,Energy!I:I,0)</f>
        <v>0</v>
      </c>
      <c r="G817">
        <f t="shared" si="49"/>
        <v>33732.323264942133</v>
      </c>
      <c r="H817">
        <f t="shared" si="50"/>
        <v>30014.461668102049</v>
      </c>
      <c r="I817" t="b">
        <f t="shared" si="51"/>
        <v>0</v>
      </c>
    </row>
    <row r="818" spans="1:9">
      <c r="A818" s="1">
        <v>46010.609722222223</v>
      </c>
      <c r="B818" s="5">
        <f>_xlfn.XLOOKUP(A818,Banks!A:A,Banks!H:H,0,-1)</f>
        <v>2900.75037526387</v>
      </c>
      <c r="C818">
        <f>_xlfn.XLOOKUP(A818,Energy!A:A,Energy!H:H,0,-1)</f>
        <v>784.14396431027399</v>
      </c>
      <c r="D818">
        <f t="shared" si="48"/>
        <v>3684.8943395741439</v>
      </c>
      <c r="E818">
        <f>_xlfn.XLOOKUP(A818,Banks!A:A,Banks!I:I,0)</f>
        <v>33740.389883124277</v>
      </c>
      <c r="F818">
        <f>_xlfn.XLOOKUP(A818,Energy!A:A,Energy!I:I,0)</f>
        <v>0</v>
      </c>
      <c r="G818">
        <f t="shared" si="49"/>
        <v>33740.389883124277</v>
      </c>
      <c r="H818">
        <f t="shared" si="50"/>
        <v>30055.495543550132</v>
      </c>
      <c r="I818" t="b">
        <f t="shared" si="51"/>
        <v>0</v>
      </c>
    </row>
    <row r="819" spans="1:9">
      <c r="A819" s="1">
        <v>46010.61041666667</v>
      </c>
      <c r="B819" s="5">
        <f>_xlfn.XLOOKUP(A819,Banks!A:A,Banks!H:H,0,-1)</f>
        <v>2936.9530640131229</v>
      </c>
      <c r="C819">
        <f>_xlfn.XLOOKUP(A819,Energy!A:A,Energy!H:H,0,-1)</f>
        <v>784.14396431027399</v>
      </c>
      <c r="D819">
        <f t="shared" si="48"/>
        <v>3721.0970283233969</v>
      </c>
      <c r="E819">
        <f>_xlfn.XLOOKUP(A819,Banks!A:A,Banks!I:I,0)</f>
        <v>33696.320177150483</v>
      </c>
      <c r="F819">
        <f>_xlfn.XLOOKUP(A819,Energy!A:A,Energy!I:I,0)</f>
        <v>0</v>
      </c>
      <c r="G819">
        <f t="shared" si="49"/>
        <v>33696.320177150483</v>
      </c>
      <c r="H819">
        <f t="shared" si="50"/>
        <v>29975.223148827085</v>
      </c>
      <c r="I819" t="b">
        <f t="shared" si="51"/>
        <v>0</v>
      </c>
    </row>
    <row r="820" spans="1:9">
      <c r="A820" s="1">
        <v>46010.611111111109</v>
      </c>
      <c r="B820" s="5">
        <f>_xlfn.XLOOKUP(A820,Banks!A:A,Banks!H:H,0,-1)</f>
        <v>2782.8970369472108</v>
      </c>
      <c r="C820">
        <f>_xlfn.XLOOKUP(A820,Energy!A:A,Energy!H:H,0,-1)</f>
        <v>784.14396431027399</v>
      </c>
      <c r="D820">
        <f t="shared" si="48"/>
        <v>3567.0410012574848</v>
      </c>
      <c r="E820">
        <f>_xlfn.XLOOKUP(A820,Banks!A:A,Banks!I:I,0)</f>
        <v>33716.81921546095</v>
      </c>
      <c r="F820">
        <f>_xlfn.XLOOKUP(A820,Energy!A:A,Energy!I:I,0)</f>
        <v>0</v>
      </c>
      <c r="G820">
        <f t="shared" si="49"/>
        <v>33716.81921546095</v>
      </c>
      <c r="H820">
        <f t="shared" si="50"/>
        <v>30149.778214203463</v>
      </c>
      <c r="I820" t="b">
        <f t="shared" si="51"/>
        <v>0</v>
      </c>
    </row>
    <row r="821" spans="1:9">
      <c r="A821" s="1">
        <v>46010.611805555563</v>
      </c>
      <c r="B821" s="5">
        <f>_xlfn.XLOOKUP(A821,Banks!A:A,Banks!H:H,0,-1)</f>
        <v>2791.433100994595</v>
      </c>
      <c r="C821">
        <f>_xlfn.XLOOKUP(A821,Energy!A:A,Energy!H:H,0,-1)</f>
        <v>784.14396431027399</v>
      </c>
      <c r="D821">
        <f t="shared" si="48"/>
        <v>3575.5770653048689</v>
      </c>
      <c r="E821">
        <f>_xlfn.XLOOKUP(A821,Banks!A:A,Banks!I:I,0)</f>
        <v>33663.551167137943</v>
      </c>
      <c r="F821">
        <f>_xlfn.XLOOKUP(A821,Energy!A:A,Energy!I:I,0)</f>
        <v>0</v>
      </c>
      <c r="G821">
        <f t="shared" si="49"/>
        <v>33663.551167137943</v>
      </c>
      <c r="H821">
        <f t="shared" si="50"/>
        <v>30087.974101833075</v>
      </c>
      <c r="I821" t="b">
        <f t="shared" si="51"/>
        <v>0</v>
      </c>
    </row>
    <row r="822" spans="1:9">
      <c r="A822" s="1">
        <v>46010.612500000003</v>
      </c>
      <c r="B822" s="5">
        <f>_xlfn.XLOOKUP(A822,Banks!A:A,Banks!H:H,0,-1)</f>
        <v>2781.8230721334289</v>
      </c>
      <c r="C822">
        <f>_xlfn.XLOOKUP(A822,Energy!A:A,Energy!H:H,0,-1)</f>
        <v>784.14396431027399</v>
      </c>
      <c r="D822">
        <f t="shared" si="48"/>
        <v>3565.9670364437029</v>
      </c>
      <c r="E822">
        <f>_xlfn.XLOOKUP(A822,Banks!A:A,Banks!I:I,0)</f>
        <v>33628.644004686212</v>
      </c>
      <c r="F822">
        <f>_xlfn.XLOOKUP(A822,Energy!A:A,Energy!I:I,0)</f>
        <v>0</v>
      </c>
      <c r="G822">
        <f t="shared" si="49"/>
        <v>33628.644004686212</v>
      </c>
      <c r="H822">
        <f t="shared" si="50"/>
        <v>30062.676968242507</v>
      </c>
      <c r="I822" t="b">
        <f t="shared" si="51"/>
        <v>0</v>
      </c>
    </row>
    <row r="823" spans="1:9">
      <c r="A823" s="1">
        <v>46010.613194444442</v>
      </c>
      <c r="B823" s="5">
        <f>_xlfn.XLOOKUP(A823,Banks!A:A,Banks!H:H,0,-1)</f>
        <v>2780.1158593239629</v>
      </c>
      <c r="C823">
        <f>_xlfn.XLOOKUP(A823,Energy!A:A,Energy!H:H,0,-1)</f>
        <v>784.14396431027399</v>
      </c>
      <c r="D823">
        <f t="shared" si="48"/>
        <v>3564.2598236342369</v>
      </c>
      <c r="E823">
        <f>_xlfn.XLOOKUP(A823,Banks!A:A,Banks!I:I,0)</f>
        <v>33639.297614350813</v>
      </c>
      <c r="F823">
        <f>_xlfn.XLOOKUP(A823,Energy!A:A,Energy!I:I,0)</f>
        <v>0</v>
      </c>
      <c r="G823">
        <f t="shared" si="49"/>
        <v>33639.297614350813</v>
      </c>
      <c r="H823">
        <f t="shared" si="50"/>
        <v>30075.037790716575</v>
      </c>
      <c r="I823" t="b">
        <f t="shared" si="51"/>
        <v>0</v>
      </c>
    </row>
    <row r="824" spans="1:9">
      <c r="A824" s="1">
        <v>46010.613888888889</v>
      </c>
      <c r="B824" s="5">
        <f>_xlfn.XLOOKUP(A824,Banks!A:A,Banks!H:H,0,-1)</f>
        <v>2758.376346660843</v>
      </c>
      <c r="C824">
        <f>_xlfn.XLOOKUP(A824,Energy!A:A,Energy!H:H,0,-1)</f>
        <v>784.14396431027399</v>
      </c>
      <c r="D824">
        <f t="shared" si="48"/>
        <v>3542.5203109711169</v>
      </c>
      <c r="E824">
        <f>_xlfn.XLOOKUP(A824,Banks!A:A,Banks!I:I,0)</f>
        <v>33664.269851088851</v>
      </c>
      <c r="F824">
        <f>_xlfn.XLOOKUP(A824,Energy!A:A,Energy!I:I,0)</f>
        <v>0</v>
      </c>
      <c r="G824">
        <f t="shared" si="49"/>
        <v>33664.269851088851</v>
      </c>
      <c r="H824">
        <f t="shared" si="50"/>
        <v>30121.749540117733</v>
      </c>
      <c r="I824" t="b">
        <f t="shared" si="51"/>
        <v>0</v>
      </c>
    </row>
    <row r="825" spans="1:9">
      <c r="A825" s="1">
        <v>46010.614583333343</v>
      </c>
      <c r="B825" s="5">
        <f>_xlfn.XLOOKUP(A825,Banks!A:A,Banks!H:H,0,-1)</f>
        <v>2725.3195923270928</v>
      </c>
      <c r="C825">
        <f>_xlfn.XLOOKUP(A825,Energy!A:A,Energy!H:H,0,-1)</f>
        <v>784.14396431027399</v>
      </c>
      <c r="D825">
        <f t="shared" si="48"/>
        <v>3509.4635566373668</v>
      </c>
      <c r="E825">
        <f>_xlfn.XLOOKUP(A825,Banks!A:A,Banks!I:I,0)</f>
        <v>33664.988535039767</v>
      </c>
      <c r="F825">
        <f>_xlfn.XLOOKUP(A825,Energy!A:A,Energy!I:I,0)</f>
        <v>0</v>
      </c>
      <c r="G825">
        <f t="shared" si="49"/>
        <v>33664.988535039767</v>
      </c>
      <c r="H825">
        <f t="shared" si="50"/>
        <v>30155.524978402402</v>
      </c>
      <c r="I825" t="b">
        <f t="shared" si="51"/>
        <v>0</v>
      </c>
    </row>
    <row r="826" spans="1:9">
      <c r="A826" s="1">
        <v>46010.615277777782</v>
      </c>
      <c r="B826" s="5">
        <f>_xlfn.XLOOKUP(A826,Banks!A:A,Banks!H:H,0,-1)</f>
        <v>2809.4001997674982</v>
      </c>
      <c r="C826">
        <f>_xlfn.XLOOKUP(A826,Energy!A:A,Energy!H:H,0,-1)</f>
        <v>784.14396431027399</v>
      </c>
      <c r="D826">
        <f t="shared" si="48"/>
        <v>3593.5441640777722</v>
      </c>
      <c r="E826">
        <f>_xlfn.XLOOKUP(A826,Banks!A:A,Banks!I:I,0)</f>
        <v>33630.49441280419</v>
      </c>
      <c r="F826">
        <f>_xlfn.XLOOKUP(A826,Energy!A:A,Energy!I:I,0)</f>
        <v>0</v>
      </c>
      <c r="G826">
        <f t="shared" si="49"/>
        <v>33630.49441280419</v>
      </c>
      <c r="H826">
        <f t="shared" si="50"/>
        <v>30036.950248726418</v>
      </c>
      <c r="I826" t="b">
        <f t="shared" si="51"/>
        <v>0</v>
      </c>
    </row>
    <row r="827" spans="1:9">
      <c r="A827" s="1">
        <v>46010.615972222222</v>
      </c>
      <c r="B827" s="5">
        <f>_xlfn.XLOOKUP(A827,Banks!A:A,Banks!H:H,0,-1)</f>
        <v>2770.326836327175</v>
      </c>
      <c r="C827">
        <f>_xlfn.XLOOKUP(A827,Energy!A:A,Energy!H:H,0,-1)</f>
        <v>784.14396431027399</v>
      </c>
      <c r="D827">
        <f t="shared" si="48"/>
        <v>3554.470800637449</v>
      </c>
      <c r="E827">
        <f>_xlfn.XLOOKUP(A827,Banks!A:A,Banks!I:I,0)</f>
        <v>33589.694583436627</v>
      </c>
      <c r="F827">
        <f>_xlfn.XLOOKUP(A827,Energy!A:A,Energy!I:I,0)</f>
        <v>0</v>
      </c>
      <c r="G827">
        <f t="shared" si="49"/>
        <v>33589.694583436627</v>
      </c>
      <c r="H827">
        <f t="shared" si="50"/>
        <v>30035.223782799178</v>
      </c>
      <c r="I827" t="b">
        <f t="shared" si="51"/>
        <v>0</v>
      </c>
    </row>
    <row r="828" spans="1:9">
      <c r="A828" s="1">
        <v>46010.616666666669</v>
      </c>
      <c r="B828" s="5">
        <f>_xlfn.XLOOKUP(A828,Banks!A:A,Banks!H:H,0,-1)</f>
        <v>2737.7175673325019</v>
      </c>
      <c r="C828">
        <f>_xlfn.XLOOKUP(A828,Energy!A:A,Energy!H:H,0,-1)</f>
        <v>784.14396431027399</v>
      </c>
      <c r="D828">
        <f t="shared" si="48"/>
        <v>3521.8615316427758</v>
      </c>
      <c r="E828">
        <f>_xlfn.XLOOKUP(A828,Banks!A:A,Banks!I:I,0)</f>
        <v>33627.152938543702</v>
      </c>
      <c r="F828">
        <f>_xlfn.XLOOKUP(A828,Energy!A:A,Energy!I:I,0)</f>
        <v>0</v>
      </c>
      <c r="G828">
        <f t="shared" si="49"/>
        <v>33627.152938543702</v>
      </c>
      <c r="H828">
        <f t="shared" si="50"/>
        <v>30105.291406900928</v>
      </c>
      <c r="I828" t="b">
        <f t="shared" si="51"/>
        <v>0</v>
      </c>
    </row>
    <row r="829" spans="1:9">
      <c r="A829" s="1">
        <v>46010.617361111108</v>
      </c>
      <c r="B829" s="5">
        <f>_xlfn.XLOOKUP(A829,Banks!A:A,Banks!H:H,0,-1)</f>
        <v>2777.961161175404</v>
      </c>
      <c r="C829">
        <f>_xlfn.XLOOKUP(A829,Energy!A:A,Energy!H:H,0,-1)</f>
        <v>784.14396431027399</v>
      </c>
      <c r="D829">
        <f t="shared" si="48"/>
        <v>3562.1051254856779</v>
      </c>
      <c r="E829">
        <f>_xlfn.XLOOKUP(A829,Banks!A:A,Banks!I:I,0)</f>
        <v>33613.211552859277</v>
      </c>
      <c r="F829">
        <f>_xlfn.XLOOKUP(A829,Energy!A:A,Energy!I:I,0)</f>
        <v>0</v>
      </c>
      <c r="G829">
        <f t="shared" si="49"/>
        <v>33613.211552859277</v>
      </c>
      <c r="H829">
        <f t="shared" si="50"/>
        <v>30051.106427373597</v>
      </c>
      <c r="I829" t="b">
        <f t="shared" si="51"/>
        <v>0</v>
      </c>
    </row>
    <row r="830" spans="1:9">
      <c r="A830" s="1">
        <v>46010.618055555547</v>
      </c>
      <c r="B830" s="5">
        <f>_xlfn.XLOOKUP(A830,Banks!A:A,Banks!H:H,0,-1)</f>
        <v>2730.441230755529</v>
      </c>
      <c r="C830">
        <f>_xlfn.XLOOKUP(A830,Energy!A:A,Energy!H:H,0,-1)</f>
        <v>784.14396431027399</v>
      </c>
      <c r="D830">
        <f t="shared" si="48"/>
        <v>3514.585195065803</v>
      </c>
      <c r="E830">
        <f>_xlfn.XLOOKUP(A830,Banks!A:A,Banks!I:I,0)</f>
        <v>33633.027706045963</v>
      </c>
      <c r="F830">
        <f>_xlfn.XLOOKUP(A830,Energy!A:A,Energy!I:I,0)</f>
        <v>0</v>
      </c>
      <c r="G830">
        <f t="shared" si="49"/>
        <v>33633.027706045963</v>
      </c>
      <c r="H830">
        <f t="shared" si="50"/>
        <v>30118.44251098016</v>
      </c>
      <c r="I830" t="b">
        <f t="shared" si="51"/>
        <v>0</v>
      </c>
    </row>
    <row r="831" spans="1:9">
      <c r="A831" s="1">
        <v>46010.618750000001</v>
      </c>
      <c r="B831" s="5">
        <f>_xlfn.XLOOKUP(A831,Banks!A:A,Banks!H:H,0,-1)</f>
        <v>2770.9533158018771</v>
      </c>
      <c r="C831">
        <f>_xlfn.XLOOKUP(A831,Energy!A:A,Energy!H:H,0,-1)</f>
        <v>784.14396431027399</v>
      </c>
      <c r="D831">
        <f t="shared" si="48"/>
        <v>3555.0972801121511</v>
      </c>
      <c r="E831">
        <f>_xlfn.XLOOKUP(A831,Banks!A:A,Banks!I:I,0)</f>
        <v>33641.130123055227</v>
      </c>
      <c r="F831">
        <f>_xlfn.XLOOKUP(A831,Energy!A:A,Energy!I:I,0)</f>
        <v>0</v>
      </c>
      <c r="G831">
        <f t="shared" si="49"/>
        <v>33641.130123055227</v>
      </c>
      <c r="H831">
        <f t="shared" si="50"/>
        <v>30086.032842943077</v>
      </c>
      <c r="I831" t="b">
        <f t="shared" si="51"/>
        <v>0</v>
      </c>
    </row>
    <row r="832" spans="1:9">
      <c r="A832" s="1">
        <v>46010.619444444441</v>
      </c>
      <c r="B832" s="5">
        <f>_xlfn.XLOOKUP(A832,Banks!A:A,Banks!H:H,0,-1)</f>
        <v>2803.4077814641678</v>
      </c>
      <c r="C832">
        <f>_xlfn.XLOOKUP(A832,Energy!A:A,Energy!H:H,0,-1)</f>
        <v>784.14396431027399</v>
      </c>
      <c r="D832">
        <f t="shared" si="48"/>
        <v>3587.5517457744418</v>
      </c>
      <c r="E832">
        <f>_xlfn.XLOOKUP(A832,Banks!A:A,Banks!I:I,0)</f>
        <v>0</v>
      </c>
      <c r="F832">
        <f>_xlfn.XLOOKUP(A832,Energy!A:A,Energy!I:I,0)</f>
        <v>0</v>
      </c>
      <c r="G832">
        <f t="shared" si="49"/>
        <v>0</v>
      </c>
      <c r="H832">
        <f t="shared" si="50"/>
        <v>-3587.5517457744418</v>
      </c>
      <c r="I832" t="b">
        <f t="shared" si="51"/>
        <v>0</v>
      </c>
    </row>
    <row r="833" spans="1:9">
      <c r="A833" s="1">
        <v>46013.688194444447</v>
      </c>
      <c r="B833" s="5">
        <f>_xlfn.XLOOKUP(A833,Banks!A:A,Banks!H:H,0,-1)</f>
        <v>2803.4077814641678</v>
      </c>
      <c r="C833">
        <f>_xlfn.XLOOKUP(A833,Energy!A:A,Energy!H:H,0,-1)</f>
        <v>784.14396431027399</v>
      </c>
      <c r="D833">
        <f t="shared" si="48"/>
        <v>3587.5517457744418</v>
      </c>
      <c r="E833">
        <f>_xlfn.XLOOKUP(A833,Banks!A:A,Banks!I:I,0)</f>
        <v>33508.938904547373</v>
      </c>
      <c r="F833">
        <f>_xlfn.XLOOKUP(A833,Energy!A:A,Energy!I:I,0)</f>
        <v>0</v>
      </c>
      <c r="G833">
        <f t="shared" si="49"/>
        <v>33508.938904547373</v>
      </c>
      <c r="H833">
        <f t="shared" si="50"/>
        <v>29921.38715877293</v>
      </c>
      <c r="I833" t="b">
        <f t="shared" si="51"/>
        <v>0</v>
      </c>
    </row>
    <row r="834" spans="1:9">
      <c r="A834" s="1">
        <v>46013.688888888893</v>
      </c>
      <c r="B834" s="5">
        <f>_xlfn.XLOOKUP(A834,Banks!A:A,Banks!H:H,0,-1)</f>
        <v>2787.3370035542771</v>
      </c>
      <c r="C834">
        <f>_xlfn.XLOOKUP(A834,Energy!A:A,Energy!H:H,0,-1)</f>
        <v>784.14396431027399</v>
      </c>
      <c r="D834">
        <f t="shared" si="48"/>
        <v>3571.4809678645511</v>
      </c>
      <c r="E834">
        <f>_xlfn.XLOOKUP(A834,Banks!A:A,Banks!I:I,0)</f>
        <v>33516.463965002622</v>
      </c>
      <c r="F834">
        <f>_xlfn.XLOOKUP(A834,Energy!A:A,Energy!I:I,0)</f>
        <v>0</v>
      </c>
      <c r="G834">
        <f t="shared" si="49"/>
        <v>33516.463965002622</v>
      </c>
      <c r="H834">
        <f t="shared" si="50"/>
        <v>29944.982997138071</v>
      </c>
      <c r="I834" t="b">
        <f t="shared" si="51"/>
        <v>0</v>
      </c>
    </row>
    <row r="835" spans="1:9">
      <c r="A835" s="1">
        <v>46013.689583333333</v>
      </c>
      <c r="B835" s="5">
        <f>_xlfn.XLOOKUP(A835,Banks!A:A,Banks!H:H,0,-1)</f>
        <v>2762.1900584601749</v>
      </c>
      <c r="C835">
        <f>_xlfn.XLOOKUP(A835,Energy!A:A,Energy!H:H,0,-1)</f>
        <v>784.14396431027399</v>
      </c>
      <c r="D835">
        <f t="shared" ref="D835:D898" si="52">B835+C835</f>
        <v>3546.3340227704489</v>
      </c>
      <c r="E835">
        <f>_xlfn.XLOOKUP(A835,Banks!A:A,Banks!I:I,0)</f>
        <v>33511.434575983803</v>
      </c>
      <c r="F835">
        <f>_xlfn.XLOOKUP(A835,Energy!A:A,Energy!I:I,0)</f>
        <v>0</v>
      </c>
      <c r="G835">
        <f t="shared" ref="G835:G898" si="53">F835+E835</f>
        <v>33511.434575983803</v>
      </c>
      <c r="H835">
        <f t="shared" ref="H835:H898" si="54">G835-D835</f>
        <v>29965.100553213353</v>
      </c>
      <c r="I835" t="b">
        <f t="shared" ref="I835:I898" si="55">AND(E835&gt;0,F835&gt;0)</f>
        <v>0</v>
      </c>
    </row>
    <row r="836" spans="1:9">
      <c r="A836" s="1">
        <v>46013.69027777778</v>
      </c>
      <c r="B836" s="5">
        <f>_xlfn.XLOOKUP(A836,Banks!A:A,Banks!H:H,0,-1)</f>
        <v>2762.2534687034272</v>
      </c>
      <c r="C836">
        <f>_xlfn.XLOOKUP(A836,Energy!A:A,Energy!H:H,0,-1)</f>
        <v>784.14396431027399</v>
      </c>
      <c r="D836">
        <f t="shared" si="52"/>
        <v>3546.3974330137012</v>
      </c>
      <c r="E836">
        <f>_xlfn.XLOOKUP(A836,Banks!A:A,Banks!I:I,0)</f>
        <v>33518.606735390611</v>
      </c>
      <c r="F836">
        <f>_xlfn.XLOOKUP(A836,Energy!A:A,Energy!I:I,0)</f>
        <v>0</v>
      </c>
      <c r="G836">
        <f t="shared" si="53"/>
        <v>33518.606735390611</v>
      </c>
      <c r="H836">
        <f t="shared" si="54"/>
        <v>29972.209302376908</v>
      </c>
      <c r="I836" t="b">
        <f t="shared" si="55"/>
        <v>0</v>
      </c>
    </row>
    <row r="837" spans="1:9">
      <c r="A837" s="1">
        <v>46013.690972222219</v>
      </c>
      <c r="B837" s="5">
        <f>_xlfn.XLOOKUP(A837,Banks!A:A,Banks!H:H,0,-1)</f>
        <v>2760.5523737044568</v>
      </c>
      <c r="C837">
        <f>_xlfn.XLOOKUP(A837,Energy!A:A,Energy!H:H,0,-1)</f>
        <v>784.14396431027399</v>
      </c>
      <c r="D837">
        <f t="shared" si="52"/>
        <v>3544.6963380147308</v>
      </c>
      <c r="E837">
        <f>_xlfn.XLOOKUP(A837,Banks!A:A,Banks!I:I,0)</f>
        <v>33529.005732428042</v>
      </c>
      <c r="F837">
        <f>_xlfn.XLOOKUP(A837,Energy!A:A,Energy!I:I,0)</f>
        <v>0</v>
      </c>
      <c r="G837">
        <f t="shared" si="53"/>
        <v>33529.005732428042</v>
      </c>
      <c r="H837">
        <f t="shared" si="54"/>
        <v>29984.309394413311</v>
      </c>
      <c r="I837" t="b">
        <f t="shared" si="55"/>
        <v>0</v>
      </c>
    </row>
    <row r="838" spans="1:9">
      <c r="A838" s="1">
        <v>46013.691666666673</v>
      </c>
      <c r="B838" s="5">
        <f>_xlfn.XLOOKUP(A838,Banks!A:A,Banks!H:H,0,-1)</f>
        <v>2787.3370035542771</v>
      </c>
      <c r="C838">
        <f>_xlfn.XLOOKUP(A838,Energy!A:A,Energy!H:H,0,-1)</f>
        <v>784.14396431027399</v>
      </c>
      <c r="D838">
        <f t="shared" si="52"/>
        <v>3571.4809678645511</v>
      </c>
      <c r="E838">
        <f>_xlfn.XLOOKUP(A838,Banks!A:A,Banks!I:I,0)</f>
        <v>33516.463965002622</v>
      </c>
      <c r="F838">
        <f>_xlfn.XLOOKUP(A838,Energy!A:A,Energy!I:I,0)</f>
        <v>0</v>
      </c>
      <c r="G838">
        <f t="shared" si="53"/>
        <v>33516.463965002622</v>
      </c>
      <c r="H838">
        <f t="shared" si="54"/>
        <v>29944.982997138071</v>
      </c>
      <c r="I838" t="b">
        <f t="shared" si="55"/>
        <v>0</v>
      </c>
    </row>
    <row r="839" spans="1:9">
      <c r="A839" s="1">
        <v>46013.692361111112</v>
      </c>
      <c r="B839" s="5">
        <f>_xlfn.XLOOKUP(A839,Banks!A:A,Banks!H:H,0,-1)</f>
        <v>2772.967320643359</v>
      </c>
      <c r="C839">
        <f>_xlfn.XLOOKUP(A839,Energy!A:A,Energy!H:H,0,-1)</f>
        <v>784.14396431027399</v>
      </c>
      <c r="D839">
        <f t="shared" si="52"/>
        <v>3557.111284953633</v>
      </c>
      <c r="E839">
        <f>_xlfn.XLOOKUP(A839,Banks!A:A,Banks!I:I,0)</f>
        <v>33513.59002842044</v>
      </c>
      <c r="F839">
        <f>_xlfn.XLOOKUP(A839,Energy!A:A,Energy!I:I,0)</f>
        <v>0</v>
      </c>
      <c r="G839">
        <f t="shared" si="53"/>
        <v>33513.59002842044</v>
      </c>
      <c r="H839">
        <f t="shared" si="54"/>
        <v>29956.478743466807</v>
      </c>
      <c r="I839" t="b">
        <f t="shared" si="55"/>
        <v>0</v>
      </c>
    </row>
    <row r="840" spans="1:9">
      <c r="A840" s="1">
        <v>46013.693055555559</v>
      </c>
      <c r="B840" s="5">
        <f>_xlfn.XLOOKUP(A840,Banks!A:A,Banks!H:H,0,-1)</f>
        <v>2724.628166427181</v>
      </c>
      <c r="C840">
        <f>_xlfn.XLOOKUP(A840,Energy!A:A,Energy!H:H,0,-1)</f>
        <v>784.14396431027399</v>
      </c>
      <c r="D840">
        <f t="shared" si="52"/>
        <v>3508.772130737455</v>
      </c>
      <c r="E840">
        <f>_xlfn.XLOOKUP(A840,Banks!A:A,Banks!I:I,0)</f>
        <v>33521.820890972587</v>
      </c>
      <c r="F840">
        <f>_xlfn.XLOOKUP(A840,Energy!A:A,Energy!I:I,0)</f>
        <v>0</v>
      </c>
      <c r="G840">
        <f t="shared" si="53"/>
        <v>33521.820890972587</v>
      </c>
      <c r="H840">
        <f t="shared" si="54"/>
        <v>30013.048760235131</v>
      </c>
      <c r="I840" t="b">
        <f t="shared" si="55"/>
        <v>0</v>
      </c>
    </row>
    <row r="841" spans="1:9">
      <c r="A841" s="1">
        <v>46013.693749999999</v>
      </c>
      <c r="B841" s="5">
        <f>_xlfn.XLOOKUP(A841,Banks!A:A,Banks!H:H,0,-1)</f>
        <v>2733.6409233681288</v>
      </c>
      <c r="C841">
        <f>_xlfn.XLOOKUP(A841,Energy!A:A,Energy!H:H,0,-1)</f>
        <v>784.14396431027399</v>
      </c>
      <c r="D841">
        <f t="shared" si="52"/>
        <v>3517.7848876784028</v>
      </c>
      <c r="E841">
        <f>_xlfn.XLOOKUP(A841,Banks!A:A,Banks!I:I,0)</f>
        <v>33527.203181039848</v>
      </c>
      <c r="F841">
        <f>_xlfn.XLOOKUP(A841,Energy!A:A,Energy!I:I,0)</f>
        <v>0</v>
      </c>
      <c r="G841">
        <f t="shared" si="53"/>
        <v>33527.203181039848</v>
      </c>
      <c r="H841">
        <f t="shared" si="54"/>
        <v>30009.418293361443</v>
      </c>
      <c r="I841" t="b">
        <f t="shared" si="55"/>
        <v>0</v>
      </c>
    </row>
    <row r="842" spans="1:9">
      <c r="A842" s="1">
        <v>46013.694444444453</v>
      </c>
      <c r="B842" s="5">
        <f>_xlfn.XLOOKUP(A842,Banks!A:A,Banks!H:H,0,-1)</f>
        <v>2728.2839973981581</v>
      </c>
      <c r="C842">
        <f>_xlfn.XLOOKUP(A842,Energy!A:A,Energy!H:H,0,-1)</f>
        <v>784.14396431027399</v>
      </c>
      <c r="D842">
        <f t="shared" si="52"/>
        <v>3512.4279617084321</v>
      </c>
      <c r="E842">
        <f>_xlfn.XLOOKUP(A842,Banks!A:A,Banks!I:I,0)</f>
        <v>33529.711534524933</v>
      </c>
      <c r="F842">
        <f>_xlfn.XLOOKUP(A842,Energy!A:A,Energy!I:I,0)</f>
        <v>0</v>
      </c>
      <c r="G842">
        <f t="shared" si="53"/>
        <v>33529.711534524933</v>
      </c>
      <c r="H842">
        <f t="shared" si="54"/>
        <v>30017.283572816501</v>
      </c>
      <c r="I842" t="b">
        <f t="shared" si="55"/>
        <v>0</v>
      </c>
    </row>
    <row r="843" spans="1:9">
      <c r="A843" s="1">
        <v>46013.695138888892</v>
      </c>
      <c r="B843" s="5">
        <f>_xlfn.XLOOKUP(A843,Banks!A:A,Banks!H:H,0,-1)</f>
        <v>2766.036120160933</v>
      </c>
      <c r="C843">
        <f>_xlfn.XLOOKUP(A843,Energy!A:A,Energy!H:H,0,-1)</f>
        <v>784.14396431027399</v>
      </c>
      <c r="D843">
        <f t="shared" si="52"/>
        <v>3550.180084471207</v>
      </c>
      <c r="E843">
        <f>_xlfn.XLOOKUP(A843,Banks!A:A,Banks!I:I,0)</f>
        <v>33540.841697756558</v>
      </c>
      <c r="F843">
        <f>_xlfn.XLOOKUP(A843,Energy!A:A,Energy!I:I,0)</f>
        <v>0</v>
      </c>
      <c r="G843">
        <f t="shared" si="53"/>
        <v>33540.841697756558</v>
      </c>
      <c r="H843">
        <f t="shared" si="54"/>
        <v>29990.661613285352</v>
      </c>
      <c r="I843" t="b">
        <f t="shared" si="55"/>
        <v>0</v>
      </c>
    </row>
    <row r="844" spans="1:9">
      <c r="A844" s="1">
        <v>46013.695833333331</v>
      </c>
      <c r="B844" s="5">
        <f>_xlfn.XLOOKUP(A844,Banks!A:A,Banks!H:H,0,-1)</f>
        <v>2760.6791941909619</v>
      </c>
      <c r="C844">
        <f>_xlfn.XLOOKUP(A844,Energy!A:A,Energy!H:H,0,-1)</f>
        <v>784.14396431027399</v>
      </c>
      <c r="D844">
        <f t="shared" si="52"/>
        <v>3544.8231585012359</v>
      </c>
      <c r="E844">
        <f>_xlfn.XLOOKUP(A844,Banks!A:A,Banks!I:I,0)</f>
        <v>33543.35005124165</v>
      </c>
      <c r="F844">
        <f>_xlfn.XLOOKUP(A844,Energy!A:A,Energy!I:I,0)</f>
        <v>0</v>
      </c>
      <c r="G844">
        <f t="shared" si="53"/>
        <v>33543.35005124165</v>
      </c>
      <c r="H844">
        <f t="shared" si="54"/>
        <v>29998.526892740414</v>
      </c>
      <c r="I844" t="b">
        <f t="shared" si="55"/>
        <v>0</v>
      </c>
    </row>
    <row r="845" spans="1:9">
      <c r="A845" s="1">
        <v>46013.696527777778</v>
      </c>
      <c r="B845" s="5">
        <f>_xlfn.XLOOKUP(A845,Banks!A:A,Banks!H:H,0,-1)</f>
        <v>2762.4436994332091</v>
      </c>
      <c r="C845">
        <f>_xlfn.XLOOKUP(A845,Energy!A:A,Energy!H:H,0,-1)</f>
        <v>784.14396431027399</v>
      </c>
      <c r="D845">
        <f t="shared" si="52"/>
        <v>3546.5876637434831</v>
      </c>
      <c r="E845">
        <f>_xlfn.XLOOKUP(A845,Banks!A:A,Banks!I:I,0)</f>
        <v>33540.123213611019</v>
      </c>
      <c r="F845">
        <f>_xlfn.XLOOKUP(A845,Energy!A:A,Energy!I:I,0)</f>
        <v>0</v>
      </c>
      <c r="G845">
        <f t="shared" si="53"/>
        <v>33540.123213611019</v>
      </c>
      <c r="H845">
        <f t="shared" si="54"/>
        <v>29993.535549867534</v>
      </c>
      <c r="I845" t="b">
        <f t="shared" si="55"/>
        <v>0</v>
      </c>
    </row>
    <row r="846" spans="1:9">
      <c r="A846" s="1">
        <v>46013.697222222218</v>
      </c>
      <c r="B846" s="5">
        <f>_xlfn.XLOOKUP(A846,Banks!A:A,Banks!H:H,0,-1)</f>
        <v>2776.6865618575989</v>
      </c>
      <c r="C846">
        <f>_xlfn.XLOOKUP(A846,Energy!A:A,Energy!H:H,0,-1)</f>
        <v>784.14396431027399</v>
      </c>
      <c r="D846">
        <f t="shared" si="52"/>
        <v>3560.8305261678729</v>
      </c>
      <c r="E846">
        <f>_xlfn.XLOOKUP(A846,Banks!A:A,Banks!I:I,0)</f>
        <v>33528.652831379593</v>
      </c>
      <c r="F846">
        <f>_xlfn.XLOOKUP(A846,Energy!A:A,Energy!I:I,0)</f>
        <v>0</v>
      </c>
      <c r="G846">
        <f t="shared" si="53"/>
        <v>33528.652831379593</v>
      </c>
      <c r="H846">
        <f t="shared" si="54"/>
        <v>29967.822305211721</v>
      </c>
      <c r="I846" t="b">
        <f t="shared" si="55"/>
        <v>0</v>
      </c>
    </row>
    <row r="847" spans="1:9">
      <c r="A847" s="1">
        <v>46013.697916666657</v>
      </c>
      <c r="B847" s="5">
        <f>_xlfn.XLOOKUP(A847,Banks!A:A,Banks!H:H,0,-1)</f>
        <v>2744.6718265243362</v>
      </c>
      <c r="C847">
        <f>_xlfn.XLOOKUP(A847,Energy!A:A,Energy!H:H,0,-1)</f>
        <v>784.14396431027399</v>
      </c>
      <c r="D847">
        <f t="shared" si="52"/>
        <v>3528.8157908346102</v>
      </c>
      <c r="E847">
        <f>_xlfn.XLOOKUP(A847,Banks!A:A,Banks!I:I,0)</f>
        <v>33558.047271103707</v>
      </c>
      <c r="F847">
        <f>_xlfn.XLOOKUP(A847,Energy!A:A,Energy!I:I,0)</f>
        <v>0</v>
      </c>
      <c r="G847">
        <f t="shared" si="53"/>
        <v>33558.047271103707</v>
      </c>
      <c r="H847">
        <f t="shared" si="54"/>
        <v>30029.231480269096</v>
      </c>
      <c r="I847" t="b">
        <f t="shared" si="55"/>
        <v>0</v>
      </c>
    </row>
    <row r="848" spans="1:9">
      <c r="A848" s="1">
        <v>46013.698611111111</v>
      </c>
      <c r="B848" s="5">
        <f>_xlfn.XLOOKUP(A848,Banks!A:A,Banks!H:H,0,-1)</f>
        <v>2766.036120160933</v>
      </c>
      <c r="C848">
        <f>_xlfn.XLOOKUP(A848,Energy!A:A,Energy!H:H,0,-1)</f>
        <v>784.14396431027399</v>
      </c>
      <c r="D848">
        <f t="shared" si="52"/>
        <v>3550.180084471207</v>
      </c>
      <c r="E848">
        <f>_xlfn.XLOOKUP(A848,Banks!A:A,Banks!I:I,0)</f>
        <v>33540.841697756558</v>
      </c>
      <c r="F848">
        <f>_xlfn.XLOOKUP(A848,Energy!A:A,Energy!I:I,0)</f>
        <v>0</v>
      </c>
      <c r="G848">
        <f t="shared" si="53"/>
        <v>33540.841697756558</v>
      </c>
      <c r="H848">
        <f t="shared" si="54"/>
        <v>29990.661613285352</v>
      </c>
      <c r="I848" t="b">
        <f t="shared" si="55"/>
        <v>0</v>
      </c>
    </row>
    <row r="849" spans="1:9">
      <c r="A849" s="1">
        <v>46013.699305555558</v>
      </c>
      <c r="B849" s="5">
        <f>_xlfn.XLOOKUP(A849,Banks!A:A,Banks!H:H,0,-1)</f>
        <v>2739.696424216283</v>
      </c>
      <c r="C849">
        <f>_xlfn.XLOOKUP(A849,Energy!A:A,Energy!H:H,0,-1)</f>
        <v>784.14396431027399</v>
      </c>
      <c r="D849">
        <f t="shared" si="52"/>
        <v>3523.840388526557</v>
      </c>
      <c r="E849">
        <f>_xlfn.XLOOKUP(A849,Banks!A:A,Banks!I:I,0)</f>
        <v>0</v>
      </c>
      <c r="F849">
        <f>_xlfn.XLOOKUP(A849,Energy!A:A,Energy!I:I,0)</f>
        <v>0</v>
      </c>
      <c r="G849">
        <f t="shared" si="53"/>
        <v>0</v>
      </c>
      <c r="H849">
        <f t="shared" si="54"/>
        <v>-3523.840388526557</v>
      </c>
      <c r="I849" t="b">
        <f t="shared" si="55"/>
        <v>0</v>
      </c>
    </row>
    <row r="850" spans="1:9">
      <c r="A850" s="1">
        <v>46013.768750000003</v>
      </c>
      <c r="B850" s="5">
        <f>_xlfn.XLOOKUP(A850,Banks!A:A,Banks!H:H,0,-1)</f>
        <v>2739.696424216283</v>
      </c>
      <c r="C850">
        <f>_xlfn.XLOOKUP(A850,Energy!A:A,Energy!H:H,0,-1)</f>
        <v>784.14396431027399</v>
      </c>
      <c r="D850">
        <f t="shared" si="52"/>
        <v>3523.840388526557</v>
      </c>
      <c r="E850">
        <f>_xlfn.XLOOKUP(A850,Banks!A:A,Banks!I:I,0)</f>
        <v>33508.938904547373</v>
      </c>
      <c r="F850">
        <f>_xlfn.XLOOKUP(A850,Energy!A:A,Energy!I:I,0)</f>
        <v>0</v>
      </c>
      <c r="G850">
        <f t="shared" si="53"/>
        <v>33508.938904547373</v>
      </c>
      <c r="H850">
        <f t="shared" si="54"/>
        <v>29985.098516020815</v>
      </c>
      <c r="I850" t="b">
        <f t="shared" si="55"/>
        <v>0</v>
      </c>
    </row>
    <row r="851" spans="1:9">
      <c r="A851" s="1">
        <v>46013.769444444442</v>
      </c>
      <c r="B851" s="5">
        <f>_xlfn.XLOOKUP(A851,Banks!A:A,Banks!H:H,0,-1)</f>
        <v>2745.0350004057318</v>
      </c>
      <c r="C851">
        <f>_xlfn.XLOOKUP(A851,Energy!A:A,Energy!H:H,0,-1)</f>
        <v>784.14396431027399</v>
      </c>
      <c r="D851">
        <f t="shared" si="52"/>
        <v>3529.1789647160058</v>
      </c>
      <c r="E851">
        <f>_xlfn.XLOOKUP(A851,Banks!A:A,Banks!I:I,0)</f>
        <v>33511.443893846823</v>
      </c>
      <c r="F851">
        <f>_xlfn.XLOOKUP(A851,Energy!A:A,Energy!I:I,0)</f>
        <v>0</v>
      </c>
      <c r="G851">
        <f t="shared" si="53"/>
        <v>33511.443893846823</v>
      </c>
      <c r="H851">
        <f t="shared" si="54"/>
        <v>29982.264929130819</v>
      </c>
      <c r="I851" t="b">
        <f t="shared" si="55"/>
        <v>0</v>
      </c>
    </row>
    <row r="852" spans="1:9">
      <c r="A852" s="1">
        <v>46013.770138888889</v>
      </c>
      <c r="B852" s="5">
        <f>_xlfn.XLOOKUP(A852,Banks!A:A,Banks!H:H,0,-1)</f>
        <v>2718.23971637572</v>
      </c>
      <c r="C852">
        <f>_xlfn.XLOOKUP(A852,Energy!A:A,Energy!H:H,0,-1)</f>
        <v>784.14396431027399</v>
      </c>
      <c r="D852">
        <f t="shared" si="52"/>
        <v>3502.383680685994</v>
      </c>
      <c r="E852">
        <f>_xlfn.XLOOKUP(A852,Banks!A:A,Banks!I:I,0)</f>
        <v>33506.08483704082</v>
      </c>
      <c r="F852">
        <f>_xlfn.XLOOKUP(A852,Energy!A:A,Energy!I:I,0)</f>
        <v>0</v>
      </c>
      <c r="G852">
        <f t="shared" si="53"/>
        <v>33506.08483704082</v>
      </c>
      <c r="H852">
        <f t="shared" si="54"/>
        <v>30003.701156354826</v>
      </c>
      <c r="I852" t="b">
        <f t="shared" si="55"/>
        <v>0</v>
      </c>
    </row>
    <row r="853" spans="1:9">
      <c r="A853" s="1">
        <v>46013.770833333343</v>
      </c>
      <c r="B853" s="5">
        <f>_xlfn.XLOOKUP(A853,Banks!A:A,Banks!H:H,0,-1)</f>
        <v>2710.9509429851951</v>
      </c>
      <c r="C853">
        <f>_xlfn.XLOOKUP(A853,Energy!A:A,Energy!H:H,0,-1)</f>
        <v>784.14396431027399</v>
      </c>
      <c r="D853">
        <f t="shared" si="52"/>
        <v>3495.0949072954691</v>
      </c>
      <c r="E853">
        <f>_xlfn.XLOOKUP(A853,Banks!A:A,Banks!I:I,0)</f>
        <v>33514.688000793591</v>
      </c>
      <c r="F853">
        <f>_xlfn.XLOOKUP(A853,Energy!A:A,Energy!I:I,0)</f>
        <v>0</v>
      </c>
      <c r="G853">
        <f t="shared" si="53"/>
        <v>33514.688000793591</v>
      </c>
      <c r="H853">
        <f t="shared" si="54"/>
        <v>30019.593093498122</v>
      </c>
      <c r="I853" t="b">
        <f t="shared" si="55"/>
        <v>0</v>
      </c>
    </row>
    <row r="854" spans="1:9">
      <c r="A854" s="1">
        <v>46013.771527777782</v>
      </c>
      <c r="B854" s="5">
        <f>_xlfn.XLOOKUP(A854,Banks!A:A,Banks!H:H,0,-1)</f>
        <v>2709.2055519496412</v>
      </c>
      <c r="C854">
        <f>_xlfn.XLOOKUP(A854,Energy!A:A,Energy!H:H,0,-1)</f>
        <v>784.14396431027399</v>
      </c>
      <c r="D854">
        <f t="shared" si="52"/>
        <v>3493.3495162599152</v>
      </c>
      <c r="E854">
        <f>_xlfn.XLOOKUP(A854,Banks!A:A,Banks!I:I,0)</f>
        <v>33511.464374463358</v>
      </c>
      <c r="F854">
        <f>_xlfn.XLOOKUP(A854,Energy!A:A,Energy!I:I,0)</f>
        <v>0</v>
      </c>
      <c r="G854">
        <f t="shared" si="53"/>
        <v>33511.464374463358</v>
      </c>
      <c r="H854">
        <f t="shared" si="54"/>
        <v>30018.114858203444</v>
      </c>
      <c r="I854" t="b">
        <f t="shared" si="55"/>
        <v>0</v>
      </c>
    </row>
    <row r="855" spans="1:9">
      <c r="A855" s="1">
        <v>46013.772222222222</v>
      </c>
      <c r="B855" s="5">
        <f>_xlfn.XLOOKUP(A855,Banks!A:A,Banks!H:H,0,-1)</f>
        <v>2725.1188774352349</v>
      </c>
      <c r="C855">
        <f>_xlfn.XLOOKUP(A855,Energy!A:A,Energy!H:H,0,-1)</f>
        <v>784.14396431027399</v>
      </c>
      <c r="D855">
        <f t="shared" si="52"/>
        <v>3509.2628417455089</v>
      </c>
      <c r="E855">
        <f>_xlfn.XLOOKUP(A855,Banks!A:A,Banks!I:I,0)</f>
        <v>33526.145232052921</v>
      </c>
      <c r="F855">
        <f>_xlfn.XLOOKUP(A855,Energy!A:A,Energy!I:I,0)</f>
        <v>0</v>
      </c>
      <c r="G855">
        <f t="shared" si="53"/>
        <v>33526.145232052921</v>
      </c>
      <c r="H855">
        <f t="shared" si="54"/>
        <v>30016.882390307412</v>
      </c>
      <c r="I855" t="b">
        <f t="shared" si="55"/>
        <v>0</v>
      </c>
    </row>
    <row r="856" spans="1:9">
      <c r="A856" s="1">
        <v>46013.772916666669</v>
      </c>
      <c r="B856" s="5">
        <f>_xlfn.XLOOKUP(A856,Banks!A:A,Banks!H:H,0,-1)</f>
        <v>2760.948325891336</v>
      </c>
      <c r="C856">
        <f>_xlfn.XLOOKUP(A856,Energy!A:A,Energy!H:H,0,-1)</f>
        <v>784.14396431027399</v>
      </c>
      <c r="D856">
        <f t="shared" si="52"/>
        <v>3545.09229020161</v>
      </c>
      <c r="E856">
        <f>_xlfn.XLOOKUP(A856,Banks!A:A,Banks!I:I,0)</f>
        <v>33526.124751436371</v>
      </c>
      <c r="F856">
        <f>_xlfn.XLOOKUP(A856,Energy!A:A,Energy!I:I,0)</f>
        <v>0</v>
      </c>
      <c r="G856">
        <f t="shared" si="53"/>
        <v>33526.124751436371</v>
      </c>
      <c r="H856">
        <f t="shared" si="54"/>
        <v>29981.032461234761</v>
      </c>
      <c r="I856" t="b">
        <f t="shared" si="55"/>
        <v>0</v>
      </c>
    </row>
    <row r="857" spans="1:9">
      <c r="A857" s="1">
        <v>46013.773611111108</v>
      </c>
      <c r="B857" s="5">
        <f>_xlfn.XLOOKUP(A857,Banks!A:A,Banks!H:H,0,-1)</f>
        <v>2759.2029348557721</v>
      </c>
      <c r="C857">
        <f>_xlfn.XLOOKUP(A857,Energy!A:A,Energy!H:H,0,-1)</f>
        <v>784.14396431027399</v>
      </c>
      <c r="D857">
        <f t="shared" si="52"/>
        <v>3543.3468991660461</v>
      </c>
      <c r="E857">
        <f>_xlfn.XLOOKUP(A857,Banks!A:A,Banks!I:I,0)</f>
        <v>33522.901125106153</v>
      </c>
      <c r="F857">
        <f>_xlfn.XLOOKUP(A857,Energy!A:A,Energy!I:I,0)</f>
        <v>0</v>
      </c>
      <c r="G857">
        <f t="shared" si="53"/>
        <v>33522.901125106153</v>
      </c>
      <c r="H857">
        <f t="shared" si="54"/>
        <v>29979.554225940108</v>
      </c>
      <c r="I857" t="b">
        <f t="shared" si="55"/>
        <v>0</v>
      </c>
    </row>
    <row r="858" spans="1:9">
      <c r="A858" s="1">
        <v>46013.774305555547</v>
      </c>
      <c r="B858" s="5">
        <f>_xlfn.XLOOKUP(A858,Banks!A:A,Banks!H:H,0,-1)</f>
        <v>2723.5782925651788</v>
      </c>
      <c r="C858">
        <f>_xlfn.XLOOKUP(A858,Energy!A:A,Energy!H:H,0,-1)</f>
        <v>784.14396431027399</v>
      </c>
      <c r="D858">
        <f t="shared" si="52"/>
        <v>3507.7222568754528</v>
      </c>
      <c r="E858">
        <f>_xlfn.XLOOKUP(A858,Banks!A:A,Banks!I:I,0)</f>
        <v>33508.589826340263</v>
      </c>
      <c r="F858">
        <f>_xlfn.XLOOKUP(A858,Energy!A:A,Energy!I:I,0)</f>
        <v>0</v>
      </c>
      <c r="G858">
        <f t="shared" si="53"/>
        <v>33508.589826340263</v>
      </c>
      <c r="H858">
        <f t="shared" si="54"/>
        <v>30000.867569464812</v>
      </c>
      <c r="I858" t="b">
        <f t="shared" si="55"/>
        <v>0</v>
      </c>
    </row>
    <row r="859" spans="1:9">
      <c r="A859" s="1">
        <v>46013.775000000001</v>
      </c>
      <c r="B859" s="5">
        <f>_xlfn.XLOOKUP(A859,Banks!A:A,Banks!H:H,0,-1)</f>
        <v>2712.901140186284</v>
      </c>
      <c r="C859">
        <f>_xlfn.XLOOKUP(A859,Energy!A:A,Energy!H:H,0,-1)</f>
        <v>784.14396431027399</v>
      </c>
      <c r="D859">
        <f t="shared" si="52"/>
        <v>3497.045104496558</v>
      </c>
      <c r="E859">
        <f>_xlfn.XLOOKUP(A859,Banks!A:A,Banks!I:I,0)</f>
        <v>33503.57984774137</v>
      </c>
      <c r="F859">
        <f>_xlfn.XLOOKUP(A859,Energy!A:A,Energy!I:I,0)</f>
        <v>0</v>
      </c>
      <c r="G859">
        <f t="shared" si="53"/>
        <v>33503.57984774137</v>
      </c>
      <c r="H859">
        <f t="shared" si="54"/>
        <v>30006.534743244811</v>
      </c>
      <c r="I859" t="b">
        <f t="shared" si="55"/>
        <v>0</v>
      </c>
    </row>
    <row r="860" spans="1:9">
      <c r="A860" s="1">
        <v>46013.775694444441</v>
      </c>
      <c r="B860" s="5">
        <f>_xlfn.XLOOKUP(A860,Banks!A:A,Banks!H:H,0,-1)</f>
        <v>2702.019181641866</v>
      </c>
      <c r="C860">
        <f>_xlfn.XLOOKUP(A860,Energy!A:A,Energy!H:H,0,-1)</f>
        <v>784.14396431027399</v>
      </c>
      <c r="D860">
        <f t="shared" si="52"/>
        <v>3486.16314595214</v>
      </c>
      <c r="E860">
        <f>_xlfn.XLOOKUP(A860,Banks!A:A,Banks!I:I,0)</f>
        <v>33512.901648524923</v>
      </c>
      <c r="F860">
        <f>_xlfn.XLOOKUP(A860,Energy!A:A,Energy!I:I,0)</f>
        <v>0</v>
      </c>
      <c r="G860">
        <f t="shared" si="53"/>
        <v>33512.901648524923</v>
      </c>
      <c r="H860">
        <f t="shared" si="54"/>
        <v>30026.738502572782</v>
      </c>
      <c r="I860" t="b">
        <f t="shared" si="55"/>
        <v>0</v>
      </c>
    </row>
    <row r="861" spans="1:9">
      <c r="A861" s="1">
        <v>46013.776388888888</v>
      </c>
      <c r="B861" s="5">
        <f>_xlfn.XLOOKUP(A861,Banks!A:A,Banks!H:H,0,-1)</f>
        <v>2743.1872062874172</v>
      </c>
      <c r="C861">
        <f>_xlfn.XLOOKUP(A861,Energy!A:A,Energy!H:H,0,-1)</f>
        <v>784.14396431027399</v>
      </c>
      <c r="D861">
        <f t="shared" si="52"/>
        <v>3527.3311705976912</v>
      </c>
      <c r="E861">
        <f>_xlfn.XLOOKUP(A861,Banks!A:A,Banks!I:I,0)</f>
        <v>33515.386157207817</v>
      </c>
      <c r="F861">
        <f>_xlfn.XLOOKUP(A861,Energy!A:A,Energy!I:I,0)</f>
        <v>0</v>
      </c>
      <c r="G861">
        <f t="shared" si="53"/>
        <v>33515.386157207817</v>
      </c>
      <c r="H861">
        <f t="shared" si="54"/>
        <v>29988.054986610125</v>
      </c>
      <c r="I861" t="b">
        <f t="shared" si="55"/>
        <v>0</v>
      </c>
    </row>
    <row r="862" spans="1:9">
      <c r="A862" s="1">
        <v>46013.777083333327</v>
      </c>
      <c r="B862" s="5">
        <f>_xlfn.XLOOKUP(A862,Banks!A:A,Banks!H:H,0,-1)</f>
        <v>2739.5940211335351</v>
      </c>
      <c r="C862">
        <f>_xlfn.XLOOKUP(A862,Energy!A:A,Energy!H:H,0,-1)</f>
        <v>784.14396431027399</v>
      </c>
      <c r="D862">
        <f t="shared" si="52"/>
        <v>3523.7379854438091</v>
      </c>
      <c r="E862">
        <f>_xlfn.XLOOKUP(A862,Banks!A:A,Banks!I:I,0)</f>
        <v>33516.104794238592</v>
      </c>
      <c r="F862">
        <f>_xlfn.XLOOKUP(A862,Energy!A:A,Energy!I:I,0)</f>
        <v>0</v>
      </c>
      <c r="G862">
        <f t="shared" si="53"/>
        <v>33516.104794238592</v>
      </c>
      <c r="H862">
        <f t="shared" si="54"/>
        <v>29992.366808794784</v>
      </c>
      <c r="I862" t="b">
        <f t="shared" si="55"/>
        <v>0</v>
      </c>
    </row>
    <row r="863" spans="1:9">
      <c r="A863" s="1">
        <v>46013.777777777781</v>
      </c>
      <c r="B863" s="5">
        <f>_xlfn.XLOOKUP(A863,Banks!A:A,Banks!H:H,0,-1)</f>
        <v>2739.696424216283</v>
      </c>
      <c r="C863">
        <f>_xlfn.XLOOKUP(A863,Energy!A:A,Energy!H:H,0,-1)</f>
        <v>784.14396431027399</v>
      </c>
      <c r="D863">
        <f t="shared" si="52"/>
        <v>3523.840388526557</v>
      </c>
      <c r="E863">
        <f>_xlfn.XLOOKUP(A863,Banks!A:A,Banks!I:I,0)</f>
        <v>33508.938904547373</v>
      </c>
      <c r="F863">
        <f>_xlfn.XLOOKUP(A863,Energy!A:A,Energy!I:I,0)</f>
        <v>0</v>
      </c>
      <c r="G863">
        <f t="shared" si="53"/>
        <v>33508.938904547373</v>
      </c>
      <c r="H863">
        <f t="shared" si="54"/>
        <v>29985.098516020815</v>
      </c>
      <c r="I863" t="b">
        <f t="shared" si="55"/>
        <v>0</v>
      </c>
    </row>
    <row r="864" spans="1:9">
      <c r="A864" s="1">
        <v>46013.77847222222</v>
      </c>
      <c r="B864" s="5">
        <f>_xlfn.XLOOKUP(A864,Banks!A:A,Banks!H:H,0,-1)</f>
        <v>2748.6281855596239</v>
      </c>
      <c r="C864">
        <f>_xlfn.XLOOKUP(A864,Energy!A:A,Energy!H:H,0,-1)</f>
        <v>784.14396431027399</v>
      </c>
      <c r="D864">
        <f t="shared" si="52"/>
        <v>3532.7721498698979</v>
      </c>
      <c r="E864">
        <f>_xlfn.XLOOKUP(A864,Banks!A:A,Banks!I:I,0)</f>
        <v>33510.72525681604</v>
      </c>
      <c r="F864">
        <f>_xlfn.XLOOKUP(A864,Energy!A:A,Energy!I:I,0)</f>
        <v>0</v>
      </c>
      <c r="G864">
        <f t="shared" si="53"/>
        <v>33510.72525681604</v>
      </c>
      <c r="H864">
        <f t="shared" si="54"/>
        <v>29977.953106946141</v>
      </c>
      <c r="I864" t="b">
        <f t="shared" si="55"/>
        <v>0</v>
      </c>
    </row>
    <row r="865" spans="1:9">
      <c r="A865" s="1">
        <v>46013.779166666667</v>
      </c>
      <c r="B865" s="5">
        <f>_xlfn.XLOOKUP(A865,Banks!A:A,Banks!H:H,0,-1)</f>
        <v>2703.9693788429422</v>
      </c>
      <c r="C865">
        <f>_xlfn.XLOOKUP(A865,Energy!A:A,Energy!H:H,0,-1)</f>
        <v>784.14396431027399</v>
      </c>
      <c r="D865">
        <f t="shared" si="52"/>
        <v>3488.1133431532162</v>
      </c>
      <c r="E865">
        <f>_xlfn.XLOOKUP(A865,Banks!A:A,Banks!I:I,0)</f>
        <v>33501.793495472702</v>
      </c>
      <c r="F865">
        <f>_xlfn.XLOOKUP(A865,Energy!A:A,Energy!I:I,0)</f>
        <v>0</v>
      </c>
      <c r="G865">
        <f t="shared" si="53"/>
        <v>33501.793495472702</v>
      </c>
      <c r="H865">
        <f t="shared" si="54"/>
        <v>30013.680152319488</v>
      </c>
      <c r="I865" t="b">
        <f t="shared" si="55"/>
        <v>0</v>
      </c>
    </row>
    <row r="866" spans="1:9">
      <c r="A866" s="1">
        <v>46013.779861111107</v>
      </c>
      <c r="B866" s="5">
        <f>_xlfn.XLOOKUP(A866,Banks!A:A,Banks!H:H,0,-1)</f>
        <v>2707.664967079585</v>
      </c>
      <c r="C866">
        <f>_xlfn.XLOOKUP(A866,Energy!A:A,Energy!H:H,0,-1)</f>
        <v>784.14396431027399</v>
      </c>
      <c r="D866">
        <f t="shared" si="52"/>
        <v>3491.808931389859</v>
      </c>
      <c r="E866">
        <f>_xlfn.XLOOKUP(A866,Banks!A:A,Banks!I:I,0)</f>
        <v>33493.9089687507</v>
      </c>
      <c r="F866">
        <f>_xlfn.XLOOKUP(A866,Energy!A:A,Energy!I:I,0)</f>
        <v>0</v>
      </c>
      <c r="G866">
        <f t="shared" si="53"/>
        <v>33493.9089687507</v>
      </c>
      <c r="H866">
        <f t="shared" si="54"/>
        <v>30002.10003736084</v>
      </c>
      <c r="I866" t="b">
        <f t="shared" si="55"/>
        <v>0</v>
      </c>
    </row>
    <row r="867" spans="1:9">
      <c r="A867" s="1">
        <v>46013.780555555553</v>
      </c>
      <c r="B867" s="5">
        <f>_xlfn.XLOOKUP(A867,Banks!A:A,Banks!H:H,0,-1)</f>
        <v>2713.0035432690211</v>
      </c>
      <c r="C867">
        <f>_xlfn.XLOOKUP(A867,Energy!A:A,Energy!H:H,0,-1)</f>
        <v>784.14396431027399</v>
      </c>
      <c r="D867">
        <f t="shared" si="52"/>
        <v>3497.1475075792951</v>
      </c>
      <c r="E867">
        <f>_xlfn.XLOOKUP(A867,Banks!A:A,Banks!I:I,0)</f>
        <v>33496.413958050151</v>
      </c>
      <c r="F867">
        <f>_xlfn.XLOOKUP(A867,Energy!A:A,Energy!I:I,0)</f>
        <v>0</v>
      </c>
      <c r="G867">
        <f t="shared" si="53"/>
        <v>33496.413958050151</v>
      </c>
      <c r="H867">
        <f t="shared" si="54"/>
        <v>29999.266450470855</v>
      </c>
      <c r="I867" t="b">
        <f t="shared" si="55"/>
        <v>0</v>
      </c>
    </row>
    <row r="868" spans="1:9">
      <c r="A868" s="1">
        <v>46013.78125</v>
      </c>
      <c r="B868" s="5">
        <f>_xlfn.XLOOKUP(A868,Banks!A:A,Banks!H:H,0,-1)</f>
        <v>2689.9038474756521</v>
      </c>
      <c r="C868">
        <f>_xlfn.XLOOKUP(A868,Energy!A:A,Energy!H:H,0,-1)</f>
        <v>784.14396431027399</v>
      </c>
      <c r="D868">
        <f t="shared" si="52"/>
        <v>3474.0478117859261</v>
      </c>
      <c r="E868">
        <f>_xlfn.XLOOKUP(A868,Banks!A:A,Banks!I:I,0)</f>
        <v>33483.170374522153</v>
      </c>
      <c r="F868">
        <f>_xlfn.XLOOKUP(A868,Energy!A:A,Energy!I:I,0)</f>
        <v>0</v>
      </c>
      <c r="G868">
        <f t="shared" si="53"/>
        <v>33483.170374522153</v>
      </c>
      <c r="H868">
        <f t="shared" si="54"/>
        <v>30009.122562736226</v>
      </c>
      <c r="I868" t="b">
        <f t="shared" si="55"/>
        <v>0</v>
      </c>
    </row>
    <row r="869" spans="1:9">
      <c r="A869" s="1">
        <v>46013.781944444447</v>
      </c>
      <c r="B869" s="5">
        <f>_xlfn.XLOOKUP(A869,Banks!A:A,Banks!H:H,0,-1)</f>
        <v>2650.6860200311671</v>
      </c>
      <c r="C869">
        <f>_xlfn.XLOOKUP(A869,Energy!A:A,Energy!H:H,0,-1)</f>
        <v>784.14396431027399</v>
      </c>
      <c r="D869">
        <f t="shared" si="52"/>
        <v>3434.8299843414411</v>
      </c>
      <c r="E869">
        <f>_xlfn.XLOOKUP(A869,Banks!A:A,Banks!I:I,0)</f>
        <v>33469.577712787039</v>
      </c>
      <c r="F869">
        <f>_xlfn.XLOOKUP(A869,Energy!A:A,Energy!I:I,0)</f>
        <v>0</v>
      </c>
      <c r="G869">
        <f t="shared" si="53"/>
        <v>33469.577712787039</v>
      </c>
      <c r="H869">
        <f t="shared" si="54"/>
        <v>30034.747728445596</v>
      </c>
      <c r="I869" t="b">
        <f t="shared" si="55"/>
        <v>0</v>
      </c>
    </row>
    <row r="870" spans="1:9">
      <c r="A870" s="1">
        <v>46013.782638888893</v>
      </c>
      <c r="B870" s="5">
        <f>_xlfn.XLOOKUP(A870,Banks!A:A,Banks!H:H,0,-1)</f>
        <v>2654.176802102299</v>
      </c>
      <c r="C870">
        <f>_xlfn.XLOOKUP(A870,Energy!A:A,Energy!H:H,0,-1)</f>
        <v>784.14396431027399</v>
      </c>
      <c r="D870">
        <f t="shared" si="52"/>
        <v>3438.320766412573</v>
      </c>
      <c r="E870">
        <f>_xlfn.XLOOKUP(A870,Banks!A:A,Banks!I:I,0)</f>
        <v>33476.024965447483</v>
      </c>
      <c r="F870">
        <f>_xlfn.XLOOKUP(A870,Energy!A:A,Energy!I:I,0)</f>
        <v>0</v>
      </c>
      <c r="G870">
        <f t="shared" si="53"/>
        <v>33476.024965447483</v>
      </c>
      <c r="H870">
        <f t="shared" si="54"/>
        <v>30037.70419903491</v>
      </c>
      <c r="I870" t="b">
        <f t="shared" si="55"/>
        <v>0</v>
      </c>
    </row>
    <row r="871" spans="1:9">
      <c r="A871" s="1">
        <v>46013.783333333333</v>
      </c>
      <c r="B871" s="5">
        <f>_xlfn.XLOOKUP(A871,Banks!A:A,Banks!H:H,0,-1)</f>
        <v>2652.329007983984</v>
      </c>
      <c r="C871">
        <f>_xlfn.XLOOKUP(A871,Energy!A:A,Energy!H:H,0,-1)</f>
        <v>784.14396431027399</v>
      </c>
      <c r="D871">
        <f t="shared" si="52"/>
        <v>3436.4729722942579</v>
      </c>
      <c r="E871">
        <f>_xlfn.XLOOKUP(A871,Banks!A:A,Banks!I:I,0)</f>
        <v>33479.967228808477</v>
      </c>
      <c r="F871">
        <f>_xlfn.XLOOKUP(A871,Energy!A:A,Energy!I:I,0)</f>
        <v>0</v>
      </c>
      <c r="G871">
        <f t="shared" si="53"/>
        <v>33479.967228808477</v>
      </c>
      <c r="H871">
        <f t="shared" si="54"/>
        <v>30043.494256514219</v>
      </c>
      <c r="I871" t="b">
        <f t="shared" si="55"/>
        <v>0</v>
      </c>
    </row>
    <row r="872" spans="1:9">
      <c r="A872" s="1">
        <v>46013.78402777778</v>
      </c>
      <c r="B872" s="5">
        <f>_xlfn.XLOOKUP(A872,Banks!A:A,Banks!H:H,0,-1)</f>
        <v>2659.5153782917582</v>
      </c>
      <c r="C872">
        <f>_xlfn.XLOOKUP(A872,Energy!A:A,Energy!H:H,0,-1)</f>
        <v>784.14396431027399</v>
      </c>
      <c r="D872">
        <f t="shared" si="52"/>
        <v>3443.6593426020322</v>
      </c>
      <c r="E872">
        <f>_xlfn.XLOOKUP(A872,Banks!A:A,Banks!I:I,0)</f>
        <v>33478.529954746933</v>
      </c>
      <c r="F872">
        <f>_xlfn.XLOOKUP(A872,Energy!A:A,Energy!I:I,0)</f>
        <v>0</v>
      </c>
      <c r="G872">
        <f t="shared" si="53"/>
        <v>33478.529954746933</v>
      </c>
      <c r="H872">
        <f t="shared" si="54"/>
        <v>30034.870612144899</v>
      </c>
      <c r="I872" t="b">
        <f t="shared" si="55"/>
        <v>0</v>
      </c>
    </row>
    <row r="873" spans="1:9">
      <c r="A873" s="1">
        <v>46013.784722222219</v>
      </c>
      <c r="B873" s="5">
        <f>_xlfn.XLOOKUP(A873,Banks!A:A,Banks!H:H,0,-1)</f>
        <v>2661.465575492824</v>
      </c>
      <c r="C873">
        <f>_xlfn.XLOOKUP(A873,Energy!A:A,Energy!H:H,0,-1)</f>
        <v>784.14396431027399</v>
      </c>
      <c r="D873">
        <f t="shared" si="52"/>
        <v>3445.609539803098</v>
      </c>
      <c r="E873">
        <f>_xlfn.XLOOKUP(A873,Banks!A:A,Banks!I:I,0)</f>
        <v>33467.421801694712</v>
      </c>
      <c r="F873">
        <f>_xlfn.XLOOKUP(A873,Energy!A:A,Energy!I:I,0)</f>
        <v>0</v>
      </c>
      <c r="G873">
        <f t="shared" si="53"/>
        <v>33467.421801694712</v>
      </c>
      <c r="H873">
        <f t="shared" si="54"/>
        <v>30021.812261891613</v>
      </c>
      <c r="I873" t="b">
        <f t="shared" si="55"/>
        <v>0</v>
      </c>
    </row>
    <row r="874" spans="1:9">
      <c r="A874" s="1">
        <v>46013.785416666673</v>
      </c>
      <c r="B874" s="5">
        <f>_xlfn.XLOOKUP(A874,Banks!A:A,Banks!H:H,0,-1)</f>
        <v>2672.1427278717301</v>
      </c>
      <c r="C874">
        <f>_xlfn.XLOOKUP(A874,Energy!A:A,Energy!H:H,0,-1)</f>
        <v>784.14396431027399</v>
      </c>
      <c r="D874">
        <f t="shared" si="52"/>
        <v>3456.2866921820041</v>
      </c>
      <c r="E874">
        <f>_xlfn.XLOOKUP(A874,Banks!A:A,Banks!I:I,0)</f>
        <v>33472.431780293598</v>
      </c>
      <c r="F874">
        <f>_xlfn.XLOOKUP(A874,Energy!A:A,Energy!I:I,0)</f>
        <v>0</v>
      </c>
      <c r="G874">
        <f t="shared" si="53"/>
        <v>33472.431780293598</v>
      </c>
      <c r="H874">
        <f t="shared" si="54"/>
        <v>30016.145088111596</v>
      </c>
      <c r="I874" t="b">
        <f t="shared" si="55"/>
        <v>0</v>
      </c>
    </row>
    <row r="875" spans="1:9">
      <c r="A875" s="1">
        <v>46013.786111111112</v>
      </c>
      <c r="B875" s="5">
        <f>_xlfn.XLOOKUP(A875,Banks!A:A,Banks!H:H,0,-1)</f>
        <v>2688.0560533573371</v>
      </c>
      <c r="C875">
        <f>_xlfn.XLOOKUP(A875,Energy!A:A,Energy!H:H,0,-1)</f>
        <v>784.14396431027399</v>
      </c>
      <c r="D875">
        <f t="shared" si="52"/>
        <v>3472.2000176676111</v>
      </c>
      <c r="E875">
        <f>_xlfn.XLOOKUP(A875,Banks!A:A,Banks!I:I,0)</f>
        <v>33487.112637883147</v>
      </c>
      <c r="F875">
        <f>_xlfn.XLOOKUP(A875,Energy!A:A,Energy!I:I,0)</f>
        <v>0</v>
      </c>
      <c r="G875">
        <f t="shared" si="53"/>
        <v>33487.112637883147</v>
      </c>
      <c r="H875">
        <f t="shared" si="54"/>
        <v>30014.912620215535</v>
      </c>
      <c r="I875" t="b">
        <f t="shared" si="55"/>
        <v>0</v>
      </c>
    </row>
    <row r="876" spans="1:9">
      <c r="A876" s="1">
        <v>46013.786805555559</v>
      </c>
      <c r="B876" s="5">
        <f>_xlfn.XLOOKUP(A876,Banks!A:A,Banks!H:H,0,-1)</f>
        <v>2695.3448267478489</v>
      </c>
      <c r="C876">
        <f>_xlfn.XLOOKUP(A876,Energy!A:A,Energy!H:H,0,-1)</f>
        <v>784.14396431027399</v>
      </c>
      <c r="D876">
        <f t="shared" si="52"/>
        <v>3479.4887910581228</v>
      </c>
      <c r="E876">
        <f>_xlfn.XLOOKUP(A876,Banks!A:A,Banks!I:I,0)</f>
        <v>33478.509474130369</v>
      </c>
      <c r="F876">
        <f>_xlfn.XLOOKUP(A876,Energy!A:A,Energy!I:I,0)</f>
        <v>0</v>
      </c>
      <c r="G876">
        <f t="shared" si="53"/>
        <v>33478.509474130369</v>
      </c>
      <c r="H876">
        <f t="shared" si="54"/>
        <v>29999.020683072245</v>
      </c>
      <c r="I876" t="b">
        <f t="shared" si="55"/>
        <v>0</v>
      </c>
    </row>
    <row r="877" spans="1:9">
      <c r="A877" s="1">
        <v>46013.787499999999</v>
      </c>
      <c r="B877" s="5">
        <f>_xlfn.XLOOKUP(A877,Banks!A:A,Banks!H:H,0,-1)</f>
        <v>2658.0445183156921</v>
      </c>
      <c r="C877">
        <f>_xlfn.XLOOKUP(A877,Energy!A:A,Energy!H:H,0,-1)</f>
        <v>784.14396431027399</v>
      </c>
      <c r="D877">
        <f t="shared" si="52"/>
        <v>3442.1884826259661</v>
      </c>
      <c r="E877">
        <f>_xlfn.XLOOKUP(A877,Banks!A:A,Banks!I:I,0)</f>
        <v>0</v>
      </c>
      <c r="F877">
        <f>_xlfn.XLOOKUP(A877,Energy!A:A,Energy!I:I,0)</f>
        <v>0</v>
      </c>
      <c r="G877">
        <f t="shared" si="53"/>
        <v>0</v>
      </c>
      <c r="H877">
        <f t="shared" si="54"/>
        <v>-3442.1884826259661</v>
      </c>
      <c r="I877" t="b">
        <f t="shared" si="55"/>
        <v>0</v>
      </c>
    </row>
    <row r="878" spans="1:9">
      <c r="A878" s="1">
        <v>46014.743055555547</v>
      </c>
      <c r="B878" s="5">
        <f>_xlfn.XLOOKUP(A878,Banks!A:A,Banks!H:H,0,-1)</f>
        <v>2658.0445183156921</v>
      </c>
      <c r="C878">
        <f>_xlfn.XLOOKUP(A878,Energy!A:A,Energy!H:H,0,-1)</f>
        <v>784.14396431027399</v>
      </c>
      <c r="D878">
        <f t="shared" si="52"/>
        <v>3442.1884826259661</v>
      </c>
      <c r="E878">
        <f>_xlfn.XLOOKUP(A878,Banks!A:A,Banks!I:I,0)</f>
        <v>33508.938904547373</v>
      </c>
      <c r="F878">
        <f>_xlfn.XLOOKUP(A878,Energy!A:A,Energy!I:I,0)</f>
        <v>0</v>
      </c>
      <c r="G878">
        <f t="shared" si="53"/>
        <v>33508.938904547373</v>
      </c>
      <c r="H878">
        <f t="shared" si="54"/>
        <v>30066.750421921406</v>
      </c>
      <c r="I878" t="b">
        <f t="shared" si="55"/>
        <v>0</v>
      </c>
    </row>
    <row r="879" spans="1:9">
      <c r="A879" s="1">
        <v>46014.743750000001</v>
      </c>
      <c r="B879" s="5">
        <f>_xlfn.XLOOKUP(A879,Banks!A:A,Banks!H:H,0,-1)</f>
        <v>2658.0445183156921</v>
      </c>
      <c r="C879">
        <f>_xlfn.XLOOKUP(A879,Energy!A:A,Energy!H:H,0,-1)</f>
        <v>784.14396431027399</v>
      </c>
      <c r="D879">
        <f t="shared" si="52"/>
        <v>3442.1884826259661</v>
      </c>
      <c r="E879">
        <f>_xlfn.XLOOKUP(A879,Banks!A:A,Banks!I:I,0)</f>
        <v>33508.938904547373</v>
      </c>
      <c r="F879">
        <f>_xlfn.XLOOKUP(A879,Energy!A:A,Energy!I:I,0)</f>
        <v>0</v>
      </c>
      <c r="G879">
        <f t="shared" si="53"/>
        <v>33508.938904547373</v>
      </c>
      <c r="H879">
        <f t="shared" si="54"/>
        <v>30066.750421921406</v>
      </c>
      <c r="I879" t="b">
        <f t="shared" si="55"/>
        <v>0</v>
      </c>
    </row>
    <row r="880" spans="1:9">
      <c r="A880" s="1">
        <v>46014.744444444441</v>
      </c>
      <c r="B880" s="5">
        <f>_xlfn.XLOOKUP(A880,Banks!A:A,Banks!H:H,0,-1)</f>
        <v>2684.8052015409248</v>
      </c>
      <c r="C880">
        <f>_xlfn.XLOOKUP(A880,Energy!A:A,Energy!H:H,0,-1)</f>
        <v>784.14396431027399</v>
      </c>
      <c r="D880">
        <f t="shared" si="52"/>
        <v>3468.9491658511988</v>
      </c>
      <c r="E880">
        <f>_xlfn.XLOOKUP(A880,Banks!A:A,Banks!I:I,0)</f>
        <v>33521.459868885337</v>
      </c>
      <c r="F880">
        <f>_xlfn.XLOOKUP(A880,Energy!A:A,Energy!I:I,0)</f>
        <v>0</v>
      </c>
      <c r="G880">
        <f t="shared" si="53"/>
        <v>33521.459868885337</v>
      </c>
      <c r="H880">
        <f t="shared" si="54"/>
        <v>30052.510703034139</v>
      </c>
      <c r="I880" t="b">
        <f t="shared" si="55"/>
        <v>0</v>
      </c>
    </row>
    <row r="881" spans="1:9">
      <c r="A881" s="1">
        <v>46014.745138888888</v>
      </c>
      <c r="B881" s="5">
        <f>_xlfn.XLOOKUP(A881,Banks!A:A,Banks!H:H,0,-1)</f>
        <v>2700.8616114760689</v>
      </c>
      <c r="C881">
        <f>_xlfn.XLOOKUP(A881,Energy!A:A,Energy!H:H,0,-1)</f>
        <v>784.14396431027399</v>
      </c>
      <c r="D881">
        <f t="shared" si="52"/>
        <v>3485.0055757863429</v>
      </c>
      <c r="E881">
        <f>_xlfn.XLOOKUP(A881,Banks!A:A,Banks!I:I,0)</f>
        <v>33528.97244748813</v>
      </c>
      <c r="F881">
        <f>_xlfn.XLOOKUP(A881,Energy!A:A,Energy!I:I,0)</f>
        <v>0</v>
      </c>
      <c r="G881">
        <f t="shared" si="53"/>
        <v>33528.97244748813</v>
      </c>
      <c r="H881">
        <f t="shared" si="54"/>
        <v>30043.966871701785</v>
      </c>
      <c r="I881" t="b">
        <f t="shared" si="55"/>
        <v>0</v>
      </c>
    </row>
    <row r="882" spans="1:9">
      <c r="A882" s="1">
        <v>46014.745833333327</v>
      </c>
      <c r="B882" s="5">
        <f>_xlfn.XLOOKUP(A882,Banks!A:A,Banks!H:H,0,-1)</f>
        <v>2709.798161967572</v>
      </c>
      <c r="C882">
        <f>_xlfn.XLOOKUP(A882,Energy!A:A,Energy!H:H,0,-1)</f>
        <v>784.14396431027399</v>
      </c>
      <c r="D882">
        <f t="shared" si="52"/>
        <v>3493.942126277846</v>
      </c>
      <c r="E882">
        <f>_xlfn.XLOOKUP(A882,Banks!A:A,Banks!I:I,0)</f>
        <v>33530.759757586427</v>
      </c>
      <c r="F882">
        <f>_xlfn.XLOOKUP(A882,Energy!A:A,Energy!I:I,0)</f>
        <v>0</v>
      </c>
      <c r="G882">
        <f t="shared" si="53"/>
        <v>33530.759757586427</v>
      </c>
      <c r="H882">
        <f t="shared" si="54"/>
        <v>30036.817631308582</v>
      </c>
      <c r="I882" t="b">
        <f t="shared" si="55"/>
        <v>0</v>
      </c>
    </row>
    <row r="883" spans="1:9">
      <c r="A883" s="1">
        <v>46014.746527777781</v>
      </c>
      <c r="B883" s="5">
        <f>_xlfn.XLOOKUP(A883,Banks!A:A,Banks!H:H,0,-1)</f>
        <v>2697.2771976296099</v>
      </c>
      <c r="C883">
        <f>_xlfn.XLOOKUP(A883,Energy!A:A,Energy!H:H,0,-1)</f>
        <v>784.14396431027399</v>
      </c>
      <c r="D883">
        <f t="shared" si="52"/>
        <v>3481.4211619398839</v>
      </c>
      <c r="E883">
        <f>_xlfn.XLOOKUP(A883,Banks!A:A,Banks!I:I,0)</f>
        <v>33529.689330257417</v>
      </c>
      <c r="F883">
        <f>_xlfn.XLOOKUP(A883,Energy!A:A,Energy!I:I,0)</f>
        <v>0</v>
      </c>
      <c r="G883">
        <f t="shared" si="53"/>
        <v>33529.689330257417</v>
      </c>
      <c r="H883">
        <f t="shared" si="54"/>
        <v>30048.268168317532</v>
      </c>
      <c r="I883" t="b">
        <f t="shared" si="55"/>
        <v>0</v>
      </c>
    </row>
    <row r="884" spans="1:9">
      <c r="A884" s="1">
        <v>46014.74722222222</v>
      </c>
      <c r="B884" s="5">
        <f>_xlfn.XLOOKUP(A884,Banks!A:A,Banks!H:H,0,-1)</f>
        <v>2697.2771976296099</v>
      </c>
      <c r="C884">
        <f>_xlfn.XLOOKUP(A884,Energy!A:A,Energy!H:H,0,-1)</f>
        <v>784.14396431027399</v>
      </c>
      <c r="D884">
        <f t="shared" si="52"/>
        <v>3481.4211619398839</v>
      </c>
      <c r="E884">
        <f>_xlfn.XLOOKUP(A884,Banks!A:A,Banks!I:I,0)</f>
        <v>33529.689330257417</v>
      </c>
      <c r="F884">
        <f>_xlfn.XLOOKUP(A884,Energy!A:A,Energy!I:I,0)</f>
        <v>0</v>
      </c>
      <c r="G884">
        <f t="shared" si="53"/>
        <v>33529.689330257417</v>
      </c>
      <c r="H884">
        <f t="shared" si="54"/>
        <v>30048.268168317532</v>
      </c>
      <c r="I884" t="b">
        <f t="shared" si="55"/>
        <v>0</v>
      </c>
    </row>
    <row r="885" spans="1:9">
      <c r="A885" s="1">
        <v>46014.747916666667</v>
      </c>
      <c r="B885" s="5">
        <f>_xlfn.XLOOKUP(A885,Banks!A:A,Banks!H:H,0,-1)</f>
        <v>2675.819682800121</v>
      </c>
      <c r="C885">
        <f>_xlfn.XLOOKUP(A885,Energy!A:A,Energy!H:H,0,-1)</f>
        <v>784.14396431027399</v>
      </c>
      <c r="D885">
        <f t="shared" si="52"/>
        <v>3459.963647110395</v>
      </c>
      <c r="E885">
        <f>_xlfn.XLOOKUP(A885,Banks!A:A,Banks!I:I,0)</f>
        <v>33526.831592830109</v>
      </c>
      <c r="F885">
        <f>_xlfn.XLOOKUP(A885,Energy!A:A,Energy!I:I,0)</f>
        <v>0</v>
      </c>
      <c r="G885">
        <f t="shared" si="53"/>
        <v>33526.831592830109</v>
      </c>
      <c r="H885">
        <f t="shared" si="54"/>
        <v>30066.867945719714</v>
      </c>
      <c r="I885" t="b">
        <f t="shared" si="55"/>
        <v>0</v>
      </c>
    </row>
    <row r="886" spans="1:9">
      <c r="A886" s="1">
        <v>46014.748611111107</v>
      </c>
      <c r="B886" s="5">
        <f>_xlfn.XLOOKUP(A886,Banks!A:A,Banks!H:H,0,-1)</f>
        <v>2661.4820274142648</v>
      </c>
      <c r="C886">
        <f>_xlfn.XLOOKUP(A886,Energy!A:A,Energy!H:H,0,-1)</f>
        <v>784.14396431027399</v>
      </c>
      <c r="D886">
        <f t="shared" si="52"/>
        <v>3445.6259917245388</v>
      </c>
      <c r="E886">
        <f>_xlfn.XLOOKUP(A886,Banks!A:A,Banks!I:I,0)</f>
        <v>33529.699123907267</v>
      </c>
      <c r="F886">
        <f>_xlfn.XLOOKUP(A886,Energy!A:A,Energy!I:I,0)</f>
        <v>0</v>
      </c>
      <c r="G886">
        <f t="shared" si="53"/>
        <v>33529.699123907267</v>
      </c>
      <c r="H886">
        <f t="shared" si="54"/>
        <v>30084.073132182726</v>
      </c>
      <c r="I886" t="b">
        <f t="shared" si="55"/>
        <v>0</v>
      </c>
    </row>
    <row r="887" spans="1:9">
      <c r="A887" s="1">
        <v>46014.749305555553</v>
      </c>
      <c r="B887" s="5">
        <f>_xlfn.XLOOKUP(A887,Banks!A:A,Banks!H:H,0,-1)</f>
        <v>2657.8976135678049</v>
      </c>
      <c r="C887">
        <f>_xlfn.XLOOKUP(A887,Energy!A:A,Energy!H:H,0,-1)</f>
        <v>784.14396431027399</v>
      </c>
      <c r="D887">
        <f t="shared" si="52"/>
        <v>3442.0415778780789</v>
      </c>
      <c r="E887">
        <f>_xlfn.XLOOKUP(A887,Banks!A:A,Banks!I:I,0)</f>
        <v>33530.416006676569</v>
      </c>
      <c r="F887">
        <f>_xlfn.XLOOKUP(A887,Energy!A:A,Energy!I:I,0)</f>
        <v>0</v>
      </c>
      <c r="G887">
        <f t="shared" si="53"/>
        <v>33530.416006676569</v>
      </c>
      <c r="H887">
        <f t="shared" si="54"/>
        <v>30088.374428798488</v>
      </c>
      <c r="I887" t="b">
        <f t="shared" si="55"/>
        <v>0</v>
      </c>
    </row>
    <row r="888" spans="1:9">
      <c r="A888" s="1">
        <v>46014.75</v>
      </c>
      <c r="B888" s="5">
        <f>_xlfn.XLOOKUP(A888,Banks!A:A,Banks!H:H,0,-1)</f>
        <v>2702.629334274654</v>
      </c>
      <c r="C888">
        <f>_xlfn.XLOOKUP(A888,Energy!A:A,Energy!H:H,0,-1)</f>
        <v>784.14396431027399</v>
      </c>
      <c r="D888">
        <f t="shared" si="52"/>
        <v>3486.7732985849279</v>
      </c>
      <c r="E888">
        <f>_xlfn.XLOOKUP(A888,Banks!A:A,Banks!I:I,0)</f>
        <v>33532.193523125017</v>
      </c>
      <c r="F888">
        <f>_xlfn.XLOOKUP(A888,Energy!A:A,Energy!I:I,0)</f>
        <v>0</v>
      </c>
      <c r="G888">
        <f t="shared" si="53"/>
        <v>33532.193523125017</v>
      </c>
      <c r="H888">
        <f t="shared" si="54"/>
        <v>30045.420224540088</v>
      </c>
      <c r="I888" t="b">
        <f t="shared" si="55"/>
        <v>0</v>
      </c>
    </row>
    <row r="889" spans="1:9">
      <c r="A889" s="1">
        <v>46014.750694444447</v>
      </c>
      <c r="B889" s="5">
        <f>_xlfn.XLOOKUP(A889,Banks!A:A,Banks!H:H,0,-1)</f>
        <v>2702.5803660253669</v>
      </c>
      <c r="C889">
        <f>_xlfn.XLOOKUP(A889,Energy!A:A,Energy!H:H,0,-1)</f>
        <v>784.14396431027399</v>
      </c>
      <c r="D889">
        <f t="shared" si="52"/>
        <v>3486.7243303356408</v>
      </c>
      <c r="E889">
        <f>_xlfn.XLOOKUP(A889,Banks!A:A,Banks!I:I,0)</f>
        <v>33539.35255716808</v>
      </c>
      <c r="F889">
        <f>_xlfn.XLOOKUP(A889,Energy!A:A,Energy!I:I,0)</f>
        <v>0</v>
      </c>
      <c r="G889">
        <f t="shared" si="53"/>
        <v>33539.35255716808</v>
      </c>
      <c r="H889">
        <f t="shared" si="54"/>
        <v>30052.628226832439</v>
      </c>
      <c r="I889" t="b">
        <f t="shared" si="55"/>
        <v>0</v>
      </c>
    </row>
    <row r="890" spans="1:9">
      <c r="A890" s="1">
        <v>46014.751388888893</v>
      </c>
      <c r="B890" s="5">
        <f>_xlfn.XLOOKUP(A890,Banks!A:A,Banks!H:H,0,-1)</f>
        <v>2682.8905739944648</v>
      </c>
      <c r="C890">
        <f>_xlfn.XLOOKUP(A890,Energy!A:A,Energy!H:H,0,-1)</f>
        <v>784.14396431027399</v>
      </c>
      <c r="D890">
        <f t="shared" si="52"/>
        <v>3467.0345383047388</v>
      </c>
      <c r="E890">
        <f>_xlfn.XLOOKUP(A890,Banks!A:A,Banks!I:I,0)</f>
        <v>33539.715895377652</v>
      </c>
      <c r="F890">
        <f>_xlfn.XLOOKUP(A890,Energy!A:A,Energy!I:I,0)</f>
        <v>0</v>
      </c>
      <c r="G890">
        <f t="shared" si="53"/>
        <v>33539.715895377652</v>
      </c>
      <c r="H890">
        <f t="shared" si="54"/>
        <v>30072.681357072914</v>
      </c>
      <c r="I890" t="b">
        <f t="shared" si="55"/>
        <v>0</v>
      </c>
    </row>
    <row r="891" spans="1:9">
      <c r="A891" s="1">
        <v>46014.752083333333</v>
      </c>
      <c r="B891" s="5">
        <f>_xlfn.XLOOKUP(A891,Banks!A:A,Banks!H:H,0,-1)</f>
        <v>2690.0594016873929</v>
      </c>
      <c r="C891">
        <f>_xlfn.XLOOKUP(A891,Energy!A:A,Energy!H:H,0,-1)</f>
        <v>784.14396431027399</v>
      </c>
      <c r="D891">
        <f t="shared" si="52"/>
        <v>3474.2033659976669</v>
      </c>
      <c r="E891">
        <f>_xlfn.XLOOKUP(A891,Banks!A:A,Banks!I:I,0)</f>
        <v>33538.28212983907</v>
      </c>
      <c r="F891">
        <f>_xlfn.XLOOKUP(A891,Energy!A:A,Energy!I:I,0)</f>
        <v>0</v>
      </c>
      <c r="G891">
        <f t="shared" si="53"/>
        <v>33538.28212983907</v>
      </c>
      <c r="H891">
        <f t="shared" si="54"/>
        <v>30064.078763841404</v>
      </c>
      <c r="I891" t="b">
        <f t="shared" si="55"/>
        <v>0</v>
      </c>
    </row>
    <row r="892" spans="1:9">
      <c r="A892" s="1">
        <v>46014.75277777778</v>
      </c>
      <c r="B892" s="5">
        <f>_xlfn.XLOOKUP(A892,Banks!A:A,Banks!H:H,0,-1)</f>
        <v>2665.0174730114481</v>
      </c>
      <c r="C892">
        <f>_xlfn.XLOOKUP(A892,Energy!A:A,Energy!H:H,0,-1)</f>
        <v>784.14396431027399</v>
      </c>
      <c r="D892">
        <f t="shared" si="52"/>
        <v>3449.1614373217221</v>
      </c>
      <c r="E892">
        <f>_xlfn.XLOOKUP(A892,Banks!A:A,Banks!I:I,0)</f>
        <v>33536.141275181049</v>
      </c>
      <c r="F892">
        <f>_xlfn.XLOOKUP(A892,Energy!A:A,Energy!I:I,0)</f>
        <v>0</v>
      </c>
      <c r="G892">
        <f t="shared" si="53"/>
        <v>33536.141275181049</v>
      </c>
      <c r="H892">
        <f t="shared" si="54"/>
        <v>30086.979837859326</v>
      </c>
      <c r="I892" t="b">
        <f t="shared" si="55"/>
        <v>0</v>
      </c>
    </row>
    <row r="893" spans="1:9">
      <c r="A893" s="1">
        <v>46014.753472222219</v>
      </c>
      <c r="B893" s="5">
        <f>_xlfn.XLOOKUP(A893,Banks!A:A,Banks!H:H,0,-1)</f>
        <v>2683.3416912522439</v>
      </c>
      <c r="C893">
        <f>_xlfn.XLOOKUP(A893,Energy!A:A,Energy!H:H,0,-1)</f>
        <v>784.14396431027399</v>
      </c>
      <c r="D893">
        <f t="shared" si="52"/>
        <v>3467.4856555625179</v>
      </c>
      <c r="E893">
        <f>_xlfn.XLOOKUP(A893,Banks!A:A,Banks!I:I,0)</f>
        <v>0</v>
      </c>
      <c r="F893">
        <f>_xlfn.XLOOKUP(A893,Energy!A:A,Energy!I:I,0)</f>
        <v>0</v>
      </c>
      <c r="G893">
        <f t="shared" si="53"/>
        <v>0</v>
      </c>
      <c r="H893">
        <f t="shared" si="54"/>
        <v>-3467.4856555625179</v>
      </c>
      <c r="I893" t="b">
        <f t="shared" si="55"/>
        <v>0</v>
      </c>
    </row>
    <row r="894" spans="1:9">
      <c r="A894" s="1">
        <v>46017.604166666657</v>
      </c>
      <c r="B894" s="5">
        <f>_xlfn.XLOOKUP(A894,Banks!A:A,Banks!H:H,0,-1)</f>
        <v>2683.3416912522439</v>
      </c>
      <c r="C894">
        <f>_xlfn.XLOOKUP(A894,Energy!A:A,Energy!H:H,0,-1)</f>
        <v>784.14396431027399</v>
      </c>
      <c r="D894">
        <f t="shared" si="52"/>
        <v>3467.4856555625179</v>
      </c>
      <c r="E894">
        <f>_xlfn.XLOOKUP(A894,Banks!A:A,Banks!I:I,0)</f>
        <v>33508.938904547373</v>
      </c>
      <c r="F894">
        <f>_xlfn.XLOOKUP(A894,Energy!A:A,Energy!I:I,0)</f>
        <v>0</v>
      </c>
      <c r="G894">
        <f t="shared" si="53"/>
        <v>33508.938904547373</v>
      </c>
      <c r="H894">
        <f t="shared" si="54"/>
        <v>30041.453248984853</v>
      </c>
      <c r="I894" t="b">
        <f t="shared" si="55"/>
        <v>0</v>
      </c>
    </row>
    <row r="895" spans="1:9">
      <c r="A895" s="1">
        <v>46017.604861111111</v>
      </c>
      <c r="B895" s="5">
        <f>_xlfn.XLOOKUP(A895,Banks!A:A,Banks!H:H,0,-1)</f>
        <v>2591.174059385386</v>
      </c>
      <c r="C895">
        <f>_xlfn.XLOOKUP(A895,Energy!A:A,Energy!H:H,0,-1)</f>
        <v>784.14396431027399</v>
      </c>
      <c r="D895">
        <f t="shared" si="52"/>
        <v>3375.31802369566</v>
      </c>
      <c r="E895">
        <f>_xlfn.XLOOKUP(A895,Banks!A:A,Banks!I:I,0)</f>
        <v>33490.505378173999</v>
      </c>
      <c r="F895">
        <f>_xlfn.XLOOKUP(A895,Energy!A:A,Energy!I:I,0)</f>
        <v>0</v>
      </c>
      <c r="G895">
        <f t="shared" si="53"/>
        <v>33490.505378173999</v>
      </c>
      <c r="H895">
        <f t="shared" si="54"/>
        <v>30115.187354478338</v>
      </c>
      <c r="I895" t="b">
        <f t="shared" si="55"/>
        <v>0</v>
      </c>
    </row>
    <row r="896" spans="1:9">
      <c r="A896" s="1">
        <v>46017.605555555558</v>
      </c>
      <c r="B896" s="5">
        <f>_xlfn.XLOOKUP(A896,Banks!A:A,Banks!H:H,0,-1)</f>
        <v>2594.7213015236139</v>
      </c>
      <c r="C896">
        <f>_xlfn.XLOOKUP(A896,Energy!A:A,Energy!H:H,0,-1)</f>
        <v>784.14396431027399</v>
      </c>
      <c r="D896">
        <f t="shared" si="52"/>
        <v>3378.8652658338879</v>
      </c>
      <c r="E896">
        <f>_xlfn.XLOOKUP(A896,Banks!A:A,Banks!I:I,0)</f>
        <v>33540.842618164919</v>
      </c>
      <c r="F896">
        <f>_xlfn.XLOOKUP(A896,Energy!A:A,Energy!I:I,0)</f>
        <v>0</v>
      </c>
      <c r="G896">
        <f t="shared" si="53"/>
        <v>33540.842618164919</v>
      </c>
      <c r="H896">
        <f t="shared" si="54"/>
        <v>30161.977352331032</v>
      </c>
      <c r="I896" t="b">
        <f t="shared" si="55"/>
        <v>0</v>
      </c>
    </row>
    <row r="897" spans="1:9">
      <c r="A897" s="1">
        <v>46017.606249999997</v>
      </c>
      <c r="B897" s="5">
        <f>_xlfn.XLOOKUP(A897,Banks!A:A,Banks!H:H,0,-1)</f>
        <v>2594.7213015236139</v>
      </c>
      <c r="C897">
        <f>_xlfn.XLOOKUP(A897,Energy!A:A,Energy!H:H,0,-1)</f>
        <v>784.14396431027399</v>
      </c>
      <c r="D897">
        <f t="shared" si="52"/>
        <v>3378.8652658338879</v>
      </c>
      <c r="E897">
        <f>_xlfn.XLOOKUP(A897,Banks!A:A,Banks!I:I,0)</f>
        <v>33540.842618164919</v>
      </c>
      <c r="F897">
        <f>_xlfn.XLOOKUP(A897,Energy!A:A,Energy!I:I,0)</f>
        <v>0</v>
      </c>
      <c r="G897">
        <f t="shared" si="53"/>
        <v>33540.842618164919</v>
      </c>
      <c r="H897">
        <f t="shared" si="54"/>
        <v>30161.977352331032</v>
      </c>
      <c r="I897" t="b">
        <f t="shared" si="55"/>
        <v>0</v>
      </c>
    </row>
    <row r="898" spans="1:9">
      <c r="A898" s="1">
        <v>46017.606944444437</v>
      </c>
      <c r="B898" s="5">
        <f>_xlfn.XLOOKUP(A898,Banks!A:A,Banks!H:H,0,-1)</f>
        <v>2399.7526443047591</v>
      </c>
      <c r="C898">
        <f>_xlfn.XLOOKUP(A898,Energy!A:A,Energy!H:H,0,-1)</f>
        <v>784.14396431027399</v>
      </c>
      <c r="D898">
        <f t="shared" si="52"/>
        <v>3183.8966086150331</v>
      </c>
      <c r="E898">
        <f>_xlfn.XLOOKUP(A898,Banks!A:A,Banks!I:I,0)</f>
        <v>33530.207624757313</v>
      </c>
      <c r="F898">
        <f>_xlfn.XLOOKUP(A898,Energy!A:A,Energy!I:I,0)</f>
        <v>0</v>
      </c>
      <c r="G898">
        <f t="shared" si="53"/>
        <v>33530.207624757313</v>
      </c>
      <c r="H898">
        <f t="shared" si="54"/>
        <v>30346.311016142281</v>
      </c>
      <c r="I898" t="b">
        <f t="shared" si="55"/>
        <v>0</v>
      </c>
    </row>
    <row r="899" spans="1:9">
      <c r="A899" s="1">
        <v>46017.607638888891</v>
      </c>
      <c r="B899" s="5">
        <f>_xlfn.XLOOKUP(A899,Banks!A:A,Banks!H:H,0,-1)</f>
        <v>2548.6361523214591</v>
      </c>
      <c r="C899">
        <f>_xlfn.XLOOKUP(A899,Energy!A:A,Energy!H:H,0,-1)</f>
        <v>784.14396431027399</v>
      </c>
      <c r="D899">
        <f t="shared" ref="D899:D962" si="56">B899+C899</f>
        <v>3332.7801166317331</v>
      </c>
      <c r="E899">
        <f>_xlfn.XLOOKUP(A899,Banks!A:A,Banks!I:I,0)</f>
        <v>33503.266850288332</v>
      </c>
      <c r="F899">
        <f>_xlfn.XLOOKUP(A899,Energy!A:A,Energy!I:I,0)</f>
        <v>0</v>
      </c>
      <c r="G899">
        <f t="shared" ref="G899:G962" si="57">F899+E899</f>
        <v>33503.266850288332</v>
      </c>
      <c r="H899">
        <f t="shared" ref="H899:H962" si="58">G899-D899</f>
        <v>30170.486733656599</v>
      </c>
      <c r="I899" t="b">
        <f t="shared" ref="I899:I962" si="59">AND(E899&gt;0,F899&gt;0)</f>
        <v>0</v>
      </c>
    </row>
    <row r="900" spans="1:9">
      <c r="A900" s="1">
        <v>46017.60833333333</v>
      </c>
      <c r="B900" s="5">
        <f>_xlfn.XLOOKUP(A900,Banks!A:A,Banks!H:H,0,-1)</f>
        <v>2699.292948090093</v>
      </c>
      <c r="C900">
        <f>_xlfn.XLOOKUP(A900,Energy!A:A,Energy!H:H,0,-1)</f>
        <v>784.14396431027399</v>
      </c>
      <c r="D900">
        <f t="shared" si="56"/>
        <v>3483.436912400367</v>
      </c>
      <c r="E900">
        <f>_xlfn.XLOOKUP(A900,Banks!A:A,Banks!I:I,0)</f>
        <v>33494.404944642352</v>
      </c>
      <c r="F900">
        <f>_xlfn.XLOOKUP(A900,Energy!A:A,Energy!I:I,0)</f>
        <v>0</v>
      </c>
      <c r="G900">
        <f t="shared" si="57"/>
        <v>33494.404944642352</v>
      </c>
      <c r="H900">
        <f t="shared" si="58"/>
        <v>30010.968032241984</v>
      </c>
      <c r="I900" t="b">
        <f t="shared" si="59"/>
        <v>0</v>
      </c>
    </row>
    <row r="901" spans="1:9">
      <c r="A901" s="1">
        <v>46017.609027777777</v>
      </c>
      <c r="B901" s="5">
        <f>_xlfn.XLOOKUP(A901,Banks!A:A,Banks!H:H,0,-1)</f>
        <v>2782.5954744660148</v>
      </c>
      <c r="C901">
        <f>_xlfn.XLOOKUP(A901,Energy!A:A,Energy!H:H,0,-1)</f>
        <v>784.14396431027399</v>
      </c>
      <c r="D901">
        <f t="shared" si="56"/>
        <v>3566.7394387762888</v>
      </c>
      <c r="E901">
        <f>_xlfn.XLOOKUP(A901,Banks!A:A,Banks!I:I,0)</f>
        <v>33450.803131590692</v>
      </c>
      <c r="F901">
        <f>_xlfn.XLOOKUP(A901,Energy!A:A,Energy!I:I,0)</f>
        <v>0</v>
      </c>
      <c r="G901">
        <f t="shared" si="57"/>
        <v>33450.803131590692</v>
      </c>
      <c r="H901">
        <f t="shared" si="58"/>
        <v>29884.063692814401</v>
      </c>
      <c r="I901" t="b">
        <f t="shared" si="59"/>
        <v>0</v>
      </c>
    </row>
    <row r="902" spans="1:9">
      <c r="A902" s="1">
        <v>46017.609722222223</v>
      </c>
      <c r="B902" s="5">
        <f>_xlfn.XLOOKUP(A902,Banks!A:A,Banks!H:H,0,-1)</f>
        <v>2711.6986293756231</v>
      </c>
      <c r="C902">
        <f>_xlfn.XLOOKUP(A902,Energy!A:A,Energy!H:H,0,-1)</f>
        <v>784.14396431027399</v>
      </c>
      <c r="D902">
        <f t="shared" si="56"/>
        <v>3495.8425936858971</v>
      </c>
      <c r="E902">
        <f>_xlfn.XLOOKUP(A902,Banks!A:A,Banks!I:I,0)</f>
        <v>33464.98250060877</v>
      </c>
      <c r="F902">
        <f>_xlfn.XLOOKUP(A902,Energy!A:A,Energy!I:I,0)</f>
        <v>0</v>
      </c>
      <c r="G902">
        <f t="shared" si="57"/>
        <v>33464.98250060877</v>
      </c>
      <c r="H902">
        <f t="shared" si="58"/>
        <v>29969.139906922872</v>
      </c>
      <c r="I902" t="b">
        <f t="shared" si="59"/>
        <v>0</v>
      </c>
    </row>
    <row r="903" spans="1:9">
      <c r="A903" s="1">
        <v>46017.61041666667</v>
      </c>
      <c r="B903" s="5">
        <f>_xlfn.XLOOKUP(A903,Banks!A:A,Banks!H:H,0,-1)</f>
        <v>2784.5493649243058</v>
      </c>
      <c r="C903">
        <f>_xlfn.XLOOKUP(A903,Energy!A:A,Energy!H:H,0,-1)</f>
        <v>784.14396431027399</v>
      </c>
      <c r="D903">
        <f t="shared" si="56"/>
        <v>3568.6933292345798</v>
      </c>
      <c r="E903">
        <f>_xlfn.XLOOKUP(A903,Banks!A:A,Banks!I:I,0)</f>
        <v>0</v>
      </c>
      <c r="F903">
        <f>_xlfn.XLOOKUP(A903,Energy!A:A,Energy!I:I,0)</f>
        <v>0</v>
      </c>
      <c r="G903">
        <f t="shared" si="57"/>
        <v>0</v>
      </c>
      <c r="H903">
        <f t="shared" si="58"/>
        <v>-3568.6933292345798</v>
      </c>
      <c r="I903" t="b">
        <f t="shared" si="59"/>
        <v>0</v>
      </c>
    </row>
    <row r="904" spans="1:9">
      <c r="A904" s="1">
        <v>46020.604166666657</v>
      </c>
      <c r="B904" s="5">
        <f>_xlfn.XLOOKUP(A904,Banks!A:A,Banks!H:H,0,-1)</f>
        <v>2784.5493649243058</v>
      </c>
      <c r="C904">
        <f>_xlfn.XLOOKUP(A904,Energy!A:A,Energy!H:H,0,-1)</f>
        <v>784.14396431027399</v>
      </c>
      <c r="D904">
        <f t="shared" si="56"/>
        <v>3568.6933292345798</v>
      </c>
      <c r="E904">
        <f>_xlfn.XLOOKUP(A904,Banks!A:A,Banks!I:I,0)</f>
        <v>33508.938904547373</v>
      </c>
      <c r="F904">
        <f>_xlfn.XLOOKUP(A904,Energy!A:A,Energy!I:I,0)</f>
        <v>0</v>
      </c>
      <c r="G904">
        <f t="shared" si="57"/>
        <v>33508.938904547373</v>
      </c>
      <c r="H904">
        <f t="shared" si="58"/>
        <v>29940.245575312794</v>
      </c>
      <c r="I904" t="b">
        <f t="shared" si="59"/>
        <v>0</v>
      </c>
    </row>
    <row r="905" spans="1:9">
      <c r="A905" s="1">
        <v>46020.604861111111</v>
      </c>
      <c r="B905" s="5">
        <f>_xlfn.XLOOKUP(A905,Banks!A:A,Banks!H:H,0,-1)</f>
        <v>2868.432551640858</v>
      </c>
      <c r="C905">
        <f>_xlfn.XLOOKUP(A905,Energy!A:A,Energy!H:H,0,-1)</f>
        <v>784.14396431027399</v>
      </c>
      <c r="D905">
        <f t="shared" si="56"/>
        <v>3652.576515951132</v>
      </c>
      <c r="E905">
        <f>_xlfn.XLOOKUP(A905,Banks!A:A,Banks!I:I,0)</f>
        <v>33531.381448949323</v>
      </c>
      <c r="F905">
        <f>_xlfn.XLOOKUP(A905,Energy!A:A,Energy!I:I,0)</f>
        <v>0</v>
      </c>
      <c r="G905">
        <f t="shared" si="57"/>
        <v>33531.381448949323</v>
      </c>
      <c r="H905">
        <f t="shared" si="58"/>
        <v>29878.804932998191</v>
      </c>
      <c r="I905" t="b">
        <f t="shared" si="59"/>
        <v>0</v>
      </c>
    </row>
    <row r="906" spans="1:9">
      <c r="A906" s="1">
        <v>46020.605555555558</v>
      </c>
      <c r="B906" s="5">
        <f>_xlfn.XLOOKUP(A906,Banks!A:A,Banks!H:H,0,-1)</f>
        <v>2870.8683243895448</v>
      </c>
      <c r="C906">
        <f>_xlfn.XLOOKUP(A906,Energy!A:A,Energy!H:H,0,-1)</f>
        <v>784.14396431027399</v>
      </c>
      <c r="D906">
        <f t="shared" si="56"/>
        <v>3655.0122886998188</v>
      </c>
      <c r="E906">
        <f>_xlfn.XLOOKUP(A906,Banks!A:A,Banks!I:I,0)</f>
        <v>33570.113476144827</v>
      </c>
      <c r="F906">
        <f>_xlfn.XLOOKUP(A906,Energy!A:A,Energy!I:I,0)</f>
        <v>0</v>
      </c>
      <c r="G906">
        <f t="shared" si="57"/>
        <v>33570.113476144827</v>
      </c>
      <c r="H906">
        <f t="shared" si="58"/>
        <v>29915.101187445009</v>
      </c>
      <c r="I906" t="b">
        <f t="shared" si="59"/>
        <v>0</v>
      </c>
    </row>
    <row r="907" spans="1:9">
      <c r="A907" s="1">
        <v>46020.606249999997</v>
      </c>
      <c r="B907" s="5">
        <f>_xlfn.XLOOKUP(A907,Banks!A:A,Banks!H:H,0,-1)</f>
        <v>2826.5429548764459</v>
      </c>
      <c r="C907">
        <f>_xlfn.XLOOKUP(A907,Energy!A:A,Energy!H:H,0,-1)</f>
        <v>784.14396431027399</v>
      </c>
      <c r="D907">
        <f t="shared" si="56"/>
        <v>3610.6869191867199</v>
      </c>
      <c r="E907">
        <f>_xlfn.XLOOKUP(A907,Banks!A:A,Banks!I:I,0)</f>
        <v>33575.413169888787</v>
      </c>
      <c r="F907">
        <f>_xlfn.XLOOKUP(A907,Energy!A:A,Energy!I:I,0)</f>
        <v>0</v>
      </c>
      <c r="G907">
        <f t="shared" si="57"/>
        <v>33575.413169888787</v>
      </c>
      <c r="H907">
        <f t="shared" si="58"/>
        <v>29964.726250702068</v>
      </c>
      <c r="I907" t="b">
        <f t="shared" si="59"/>
        <v>0</v>
      </c>
    </row>
    <row r="908" spans="1:9">
      <c r="A908" s="1">
        <v>46020.606944444437</v>
      </c>
      <c r="B908" s="5">
        <f>_xlfn.XLOOKUP(A908,Banks!A:A,Banks!H:H,0,-1)</f>
        <v>2813.846430098009</v>
      </c>
      <c r="C908">
        <f>_xlfn.XLOOKUP(A908,Energy!A:A,Energy!H:H,0,-1)</f>
        <v>784.14396431027399</v>
      </c>
      <c r="D908">
        <f t="shared" si="56"/>
        <v>3597.990394408283</v>
      </c>
      <c r="E908">
        <f>_xlfn.XLOOKUP(A908,Banks!A:A,Banks!I:I,0)</f>
        <v>33560.125574051177</v>
      </c>
      <c r="F908">
        <f>_xlfn.XLOOKUP(A908,Energy!A:A,Energy!I:I,0)</f>
        <v>0</v>
      </c>
      <c r="G908">
        <f t="shared" si="57"/>
        <v>33560.125574051177</v>
      </c>
      <c r="H908">
        <f t="shared" si="58"/>
        <v>29962.135179642893</v>
      </c>
      <c r="I908" t="b">
        <f t="shared" si="59"/>
        <v>0</v>
      </c>
    </row>
    <row r="909" spans="1:9">
      <c r="A909" s="1">
        <v>46020.607638888891</v>
      </c>
      <c r="B909" s="5">
        <f>_xlfn.XLOOKUP(A909,Banks!A:A,Banks!H:H,0,-1)</f>
        <v>2691.9946102812419</v>
      </c>
      <c r="C909">
        <f>_xlfn.XLOOKUP(A909,Energy!A:A,Energy!H:H,0,-1)</f>
        <v>784.14396431027399</v>
      </c>
      <c r="D909">
        <f t="shared" si="56"/>
        <v>3476.1385745915159</v>
      </c>
      <c r="E909">
        <f>_xlfn.XLOOKUP(A909,Banks!A:A,Banks!I:I,0)</f>
        <v>33498.926814206701</v>
      </c>
      <c r="F909">
        <f>_xlfn.XLOOKUP(A909,Energy!A:A,Energy!I:I,0)</f>
        <v>0</v>
      </c>
      <c r="G909">
        <f t="shared" si="57"/>
        <v>33498.926814206701</v>
      </c>
      <c r="H909">
        <f t="shared" si="58"/>
        <v>30022.788239615184</v>
      </c>
      <c r="I909" t="b">
        <f t="shared" si="59"/>
        <v>0</v>
      </c>
    </row>
    <row r="910" spans="1:9">
      <c r="A910" s="1">
        <v>46020.60833333333</v>
      </c>
      <c r="B910" s="5">
        <f>_xlfn.XLOOKUP(A910,Banks!A:A,Banks!H:H,0,-1)</f>
        <v>2702.497244781121</v>
      </c>
      <c r="C910">
        <f>_xlfn.XLOOKUP(A910,Energy!A:A,Energy!H:H,0,-1)</f>
        <v>784.14396431027399</v>
      </c>
      <c r="D910">
        <f t="shared" si="56"/>
        <v>3486.641209091395</v>
      </c>
      <c r="E910">
        <f>_xlfn.XLOOKUP(A910,Banks!A:A,Banks!I:I,0)</f>
        <v>33489.69552698941</v>
      </c>
      <c r="F910">
        <f>_xlfn.XLOOKUP(A910,Energy!A:A,Energy!I:I,0)</f>
        <v>0</v>
      </c>
      <c r="G910">
        <f t="shared" si="57"/>
        <v>33489.69552698941</v>
      </c>
      <c r="H910">
        <f t="shared" si="58"/>
        <v>30003.054317898015</v>
      </c>
      <c r="I910" t="b">
        <f t="shared" si="59"/>
        <v>0</v>
      </c>
    </row>
    <row r="911" spans="1:9">
      <c r="A911" s="1">
        <v>46020.609027777777</v>
      </c>
      <c r="B911" s="5">
        <f>_xlfn.XLOOKUP(A911,Banks!A:A,Banks!H:H,0,-1)</f>
        <v>2647.790182003213</v>
      </c>
      <c r="C911">
        <f>_xlfn.XLOOKUP(A911,Energy!A:A,Energy!H:H,0,-1)</f>
        <v>784.14396431027399</v>
      </c>
      <c r="D911">
        <f t="shared" si="56"/>
        <v>3431.934146313487</v>
      </c>
      <c r="E911">
        <f>_xlfn.XLOOKUP(A911,Banks!A:A,Banks!I:I,0)</f>
        <v>33511.333080020981</v>
      </c>
      <c r="F911">
        <f>_xlfn.XLOOKUP(A911,Energy!A:A,Energy!I:I,0)</f>
        <v>0</v>
      </c>
      <c r="G911">
        <f t="shared" si="57"/>
        <v>33511.333080020981</v>
      </c>
      <c r="H911">
        <f t="shared" si="58"/>
        <v>30079.398933707493</v>
      </c>
      <c r="I911" t="b">
        <f t="shared" si="59"/>
        <v>0</v>
      </c>
    </row>
    <row r="912" spans="1:9">
      <c r="A912" s="1">
        <v>46020.609722222223</v>
      </c>
      <c r="B912" s="5">
        <f>_xlfn.XLOOKUP(A912,Banks!A:A,Banks!H:H,0,-1)</f>
        <v>2771.731898910823</v>
      </c>
      <c r="C912">
        <f>_xlfn.XLOOKUP(A912,Energy!A:A,Energy!H:H,0,-1)</f>
        <v>784.14396431027399</v>
      </c>
      <c r="D912">
        <f t="shared" si="56"/>
        <v>3555.875863221097</v>
      </c>
      <c r="E912">
        <f>_xlfn.XLOOKUP(A912,Banks!A:A,Banks!I:I,0)</f>
        <v>33486.544736639451</v>
      </c>
      <c r="F912">
        <f>_xlfn.XLOOKUP(A912,Energy!A:A,Energy!I:I,0)</f>
        <v>0</v>
      </c>
      <c r="G912">
        <f t="shared" si="57"/>
        <v>33486.544736639451</v>
      </c>
      <c r="H912">
        <f t="shared" si="58"/>
        <v>29930.668873418355</v>
      </c>
      <c r="I912" t="b">
        <f t="shared" si="59"/>
        <v>0</v>
      </c>
    </row>
    <row r="913" spans="1:9">
      <c r="A913" s="1">
        <v>46020.61041666667</v>
      </c>
      <c r="B913" s="5">
        <f>_xlfn.XLOOKUP(A913,Banks!A:A,Banks!H:H,0,-1)</f>
        <v>2739.9821129410661</v>
      </c>
      <c r="C913">
        <f>_xlfn.XLOOKUP(A913,Energy!A:A,Energy!H:H,0,-1)</f>
        <v>784.14396431027399</v>
      </c>
      <c r="D913">
        <f t="shared" si="56"/>
        <v>3524.1260772513401</v>
      </c>
      <c r="E913">
        <f>_xlfn.XLOOKUP(A913,Banks!A:A,Banks!I:I,0)</f>
        <v>33500.025454150717</v>
      </c>
      <c r="F913">
        <f>_xlfn.XLOOKUP(A913,Energy!A:A,Energy!I:I,0)</f>
        <v>0</v>
      </c>
      <c r="G913">
        <f t="shared" si="57"/>
        <v>33500.025454150717</v>
      </c>
      <c r="H913">
        <f t="shared" si="58"/>
        <v>29975.899376899375</v>
      </c>
      <c r="I913" t="b">
        <f t="shared" si="59"/>
        <v>0</v>
      </c>
    </row>
    <row r="914" spans="1:9">
      <c r="A914" s="1">
        <v>46020.611111111109</v>
      </c>
      <c r="B914" s="5">
        <f>_xlfn.XLOOKUP(A914,Banks!A:A,Banks!H:H,0,-1)</f>
        <v>2764.1657501472669</v>
      </c>
      <c r="C914">
        <f>_xlfn.XLOOKUP(A914,Energy!A:A,Energy!H:H,0,-1)</f>
        <v>784.14396431027399</v>
      </c>
      <c r="D914">
        <f t="shared" si="56"/>
        <v>3548.3097144575408</v>
      </c>
      <c r="E914">
        <f>_xlfn.XLOOKUP(A914,Banks!A:A,Banks!I:I,0)</f>
        <v>33459.534925122884</v>
      </c>
      <c r="F914">
        <f>_xlfn.XLOOKUP(A914,Energy!A:A,Energy!I:I,0)</f>
        <v>0</v>
      </c>
      <c r="G914">
        <f t="shared" si="57"/>
        <v>33459.534925122884</v>
      </c>
      <c r="H914">
        <f t="shared" si="58"/>
        <v>29911.225210665343</v>
      </c>
      <c r="I914" t="b">
        <f t="shared" si="59"/>
        <v>0</v>
      </c>
    </row>
    <row r="915" spans="1:9">
      <c r="A915" s="1">
        <v>46020.611805555563</v>
      </c>
      <c r="B915" s="5">
        <f>_xlfn.XLOOKUP(A915,Banks!A:A,Banks!H:H,0,-1)</f>
        <v>2839.1354864671562</v>
      </c>
      <c r="C915">
        <f>_xlfn.XLOOKUP(A915,Energy!A:A,Energy!H:H,0,-1)</f>
        <v>784.14396431027399</v>
      </c>
      <c r="D915">
        <f t="shared" si="56"/>
        <v>3623.2794507774302</v>
      </c>
      <c r="E915">
        <f>_xlfn.XLOOKUP(A915,Banks!A:A,Banks!I:I,0)</f>
        <v>33480.194779445497</v>
      </c>
      <c r="F915">
        <f>_xlfn.XLOOKUP(A915,Energy!A:A,Energy!I:I,0)</f>
        <v>0</v>
      </c>
      <c r="G915">
        <f t="shared" si="57"/>
        <v>33480.194779445497</v>
      </c>
      <c r="H915">
        <f t="shared" si="58"/>
        <v>29856.915328668067</v>
      </c>
      <c r="I915" t="b">
        <f t="shared" si="59"/>
        <v>0</v>
      </c>
    </row>
    <row r="916" spans="1:9">
      <c r="A916" s="1">
        <v>46020.612500000003</v>
      </c>
      <c r="B916" s="5">
        <f>_xlfn.XLOOKUP(A916,Banks!A:A,Banks!H:H,0,-1)</f>
        <v>2808.4911196603662</v>
      </c>
      <c r="C916">
        <f>_xlfn.XLOOKUP(A916,Energy!A:A,Energy!H:H,0,-1)</f>
        <v>784.14396431027399</v>
      </c>
      <c r="D916">
        <f t="shared" si="56"/>
        <v>3592.6350839706402</v>
      </c>
      <c r="E916">
        <f>_xlfn.XLOOKUP(A916,Banks!A:A,Banks!I:I,0)</f>
        <v>33454.235231378923</v>
      </c>
      <c r="F916">
        <f>_xlfn.XLOOKUP(A916,Energy!A:A,Energy!I:I,0)</f>
        <v>0</v>
      </c>
      <c r="G916">
        <f t="shared" si="57"/>
        <v>33454.235231378923</v>
      </c>
      <c r="H916">
        <f t="shared" si="58"/>
        <v>29861.600147408284</v>
      </c>
      <c r="I916" t="b">
        <f t="shared" si="59"/>
        <v>0</v>
      </c>
    </row>
    <row r="917" spans="1:9">
      <c r="A917" s="1">
        <v>46020.613194444442</v>
      </c>
      <c r="B917" s="5">
        <f>_xlfn.XLOOKUP(A917,Banks!A:A,Banks!H:H,0,-1)</f>
        <v>2795.4317711767312</v>
      </c>
      <c r="C917">
        <f>_xlfn.XLOOKUP(A917,Energy!A:A,Energy!H:H,0,-1)</f>
        <v>784.14396431027399</v>
      </c>
      <c r="D917">
        <f t="shared" si="56"/>
        <v>3579.5757354870052</v>
      </c>
      <c r="E917">
        <f>_xlfn.XLOOKUP(A917,Banks!A:A,Banks!I:I,0)</f>
        <v>33417.6279193304</v>
      </c>
      <c r="F917">
        <f>_xlfn.XLOOKUP(A917,Energy!A:A,Energy!I:I,0)</f>
        <v>0</v>
      </c>
      <c r="G917">
        <f t="shared" si="57"/>
        <v>33417.6279193304</v>
      </c>
      <c r="H917">
        <f t="shared" si="58"/>
        <v>29838.052183843396</v>
      </c>
      <c r="I917" t="b">
        <f t="shared" si="59"/>
        <v>0</v>
      </c>
    </row>
    <row r="918" spans="1:9">
      <c r="A918" s="1">
        <v>46020.613888888889</v>
      </c>
      <c r="B918" s="5">
        <f>_xlfn.XLOOKUP(A918,Banks!A:A,Banks!H:H,0,-1)</f>
        <v>2813.5005544401661</v>
      </c>
      <c r="C918">
        <f>_xlfn.XLOOKUP(A918,Energy!A:A,Energy!H:H,0,-1)</f>
        <v>784.14396431027399</v>
      </c>
      <c r="D918">
        <f t="shared" si="56"/>
        <v>3597.6445187504401</v>
      </c>
      <c r="E918">
        <f>_xlfn.XLOOKUP(A918,Banks!A:A,Banks!I:I,0)</f>
        <v>33435.406443629669</v>
      </c>
      <c r="F918">
        <f>_xlfn.XLOOKUP(A918,Energy!A:A,Energy!I:I,0)</f>
        <v>0</v>
      </c>
      <c r="G918">
        <f t="shared" si="57"/>
        <v>33435.406443629669</v>
      </c>
      <c r="H918">
        <f t="shared" si="58"/>
        <v>29837.761924879229</v>
      </c>
      <c r="I918" t="b">
        <f t="shared" si="59"/>
        <v>0</v>
      </c>
    </row>
    <row r="919" spans="1:9">
      <c r="A919" s="1">
        <v>46020.614583333343</v>
      </c>
      <c r="B919" s="5">
        <f>_xlfn.XLOOKUP(A919,Banks!A:A,Banks!H:H,0,-1)</f>
        <v>2794.7061237663302</v>
      </c>
      <c r="C919">
        <f>_xlfn.XLOOKUP(A919,Energy!A:A,Energy!H:H,0,-1)</f>
        <v>784.14396431027399</v>
      </c>
      <c r="D919">
        <f t="shared" si="56"/>
        <v>3578.8500880766042</v>
      </c>
      <c r="E919">
        <f>_xlfn.XLOOKUP(A919,Banks!A:A,Banks!I:I,0)</f>
        <v>33374.988486908573</v>
      </c>
      <c r="F919">
        <f>_xlfn.XLOOKUP(A919,Energy!A:A,Energy!I:I,0)</f>
        <v>0</v>
      </c>
      <c r="G919">
        <f t="shared" si="57"/>
        <v>33374.988486908573</v>
      </c>
      <c r="H919">
        <f t="shared" si="58"/>
        <v>29796.138398831969</v>
      </c>
      <c r="I919" t="b">
        <f t="shared" si="59"/>
        <v>0</v>
      </c>
    </row>
    <row r="920" spans="1:9">
      <c r="A920" s="1">
        <v>46020.615277777782</v>
      </c>
      <c r="B920" s="5">
        <f>_xlfn.XLOOKUP(A920,Banks!A:A,Banks!H:H,0,-1)</f>
        <v>2794.2223588260599</v>
      </c>
      <c r="C920">
        <f>_xlfn.XLOOKUP(A920,Energy!A:A,Energy!H:H,0,-1)</f>
        <v>784.14396431027399</v>
      </c>
      <c r="D920">
        <f t="shared" si="56"/>
        <v>3578.3663231363339</v>
      </c>
      <c r="E920">
        <f>_xlfn.XLOOKUP(A920,Banks!A:A,Banks!I:I,0)</f>
        <v>33346.562198627347</v>
      </c>
      <c r="F920">
        <f>_xlfn.XLOOKUP(A920,Energy!A:A,Energy!I:I,0)</f>
        <v>0</v>
      </c>
      <c r="G920">
        <f t="shared" si="57"/>
        <v>33346.562198627347</v>
      </c>
      <c r="H920">
        <f t="shared" si="58"/>
        <v>29768.195875491012</v>
      </c>
      <c r="I920" t="b">
        <f t="shared" si="59"/>
        <v>0</v>
      </c>
    </row>
    <row r="921" spans="1:9">
      <c r="A921" s="1">
        <v>46020.615972222222</v>
      </c>
      <c r="B921" s="5">
        <f>_xlfn.XLOOKUP(A921,Banks!A:A,Banks!H:H,0,-1)</f>
        <v>2780.2994736496198</v>
      </c>
      <c r="C921">
        <f>_xlfn.XLOOKUP(A921,Energy!A:A,Energy!H:H,0,-1)</f>
        <v>784.14396431027399</v>
      </c>
      <c r="D921">
        <f t="shared" si="56"/>
        <v>3564.4434379598938</v>
      </c>
      <c r="E921">
        <f>_xlfn.XLOOKUP(A921,Banks!A:A,Banks!I:I,0)</f>
        <v>33363.608296297272</v>
      </c>
      <c r="F921">
        <f>_xlfn.XLOOKUP(A921,Energy!A:A,Energy!I:I,0)</f>
        <v>0</v>
      </c>
      <c r="G921">
        <f t="shared" si="57"/>
        <v>33363.608296297272</v>
      </c>
      <c r="H921">
        <f t="shared" si="58"/>
        <v>29799.164858337379</v>
      </c>
      <c r="I921" t="b">
        <f t="shared" si="59"/>
        <v>0</v>
      </c>
    </row>
    <row r="922" spans="1:9">
      <c r="A922" s="1">
        <v>46020.616666666669</v>
      </c>
      <c r="B922" s="5">
        <f>_xlfn.XLOOKUP(A922,Banks!A:A,Banks!H:H,0,-1)</f>
        <v>2774.5643914594089</v>
      </c>
      <c r="C922">
        <f>_xlfn.XLOOKUP(A922,Energy!A:A,Energy!H:H,0,-1)</f>
        <v>784.14396431027399</v>
      </c>
      <c r="D922">
        <f t="shared" si="56"/>
        <v>3558.7083557696828</v>
      </c>
      <c r="E922">
        <f>_xlfn.XLOOKUP(A922,Banks!A:A,Banks!I:I,0)</f>
        <v>33339.797651624693</v>
      </c>
      <c r="F922">
        <f>_xlfn.XLOOKUP(A922,Energy!A:A,Energy!I:I,0)</f>
        <v>0</v>
      </c>
      <c r="G922">
        <f t="shared" si="57"/>
        <v>33339.797651624693</v>
      </c>
      <c r="H922">
        <f t="shared" si="58"/>
        <v>29781.08929585501</v>
      </c>
      <c r="I922" t="b">
        <f t="shared" si="59"/>
        <v>0</v>
      </c>
    </row>
    <row r="923" spans="1:9">
      <c r="A923" s="1">
        <v>46020.617361111108</v>
      </c>
      <c r="B923" s="5">
        <f>_xlfn.XLOOKUP(A923,Banks!A:A,Banks!H:H,0,-1)</f>
        <v>2749.17134190256</v>
      </c>
      <c r="C923">
        <f>_xlfn.XLOOKUP(A923,Energy!A:A,Energy!H:H,0,-1)</f>
        <v>784.14396431027399</v>
      </c>
      <c r="D923">
        <f t="shared" si="56"/>
        <v>3533.315306212834</v>
      </c>
      <c r="E923">
        <f>_xlfn.XLOOKUP(A923,Banks!A:A,Banks!I:I,0)</f>
        <v>33309.222459949473</v>
      </c>
      <c r="F923">
        <f>_xlfn.XLOOKUP(A923,Energy!A:A,Energy!I:I,0)</f>
        <v>0</v>
      </c>
      <c r="G923">
        <f t="shared" si="57"/>
        <v>33309.222459949473</v>
      </c>
      <c r="H923">
        <f t="shared" si="58"/>
        <v>29775.90715373664</v>
      </c>
      <c r="I923" t="b">
        <f t="shared" si="59"/>
        <v>0</v>
      </c>
    </row>
    <row r="924" spans="1:9">
      <c r="A924" s="1">
        <v>46020.618055555547</v>
      </c>
      <c r="B924" s="5">
        <f>_xlfn.XLOOKUP(A924,Banks!A:A,Banks!H:H,0,-1)</f>
        <v>2742.8146054896761</v>
      </c>
      <c r="C924">
        <f>_xlfn.XLOOKUP(A924,Energy!A:A,Energy!H:H,0,-1)</f>
        <v>784.14396431027399</v>
      </c>
      <c r="D924">
        <f t="shared" si="56"/>
        <v>3526.9585697999501</v>
      </c>
      <c r="E924">
        <f>_xlfn.XLOOKUP(A924,Banks!A:A,Banks!I:I,0)</f>
        <v>33353.278369135973</v>
      </c>
      <c r="F924">
        <f>_xlfn.XLOOKUP(A924,Energy!A:A,Energy!I:I,0)</f>
        <v>0</v>
      </c>
      <c r="G924">
        <f t="shared" si="57"/>
        <v>33353.278369135973</v>
      </c>
      <c r="H924">
        <f t="shared" si="58"/>
        <v>29826.319799336023</v>
      </c>
      <c r="I924" t="b">
        <f t="shared" si="59"/>
        <v>0</v>
      </c>
    </row>
    <row r="925" spans="1:9">
      <c r="A925" s="1">
        <v>46020.618750000001</v>
      </c>
      <c r="B925" s="5">
        <f>_xlfn.XLOOKUP(A925,Banks!A:A,Banks!H:H,0,-1)</f>
        <v>2757.221255606386</v>
      </c>
      <c r="C925">
        <f>_xlfn.XLOOKUP(A925,Energy!A:A,Energy!H:H,0,-1)</f>
        <v>784.14396431027399</v>
      </c>
      <c r="D925">
        <f t="shared" si="56"/>
        <v>3541.36521991666</v>
      </c>
      <c r="E925">
        <f>_xlfn.XLOOKUP(A925,Banks!A:A,Banks!I:I,0)</f>
        <v>33364.658559747259</v>
      </c>
      <c r="F925">
        <f>_xlfn.XLOOKUP(A925,Energy!A:A,Energy!I:I,0)</f>
        <v>0</v>
      </c>
      <c r="G925">
        <f t="shared" si="57"/>
        <v>33364.658559747259</v>
      </c>
      <c r="H925">
        <f t="shared" si="58"/>
        <v>29823.293339830598</v>
      </c>
      <c r="I925" t="b">
        <f t="shared" si="59"/>
        <v>0</v>
      </c>
    </row>
    <row r="926" spans="1:9">
      <c r="A926" s="1">
        <v>46020.619444444441</v>
      </c>
      <c r="B926" s="5">
        <f>_xlfn.XLOOKUP(A926,Banks!A:A,Banks!H:H,0,-1)</f>
        <v>2769.7968391497411</v>
      </c>
      <c r="C926">
        <f>_xlfn.XLOOKUP(A926,Energy!A:A,Energy!H:H,0,-1)</f>
        <v>784.14396431027399</v>
      </c>
      <c r="D926">
        <f t="shared" si="56"/>
        <v>3553.9408034600151</v>
      </c>
      <c r="E926">
        <f>_xlfn.XLOOKUP(A926,Banks!A:A,Banks!I:I,0)</f>
        <v>33372.839583514557</v>
      </c>
      <c r="F926">
        <f>_xlfn.XLOOKUP(A926,Energy!A:A,Energy!I:I,0)</f>
        <v>0</v>
      </c>
      <c r="G926">
        <f t="shared" si="57"/>
        <v>33372.839583514557</v>
      </c>
      <c r="H926">
        <f t="shared" si="58"/>
        <v>29818.89878005454</v>
      </c>
      <c r="I926" t="b">
        <f t="shared" si="59"/>
        <v>0</v>
      </c>
    </row>
    <row r="927" spans="1:9">
      <c r="A927" s="1">
        <v>46020.620138888888</v>
      </c>
      <c r="B927" s="5">
        <f>_xlfn.XLOOKUP(A927,Banks!A:A,Banks!H:H,0,-1)</f>
        <v>2715.1055992689949</v>
      </c>
      <c r="C927">
        <f>_xlfn.XLOOKUP(A927,Energy!A:A,Energy!H:H,0,-1)</f>
        <v>784.14396431027399</v>
      </c>
      <c r="D927">
        <f t="shared" si="56"/>
        <v>3499.2495635792689</v>
      </c>
      <c r="E927">
        <f>_xlfn.XLOOKUP(A927,Banks!A:A,Banks!I:I,0)</f>
        <v>0</v>
      </c>
      <c r="F927">
        <f>_xlfn.XLOOKUP(A927,Energy!A:A,Energy!I:I,0)</f>
        <v>0</v>
      </c>
      <c r="G927">
        <f t="shared" si="57"/>
        <v>0</v>
      </c>
      <c r="H927">
        <f t="shared" si="58"/>
        <v>-3499.2495635792689</v>
      </c>
      <c r="I927" t="b">
        <f t="shared" si="59"/>
        <v>0</v>
      </c>
    </row>
    <row r="928" spans="1:9">
      <c r="A928" s="1">
        <v>46020.741666666669</v>
      </c>
      <c r="B928" s="5">
        <f>_xlfn.XLOOKUP(A928,Banks!A:A,Banks!H:H,0,-1)</f>
        <v>2715.1055992689949</v>
      </c>
      <c r="C928">
        <f>_xlfn.XLOOKUP(A928,Energy!A:A,Energy!H:H,0,-1)</f>
        <v>784.14396431027399</v>
      </c>
      <c r="D928">
        <f t="shared" si="56"/>
        <v>3499.2495635792689</v>
      </c>
      <c r="E928">
        <f>_xlfn.XLOOKUP(A928,Banks!A:A,Banks!I:I,0)</f>
        <v>41258.882915960698</v>
      </c>
      <c r="F928">
        <f>_xlfn.XLOOKUP(A928,Energy!A:A,Energy!I:I,0)</f>
        <v>0</v>
      </c>
      <c r="G928">
        <f t="shared" si="57"/>
        <v>41258.882915960698</v>
      </c>
      <c r="H928">
        <f t="shared" si="58"/>
        <v>37759.633352381432</v>
      </c>
      <c r="I928" t="b">
        <f t="shared" si="59"/>
        <v>0</v>
      </c>
    </row>
    <row r="929" spans="1:9">
      <c r="A929" s="1">
        <v>46020.742361111108</v>
      </c>
      <c r="B929" s="5">
        <f>_xlfn.XLOOKUP(A929,Banks!A:A,Banks!H:H,0,-1)</f>
        <v>2722.365816628726</v>
      </c>
      <c r="C929">
        <f>_xlfn.XLOOKUP(A929,Energy!A:A,Energy!H:H,0,-1)</f>
        <v>784.14396431027399</v>
      </c>
      <c r="D929">
        <f t="shared" si="56"/>
        <v>3506.5097809389999</v>
      </c>
      <c r="E929">
        <f>_xlfn.XLOOKUP(A929,Banks!A:A,Banks!I:I,0)</f>
        <v>41257.43087248876</v>
      </c>
      <c r="F929">
        <f>_xlfn.XLOOKUP(A929,Energy!A:A,Energy!I:I,0)</f>
        <v>0</v>
      </c>
      <c r="G929">
        <f t="shared" si="57"/>
        <v>41257.43087248876</v>
      </c>
      <c r="H929">
        <f t="shared" si="58"/>
        <v>37750.921091549761</v>
      </c>
      <c r="I929" t="b">
        <f t="shared" si="59"/>
        <v>0</v>
      </c>
    </row>
    <row r="930" spans="1:9">
      <c r="A930" s="1">
        <v>46020.743055555547</v>
      </c>
      <c r="B930" s="5">
        <f>_xlfn.XLOOKUP(A930,Banks!A:A,Banks!H:H,0,-1)</f>
        <v>2779.066908373296</v>
      </c>
      <c r="C930">
        <f>_xlfn.XLOOKUP(A930,Energy!A:A,Energy!H:H,0,-1)</f>
        <v>784.14396431027399</v>
      </c>
      <c r="D930">
        <f t="shared" si="56"/>
        <v>3563.21087268357</v>
      </c>
      <c r="E930">
        <f>_xlfn.XLOOKUP(A930,Banks!A:A,Banks!I:I,0)</f>
        <v>0</v>
      </c>
      <c r="F930">
        <f>_xlfn.XLOOKUP(A930,Energy!A:A,Energy!I:I,0)</f>
        <v>0</v>
      </c>
      <c r="G930">
        <f t="shared" si="57"/>
        <v>0</v>
      </c>
      <c r="H930">
        <f t="shared" si="58"/>
        <v>-3563.21087268357</v>
      </c>
      <c r="I930" t="b">
        <f t="shared" si="59"/>
        <v>0</v>
      </c>
    </row>
    <row r="931" spans="1:9">
      <c r="A931" s="1">
        <v>46021.606944444437</v>
      </c>
      <c r="B931" s="5">
        <f>_xlfn.XLOOKUP(A931,Banks!A:A,Banks!H:H,0,-1)</f>
        <v>2779.066908373296</v>
      </c>
      <c r="C931">
        <f>_xlfn.XLOOKUP(A931,Energy!A:A,Energy!H:H,0,-1)</f>
        <v>784.14396431027399</v>
      </c>
      <c r="D931">
        <f t="shared" si="56"/>
        <v>3563.21087268357</v>
      </c>
      <c r="E931">
        <f>_xlfn.XLOOKUP(A931,Banks!A:A,Banks!I:I,0)</f>
        <v>41258.882915960698</v>
      </c>
      <c r="F931">
        <f>_xlfn.XLOOKUP(A931,Energy!A:A,Energy!I:I,0)</f>
        <v>0</v>
      </c>
      <c r="G931">
        <f t="shared" si="57"/>
        <v>41258.882915960698</v>
      </c>
      <c r="H931">
        <f t="shared" si="58"/>
        <v>37695.672043277125</v>
      </c>
      <c r="I931" t="b">
        <f t="shared" si="59"/>
        <v>0</v>
      </c>
    </row>
    <row r="932" spans="1:9">
      <c r="A932" s="1">
        <v>46021.607638888891</v>
      </c>
      <c r="B932" s="5">
        <f>_xlfn.XLOOKUP(A932,Banks!A:A,Banks!H:H,0,-1)</f>
        <v>2947.1067131035861</v>
      </c>
      <c r="C932">
        <f>_xlfn.XLOOKUP(A932,Energy!A:A,Energy!H:H,0,-1)</f>
        <v>784.14396431027399</v>
      </c>
      <c r="D932">
        <f t="shared" si="56"/>
        <v>3731.2506774138601</v>
      </c>
      <c r="E932">
        <f>_xlfn.XLOOKUP(A932,Banks!A:A,Banks!I:I,0)</f>
        <v>41249.879365750297</v>
      </c>
      <c r="F932">
        <f>_xlfn.XLOOKUP(A932,Energy!A:A,Energy!I:I,0)</f>
        <v>0</v>
      </c>
      <c r="G932">
        <f t="shared" si="57"/>
        <v>41249.879365750297</v>
      </c>
      <c r="H932">
        <f t="shared" si="58"/>
        <v>37518.628688336437</v>
      </c>
      <c r="I932" t="b">
        <f t="shared" si="59"/>
        <v>0</v>
      </c>
    </row>
    <row r="933" spans="1:9">
      <c r="A933" s="1">
        <v>46021.60833333333</v>
      </c>
      <c r="B933" s="5">
        <f>_xlfn.XLOOKUP(A933,Banks!A:A,Banks!H:H,0,-1)</f>
        <v>3124.867937455173</v>
      </c>
      <c r="C933">
        <f>_xlfn.XLOOKUP(A933,Energy!A:A,Energy!H:H,0,-1)</f>
        <v>784.14396431027399</v>
      </c>
      <c r="D933">
        <f t="shared" si="56"/>
        <v>3909.011901765447</v>
      </c>
      <c r="E933">
        <f>_xlfn.XLOOKUP(A933,Banks!A:A,Banks!I:I,0)</f>
        <v>41285.431610620617</v>
      </c>
      <c r="F933">
        <f>_xlfn.XLOOKUP(A933,Energy!A:A,Energy!I:I,0)</f>
        <v>0</v>
      </c>
      <c r="G933">
        <f t="shared" si="57"/>
        <v>41285.431610620617</v>
      </c>
      <c r="H933">
        <f t="shared" si="58"/>
        <v>37376.419708855174</v>
      </c>
      <c r="I933" t="b">
        <f t="shared" si="59"/>
        <v>0</v>
      </c>
    </row>
    <row r="934" spans="1:9">
      <c r="A934" s="1">
        <v>46021.609027777777</v>
      </c>
      <c r="B934" s="5">
        <f>_xlfn.XLOOKUP(A934,Banks!A:A,Banks!H:H,0,-1)</f>
        <v>2833.6781223268422</v>
      </c>
      <c r="C934">
        <f>_xlfn.XLOOKUP(A934,Energy!A:A,Energy!H:H,0,-1)</f>
        <v>784.14396431027399</v>
      </c>
      <c r="D934">
        <f t="shared" si="56"/>
        <v>3617.8220866371162</v>
      </c>
      <c r="E934">
        <f>_xlfn.XLOOKUP(A934,Banks!A:A,Banks!I:I,0)</f>
        <v>41227.193647594948</v>
      </c>
      <c r="F934">
        <f>_xlfn.XLOOKUP(A934,Energy!A:A,Energy!I:I,0)</f>
        <v>0</v>
      </c>
      <c r="G934">
        <f t="shared" si="57"/>
        <v>41227.193647594948</v>
      </c>
      <c r="H934">
        <f t="shared" si="58"/>
        <v>37609.371560957828</v>
      </c>
      <c r="I934" t="b">
        <f t="shared" si="59"/>
        <v>0</v>
      </c>
    </row>
    <row r="935" spans="1:9">
      <c r="A935" s="1">
        <v>46021.609722222223</v>
      </c>
      <c r="B935" s="5">
        <f>_xlfn.XLOOKUP(A935,Banks!A:A,Banks!H:H,0,-1)</f>
        <v>2699.5080973190288</v>
      </c>
      <c r="C935">
        <f>_xlfn.XLOOKUP(A935,Energy!A:A,Energy!H:H,0,-1)</f>
        <v>784.14396431027399</v>
      </c>
      <c r="D935">
        <f t="shared" si="56"/>
        <v>3483.6520616293028</v>
      </c>
      <c r="E935">
        <f>_xlfn.XLOOKUP(A935,Banks!A:A,Banks!I:I,0)</f>
        <v>41208.88194482468</v>
      </c>
      <c r="F935">
        <f>_xlfn.XLOOKUP(A935,Energy!A:A,Energy!I:I,0)</f>
        <v>0</v>
      </c>
      <c r="G935">
        <f t="shared" si="57"/>
        <v>41208.88194482468</v>
      </c>
      <c r="H935">
        <f t="shared" si="58"/>
        <v>37725.229883195374</v>
      </c>
      <c r="I935" t="b">
        <f t="shared" si="59"/>
        <v>0</v>
      </c>
    </row>
    <row r="936" spans="1:9">
      <c r="A936" s="1">
        <v>46021.61041666667</v>
      </c>
      <c r="B936" s="5">
        <f>_xlfn.XLOOKUP(A936,Banks!A:A,Banks!H:H,0,-1)</f>
        <v>2529.0620526931698</v>
      </c>
      <c r="C936">
        <f>_xlfn.XLOOKUP(A936,Energy!A:A,Energy!H:H,0,-1)</f>
        <v>784.14396431027399</v>
      </c>
      <c r="D936">
        <f t="shared" si="56"/>
        <v>3313.2060170034438</v>
      </c>
      <c r="E936">
        <f>_xlfn.XLOOKUP(A936,Banks!A:A,Banks!I:I,0)</f>
        <v>41242.971153749837</v>
      </c>
      <c r="F936">
        <f>_xlfn.XLOOKUP(A936,Energy!A:A,Energy!I:I,0)</f>
        <v>0</v>
      </c>
      <c r="G936">
        <f t="shared" si="57"/>
        <v>41242.971153749837</v>
      </c>
      <c r="H936">
        <f t="shared" si="58"/>
        <v>37929.765136746391</v>
      </c>
      <c r="I936" t="b">
        <f t="shared" si="59"/>
        <v>0</v>
      </c>
    </row>
    <row r="937" spans="1:9">
      <c r="A937" s="1">
        <v>46021.611111111109</v>
      </c>
      <c r="B937" s="5">
        <f>_xlfn.XLOOKUP(A937,Banks!A:A,Banks!H:H,0,-1)</f>
        <v>2305.729254835991</v>
      </c>
      <c r="C937">
        <f>_xlfn.XLOOKUP(A937,Energy!A:A,Energy!H:H,0,-1)</f>
        <v>784.14396431027399</v>
      </c>
      <c r="D937">
        <f t="shared" si="56"/>
        <v>3089.873219146265</v>
      </c>
      <c r="E937">
        <f>_xlfn.XLOOKUP(A937,Banks!A:A,Banks!I:I,0)</f>
        <v>41206.826896409708</v>
      </c>
      <c r="F937">
        <f>_xlfn.XLOOKUP(A937,Energy!A:A,Energy!I:I,0)</f>
        <v>0</v>
      </c>
      <c r="G937">
        <f t="shared" si="57"/>
        <v>41206.826896409708</v>
      </c>
      <c r="H937">
        <f t="shared" si="58"/>
        <v>38116.953677263446</v>
      </c>
      <c r="I937" t="b">
        <f t="shared" si="59"/>
        <v>0</v>
      </c>
    </row>
    <row r="938" spans="1:9">
      <c r="A938" s="1">
        <v>46021.611805555563</v>
      </c>
      <c r="B938" s="5">
        <f>_xlfn.XLOOKUP(A938,Banks!A:A,Banks!H:H,0,-1)</f>
        <v>2592.4254969743179</v>
      </c>
      <c r="C938">
        <f>_xlfn.XLOOKUP(A938,Energy!A:A,Energy!H:H,0,-1)</f>
        <v>784.14396431027399</v>
      </c>
      <c r="D938">
        <f t="shared" si="56"/>
        <v>3376.5694612845919</v>
      </c>
      <c r="E938">
        <f>_xlfn.XLOOKUP(A938,Banks!A:A,Banks!I:I,0)</f>
        <v>41195.987726987027</v>
      </c>
      <c r="F938">
        <f>_xlfn.XLOOKUP(A938,Energy!A:A,Energy!I:I,0)</f>
        <v>0</v>
      </c>
      <c r="G938">
        <f t="shared" si="57"/>
        <v>41195.987726987027</v>
      </c>
      <c r="H938">
        <f t="shared" si="58"/>
        <v>37819.418265702436</v>
      </c>
      <c r="I938" t="b">
        <f t="shared" si="59"/>
        <v>0</v>
      </c>
    </row>
    <row r="939" spans="1:9">
      <c r="A939" s="1">
        <v>46021.612500000003</v>
      </c>
      <c r="B939" s="5">
        <f>_xlfn.XLOOKUP(A939,Banks!A:A,Banks!H:H,0,-1)</f>
        <v>2551.2195397389369</v>
      </c>
      <c r="C939">
        <f>_xlfn.XLOOKUP(A939,Energy!A:A,Energy!H:H,0,-1)</f>
        <v>784.14396431027399</v>
      </c>
      <c r="D939">
        <f t="shared" si="56"/>
        <v>3335.3635040492109</v>
      </c>
      <c r="E939">
        <f>_xlfn.XLOOKUP(A939,Banks!A:A,Banks!I:I,0)</f>
        <v>41221.835744465119</v>
      </c>
      <c r="F939">
        <f>_xlfn.XLOOKUP(A939,Energy!A:A,Energy!I:I,0)</f>
        <v>0</v>
      </c>
      <c r="G939">
        <f t="shared" si="57"/>
        <v>41221.835744465119</v>
      </c>
      <c r="H939">
        <f t="shared" si="58"/>
        <v>37886.472240415911</v>
      </c>
      <c r="I939" t="b">
        <f t="shared" si="59"/>
        <v>0</v>
      </c>
    </row>
    <row r="940" spans="1:9">
      <c r="A940" s="1">
        <v>46021.613194444442</v>
      </c>
      <c r="B940" s="5">
        <f>_xlfn.XLOOKUP(A940,Banks!A:A,Banks!H:H,0,-1)</f>
        <v>2529.9137841607089</v>
      </c>
      <c r="C940">
        <f>_xlfn.XLOOKUP(A940,Energy!A:A,Energy!H:H,0,-1)</f>
        <v>784.14396431027399</v>
      </c>
      <c r="D940">
        <f t="shared" si="56"/>
        <v>3314.0577484709829</v>
      </c>
      <c r="E940">
        <f>_xlfn.XLOOKUP(A940,Banks!A:A,Banks!I:I,0)</f>
        <v>41226.096895580762</v>
      </c>
      <c r="F940">
        <f>_xlfn.XLOOKUP(A940,Energy!A:A,Energy!I:I,0)</f>
        <v>0</v>
      </c>
      <c r="G940">
        <f t="shared" si="57"/>
        <v>41226.096895580762</v>
      </c>
      <c r="H940">
        <f t="shared" si="58"/>
        <v>37912.039147109783</v>
      </c>
      <c r="I940" t="b">
        <f t="shared" si="59"/>
        <v>0</v>
      </c>
    </row>
    <row r="941" spans="1:9">
      <c r="A941" s="1">
        <v>46021.613888888889</v>
      </c>
      <c r="B941" s="5">
        <f>_xlfn.XLOOKUP(A941,Banks!A:A,Banks!H:H,0,-1)</f>
        <v>2542.5470361116359</v>
      </c>
      <c r="C941">
        <f>_xlfn.XLOOKUP(A941,Energy!A:A,Energy!H:H,0,-1)</f>
        <v>784.14396431027399</v>
      </c>
      <c r="D941">
        <f t="shared" si="56"/>
        <v>3326.6910004219098</v>
      </c>
      <c r="E941">
        <f>_xlfn.XLOOKUP(A941,Banks!A:A,Banks!I:I,0)</f>
        <v>41207.317790392721</v>
      </c>
      <c r="F941">
        <f>_xlfn.XLOOKUP(A941,Energy!A:A,Energy!I:I,0)</f>
        <v>0</v>
      </c>
      <c r="G941">
        <f t="shared" si="57"/>
        <v>41207.317790392721</v>
      </c>
      <c r="H941">
        <f t="shared" si="58"/>
        <v>37880.626789970811</v>
      </c>
      <c r="I941" t="b">
        <f t="shared" si="59"/>
        <v>0</v>
      </c>
    </row>
    <row r="942" spans="1:9">
      <c r="A942" s="1">
        <v>46021.614583333343</v>
      </c>
      <c r="B942" s="5">
        <f>_xlfn.XLOOKUP(A942,Banks!A:A,Banks!H:H,0,-1)</f>
        <v>2701.0521068534922</v>
      </c>
      <c r="C942">
        <f>_xlfn.XLOOKUP(A942,Energy!A:A,Energy!H:H,0,-1)</f>
        <v>784.14396431027399</v>
      </c>
      <c r="D942">
        <f t="shared" si="56"/>
        <v>3485.1960711637662</v>
      </c>
      <c r="E942">
        <f>_xlfn.XLOOKUP(A942,Banks!A:A,Banks!I:I,0)</f>
        <v>41234.757653425448</v>
      </c>
      <c r="F942">
        <f>_xlfn.XLOOKUP(A942,Energy!A:A,Energy!I:I,0)</f>
        <v>0</v>
      </c>
      <c r="G942">
        <f t="shared" si="57"/>
        <v>41234.757653425448</v>
      </c>
      <c r="H942">
        <f t="shared" si="58"/>
        <v>37749.561582261682</v>
      </c>
      <c r="I942" t="b">
        <f t="shared" si="59"/>
        <v>0</v>
      </c>
    </row>
    <row r="943" spans="1:9">
      <c r="A943" s="1">
        <v>46021.615277777782</v>
      </c>
      <c r="B943" s="5">
        <f>_xlfn.XLOOKUP(A943,Banks!A:A,Banks!H:H,0,-1)</f>
        <v>2526.527856077812</v>
      </c>
      <c r="C943">
        <f>_xlfn.XLOOKUP(A943,Energy!A:A,Energy!H:H,0,-1)</f>
        <v>784.14396431027399</v>
      </c>
      <c r="D943">
        <f t="shared" si="56"/>
        <v>3310.671820388086</v>
      </c>
      <c r="E943">
        <f>_xlfn.XLOOKUP(A943,Banks!A:A,Banks!I:I,0)</f>
        <v>41225.41970996419</v>
      </c>
      <c r="F943">
        <f>_xlfn.XLOOKUP(A943,Energy!A:A,Energy!I:I,0)</f>
        <v>0</v>
      </c>
      <c r="G943">
        <f t="shared" si="57"/>
        <v>41225.41970996419</v>
      </c>
      <c r="H943">
        <f t="shared" si="58"/>
        <v>37914.747889576101</v>
      </c>
      <c r="I943" t="b">
        <f t="shared" si="59"/>
        <v>0</v>
      </c>
    </row>
    <row r="944" spans="1:9">
      <c r="A944" s="1">
        <v>46021.615972222222</v>
      </c>
      <c r="B944" s="5">
        <f>_xlfn.XLOOKUP(A944,Banks!A:A,Banks!H:H,0,-1)</f>
        <v>2636.2831086512801</v>
      </c>
      <c r="C944">
        <f>_xlfn.XLOOKUP(A944,Energy!A:A,Energy!H:H,0,-1)</f>
        <v>784.14396431027399</v>
      </c>
      <c r="D944">
        <f t="shared" si="56"/>
        <v>3420.4270729615541</v>
      </c>
      <c r="E944">
        <f>_xlfn.XLOOKUP(A944,Banks!A:A,Banks!I:I,0)</f>
        <v>41264.415364941473</v>
      </c>
      <c r="F944">
        <f>_xlfn.XLOOKUP(A944,Energy!A:A,Energy!I:I,0)</f>
        <v>0</v>
      </c>
      <c r="G944">
        <f t="shared" si="57"/>
        <v>41264.415364941473</v>
      </c>
      <c r="H944">
        <f t="shared" si="58"/>
        <v>37843.98829197992</v>
      </c>
      <c r="I944" t="b">
        <f t="shared" si="59"/>
        <v>0</v>
      </c>
    </row>
    <row r="945" spans="1:9">
      <c r="A945" s="1">
        <v>46021.616666666669</v>
      </c>
      <c r="B945" s="5">
        <f>_xlfn.XLOOKUP(A945,Banks!A:A,Banks!H:H,0,-1)</f>
        <v>2775.521526889826</v>
      </c>
      <c r="C945">
        <f>_xlfn.XLOOKUP(A945,Energy!A:A,Energy!H:H,0,-1)</f>
        <v>784.14396431027399</v>
      </c>
      <c r="D945">
        <f t="shared" si="56"/>
        <v>3559.6654912001</v>
      </c>
      <c r="E945">
        <f>_xlfn.XLOOKUP(A945,Banks!A:A,Banks!I:I,0)</f>
        <v>41317.829955283058</v>
      </c>
      <c r="F945">
        <f>_xlfn.XLOOKUP(A945,Energy!A:A,Energy!I:I,0)</f>
        <v>0</v>
      </c>
      <c r="G945">
        <f t="shared" si="57"/>
        <v>41317.829955283058</v>
      </c>
      <c r="H945">
        <f t="shared" si="58"/>
        <v>37758.164464082955</v>
      </c>
      <c r="I945" t="b">
        <f t="shared" si="59"/>
        <v>0</v>
      </c>
    </row>
    <row r="946" spans="1:9">
      <c r="A946" s="1">
        <v>46021.617361111108</v>
      </c>
      <c r="B946" s="5">
        <f>_xlfn.XLOOKUP(A946,Banks!A:A,Banks!H:H,0,-1)</f>
        <v>2722.4963180451191</v>
      </c>
      <c r="C946">
        <f>_xlfn.XLOOKUP(A946,Energy!A:A,Energy!H:H,0,-1)</f>
        <v>784.14396431027399</v>
      </c>
      <c r="D946">
        <f t="shared" si="56"/>
        <v>3506.6402823553931</v>
      </c>
      <c r="E946">
        <f>_xlfn.XLOOKUP(A946,Banks!A:A,Banks!I:I,0)</f>
        <v>41239.046495663773</v>
      </c>
      <c r="F946">
        <f>_xlfn.XLOOKUP(A946,Energy!A:A,Energy!I:I,0)</f>
        <v>0</v>
      </c>
      <c r="G946">
        <f t="shared" si="57"/>
        <v>41239.046495663773</v>
      </c>
      <c r="H946">
        <f t="shared" si="58"/>
        <v>37732.406213308379</v>
      </c>
      <c r="I946" t="b">
        <f t="shared" si="59"/>
        <v>0</v>
      </c>
    </row>
    <row r="947" spans="1:9">
      <c r="A947" s="1">
        <v>46021.618055555547</v>
      </c>
      <c r="B947" s="5">
        <f>_xlfn.XLOOKUP(A947,Banks!A:A,Banks!H:H,0,-1)</f>
        <v>2812.0134620078438</v>
      </c>
      <c r="C947">
        <f>_xlfn.XLOOKUP(A947,Energy!A:A,Energy!H:H,0,-1)</f>
        <v>784.14396431027399</v>
      </c>
      <c r="D947">
        <f t="shared" si="56"/>
        <v>3596.1574263181178</v>
      </c>
      <c r="E947">
        <f>_xlfn.XLOOKUP(A947,Banks!A:A,Banks!I:I,0)</f>
        <v>0</v>
      </c>
      <c r="F947">
        <f>_xlfn.XLOOKUP(A947,Energy!A:A,Energy!I:I,0)</f>
        <v>0</v>
      </c>
      <c r="G947">
        <f t="shared" si="57"/>
        <v>0</v>
      </c>
      <c r="H947">
        <f t="shared" si="58"/>
        <v>-3596.1574263181178</v>
      </c>
      <c r="I947" t="b">
        <f t="shared" si="59"/>
        <v>0</v>
      </c>
    </row>
    <row r="948" spans="1:9">
      <c r="A948" s="1">
        <v>46021.779166666667</v>
      </c>
      <c r="B948" s="5">
        <f>_xlfn.XLOOKUP(A948,Banks!A:A,Banks!H:H,0,-1)</f>
        <v>2812.0134620078438</v>
      </c>
      <c r="C948">
        <f>_xlfn.XLOOKUP(A948,Energy!A:A,Energy!H:H,0,-1)</f>
        <v>784.14396431027399</v>
      </c>
      <c r="D948">
        <f t="shared" si="56"/>
        <v>3596.1574263181178</v>
      </c>
      <c r="E948">
        <f>_xlfn.XLOOKUP(A948,Banks!A:A,Banks!I:I,0)</f>
        <v>41258.882915960698</v>
      </c>
      <c r="F948">
        <f>_xlfn.XLOOKUP(A948,Energy!A:A,Energy!I:I,0)</f>
        <v>0</v>
      </c>
      <c r="G948">
        <f t="shared" si="57"/>
        <v>41258.882915960698</v>
      </c>
      <c r="H948">
        <f t="shared" si="58"/>
        <v>37662.72548964258</v>
      </c>
      <c r="I948" t="b">
        <f t="shared" si="59"/>
        <v>0</v>
      </c>
    </row>
    <row r="949" spans="1:9">
      <c r="A949" s="1">
        <v>46021.779861111107</v>
      </c>
      <c r="B949" s="5">
        <f>_xlfn.XLOOKUP(A949,Banks!A:A,Banks!H:H,0,-1)</f>
        <v>2814.8324651567191</v>
      </c>
      <c r="C949">
        <f>_xlfn.XLOOKUP(A949,Energy!A:A,Energy!H:H,0,-1)</f>
        <v>784.14396431027399</v>
      </c>
      <c r="D949">
        <f t="shared" si="56"/>
        <v>3598.9764294669931</v>
      </c>
      <c r="E949">
        <f>_xlfn.XLOOKUP(A949,Banks!A:A,Banks!I:I,0)</f>
        <v>41262.615140978291</v>
      </c>
      <c r="F949">
        <f>_xlfn.XLOOKUP(A949,Energy!A:A,Energy!I:I,0)</f>
        <v>0</v>
      </c>
      <c r="G949">
        <f t="shared" si="57"/>
        <v>41262.615140978291</v>
      </c>
      <c r="H949">
        <f t="shared" si="58"/>
        <v>37663.638711511296</v>
      </c>
      <c r="I949" t="b">
        <f t="shared" si="59"/>
        <v>0</v>
      </c>
    </row>
    <row r="950" spans="1:9">
      <c r="A950" s="1">
        <v>46021.780555555553</v>
      </c>
      <c r="B950" s="5">
        <f>_xlfn.XLOOKUP(A950,Banks!A:A,Banks!H:H,0,-1)</f>
        <v>2847.6482891733722</v>
      </c>
      <c r="C950">
        <f>_xlfn.XLOOKUP(A950,Energy!A:A,Energy!H:H,0,-1)</f>
        <v>784.14396431027399</v>
      </c>
      <c r="D950">
        <f t="shared" si="56"/>
        <v>3631.7922534836462</v>
      </c>
      <c r="E950">
        <f>_xlfn.XLOOKUP(A950,Banks!A:A,Banks!I:I,0)</f>
        <v>41256.05197617496</v>
      </c>
      <c r="F950">
        <f>_xlfn.XLOOKUP(A950,Energy!A:A,Energy!I:I,0)</f>
        <v>0</v>
      </c>
      <c r="G950">
        <f t="shared" si="57"/>
        <v>41256.05197617496</v>
      </c>
      <c r="H950">
        <f t="shared" si="58"/>
        <v>37624.259722691313</v>
      </c>
      <c r="I950" t="b">
        <f t="shared" si="59"/>
        <v>0</v>
      </c>
    </row>
    <row r="951" spans="1:9">
      <c r="A951" s="1">
        <v>46021.78125</v>
      </c>
      <c r="B951" s="5">
        <f>_xlfn.XLOOKUP(A951,Banks!A:A,Banks!H:H,0,-1)</f>
        <v>2847.6482891733722</v>
      </c>
      <c r="C951">
        <f>_xlfn.XLOOKUP(A951,Energy!A:A,Energy!H:H,0,-1)</f>
        <v>784.14396431027399</v>
      </c>
      <c r="D951">
        <f t="shared" si="56"/>
        <v>3631.7922534836462</v>
      </c>
      <c r="E951">
        <f>_xlfn.XLOOKUP(A951,Banks!A:A,Banks!I:I,0)</f>
        <v>41256.05197617496</v>
      </c>
      <c r="F951">
        <f>_xlfn.XLOOKUP(A951,Energy!A:A,Energy!I:I,0)</f>
        <v>0</v>
      </c>
      <c r="G951">
        <f t="shared" si="57"/>
        <v>41256.05197617496</v>
      </c>
      <c r="H951">
        <f t="shared" si="58"/>
        <v>37624.259722691313</v>
      </c>
      <c r="I951" t="b">
        <f t="shared" si="59"/>
        <v>0</v>
      </c>
    </row>
    <row r="952" spans="1:9">
      <c r="A952" s="1">
        <v>46021.781944444447</v>
      </c>
      <c r="B952" s="5">
        <f>_xlfn.XLOOKUP(A952,Banks!A:A,Banks!H:H,0,-1)</f>
        <v>2879.8684815285719</v>
      </c>
      <c r="C952">
        <f>_xlfn.XLOOKUP(A952,Energy!A:A,Energy!H:H,0,-1)</f>
        <v>784.14396431027399</v>
      </c>
      <c r="D952">
        <f t="shared" si="56"/>
        <v>3664.0124458388459</v>
      </c>
      <c r="E952">
        <f>_xlfn.XLOOKUP(A952,Banks!A:A,Banks!I:I,0)</f>
        <v>41262.496014646</v>
      </c>
      <c r="F952">
        <f>_xlfn.XLOOKUP(A952,Energy!A:A,Energy!I:I,0)</f>
        <v>0</v>
      </c>
      <c r="G952">
        <f t="shared" si="57"/>
        <v>41262.496014646</v>
      </c>
      <c r="H952">
        <f t="shared" si="58"/>
        <v>37598.483568807154</v>
      </c>
      <c r="I952" t="b">
        <f t="shared" si="59"/>
        <v>0</v>
      </c>
    </row>
    <row r="953" spans="1:9">
      <c r="A953" s="1">
        <v>46021.782638888893</v>
      </c>
      <c r="B953" s="5">
        <f>_xlfn.XLOOKUP(A953,Banks!A:A,Banks!H:H,0,-1)</f>
        <v>2836.9082250549659</v>
      </c>
      <c r="C953">
        <f>_xlfn.XLOOKUP(A953,Energy!A:A,Energy!H:H,0,-1)</f>
        <v>784.14396431027399</v>
      </c>
      <c r="D953">
        <f t="shared" si="56"/>
        <v>3621.0521893652399</v>
      </c>
      <c r="E953">
        <f>_xlfn.XLOOKUP(A953,Banks!A:A,Banks!I:I,0)</f>
        <v>41253.903963351273</v>
      </c>
      <c r="F953">
        <f>_xlfn.XLOOKUP(A953,Energy!A:A,Energy!I:I,0)</f>
        <v>0</v>
      </c>
      <c r="G953">
        <f t="shared" si="57"/>
        <v>41253.903963351273</v>
      </c>
      <c r="H953">
        <f t="shared" si="58"/>
        <v>37632.851773986033</v>
      </c>
      <c r="I953" t="b">
        <f t="shared" si="59"/>
        <v>0</v>
      </c>
    </row>
    <row r="954" spans="1:9">
      <c r="A954" s="1">
        <v>46021.783333333333</v>
      </c>
      <c r="B954" s="5">
        <f>_xlfn.XLOOKUP(A954,Banks!A:A,Banks!H:H,0,-1)</f>
        <v>2878.7567957848541</v>
      </c>
      <c r="C954">
        <f>_xlfn.XLOOKUP(A954,Energy!A:A,Energy!H:H,0,-1)</f>
        <v>784.14396431027399</v>
      </c>
      <c r="D954">
        <f t="shared" si="56"/>
        <v>3662.9007600951281</v>
      </c>
      <c r="E954">
        <f>_xlfn.XLOOKUP(A954,Banks!A:A,Banks!I:I,0)</f>
        <v>41254.126300500022</v>
      </c>
      <c r="F954">
        <f>_xlfn.XLOOKUP(A954,Energy!A:A,Energy!I:I,0)</f>
        <v>0</v>
      </c>
      <c r="G954">
        <f t="shared" si="57"/>
        <v>41254.126300500022</v>
      </c>
      <c r="H954">
        <f t="shared" si="58"/>
        <v>37591.225540404892</v>
      </c>
      <c r="I954" t="b">
        <f t="shared" si="59"/>
        <v>0</v>
      </c>
    </row>
    <row r="955" spans="1:9">
      <c r="A955" s="1">
        <v>46021.78402777778</v>
      </c>
      <c r="B955" s="5">
        <f>_xlfn.XLOOKUP(A955,Banks!A:A,Banks!H:H,0,-1)</f>
        <v>2857.276667548058</v>
      </c>
      <c r="C955">
        <f>_xlfn.XLOOKUP(A955,Energy!A:A,Energy!H:H,0,-1)</f>
        <v>784.14396431027399</v>
      </c>
      <c r="D955">
        <f t="shared" si="56"/>
        <v>3641.4206318583319</v>
      </c>
      <c r="E955">
        <f>_xlfn.XLOOKUP(A955,Banks!A:A,Banks!I:I,0)</f>
        <v>41249.830274852662</v>
      </c>
      <c r="F955">
        <f>_xlfn.XLOOKUP(A955,Energy!A:A,Energy!I:I,0)</f>
        <v>0</v>
      </c>
      <c r="G955">
        <f t="shared" si="57"/>
        <v>41249.830274852662</v>
      </c>
      <c r="H955">
        <f t="shared" si="58"/>
        <v>37608.409642994331</v>
      </c>
      <c r="I955" t="b">
        <f t="shared" si="59"/>
        <v>0</v>
      </c>
    </row>
    <row r="956" spans="1:9">
      <c r="A956" s="1">
        <v>46021.784722222219</v>
      </c>
      <c r="B956" s="5">
        <f>_xlfn.XLOOKUP(A956,Banks!A:A,Banks!H:H,0,-1)</f>
        <v>2857.276667548058</v>
      </c>
      <c r="C956">
        <f>_xlfn.XLOOKUP(A956,Energy!A:A,Energy!H:H,0,-1)</f>
        <v>784.14396431027399</v>
      </c>
      <c r="D956">
        <f t="shared" si="56"/>
        <v>3641.4206318583319</v>
      </c>
      <c r="E956">
        <f>_xlfn.XLOOKUP(A956,Banks!A:A,Banks!I:I,0)</f>
        <v>41249.830274852662</v>
      </c>
      <c r="F956">
        <f>_xlfn.XLOOKUP(A956,Energy!A:A,Energy!I:I,0)</f>
        <v>0</v>
      </c>
      <c r="G956">
        <f t="shared" si="57"/>
        <v>41249.830274852662</v>
      </c>
      <c r="H956">
        <f t="shared" si="58"/>
        <v>37608.409642994331</v>
      </c>
      <c r="I956" t="b">
        <f t="shared" si="59"/>
        <v>0</v>
      </c>
    </row>
    <row r="957" spans="1:9">
      <c r="A957" s="1">
        <v>46021.785416666673</v>
      </c>
      <c r="B957" s="5">
        <f>_xlfn.XLOOKUP(A957,Banks!A:A,Banks!H:H,0,-1)</f>
        <v>2792.8362828376562</v>
      </c>
      <c r="C957">
        <f>_xlfn.XLOOKUP(A957,Energy!A:A,Energy!H:H,0,-1)</f>
        <v>784.14396431027399</v>
      </c>
      <c r="D957">
        <f t="shared" si="56"/>
        <v>3576.9802471479302</v>
      </c>
      <c r="E957">
        <f>_xlfn.XLOOKUP(A957,Banks!A:A,Banks!I:I,0)</f>
        <v>41236.942197910583</v>
      </c>
      <c r="F957">
        <f>_xlfn.XLOOKUP(A957,Energy!A:A,Energy!I:I,0)</f>
        <v>0</v>
      </c>
      <c r="G957">
        <f t="shared" si="57"/>
        <v>41236.942197910583</v>
      </c>
      <c r="H957">
        <f t="shared" si="58"/>
        <v>37659.961950762656</v>
      </c>
      <c r="I957" t="b">
        <f t="shared" si="59"/>
        <v>0</v>
      </c>
    </row>
    <row r="958" spans="1:9">
      <c r="A958" s="1">
        <v>46021.786111111112</v>
      </c>
      <c r="B958" s="5">
        <f>_xlfn.XLOOKUP(A958,Banks!A:A,Banks!H:H,0,-1)</f>
        <v>2803.576346956062</v>
      </c>
      <c r="C958">
        <f>_xlfn.XLOOKUP(A958,Energy!A:A,Energy!H:H,0,-1)</f>
        <v>784.14396431027399</v>
      </c>
      <c r="D958">
        <f t="shared" si="56"/>
        <v>3587.720311266336</v>
      </c>
      <c r="E958">
        <f>_xlfn.XLOOKUP(A958,Banks!A:A,Banks!I:I,0)</f>
        <v>41239.090210734263</v>
      </c>
      <c r="F958">
        <f>_xlfn.XLOOKUP(A958,Energy!A:A,Energy!I:I,0)</f>
        <v>0</v>
      </c>
      <c r="G958">
        <f t="shared" si="57"/>
        <v>41239.090210734263</v>
      </c>
      <c r="H958">
        <f t="shared" si="58"/>
        <v>37651.369899467929</v>
      </c>
      <c r="I958" t="b">
        <f t="shared" si="59"/>
        <v>0</v>
      </c>
    </row>
    <row r="959" spans="1:9">
      <c r="A959" s="1">
        <v>46021.786805555559</v>
      </c>
      <c r="B959" s="5">
        <f>_xlfn.XLOOKUP(A959,Banks!A:A,Banks!H:H,0,-1)</f>
        <v>2825.0564751928569</v>
      </c>
      <c r="C959">
        <f>_xlfn.XLOOKUP(A959,Energy!A:A,Energy!H:H,0,-1)</f>
        <v>784.14396431027399</v>
      </c>
      <c r="D959">
        <f t="shared" si="56"/>
        <v>3609.2004395031308</v>
      </c>
      <c r="E959">
        <f>_xlfn.XLOOKUP(A959,Banks!A:A,Banks!I:I,0)</f>
        <v>41243.386236381622</v>
      </c>
      <c r="F959">
        <f>_xlfn.XLOOKUP(A959,Energy!A:A,Energy!I:I,0)</f>
        <v>0</v>
      </c>
      <c r="G959">
        <f t="shared" si="57"/>
        <v>41243.386236381622</v>
      </c>
      <c r="H959">
        <f t="shared" si="58"/>
        <v>37634.18579687849</v>
      </c>
      <c r="I959" t="b">
        <f t="shared" si="59"/>
        <v>0</v>
      </c>
    </row>
    <row r="960" spans="1:9">
      <c r="A960" s="1">
        <v>46021.787499999999</v>
      </c>
      <c r="B960" s="5">
        <f>_xlfn.XLOOKUP(A960,Banks!A:A,Banks!H:H,0,-1)</f>
        <v>2825.0564751928569</v>
      </c>
      <c r="C960">
        <f>_xlfn.XLOOKUP(A960,Energy!A:A,Energy!H:H,0,-1)</f>
        <v>784.14396431027399</v>
      </c>
      <c r="D960">
        <f t="shared" si="56"/>
        <v>3609.2004395031308</v>
      </c>
      <c r="E960">
        <f>_xlfn.XLOOKUP(A960,Banks!A:A,Banks!I:I,0)</f>
        <v>41243.386236381622</v>
      </c>
      <c r="F960">
        <f>_xlfn.XLOOKUP(A960,Energy!A:A,Energy!I:I,0)</f>
        <v>0</v>
      </c>
      <c r="G960">
        <f t="shared" si="57"/>
        <v>41243.386236381622</v>
      </c>
      <c r="H960">
        <f t="shared" si="58"/>
        <v>37634.18579687849</v>
      </c>
      <c r="I960" t="b">
        <f t="shared" si="59"/>
        <v>0</v>
      </c>
    </row>
    <row r="961" spans="1:9">
      <c r="A961" s="1">
        <v>46021.788194444453</v>
      </c>
      <c r="B961" s="5">
        <f>_xlfn.XLOOKUP(A961,Banks!A:A,Banks!H:H,0,-1)</f>
        <v>2833.8126994239929</v>
      </c>
      <c r="C961">
        <f>_xlfn.XLOOKUP(A961,Energy!A:A,Energy!H:H,0,-1)</f>
        <v>784.14396431027399</v>
      </c>
      <c r="D961">
        <f t="shared" si="56"/>
        <v>3617.9566637342668</v>
      </c>
      <c r="E961">
        <f>_xlfn.XLOOKUP(A961,Banks!A:A,Banks!I:I,0)</f>
        <v>0</v>
      </c>
      <c r="F961">
        <f>_xlfn.XLOOKUP(A961,Energy!A:A,Energy!I:I,0)</f>
        <v>0</v>
      </c>
      <c r="G961">
        <f t="shared" si="57"/>
        <v>0</v>
      </c>
      <c r="H961">
        <f t="shared" si="58"/>
        <v>-3617.9566637342668</v>
      </c>
      <c r="I961" t="b">
        <f t="shared" si="59"/>
        <v>0</v>
      </c>
    </row>
    <row r="962" spans="1:9">
      <c r="A962" s="1">
        <v>46024.604166666657</v>
      </c>
      <c r="B962" s="5">
        <f>_xlfn.XLOOKUP(A962,Banks!A:A,Banks!H:H,0,-1)</f>
        <v>2833.8126994239929</v>
      </c>
      <c r="C962">
        <f>_xlfn.XLOOKUP(A962,Energy!A:A,Energy!H:H,0,-1)</f>
        <v>784.14396431027399</v>
      </c>
      <c r="D962">
        <f t="shared" si="56"/>
        <v>3617.9566637342668</v>
      </c>
      <c r="E962">
        <f>_xlfn.XLOOKUP(A962,Banks!A:A,Banks!I:I,0)</f>
        <v>41258.882915960712</v>
      </c>
      <c r="F962">
        <f>_xlfn.XLOOKUP(A962,Energy!A:A,Energy!I:I,0)</f>
        <v>0</v>
      </c>
      <c r="G962">
        <f t="shared" si="57"/>
        <v>41258.882915960712</v>
      </c>
      <c r="H962">
        <f t="shared" si="58"/>
        <v>37640.926252226447</v>
      </c>
      <c r="I962" t="b">
        <f t="shared" si="59"/>
        <v>0</v>
      </c>
    </row>
    <row r="963" spans="1:9">
      <c r="A963" s="1">
        <v>46024.604861111111</v>
      </c>
      <c r="B963" s="5">
        <f>_xlfn.XLOOKUP(A963,Banks!A:A,Banks!H:H,0,-1)</f>
        <v>2271.2613314798391</v>
      </c>
      <c r="C963">
        <f>_xlfn.XLOOKUP(A963,Energy!A:A,Energy!H:H,0,-1)</f>
        <v>784.14396431027399</v>
      </c>
      <c r="D963">
        <f t="shared" ref="D963:D1026" si="60">B963+C963</f>
        <v>3055.4052957901131</v>
      </c>
      <c r="E963">
        <f>_xlfn.XLOOKUP(A963,Banks!A:A,Banks!I:I,0)</f>
        <v>41259.368269441104</v>
      </c>
      <c r="F963">
        <f>_xlfn.XLOOKUP(A963,Energy!A:A,Energy!I:I,0)</f>
        <v>0</v>
      </c>
      <c r="G963">
        <f t="shared" ref="G963:G1026" si="61">F963+E963</f>
        <v>41259.368269441104</v>
      </c>
      <c r="H963">
        <f t="shared" ref="H963:H1026" si="62">G963-D963</f>
        <v>38203.962973650989</v>
      </c>
      <c r="I963" t="b">
        <f t="shared" ref="I963:I1026" si="63">AND(E963&gt;0,F963&gt;0)</f>
        <v>0</v>
      </c>
    </row>
    <row r="964" spans="1:9">
      <c r="A964" s="1">
        <v>46024.605555555558</v>
      </c>
      <c r="B964" s="5">
        <f>_xlfn.XLOOKUP(A964,Banks!A:A,Banks!H:H,0,-1)</f>
        <v>2368.65982493093</v>
      </c>
      <c r="C964">
        <f>_xlfn.XLOOKUP(A964,Energy!A:A,Energy!H:H,0,-1)</f>
        <v>784.14396431027399</v>
      </c>
      <c r="D964">
        <f t="shared" si="60"/>
        <v>3152.803789241204</v>
      </c>
      <c r="E964">
        <f>_xlfn.XLOOKUP(A964,Banks!A:A,Banks!I:I,0)</f>
        <v>41265.7404753913</v>
      </c>
      <c r="F964">
        <f>_xlfn.XLOOKUP(A964,Energy!A:A,Energy!I:I,0)</f>
        <v>0</v>
      </c>
      <c r="G964">
        <f t="shared" si="61"/>
        <v>41265.7404753913</v>
      </c>
      <c r="H964">
        <f t="shared" si="62"/>
        <v>38112.936686150097</v>
      </c>
      <c r="I964" t="b">
        <f t="shared" si="63"/>
        <v>0</v>
      </c>
    </row>
    <row r="965" spans="1:9">
      <c r="A965" s="1">
        <v>46024.606249999997</v>
      </c>
      <c r="B965" s="5">
        <f>_xlfn.XLOOKUP(A965,Banks!A:A,Banks!H:H,0,-1)</f>
        <v>2020.726063694475</v>
      </c>
      <c r="C965">
        <f>_xlfn.XLOOKUP(A965,Energy!A:A,Energy!H:H,0,-1)</f>
        <v>784.14396431027399</v>
      </c>
      <c r="D965">
        <f t="shared" si="60"/>
        <v>2804.8700280047487</v>
      </c>
      <c r="E965">
        <f>_xlfn.XLOOKUP(A965,Banks!A:A,Banks!I:I,0)</f>
        <v>41214.68500598336</v>
      </c>
      <c r="F965">
        <f>_xlfn.XLOOKUP(A965,Energy!A:A,Energy!I:I,0)</f>
        <v>0</v>
      </c>
      <c r="G965">
        <f t="shared" si="61"/>
        <v>41214.68500598336</v>
      </c>
      <c r="H965">
        <f t="shared" si="62"/>
        <v>38409.814977978611</v>
      </c>
      <c r="I965" t="b">
        <f t="shared" si="63"/>
        <v>0</v>
      </c>
    </row>
    <row r="966" spans="1:9">
      <c r="A966" s="1">
        <v>46024.606944444437</v>
      </c>
      <c r="B966" s="5">
        <f>_xlfn.XLOOKUP(A966,Banks!A:A,Banks!H:H,0,-1)</f>
        <v>2300.9552188261741</v>
      </c>
      <c r="C966">
        <f>_xlfn.XLOOKUP(A966,Energy!A:A,Energy!H:H,0,-1)</f>
        <v>784.14396431027399</v>
      </c>
      <c r="D966">
        <f t="shared" si="60"/>
        <v>3085.0991831364481</v>
      </c>
      <c r="E966">
        <f>_xlfn.XLOOKUP(A966,Banks!A:A,Banks!I:I,0)</f>
        <v>41158.639174957018</v>
      </c>
      <c r="F966">
        <f>_xlfn.XLOOKUP(A966,Energy!A:A,Energy!I:I,0)</f>
        <v>0</v>
      </c>
      <c r="G966">
        <f t="shared" si="61"/>
        <v>41158.639174957018</v>
      </c>
      <c r="H966">
        <f t="shared" si="62"/>
        <v>38073.539991820566</v>
      </c>
      <c r="I966" t="b">
        <f t="shared" si="63"/>
        <v>0</v>
      </c>
    </row>
    <row r="967" spans="1:9">
      <c r="A967" s="1">
        <v>46024.607638888891</v>
      </c>
      <c r="B967" s="5">
        <f>_xlfn.XLOOKUP(A967,Banks!A:A,Banks!H:H,0,-1)</f>
        <v>2122.8853218128111</v>
      </c>
      <c r="C967">
        <f>_xlfn.XLOOKUP(A967,Energy!A:A,Energy!H:H,0,-1)</f>
        <v>784.14396431027399</v>
      </c>
      <c r="D967">
        <f t="shared" si="60"/>
        <v>2907.0292861230851</v>
      </c>
      <c r="E967">
        <f>_xlfn.XLOOKUP(A967,Banks!A:A,Banks!I:I,0)</f>
        <v>41116.697440438467</v>
      </c>
      <c r="F967">
        <f>_xlfn.XLOOKUP(A967,Energy!A:A,Energy!I:I,0)</f>
        <v>0</v>
      </c>
      <c r="G967">
        <f t="shared" si="61"/>
        <v>41116.697440438467</v>
      </c>
      <c r="H967">
        <f t="shared" si="62"/>
        <v>38209.668154315383</v>
      </c>
      <c r="I967" t="b">
        <f t="shared" si="63"/>
        <v>0</v>
      </c>
    </row>
    <row r="968" spans="1:9">
      <c r="A968" s="1">
        <v>46024.60833333333</v>
      </c>
      <c r="B968" s="5">
        <f>_xlfn.XLOOKUP(A968,Banks!A:A,Banks!H:H,0,-1)</f>
        <v>2243.9388122246041</v>
      </c>
      <c r="C968">
        <f>_xlfn.XLOOKUP(A968,Energy!A:A,Energy!H:H,0,-1)</f>
        <v>784.14396431027399</v>
      </c>
      <c r="D968">
        <f t="shared" si="60"/>
        <v>3028.0827765348781</v>
      </c>
      <c r="E968">
        <f>_xlfn.XLOOKUP(A968,Banks!A:A,Banks!I:I,0)</f>
        <v>41109.721345449718</v>
      </c>
      <c r="F968">
        <f>_xlfn.XLOOKUP(A968,Energy!A:A,Energy!I:I,0)</f>
        <v>0</v>
      </c>
      <c r="G968">
        <f t="shared" si="61"/>
        <v>41109.721345449718</v>
      </c>
      <c r="H968">
        <f t="shared" si="62"/>
        <v>38081.638568914837</v>
      </c>
      <c r="I968" t="b">
        <f t="shared" si="63"/>
        <v>0</v>
      </c>
    </row>
    <row r="969" spans="1:9">
      <c r="A969" s="1">
        <v>46024.609027777777</v>
      </c>
      <c r="B969" s="5">
        <f>_xlfn.XLOOKUP(A969,Banks!A:A,Banks!H:H,0,-1)</f>
        <v>2108.8719955149381</v>
      </c>
      <c r="C969">
        <f>_xlfn.XLOOKUP(A969,Energy!A:A,Energy!H:H,0,-1)</f>
        <v>784.14396431027399</v>
      </c>
      <c r="D969">
        <f t="shared" si="60"/>
        <v>2893.0159598252121</v>
      </c>
      <c r="E969">
        <f>_xlfn.XLOOKUP(A969,Banks!A:A,Banks!I:I,0)</f>
        <v>41132.426058018253</v>
      </c>
      <c r="F969">
        <f>_xlfn.XLOOKUP(A969,Energy!A:A,Energy!I:I,0)</f>
        <v>0</v>
      </c>
      <c r="G969">
        <f t="shared" si="61"/>
        <v>41132.426058018253</v>
      </c>
      <c r="H969">
        <f t="shared" si="62"/>
        <v>38239.410098193039</v>
      </c>
      <c r="I969" t="b">
        <f t="shared" si="63"/>
        <v>0</v>
      </c>
    </row>
    <row r="970" spans="1:9">
      <c r="A970" s="1">
        <v>46024.609722222223</v>
      </c>
      <c r="B970" s="5">
        <f>_xlfn.XLOOKUP(A970,Banks!A:A,Banks!H:H,0,-1)</f>
        <v>2238.020391631193</v>
      </c>
      <c r="C970">
        <f>_xlfn.XLOOKUP(A970,Energy!A:A,Energy!H:H,0,-1)</f>
        <v>784.14396431027399</v>
      </c>
      <c r="D970">
        <f t="shared" si="60"/>
        <v>3022.164355941467</v>
      </c>
      <c r="E970">
        <f>_xlfn.XLOOKUP(A970,Banks!A:A,Banks!I:I,0)</f>
        <v>41145.374235755597</v>
      </c>
      <c r="F970">
        <f>_xlfn.XLOOKUP(A970,Energy!A:A,Energy!I:I,0)</f>
        <v>0</v>
      </c>
      <c r="G970">
        <f t="shared" si="61"/>
        <v>41145.374235755597</v>
      </c>
      <c r="H970">
        <f t="shared" si="62"/>
        <v>38123.209879814131</v>
      </c>
      <c r="I970" t="b">
        <f t="shared" si="63"/>
        <v>0</v>
      </c>
    </row>
    <row r="971" spans="1:9">
      <c r="A971" s="1">
        <v>46024.61041666667</v>
      </c>
      <c r="B971" s="5">
        <f>_xlfn.XLOOKUP(A971,Banks!A:A,Banks!H:H,0,-1)</f>
        <v>2259.832284738136</v>
      </c>
      <c r="C971">
        <f>_xlfn.XLOOKUP(A971,Energy!A:A,Energy!H:H,0,-1)</f>
        <v>784.14396431027399</v>
      </c>
      <c r="D971">
        <f t="shared" si="60"/>
        <v>3043.97624904841</v>
      </c>
      <c r="E971">
        <f>_xlfn.XLOOKUP(A971,Banks!A:A,Banks!I:I,0)</f>
        <v>41115.159952493806</v>
      </c>
      <c r="F971">
        <f>_xlfn.XLOOKUP(A971,Energy!A:A,Energy!I:I,0)</f>
        <v>0</v>
      </c>
      <c r="G971">
        <f t="shared" si="61"/>
        <v>41115.159952493806</v>
      </c>
      <c r="H971">
        <f t="shared" si="62"/>
        <v>38071.183703445393</v>
      </c>
      <c r="I971" t="b">
        <f t="shared" si="63"/>
        <v>0</v>
      </c>
    </row>
    <row r="972" spans="1:9">
      <c r="A972" s="1">
        <v>46024.611111111109</v>
      </c>
      <c r="B972" s="5">
        <f>_xlfn.XLOOKUP(A972,Banks!A:A,Banks!H:H,0,-1)</f>
        <v>2380.0521577746408</v>
      </c>
      <c r="C972">
        <f>_xlfn.XLOOKUP(A972,Energy!A:A,Energy!H:H,0,-1)</f>
        <v>784.14396431027399</v>
      </c>
      <c r="D972">
        <f t="shared" si="60"/>
        <v>3164.1961220849148</v>
      </c>
      <c r="E972">
        <f>_xlfn.XLOOKUP(A972,Banks!A:A,Banks!I:I,0)</f>
        <v>41142.819787167333</v>
      </c>
      <c r="F972">
        <f>_xlfn.XLOOKUP(A972,Energy!A:A,Energy!I:I,0)</f>
        <v>0</v>
      </c>
      <c r="G972">
        <f t="shared" si="61"/>
        <v>41142.819787167333</v>
      </c>
      <c r="H972">
        <f t="shared" si="62"/>
        <v>37978.623665082421</v>
      </c>
      <c r="I972" t="b">
        <f t="shared" si="63"/>
        <v>0</v>
      </c>
    </row>
    <row r="973" spans="1:9">
      <c r="A973" s="1">
        <v>46024.611805555563</v>
      </c>
      <c r="B973" s="5">
        <f>_xlfn.XLOOKUP(A973,Banks!A:A,Banks!H:H,0,-1)</f>
        <v>2245.2169379429902</v>
      </c>
      <c r="C973">
        <f>_xlfn.XLOOKUP(A973,Energy!A:A,Energy!H:H,0,-1)</f>
        <v>784.14396431027399</v>
      </c>
      <c r="D973">
        <f t="shared" si="60"/>
        <v>3029.3609022532642</v>
      </c>
      <c r="E973">
        <f>_xlfn.XLOOKUP(A973,Banks!A:A,Banks!I:I,0)</f>
        <v>41126.700323399637</v>
      </c>
      <c r="F973">
        <f>_xlfn.XLOOKUP(A973,Energy!A:A,Energy!I:I,0)</f>
        <v>0</v>
      </c>
      <c r="G973">
        <f t="shared" si="61"/>
        <v>41126.700323399637</v>
      </c>
      <c r="H973">
        <f t="shared" si="62"/>
        <v>38097.339421146375</v>
      </c>
      <c r="I973" t="b">
        <f t="shared" si="63"/>
        <v>0</v>
      </c>
    </row>
    <row r="974" spans="1:9">
      <c r="A974" s="1">
        <v>46024.612500000003</v>
      </c>
      <c r="B974" s="5">
        <f>_xlfn.XLOOKUP(A974,Banks!A:A,Banks!H:H,0,-1)</f>
        <v>2269.7796370028082</v>
      </c>
      <c r="C974">
        <f>_xlfn.XLOOKUP(A974,Energy!A:A,Energy!H:H,0,-1)</f>
        <v>784.14396431027399</v>
      </c>
      <c r="D974">
        <f t="shared" si="60"/>
        <v>3053.9236013130821</v>
      </c>
      <c r="E974">
        <f>_xlfn.XLOOKUP(A974,Banks!A:A,Banks!I:I,0)</f>
        <v>41087.318577400467</v>
      </c>
      <c r="F974">
        <f>_xlfn.XLOOKUP(A974,Energy!A:A,Energy!I:I,0)</f>
        <v>0</v>
      </c>
      <c r="G974">
        <f t="shared" si="61"/>
        <v>41087.318577400467</v>
      </c>
      <c r="H974">
        <f t="shared" si="62"/>
        <v>38033.394976087387</v>
      </c>
      <c r="I974" t="b">
        <f t="shared" si="63"/>
        <v>0</v>
      </c>
    </row>
    <row r="975" spans="1:9">
      <c r="A975" s="1">
        <v>46024.613194444442</v>
      </c>
      <c r="B975" s="5">
        <f>_xlfn.XLOOKUP(A975,Banks!A:A,Banks!H:H,0,-1)</f>
        <v>2154.672266839902</v>
      </c>
      <c r="C975">
        <f>_xlfn.XLOOKUP(A975,Energy!A:A,Energy!H:H,0,-1)</f>
        <v>784.14396431027399</v>
      </c>
      <c r="D975">
        <f t="shared" si="60"/>
        <v>2938.816231150176</v>
      </c>
      <c r="E975">
        <f>_xlfn.XLOOKUP(A975,Banks!A:A,Banks!I:I,0)</f>
        <v>41127.574654526659</v>
      </c>
      <c r="F975">
        <f>_xlfn.XLOOKUP(A975,Energy!A:A,Energy!I:I,0)</f>
        <v>0</v>
      </c>
      <c r="G975">
        <f t="shared" si="61"/>
        <v>41127.574654526659</v>
      </c>
      <c r="H975">
        <f t="shared" si="62"/>
        <v>38188.758423376486</v>
      </c>
      <c r="I975" t="b">
        <f t="shared" si="63"/>
        <v>0</v>
      </c>
    </row>
    <row r="976" spans="1:9">
      <c r="A976" s="1">
        <v>46024.613888888889</v>
      </c>
      <c r="B976" s="5">
        <f>_xlfn.XLOOKUP(A976,Banks!A:A,Banks!H:H,0,-1)</f>
        <v>2152.1901001269689</v>
      </c>
      <c r="C976">
        <f>_xlfn.XLOOKUP(A976,Energy!A:A,Energy!H:H,0,-1)</f>
        <v>784.14396431027399</v>
      </c>
      <c r="D976">
        <f t="shared" si="60"/>
        <v>2936.3340644372429</v>
      </c>
      <c r="E976">
        <f>_xlfn.XLOOKUP(A976,Banks!A:A,Banks!I:I,0)</f>
        <v>41102.21918322883</v>
      </c>
      <c r="F976">
        <f>_xlfn.XLOOKUP(A976,Energy!A:A,Energy!I:I,0)</f>
        <v>0</v>
      </c>
      <c r="G976">
        <f t="shared" si="61"/>
        <v>41102.21918322883</v>
      </c>
      <c r="H976">
        <f t="shared" si="62"/>
        <v>38165.885118791586</v>
      </c>
      <c r="I976" t="b">
        <f t="shared" si="63"/>
        <v>0</v>
      </c>
    </row>
    <row r="977" spans="1:9">
      <c r="A977" s="1">
        <v>46024.614583333343</v>
      </c>
      <c r="B977" s="5">
        <f>_xlfn.XLOOKUP(A977,Banks!A:A,Banks!H:H,0,-1)</f>
        <v>2012.612801041005</v>
      </c>
      <c r="C977">
        <f>_xlfn.XLOOKUP(A977,Energy!A:A,Energy!H:H,0,-1)</f>
        <v>784.14396431027399</v>
      </c>
      <c r="D977">
        <f t="shared" si="60"/>
        <v>2796.7567653512788</v>
      </c>
      <c r="E977">
        <f>_xlfn.XLOOKUP(A977,Banks!A:A,Banks!I:I,0)</f>
        <v>41061.196230671623</v>
      </c>
      <c r="F977">
        <f>_xlfn.XLOOKUP(A977,Energy!A:A,Energy!I:I,0)</f>
        <v>0</v>
      </c>
      <c r="G977">
        <f t="shared" si="61"/>
        <v>41061.196230671623</v>
      </c>
      <c r="H977">
        <f t="shared" si="62"/>
        <v>38264.439465320342</v>
      </c>
      <c r="I977" t="b">
        <f t="shared" si="63"/>
        <v>0</v>
      </c>
    </row>
    <row r="978" spans="1:9">
      <c r="A978" s="1">
        <v>46024.615277777782</v>
      </c>
      <c r="B978" s="5">
        <f>_xlfn.XLOOKUP(A978,Banks!A:A,Banks!H:H,0,-1)</f>
        <v>2215.4122519748248</v>
      </c>
      <c r="C978">
        <f>_xlfn.XLOOKUP(A978,Energy!A:A,Energy!H:H,0,-1)</f>
        <v>784.14396431027399</v>
      </c>
      <c r="D978">
        <f t="shared" si="60"/>
        <v>2999.5562162850988</v>
      </c>
      <c r="E978">
        <f>_xlfn.XLOOKUP(A978,Banks!A:A,Banks!I:I,0)</f>
        <v>40951.697928110429</v>
      </c>
      <c r="F978">
        <f>_xlfn.XLOOKUP(A978,Energy!A:A,Energy!I:I,0)</f>
        <v>0</v>
      </c>
      <c r="G978">
        <f t="shared" si="61"/>
        <v>40951.697928110429</v>
      </c>
      <c r="H978">
        <f t="shared" si="62"/>
        <v>37952.14171182533</v>
      </c>
      <c r="I978" t="b">
        <f t="shared" si="63"/>
        <v>0</v>
      </c>
    </row>
    <row r="979" spans="1:9">
      <c r="A979" s="1">
        <v>46024.615972222222</v>
      </c>
      <c r="B979" s="5">
        <f>_xlfn.XLOOKUP(A979,Banks!A:A,Banks!H:H,0,-1)</f>
        <v>2286.8958359238441</v>
      </c>
      <c r="C979">
        <f>_xlfn.XLOOKUP(A979,Energy!A:A,Energy!H:H,0,-1)</f>
        <v>784.14396431027399</v>
      </c>
      <c r="D979">
        <f t="shared" si="60"/>
        <v>3071.039800234118</v>
      </c>
      <c r="E979">
        <f>_xlfn.XLOOKUP(A979,Banks!A:A,Banks!I:I,0)</f>
        <v>40971.870417507831</v>
      </c>
      <c r="F979">
        <f>_xlfn.XLOOKUP(A979,Energy!A:A,Energy!I:I,0)</f>
        <v>0</v>
      </c>
      <c r="G979">
        <f t="shared" si="61"/>
        <v>40971.870417507831</v>
      </c>
      <c r="H979">
        <f t="shared" si="62"/>
        <v>37900.830617273714</v>
      </c>
      <c r="I979" t="b">
        <f t="shared" si="63"/>
        <v>0</v>
      </c>
    </row>
    <row r="980" spans="1:9">
      <c r="A980" s="1">
        <v>46024.616666666669</v>
      </c>
      <c r="B980" s="5">
        <f>_xlfn.XLOOKUP(A980,Banks!A:A,Banks!H:H,0,-1)</f>
        <v>2225.8781973064501</v>
      </c>
      <c r="C980">
        <f>_xlfn.XLOOKUP(A980,Energy!A:A,Energy!H:H,0,-1)</f>
        <v>784.14396431027399</v>
      </c>
      <c r="D980">
        <f t="shared" si="60"/>
        <v>3010.0221616167241</v>
      </c>
      <c r="E980">
        <f>_xlfn.XLOOKUP(A980,Banks!A:A,Banks!I:I,0)</f>
        <v>40984.073945231321</v>
      </c>
      <c r="F980">
        <f>_xlfn.XLOOKUP(A980,Energy!A:A,Energy!I:I,0)</f>
        <v>0</v>
      </c>
      <c r="G980">
        <f t="shared" si="61"/>
        <v>40984.073945231321</v>
      </c>
      <c r="H980">
        <f t="shared" si="62"/>
        <v>37974.051783614595</v>
      </c>
      <c r="I980" t="b">
        <f t="shared" si="63"/>
        <v>0</v>
      </c>
    </row>
    <row r="981" spans="1:9">
      <c r="A981" s="1">
        <v>46024.617361111108</v>
      </c>
      <c r="B981" s="5">
        <f>_xlfn.XLOOKUP(A981,Banks!A:A,Banks!H:H,0,-1)</f>
        <v>2328.657832871068</v>
      </c>
      <c r="C981">
        <f>_xlfn.XLOOKUP(A981,Energy!A:A,Energy!H:H,0,-1)</f>
        <v>784.14396431027399</v>
      </c>
      <c r="D981">
        <f t="shared" si="60"/>
        <v>3112.801797181342</v>
      </c>
      <c r="E981">
        <f>_xlfn.XLOOKUP(A981,Banks!A:A,Banks!I:I,0)</f>
        <v>41023.839128946012</v>
      </c>
      <c r="F981">
        <f>_xlfn.XLOOKUP(A981,Energy!A:A,Energy!I:I,0)</f>
        <v>0</v>
      </c>
      <c r="G981">
        <f t="shared" si="61"/>
        <v>41023.839128946012</v>
      </c>
      <c r="H981">
        <f t="shared" si="62"/>
        <v>37911.037331764674</v>
      </c>
      <c r="I981" t="b">
        <f t="shared" si="63"/>
        <v>0</v>
      </c>
    </row>
    <row r="982" spans="1:9">
      <c r="A982" s="1">
        <v>46024.618055555547</v>
      </c>
      <c r="B982" s="5">
        <f>_xlfn.XLOOKUP(A982,Banks!A:A,Banks!H:H,0,-1)</f>
        <v>2275.1330794608739</v>
      </c>
      <c r="C982">
        <f>_xlfn.XLOOKUP(A982,Energy!A:A,Energy!H:H,0,-1)</f>
        <v>784.14396431027399</v>
      </c>
      <c r="D982">
        <f t="shared" si="60"/>
        <v>3059.2770437711479</v>
      </c>
      <c r="E982">
        <f>_xlfn.XLOOKUP(A982,Banks!A:A,Banks!I:I,0)</f>
        <v>41051.778682721648</v>
      </c>
      <c r="F982">
        <f>_xlfn.XLOOKUP(A982,Energy!A:A,Energy!I:I,0)</f>
        <v>0</v>
      </c>
      <c r="G982">
        <f t="shared" si="61"/>
        <v>41051.778682721648</v>
      </c>
      <c r="H982">
        <f t="shared" si="62"/>
        <v>37992.501638950504</v>
      </c>
      <c r="I982" t="b">
        <f t="shared" si="63"/>
        <v>0</v>
      </c>
    </row>
    <row r="983" spans="1:9">
      <c r="A983" s="1">
        <v>46024.618750000001</v>
      </c>
      <c r="B983" s="5">
        <f>_xlfn.XLOOKUP(A983,Banks!A:A,Banks!H:H,0,-1)</f>
        <v>2249.7010184087649</v>
      </c>
      <c r="C983">
        <f>_xlfn.XLOOKUP(A983,Energy!A:A,Energy!H:H,0,-1)</f>
        <v>784.14396431027399</v>
      </c>
      <c r="D983">
        <f t="shared" si="60"/>
        <v>3033.8449827190389</v>
      </c>
      <c r="E983">
        <f>_xlfn.XLOOKUP(A983,Banks!A:A,Banks!I:I,0)</f>
        <v>0</v>
      </c>
      <c r="F983">
        <f>_xlfn.XLOOKUP(A983,Energy!A:A,Energy!I:I,0)</f>
        <v>0</v>
      </c>
      <c r="G983">
        <f t="shared" si="61"/>
        <v>0</v>
      </c>
      <c r="H983">
        <f t="shared" si="62"/>
        <v>-3033.8449827190389</v>
      </c>
      <c r="I983" t="b">
        <f t="shared" si="63"/>
        <v>0</v>
      </c>
    </row>
    <row r="984" spans="1:9">
      <c r="A984" s="1">
        <v>46027.604166666657</v>
      </c>
      <c r="B984" s="5">
        <f>_xlfn.XLOOKUP(A984,Banks!A:A,Banks!H:H,0,-1)</f>
        <v>2249.7010184087649</v>
      </c>
      <c r="C984">
        <f>_xlfn.XLOOKUP(A984,Energy!A:A,Energy!H:H,0,-1)</f>
        <v>784.14396431027399</v>
      </c>
      <c r="D984">
        <f t="shared" si="60"/>
        <v>3033.8449827190389</v>
      </c>
      <c r="E984">
        <f>_xlfn.XLOOKUP(A984,Banks!A:A,Banks!I:I,0)</f>
        <v>41258.882915960698</v>
      </c>
      <c r="F984">
        <f>_xlfn.XLOOKUP(A984,Energy!A:A,Energy!I:I,0)</f>
        <v>0</v>
      </c>
      <c r="G984">
        <f t="shared" si="61"/>
        <v>41258.882915960698</v>
      </c>
      <c r="H984">
        <f t="shared" si="62"/>
        <v>38225.037933241656</v>
      </c>
      <c r="I984" t="b">
        <f t="shared" si="63"/>
        <v>0</v>
      </c>
    </row>
    <row r="985" spans="1:9">
      <c r="A985" s="1">
        <v>46027.604861111111</v>
      </c>
      <c r="B985" s="5">
        <f>_xlfn.XLOOKUP(A985,Banks!A:A,Banks!H:H,0,-1)</f>
        <v>1859.965980241484</v>
      </c>
      <c r="C985">
        <f>_xlfn.XLOOKUP(A985,Energy!A:A,Energy!H:H,0,-1)</f>
        <v>784.14396431027399</v>
      </c>
      <c r="D985">
        <f t="shared" si="60"/>
        <v>2644.109944551758</v>
      </c>
      <c r="E985">
        <f>_xlfn.XLOOKUP(A985,Banks!A:A,Banks!I:I,0)</f>
        <v>41396.426311424249</v>
      </c>
      <c r="F985">
        <f>_xlfn.XLOOKUP(A985,Energy!A:A,Energy!I:I,0)</f>
        <v>0</v>
      </c>
      <c r="G985">
        <f t="shared" si="61"/>
        <v>41396.426311424249</v>
      </c>
      <c r="H985">
        <f t="shared" si="62"/>
        <v>38752.316366872488</v>
      </c>
      <c r="I985" t="b">
        <f t="shared" si="63"/>
        <v>0</v>
      </c>
    </row>
    <row r="986" spans="1:9">
      <c r="A986" s="1">
        <v>46027.605555555558</v>
      </c>
      <c r="B986" s="5">
        <f>_xlfn.XLOOKUP(A986,Banks!A:A,Banks!H:H,0,-1)</f>
        <v>1682.1966902424681</v>
      </c>
      <c r="C986">
        <f>_xlfn.XLOOKUP(A986,Energy!A:A,Energy!H:H,0,-1)</f>
        <v>784.14396431027399</v>
      </c>
      <c r="D986">
        <f t="shared" si="60"/>
        <v>2466.3406545527423</v>
      </c>
      <c r="E986">
        <f>_xlfn.XLOOKUP(A986,Banks!A:A,Banks!I:I,0)</f>
        <v>41559.68671477423</v>
      </c>
      <c r="F986">
        <f>_xlfn.XLOOKUP(A986,Energy!A:A,Energy!I:I,0)</f>
        <v>0</v>
      </c>
      <c r="G986">
        <f t="shared" si="61"/>
        <v>41559.68671477423</v>
      </c>
      <c r="H986">
        <f t="shared" si="62"/>
        <v>39093.346060221491</v>
      </c>
      <c r="I986" t="b">
        <f t="shared" si="63"/>
        <v>0</v>
      </c>
    </row>
    <row r="987" spans="1:9">
      <c r="A987" s="1">
        <v>46027.606249999997</v>
      </c>
      <c r="B987" s="5">
        <f>_xlfn.XLOOKUP(A987,Banks!A:A,Banks!H:H,0,-1)</f>
        <v>1636.7879872810961</v>
      </c>
      <c r="C987">
        <f>_xlfn.XLOOKUP(A987,Energy!A:A,Energy!H:H,0,-1)</f>
        <v>784.14396431027399</v>
      </c>
      <c r="D987">
        <f t="shared" si="60"/>
        <v>2420.9319515913703</v>
      </c>
      <c r="E987">
        <f>_xlfn.XLOOKUP(A987,Banks!A:A,Banks!I:I,0)</f>
        <v>41517.685837226432</v>
      </c>
      <c r="F987">
        <f>_xlfn.XLOOKUP(A987,Energy!A:A,Energy!I:I,0)</f>
        <v>0</v>
      </c>
      <c r="G987">
        <f t="shared" si="61"/>
        <v>41517.685837226432</v>
      </c>
      <c r="H987">
        <f t="shared" si="62"/>
        <v>39096.753885635058</v>
      </c>
      <c r="I987" t="b">
        <f t="shared" si="63"/>
        <v>0</v>
      </c>
    </row>
    <row r="988" spans="1:9">
      <c r="A988" s="1">
        <v>46027.606944444437</v>
      </c>
      <c r="B988" s="5">
        <f>_xlfn.XLOOKUP(A988,Banks!A:A,Banks!H:H,0,-1)</f>
        <v>1559.122829378653</v>
      </c>
      <c r="C988">
        <f>_xlfn.XLOOKUP(A988,Energy!A:A,Energy!H:H,0,-1)</f>
        <v>784.14396431027399</v>
      </c>
      <c r="D988">
        <f t="shared" si="60"/>
        <v>2343.266793688927</v>
      </c>
      <c r="E988">
        <f>_xlfn.XLOOKUP(A988,Banks!A:A,Banks!I:I,0)</f>
        <v>41575.787717256993</v>
      </c>
      <c r="F988">
        <f>_xlfn.XLOOKUP(A988,Energy!A:A,Energy!I:I,0)</f>
        <v>0</v>
      </c>
      <c r="G988">
        <f t="shared" si="61"/>
        <v>41575.787717256993</v>
      </c>
      <c r="H988">
        <f t="shared" si="62"/>
        <v>39232.520923568067</v>
      </c>
      <c r="I988" t="b">
        <f t="shared" si="63"/>
        <v>0</v>
      </c>
    </row>
    <row r="989" spans="1:9">
      <c r="A989" s="1">
        <v>46027.607638888891</v>
      </c>
      <c r="B989" s="5">
        <f>_xlfn.XLOOKUP(A989,Banks!A:A,Banks!H:H,0,-1)</f>
        <v>1581.7303340270309</v>
      </c>
      <c r="C989">
        <f>_xlfn.XLOOKUP(A989,Energy!A:A,Energy!H:H,0,-1)</f>
        <v>784.14396431027399</v>
      </c>
      <c r="D989">
        <f t="shared" si="60"/>
        <v>2365.8742983373049</v>
      </c>
      <c r="E989">
        <f>_xlfn.XLOOKUP(A989,Banks!A:A,Banks!I:I,0)</f>
        <v>41537.211137567268</v>
      </c>
      <c r="F989">
        <f>_xlfn.XLOOKUP(A989,Energy!A:A,Energy!I:I,0)</f>
        <v>0</v>
      </c>
      <c r="G989">
        <f t="shared" si="61"/>
        <v>41537.211137567268</v>
      </c>
      <c r="H989">
        <f t="shared" si="62"/>
        <v>39171.33683922996</v>
      </c>
      <c r="I989" t="b">
        <f t="shared" si="63"/>
        <v>0</v>
      </c>
    </row>
    <row r="990" spans="1:9">
      <c r="A990" s="1">
        <v>46027.60833333333</v>
      </c>
      <c r="B990" s="5">
        <f>_xlfn.XLOOKUP(A990,Banks!A:A,Banks!H:H,0,-1)</f>
        <v>1517.2639445564321</v>
      </c>
      <c r="C990">
        <f>_xlfn.XLOOKUP(A990,Energy!A:A,Energy!H:H,0,-1)</f>
        <v>784.14396431027399</v>
      </c>
      <c r="D990">
        <f t="shared" si="60"/>
        <v>2301.4079088667058</v>
      </c>
      <c r="E990">
        <f>_xlfn.XLOOKUP(A990,Banks!A:A,Banks!I:I,0)</f>
        <v>41575.645724531423</v>
      </c>
      <c r="F990">
        <f>_xlfn.XLOOKUP(A990,Energy!A:A,Energy!I:I,0)</f>
        <v>0</v>
      </c>
      <c r="G990">
        <f t="shared" si="61"/>
        <v>41575.645724531423</v>
      </c>
      <c r="H990">
        <f t="shared" si="62"/>
        <v>39274.237815664717</v>
      </c>
      <c r="I990" t="b">
        <f t="shared" si="63"/>
        <v>0</v>
      </c>
    </row>
    <row r="991" spans="1:9">
      <c r="A991" s="1">
        <v>46027.609027777777</v>
      </c>
      <c r="B991" s="5">
        <f>_xlfn.XLOOKUP(A991,Banks!A:A,Banks!H:H,0,-1)</f>
        <v>1659.962088313478</v>
      </c>
      <c r="C991">
        <f>_xlfn.XLOOKUP(A991,Energy!A:A,Energy!H:H,0,-1)</f>
        <v>784.14396431027399</v>
      </c>
      <c r="D991">
        <f t="shared" si="60"/>
        <v>2444.106052623752</v>
      </c>
      <c r="E991">
        <f>_xlfn.XLOOKUP(A991,Banks!A:A,Banks!I:I,0)</f>
        <v>41589.674944230057</v>
      </c>
      <c r="F991">
        <f>_xlfn.XLOOKUP(A991,Energy!A:A,Energy!I:I,0)</f>
        <v>0</v>
      </c>
      <c r="G991">
        <f t="shared" si="61"/>
        <v>41589.674944230057</v>
      </c>
      <c r="H991">
        <f t="shared" si="62"/>
        <v>39145.568891606308</v>
      </c>
      <c r="I991" t="b">
        <f t="shared" si="63"/>
        <v>0</v>
      </c>
    </row>
    <row r="992" spans="1:9">
      <c r="A992" s="1">
        <v>46027.609722222223</v>
      </c>
      <c r="B992" s="5">
        <f>_xlfn.XLOOKUP(A992,Banks!A:A,Banks!H:H,0,-1)</f>
        <v>1522.907811768117</v>
      </c>
      <c r="C992">
        <f>_xlfn.XLOOKUP(A992,Energy!A:A,Energy!H:H,0,-1)</f>
        <v>784.14396431027399</v>
      </c>
      <c r="D992">
        <f t="shared" si="60"/>
        <v>2307.051776078391</v>
      </c>
      <c r="E992">
        <f>_xlfn.XLOOKUP(A992,Banks!A:A,Banks!I:I,0)</f>
        <v>41668.168417679219</v>
      </c>
      <c r="F992">
        <f>_xlfn.XLOOKUP(A992,Energy!A:A,Energy!I:I,0)</f>
        <v>0</v>
      </c>
      <c r="G992">
        <f t="shared" si="61"/>
        <v>41668.168417679219</v>
      </c>
      <c r="H992">
        <f t="shared" si="62"/>
        <v>39361.116641600827</v>
      </c>
      <c r="I992" t="b">
        <f t="shared" si="63"/>
        <v>0</v>
      </c>
    </row>
    <row r="993" spans="1:9">
      <c r="A993" s="1">
        <v>46027.61041666667</v>
      </c>
      <c r="B993" s="5">
        <f>_xlfn.XLOOKUP(A993,Banks!A:A,Banks!H:H,0,-1)</f>
        <v>1394.6849964547259</v>
      </c>
      <c r="C993">
        <f>_xlfn.XLOOKUP(A993,Energy!A:A,Energy!H:H,0,-1)</f>
        <v>784.14396431027399</v>
      </c>
      <c r="D993">
        <f t="shared" si="60"/>
        <v>2178.8289607649999</v>
      </c>
      <c r="E993">
        <f>_xlfn.XLOOKUP(A993,Banks!A:A,Banks!I:I,0)</f>
        <v>41753.409368571978</v>
      </c>
      <c r="F993">
        <f>_xlfn.XLOOKUP(A993,Energy!A:A,Energy!I:I,0)</f>
        <v>0</v>
      </c>
      <c r="G993">
        <f t="shared" si="61"/>
        <v>41753.409368571978</v>
      </c>
      <c r="H993">
        <f t="shared" si="62"/>
        <v>39574.580407806978</v>
      </c>
      <c r="I993" t="b">
        <f t="shared" si="63"/>
        <v>0</v>
      </c>
    </row>
    <row r="994" spans="1:9">
      <c r="A994" s="1">
        <v>46027.611111111109</v>
      </c>
      <c r="B994" s="5">
        <f>_xlfn.XLOOKUP(A994,Banks!A:A,Banks!H:H,0,-1)</f>
        <v>1324.262842074404</v>
      </c>
      <c r="C994">
        <f>_xlfn.XLOOKUP(A994,Energy!A:A,Energy!H:H,0,-1)</f>
        <v>784.14396431027399</v>
      </c>
      <c r="D994">
        <f t="shared" si="60"/>
        <v>2108.406806384678</v>
      </c>
      <c r="E994">
        <f>_xlfn.XLOOKUP(A994,Banks!A:A,Banks!I:I,0)</f>
        <v>41793.035108518088</v>
      </c>
      <c r="F994">
        <f>_xlfn.XLOOKUP(A994,Energy!A:A,Energy!I:I,0)</f>
        <v>0</v>
      </c>
      <c r="G994">
        <f t="shared" si="61"/>
        <v>41793.035108518088</v>
      </c>
      <c r="H994">
        <f t="shared" si="62"/>
        <v>39684.628302133409</v>
      </c>
      <c r="I994" t="b">
        <f t="shared" si="63"/>
        <v>0</v>
      </c>
    </row>
    <row r="995" spans="1:9">
      <c r="A995" s="1">
        <v>46027.611805555563</v>
      </c>
      <c r="B995" s="5">
        <f>_xlfn.XLOOKUP(A995,Banks!A:A,Banks!H:H,0,-1)</f>
        <v>1108.879964410266</v>
      </c>
      <c r="C995">
        <f>_xlfn.XLOOKUP(A995,Energy!A:A,Energy!H:H,0,-1)</f>
        <v>784.14396431027399</v>
      </c>
      <c r="D995">
        <f t="shared" si="60"/>
        <v>1893.02392872054</v>
      </c>
      <c r="E995">
        <f>_xlfn.XLOOKUP(A995,Banks!A:A,Banks!I:I,0)</f>
        <v>41759.487756840797</v>
      </c>
      <c r="F995">
        <f>_xlfn.XLOOKUP(A995,Energy!A:A,Energy!I:I,0)</f>
        <v>0</v>
      </c>
      <c r="G995">
        <f t="shared" si="61"/>
        <v>41759.487756840797</v>
      </c>
      <c r="H995">
        <f t="shared" si="62"/>
        <v>39866.463828120257</v>
      </c>
      <c r="I995" t="b">
        <f t="shared" si="63"/>
        <v>0</v>
      </c>
    </row>
    <row r="996" spans="1:9">
      <c r="A996" s="1">
        <v>46027.612500000003</v>
      </c>
      <c r="B996" s="5">
        <f>_xlfn.XLOOKUP(A996,Banks!A:A,Banks!H:H,0,-1)</f>
        <v>1172.1380411953139</v>
      </c>
      <c r="C996">
        <f>_xlfn.XLOOKUP(A996,Energy!A:A,Energy!H:H,0,-1)</f>
        <v>784.14396431027399</v>
      </c>
      <c r="D996">
        <f t="shared" si="60"/>
        <v>1956.2820055055879</v>
      </c>
      <c r="E996">
        <f>_xlfn.XLOOKUP(A996,Banks!A:A,Banks!I:I,0)</f>
        <v>41810.689414158893</v>
      </c>
      <c r="F996">
        <f>_xlfn.XLOOKUP(A996,Energy!A:A,Energy!I:I,0)</f>
        <v>0</v>
      </c>
      <c r="G996">
        <f t="shared" si="61"/>
        <v>41810.689414158893</v>
      </c>
      <c r="H996">
        <f t="shared" si="62"/>
        <v>39854.407408653307</v>
      </c>
      <c r="I996" t="b">
        <f t="shared" si="63"/>
        <v>0</v>
      </c>
    </row>
    <row r="997" spans="1:9">
      <c r="A997" s="1">
        <v>46027.613194444442</v>
      </c>
      <c r="B997" s="5">
        <f>_xlfn.XLOOKUP(A997,Banks!A:A,Banks!H:H,0,-1)</f>
        <v>1194.0535031213431</v>
      </c>
      <c r="C997">
        <f>_xlfn.XLOOKUP(A997,Energy!A:A,Energy!H:H,0,-1)</f>
        <v>784.14396431027399</v>
      </c>
      <c r="D997">
        <f t="shared" si="60"/>
        <v>1978.197467431617</v>
      </c>
      <c r="E997">
        <f>_xlfn.XLOOKUP(A997,Banks!A:A,Banks!I:I,0)</f>
        <v>41750.966818788598</v>
      </c>
      <c r="F997">
        <f>_xlfn.XLOOKUP(A997,Energy!A:A,Energy!I:I,0)</f>
        <v>0</v>
      </c>
      <c r="G997">
        <f t="shared" si="61"/>
        <v>41750.966818788598</v>
      </c>
      <c r="H997">
        <f t="shared" si="62"/>
        <v>39772.769351356983</v>
      </c>
      <c r="I997" t="b">
        <f t="shared" si="63"/>
        <v>0</v>
      </c>
    </row>
    <row r="998" spans="1:9">
      <c r="A998" s="1">
        <v>46027.613888888889</v>
      </c>
      <c r="B998" s="5">
        <f>_xlfn.XLOOKUP(A998,Banks!A:A,Banks!H:H,0,-1)</f>
        <v>997.23720521363521</v>
      </c>
      <c r="C998">
        <f>_xlfn.XLOOKUP(A998,Energy!A:A,Energy!H:H,0,-1)</f>
        <v>784.14396431027399</v>
      </c>
      <c r="D998">
        <f t="shared" si="60"/>
        <v>1781.3811695239092</v>
      </c>
      <c r="E998">
        <f>_xlfn.XLOOKUP(A998,Banks!A:A,Banks!I:I,0)</f>
        <v>41858.440235890237</v>
      </c>
      <c r="F998">
        <f>_xlfn.XLOOKUP(A998,Energy!A:A,Energy!I:I,0)</f>
        <v>0</v>
      </c>
      <c r="G998">
        <f t="shared" si="61"/>
        <v>41858.440235890237</v>
      </c>
      <c r="H998">
        <f t="shared" si="62"/>
        <v>40077.059066366332</v>
      </c>
      <c r="I998" t="b">
        <f t="shared" si="63"/>
        <v>0</v>
      </c>
    </row>
    <row r="999" spans="1:9">
      <c r="A999" s="1">
        <v>46027.614583333343</v>
      </c>
      <c r="B999" s="5">
        <f>_xlfn.XLOOKUP(A999,Banks!A:A,Banks!H:H,0,-1)</f>
        <v>904.8206629804522</v>
      </c>
      <c r="C999">
        <f>_xlfn.XLOOKUP(A999,Energy!A:A,Energy!H:H,0,-1)</f>
        <v>784.14396431027399</v>
      </c>
      <c r="D999">
        <f t="shared" si="60"/>
        <v>1688.9646272907262</v>
      </c>
      <c r="E999">
        <f>_xlfn.XLOOKUP(A999,Banks!A:A,Banks!I:I,0)</f>
        <v>41885.437314026887</v>
      </c>
      <c r="F999">
        <f>_xlfn.XLOOKUP(A999,Energy!A:A,Energy!I:I,0)</f>
        <v>0</v>
      </c>
      <c r="G999">
        <f t="shared" si="61"/>
        <v>41885.437314026887</v>
      </c>
      <c r="H999">
        <f t="shared" si="62"/>
        <v>40196.472686736161</v>
      </c>
      <c r="I999" t="b">
        <f t="shared" si="63"/>
        <v>0</v>
      </c>
    </row>
    <row r="1000" spans="1:9">
      <c r="A1000" s="1">
        <v>46027.615277777782</v>
      </c>
      <c r="B1000" s="5">
        <f>_xlfn.XLOOKUP(A1000,Banks!A:A,Banks!H:H,0,-1)</f>
        <v>921.40071909721314</v>
      </c>
      <c r="C1000">
        <f>_xlfn.XLOOKUP(A1000,Energy!A:A,Energy!H:H,0,-1)</f>
        <v>784.14396431027399</v>
      </c>
      <c r="D1000">
        <f t="shared" si="60"/>
        <v>1705.5446834074871</v>
      </c>
      <c r="E1000">
        <f>_xlfn.XLOOKUP(A1000,Banks!A:A,Banks!I:I,0)</f>
        <v>41899.14884218356</v>
      </c>
      <c r="F1000">
        <f>_xlfn.XLOOKUP(A1000,Energy!A:A,Energy!I:I,0)</f>
        <v>0</v>
      </c>
      <c r="G1000">
        <f t="shared" si="61"/>
        <v>41899.14884218356</v>
      </c>
      <c r="H1000">
        <f t="shared" si="62"/>
        <v>40193.60415877607</v>
      </c>
      <c r="I1000" t="b">
        <f t="shared" si="63"/>
        <v>0</v>
      </c>
    </row>
    <row r="1001" spans="1:9">
      <c r="A1001" s="1">
        <v>46027.615972222222</v>
      </c>
      <c r="B1001" s="5">
        <f>_xlfn.XLOOKUP(A1001,Banks!A:A,Banks!H:H,0,-1)</f>
        <v>891.48920590536659</v>
      </c>
      <c r="C1001">
        <f>_xlfn.XLOOKUP(A1001,Energy!A:A,Energy!H:H,0,-1)</f>
        <v>784.14396431027399</v>
      </c>
      <c r="D1001">
        <f t="shared" si="60"/>
        <v>1675.6331702156406</v>
      </c>
      <c r="E1001">
        <f>_xlfn.XLOOKUP(A1001,Banks!A:A,Banks!I:I,0)</f>
        <v>41871.076066061883</v>
      </c>
      <c r="F1001">
        <f>_xlfn.XLOOKUP(A1001,Energy!A:A,Energy!I:I,0)</f>
        <v>0</v>
      </c>
      <c r="G1001">
        <f t="shared" si="61"/>
        <v>41871.076066061883</v>
      </c>
      <c r="H1001">
        <f t="shared" si="62"/>
        <v>40195.442895846245</v>
      </c>
      <c r="I1001" t="b">
        <f t="shared" si="63"/>
        <v>0</v>
      </c>
    </row>
    <row r="1002" spans="1:9">
      <c r="A1002" s="1">
        <v>46027.616666666669</v>
      </c>
      <c r="B1002" s="5">
        <f>_xlfn.XLOOKUP(A1002,Banks!A:A,Banks!H:H,0,-1)</f>
        <v>783.8408511891671</v>
      </c>
      <c r="C1002">
        <f>_xlfn.XLOOKUP(A1002,Energy!A:A,Energy!H:H,0,-1)</f>
        <v>784.14396431027399</v>
      </c>
      <c r="D1002">
        <f t="shared" si="60"/>
        <v>1567.9848154994411</v>
      </c>
      <c r="E1002">
        <f>_xlfn.XLOOKUP(A1002,Banks!A:A,Banks!I:I,0)</f>
        <v>41952.202124835203</v>
      </c>
      <c r="F1002">
        <f>_xlfn.XLOOKUP(A1002,Energy!A:A,Energy!I:I,0)</f>
        <v>0</v>
      </c>
      <c r="G1002">
        <f t="shared" si="61"/>
        <v>41952.202124835203</v>
      </c>
      <c r="H1002">
        <f t="shared" si="62"/>
        <v>40384.217309335763</v>
      </c>
      <c r="I1002" t="b">
        <f t="shared" si="63"/>
        <v>0</v>
      </c>
    </row>
    <row r="1003" spans="1:9">
      <c r="A1003" s="1">
        <v>46027.617361111108</v>
      </c>
      <c r="B1003" s="5">
        <f>_xlfn.XLOOKUP(A1003,Banks!A:A,Banks!H:H,0,-1)</f>
        <v>896.34418356237143</v>
      </c>
      <c r="C1003">
        <f>_xlfn.XLOOKUP(A1003,Energy!A:A,Energy!H:H,0,-1)</f>
        <v>784.14396431027399</v>
      </c>
      <c r="D1003">
        <f t="shared" si="60"/>
        <v>1680.4881478726454</v>
      </c>
      <c r="E1003">
        <f>_xlfn.XLOOKUP(A1003,Banks!A:A,Banks!I:I,0)</f>
        <v>41882.875725065489</v>
      </c>
      <c r="F1003">
        <f>_xlfn.XLOOKUP(A1003,Energy!A:A,Energy!I:I,0)</f>
        <v>0</v>
      </c>
      <c r="G1003">
        <f t="shared" si="61"/>
        <v>41882.875725065489</v>
      </c>
      <c r="H1003">
        <f t="shared" si="62"/>
        <v>40202.387577192843</v>
      </c>
      <c r="I1003" t="b">
        <f t="shared" si="63"/>
        <v>0</v>
      </c>
    </row>
    <row r="1004" spans="1:9">
      <c r="A1004" s="1">
        <v>46027.618055555547</v>
      </c>
      <c r="B1004" s="5">
        <f>_xlfn.XLOOKUP(A1004,Banks!A:A,Banks!H:H,0,-1)</f>
        <v>942.32291920338685</v>
      </c>
      <c r="C1004">
        <f>_xlfn.XLOOKUP(A1004,Energy!A:A,Energy!H:H,0,-1)</f>
        <v>784.14396431027399</v>
      </c>
      <c r="D1004">
        <f t="shared" si="60"/>
        <v>1726.4668835136608</v>
      </c>
      <c r="E1004">
        <f>_xlfn.XLOOKUP(A1004,Banks!A:A,Banks!I:I,0)</f>
        <v>41775.771626502152</v>
      </c>
      <c r="F1004">
        <f>_xlfn.XLOOKUP(A1004,Energy!A:A,Energy!I:I,0)</f>
        <v>0</v>
      </c>
      <c r="G1004">
        <f t="shared" si="61"/>
        <v>41775.771626502152</v>
      </c>
      <c r="H1004">
        <f t="shared" si="62"/>
        <v>40049.30474298849</v>
      </c>
      <c r="I1004" t="b">
        <f t="shared" si="63"/>
        <v>0</v>
      </c>
    </row>
    <row r="1005" spans="1:9">
      <c r="A1005" s="1">
        <v>46027.618750000001</v>
      </c>
      <c r="B1005" s="5">
        <f>_xlfn.XLOOKUP(A1005,Banks!A:A,Banks!H:H,0,-1)</f>
        <v>916.53849913525505</v>
      </c>
      <c r="C1005">
        <f>_xlfn.XLOOKUP(A1005,Energy!A:A,Energy!H:H,0,-1)</f>
        <v>784.14396431027399</v>
      </c>
      <c r="D1005">
        <f t="shared" si="60"/>
        <v>1700.682463445529</v>
      </c>
      <c r="E1005">
        <f>_xlfn.XLOOKUP(A1005,Banks!A:A,Banks!I:I,0)</f>
        <v>41763.900971135758</v>
      </c>
      <c r="F1005">
        <f>_xlfn.XLOOKUP(A1005,Energy!A:A,Energy!I:I,0)</f>
        <v>0</v>
      </c>
      <c r="G1005">
        <f t="shared" si="61"/>
        <v>41763.900971135758</v>
      </c>
      <c r="H1005">
        <f t="shared" si="62"/>
        <v>40063.218507690231</v>
      </c>
      <c r="I1005" t="b">
        <f t="shared" si="63"/>
        <v>0</v>
      </c>
    </row>
    <row r="1006" spans="1:9">
      <c r="A1006" s="1">
        <v>46027.619444444441</v>
      </c>
      <c r="B1006" s="5">
        <f>_xlfn.XLOOKUP(A1006,Banks!A:A,Banks!H:H,0,-1)</f>
        <v>846.48924747432102</v>
      </c>
      <c r="C1006">
        <f>_xlfn.XLOOKUP(A1006,Energy!A:A,Energy!H:H,0,-1)</f>
        <v>784.14396431027399</v>
      </c>
      <c r="D1006">
        <f t="shared" si="60"/>
        <v>1630.633211784595</v>
      </c>
      <c r="E1006">
        <f>_xlfn.XLOOKUP(A1006,Banks!A:A,Banks!I:I,0)</f>
        <v>41794.938360847969</v>
      </c>
      <c r="F1006">
        <f>_xlfn.XLOOKUP(A1006,Energy!A:A,Energy!I:I,0)</f>
        <v>0</v>
      </c>
      <c r="G1006">
        <f t="shared" si="61"/>
        <v>41794.938360847969</v>
      </c>
      <c r="H1006">
        <f t="shared" si="62"/>
        <v>40164.305149063373</v>
      </c>
      <c r="I1006" t="b">
        <f t="shared" si="63"/>
        <v>0</v>
      </c>
    </row>
    <row r="1007" spans="1:9">
      <c r="A1007" s="1">
        <v>46027.620138888888</v>
      </c>
      <c r="B1007" s="5">
        <f>_xlfn.XLOOKUP(A1007,Banks!A:A,Banks!H:H,0,-1)</f>
        <v>681.42381314501336</v>
      </c>
      <c r="C1007">
        <f>_xlfn.XLOOKUP(A1007,Energy!A:A,Energy!H:H,0,-1)</f>
        <v>784.14396431027399</v>
      </c>
      <c r="D1007">
        <f t="shared" si="60"/>
        <v>1465.5677774552873</v>
      </c>
      <c r="E1007">
        <f>_xlfn.XLOOKUP(A1007,Banks!A:A,Banks!I:I,0)</f>
        <v>41776.868829573752</v>
      </c>
      <c r="F1007">
        <f>_xlfn.XLOOKUP(A1007,Energy!A:A,Energy!I:I,0)</f>
        <v>0</v>
      </c>
      <c r="G1007">
        <f t="shared" si="61"/>
        <v>41776.868829573752</v>
      </c>
      <c r="H1007">
        <f t="shared" si="62"/>
        <v>40311.301052118462</v>
      </c>
      <c r="I1007" t="b">
        <f t="shared" si="63"/>
        <v>0</v>
      </c>
    </row>
    <row r="1008" spans="1:9">
      <c r="A1008" s="1">
        <v>46027.620833333327</v>
      </c>
      <c r="B1008" s="5">
        <f>_xlfn.XLOOKUP(A1008,Banks!A:A,Banks!H:H,0,-1)</f>
        <v>619.62874773151111</v>
      </c>
      <c r="C1008">
        <f>_xlfn.XLOOKUP(A1008,Energy!A:A,Energy!H:H,0,-1)</f>
        <v>784.14396431027399</v>
      </c>
      <c r="D1008">
        <f t="shared" si="60"/>
        <v>1403.7727120417851</v>
      </c>
      <c r="E1008">
        <f>_xlfn.XLOOKUP(A1008,Banks!A:A,Banks!I:I,0)</f>
        <v>41840.310460796522</v>
      </c>
      <c r="F1008">
        <f>_xlfn.XLOOKUP(A1008,Energy!A:A,Energy!I:I,0)</f>
        <v>0</v>
      </c>
      <c r="G1008">
        <f t="shared" si="61"/>
        <v>41840.310460796522</v>
      </c>
      <c r="H1008">
        <f t="shared" si="62"/>
        <v>40436.537748754738</v>
      </c>
      <c r="I1008" t="b">
        <f t="shared" si="63"/>
        <v>0</v>
      </c>
    </row>
    <row r="1009" spans="1:9">
      <c r="A1009" s="1">
        <v>46027.621527777781</v>
      </c>
      <c r="B1009" s="5">
        <f>_xlfn.XLOOKUP(A1009,Banks!A:A,Banks!H:H,0,-1)</f>
        <v>279.81308696925231</v>
      </c>
      <c r="C1009">
        <f>_xlfn.XLOOKUP(A1009,Energy!A:A,Energy!H:H,0,-1)</f>
        <v>784.14396431027399</v>
      </c>
      <c r="D1009">
        <f t="shared" si="60"/>
        <v>1063.9570512795262</v>
      </c>
      <c r="E1009">
        <f>_xlfn.XLOOKUP(A1009,Banks!A:A,Banks!I:I,0)</f>
        <v>41891.246053568953</v>
      </c>
      <c r="F1009">
        <f>_xlfn.XLOOKUP(A1009,Energy!A:A,Energy!I:I,0)</f>
        <v>0</v>
      </c>
      <c r="G1009">
        <f t="shared" si="61"/>
        <v>41891.246053568953</v>
      </c>
      <c r="H1009">
        <f t="shared" si="62"/>
        <v>40827.289002289428</v>
      </c>
      <c r="I1009" t="b">
        <f t="shared" si="63"/>
        <v>0</v>
      </c>
    </row>
    <row r="1010" spans="1:9">
      <c r="A1010" s="1">
        <v>46027.62222222222</v>
      </c>
      <c r="B1010" s="5">
        <f>_xlfn.XLOOKUP(A1010,Banks!A:A,Banks!H:H,0,-1)</f>
        <v>316.39032869864423</v>
      </c>
      <c r="C1010">
        <f>_xlfn.XLOOKUP(A1010,Energy!A:A,Energy!H:H,0,-1)</f>
        <v>784.14396431027399</v>
      </c>
      <c r="D1010">
        <f t="shared" si="60"/>
        <v>1100.5342930089182</v>
      </c>
      <c r="E1010">
        <f>_xlfn.XLOOKUP(A1010,Banks!A:A,Banks!I:I,0)</f>
        <v>41926.499453673139</v>
      </c>
      <c r="F1010">
        <f>_xlfn.XLOOKUP(A1010,Energy!A:A,Energy!I:I,0)</f>
        <v>0</v>
      </c>
      <c r="G1010">
        <f t="shared" si="61"/>
        <v>41926.499453673139</v>
      </c>
      <c r="H1010">
        <f t="shared" si="62"/>
        <v>40825.965160664222</v>
      </c>
      <c r="I1010" t="b">
        <f t="shared" si="63"/>
        <v>0</v>
      </c>
    </row>
    <row r="1011" spans="1:9">
      <c r="A1011" s="1">
        <v>46027.622916666667</v>
      </c>
      <c r="B1011" s="5">
        <f>_xlfn.XLOOKUP(A1011,Banks!A:A,Banks!H:H,0,-1)</f>
        <v>75.380882820038551</v>
      </c>
      <c r="C1011">
        <f>_xlfn.XLOOKUP(A1011,Energy!A:A,Energy!H:H,0,-1)</f>
        <v>784.14396431027399</v>
      </c>
      <c r="D1011">
        <f t="shared" si="60"/>
        <v>859.52484713031254</v>
      </c>
      <c r="E1011">
        <f>_xlfn.XLOOKUP(A1011,Banks!A:A,Banks!I:I,0)</f>
        <v>42025.783960988927</v>
      </c>
      <c r="F1011">
        <f>_xlfn.XLOOKUP(A1011,Energy!A:A,Energy!I:I,0)</f>
        <v>0</v>
      </c>
      <c r="G1011">
        <f t="shared" si="61"/>
        <v>42025.783960988927</v>
      </c>
      <c r="H1011">
        <f t="shared" si="62"/>
        <v>41166.259113858614</v>
      </c>
      <c r="I1011" t="b">
        <f t="shared" si="63"/>
        <v>0</v>
      </c>
    </row>
    <row r="1012" spans="1:9">
      <c r="A1012" s="1">
        <v>46027.623611111107</v>
      </c>
      <c r="B1012" s="5">
        <f>_xlfn.XLOOKUP(A1012,Banks!A:A,Banks!H:H,0,-1)</f>
        <v>-19.94719754637072</v>
      </c>
      <c r="C1012">
        <f>_xlfn.XLOOKUP(A1012,Energy!A:A,Energy!H:H,0,-1)</f>
        <v>784.14396431027399</v>
      </c>
      <c r="D1012">
        <f t="shared" si="60"/>
        <v>764.19676676390327</v>
      </c>
      <c r="E1012">
        <f>_xlfn.XLOOKUP(A1012,Banks!A:A,Banks!I:I,0)</f>
        <v>42070.390886132249</v>
      </c>
      <c r="F1012">
        <f>_xlfn.XLOOKUP(A1012,Energy!A:A,Energy!I:I,0)</f>
        <v>0</v>
      </c>
      <c r="G1012">
        <f t="shared" si="61"/>
        <v>42070.390886132249</v>
      </c>
      <c r="H1012">
        <f t="shared" si="62"/>
        <v>41306.194119368345</v>
      </c>
      <c r="I1012" t="b">
        <f t="shared" si="63"/>
        <v>0</v>
      </c>
    </row>
    <row r="1013" spans="1:9">
      <c r="A1013" s="1">
        <v>46027.624305555553</v>
      </c>
      <c r="B1013" s="5">
        <f>_xlfn.XLOOKUP(A1013,Banks!A:A,Banks!H:H,0,-1)</f>
        <v>248.19491203412139</v>
      </c>
      <c r="C1013">
        <f>_xlfn.XLOOKUP(A1013,Energy!A:A,Energy!H:H,0,-1)</f>
        <v>784.14396431027399</v>
      </c>
      <c r="D1013">
        <f t="shared" si="60"/>
        <v>1032.3388763443954</v>
      </c>
      <c r="E1013">
        <f>_xlfn.XLOOKUP(A1013,Banks!A:A,Banks!I:I,0)</f>
        <v>42050.817542976212</v>
      </c>
      <c r="F1013">
        <f>_xlfn.XLOOKUP(A1013,Energy!A:A,Energy!I:I,0)</f>
        <v>0</v>
      </c>
      <c r="G1013">
        <f t="shared" si="61"/>
        <v>42050.817542976212</v>
      </c>
      <c r="H1013">
        <f t="shared" si="62"/>
        <v>41018.478666631818</v>
      </c>
      <c r="I1013" t="b">
        <f t="shared" si="63"/>
        <v>0</v>
      </c>
    </row>
    <row r="1014" spans="1:9">
      <c r="A1014" s="1">
        <v>46027.625</v>
      </c>
      <c r="B1014" s="5">
        <f>_xlfn.XLOOKUP(A1014,Banks!A:A,Banks!H:H,0,-1)</f>
        <v>88.579651251870018</v>
      </c>
      <c r="C1014">
        <f>_xlfn.XLOOKUP(A1014,Energy!A:A,Energy!H:H,0,-1)</f>
        <v>784.14396431027399</v>
      </c>
      <c r="D1014">
        <f t="shared" si="60"/>
        <v>872.723615562144</v>
      </c>
      <c r="E1014">
        <f>_xlfn.XLOOKUP(A1014,Banks!A:A,Banks!I:I,0)</f>
        <v>42006.116667922543</v>
      </c>
      <c r="F1014">
        <f>_xlfn.XLOOKUP(A1014,Energy!A:A,Energy!I:I,0)</f>
        <v>0</v>
      </c>
      <c r="G1014">
        <f t="shared" si="61"/>
        <v>42006.116667922543</v>
      </c>
      <c r="H1014">
        <f t="shared" si="62"/>
        <v>41133.393052360399</v>
      </c>
      <c r="I1014" t="b">
        <f t="shared" si="63"/>
        <v>0</v>
      </c>
    </row>
    <row r="1015" spans="1:9">
      <c r="A1015" s="1">
        <v>46027.625694444447</v>
      </c>
      <c r="B1015" s="5">
        <f>_xlfn.XLOOKUP(A1015,Banks!A:A,Banks!H:H,0,-1)</f>
        <v>409.43447233721741</v>
      </c>
      <c r="C1015">
        <f>_xlfn.XLOOKUP(A1015,Energy!A:A,Energy!H:H,0,-1)</f>
        <v>784.14396431027399</v>
      </c>
      <c r="D1015">
        <f t="shared" si="60"/>
        <v>1193.5784366474913</v>
      </c>
      <c r="E1015">
        <f>_xlfn.XLOOKUP(A1015,Banks!A:A,Banks!I:I,0)</f>
        <v>42095.193558125691</v>
      </c>
      <c r="F1015">
        <f>_xlfn.XLOOKUP(A1015,Energy!A:A,Energy!I:I,0)</f>
        <v>0</v>
      </c>
      <c r="G1015">
        <f t="shared" si="61"/>
        <v>42095.193558125691</v>
      </c>
      <c r="H1015">
        <f t="shared" si="62"/>
        <v>40901.6151214782</v>
      </c>
      <c r="I1015" t="b">
        <f t="shared" si="63"/>
        <v>0</v>
      </c>
    </row>
    <row r="1016" spans="1:9">
      <c r="A1016" s="1">
        <v>46027.626388888893</v>
      </c>
      <c r="B1016" s="5">
        <f>_xlfn.XLOOKUP(A1016,Banks!A:A,Banks!H:H,0,-1)</f>
        <v>231.80854958200621</v>
      </c>
      <c r="C1016">
        <f>_xlfn.XLOOKUP(A1016,Energy!A:A,Energy!H:H,0,-1)</f>
        <v>784.14396431027399</v>
      </c>
      <c r="D1016">
        <f t="shared" si="60"/>
        <v>1015.9525138922802</v>
      </c>
      <c r="E1016">
        <f>_xlfn.XLOOKUP(A1016,Banks!A:A,Banks!I:I,0)</f>
        <v>42156.260051746773</v>
      </c>
      <c r="F1016">
        <f>_xlfn.XLOOKUP(A1016,Energy!A:A,Energy!I:I,0)</f>
        <v>0</v>
      </c>
      <c r="G1016">
        <f t="shared" si="61"/>
        <v>42156.260051746773</v>
      </c>
      <c r="H1016">
        <f t="shared" si="62"/>
        <v>41140.307537854489</v>
      </c>
      <c r="I1016" t="b">
        <f t="shared" si="63"/>
        <v>0</v>
      </c>
    </row>
    <row r="1017" spans="1:9">
      <c r="A1017" s="1">
        <v>46027.627083333333</v>
      </c>
      <c r="B1017" s="5">
        <f>_xlfn.XLOOKUP(A1017,Banks!A:A,Banks!H:H,0,-1)</f>
        <v>153.80633077111631</v>
      </c>
      <c r="C1017">
        <f>_xlfn.XLOOKUP(A1017,Energy!A:A,Energy!H:H,0,-1)</f>
        <v>784.14396431027399</v>
      </c>
      <c r="D1017">
        <f t="shared" si="60"/>
        <v>937.95029508139032</v>
      </c>
      <c r="E1017">
        <f>_xlfn.XLOOKUP(A1017,Banks!A:A,Banks!I:I,0)</f>
        <v>42197.401804578993</v>
      </c>
      <c r="F1017">
        <f>_xlfn.XLOOKUP(A1017,Energy!A:A,Energy!I:I,0)</f>
        <v>0</v>
      </c>
      <c r="G1017">
        <f t="shared" si="61"/>
        <v>42197.401804578993</v>
      </c>
      <c r="H1017">
        <f t="shared" si="62"/>
        <v>41259.451509497601</v>
      </c>
      <c r="I1017" t="b">
        <f t="shared" si="63"/>
        <v>0</v>
      </c>
    </row>
    <row r="1018" spans="1:9">
      <c r="A1018" s="1">
        <v>46027.62777777778</v>
      </c>
      <c r="B1018" s="5">
        <f>_xlfn.XLOOKUP(A1018,Banks!A:A,Banks!H:H,0,-1)</f>
        <v>214.50060893194251</v>
      </c>
      <c r="C1018">
        <f>_xlfn.XLOOKUP(A1018,Energy!A:A,Energy!H:H,0,-1)</f>
        <v>784.14396431027399</v>
      </c>
      <c r="D1018">
        <f t="shared" si="60"/>
        <v>998.64457324221644</v>
      </c>
      <c r="E1018">
        <f>_xlfn.XLOOKUP(A1018,Banks!A:A,Banks!I:I,0)</f>
        <v>42146.950985341769</v>
      </c>
      <c r="F1018">
        <f>_xlfn.XLOOKUP(A1018,Energy!A:A,Energy!I:I,0)</f>
        <v>0</v>
      </c>
      <c r="G1018">
        <f t="shared" si="61"/>
        <v>42146.950985341769</v>
      </c>
      <c r="H1018">
        <f t="shared" si="62"/>
        <v>41148.306412099555</v>
      </c>
      <c r="I1018" t="b">
        <f t="shared" si="63"/>
        <v>0</v>
      </c>
    </row>
    <row r="1019" spans="1:9">
      <c r="A1019" s="1">
        <v>46027.628472222219</v>
      </c>
      <c r="B1019" s="5">
        <f>_xlfn.XLOOKUP(A1019,Banks!A:A,Banks!H:H,0,-1)</f>
        <v>235.74919134601581</v>
      </c>
      <c r="C1019">
        <f>_xlfn.XLOOKUP(A1019,Energy!A:A,Energy!H:H,0,-1)</f>
        <v>784.14396431027399</v>
      </c>
      <c r="D1019">
        <f t="shared" si="60"/>
        <v>1019.8931556562898</v>
      </c>
      <c r="E1019">
        <f>_xlfn.XLOOKUP(A1019,Banks!A:A,Banks!I:I,0)</f>
        <v>42176.756347618997</v>
      </c>
      <c r="F1019">
        <f>_xlfn.XLOOKUP(A1019,Energy!A:A,Energy!I:I,0)</f>
        <v>0</v>
      </c>
      <c r="G1019">
        <f t="shared" si="61"/>
        <v>42176.756347618997</v>
      </c>
      <c r="H1019">
        <f t="shared" si="62"/>
        <v>41156.863191962708</v>
      </c>
      <c r="I1019" t="b">
        <f t="shared" si="63"/>
        <v>0</v>
      </c>
    </row>
    <row r="1020" spans="1:9">
      <c r="A1020" s="1">
        <v>46027.629166666673</v>
      </c>
      <c r="B1020" s="5">
        <f>_xlfn.XLOOKUP(A1020,Banks!A:A,Banks!H:H,0,-1)</f>
        <v>141.85171683581851</v>
      </c>
      <c r="C1020">
        <f>_xlfn.XLOOKUP(A1020,Energy!A:A,Energy!H:H,0,-1)</f>
        <v>784.14396431027399</v>
      </c>
      <c r="D1020">
        <f t="shared" si="60"/>
        <v>925.99568114609247</v>
      </c>
      <c r="E1020">
        <f>_xlfn.XLOOKUP(A1020,Banks!A:A,Banks!I:I,0)</f>
        <v>42101.884375930909</v>
      </c>
      <c r="F1020">
        <f>_xlfn.XLOOKUP(A1020,Energy!A:A,Energy!I:I,0)</f>
        <v>0</v>
      </c>
      <c r="G1020">
        <f t="shared" si="61"/>
        <v>42101.884375930909</v>
      </c>
      <c r="H1020">
        <f t="shared" si="62"/>
        <v>41175.888694784815</v>
      </c>
      <c r="I1020" t="b">
        <f t="shared" si="63"/>
        <v>0</v>
      </c>
    </row>
    <row r="1021" spans="1:9">
      <c r="A1021" s="1">
        <v>46027.629861111112</v>
      </c>
      <c r="B1021" s="5">
        <f>_xlfn.XLOOKUP(A1021,Banks!A:A,Banks!H:H,0,-1)</f>
        <v>-101.9438208376823</v>
      </c>
      <c r="C1021">
        <f>_xlfn.XLOOKUP(A1021,Energy!A:A,Energy!H:H,0,-1)</f>
        <v>784.14396431027399</v>
      </c>
      <c r="D1021">
        <f t="shared" si="60"/>
        <v>682.20014347259166</v>
      </c>
      <c r="E1021">
        <f>_xlfn.XLOOKUP(A1021,Banks!A:A,Banks!I:I,0)</f>
        <v>42129.359059240567</v>
      </c>
      <c r="F1021">
        <f>_xlfn.XLOOKUP(A1021,Energy!A:A,Energy!I:I,0)</f>
        <v>0</v>
      </c>
      <c r="G1021">
        <f t="shared" si="61"/>
        <v>42129.359059240567</v>
      </c>
      <c r="H1021">
        <f t="shared" si="62"/>
        <v>41447.158915767977</v>
      </c>
      <c r="I1021" t="b">
        <f t="shared" si="63"/>
        <v>0</v>
      </c>
    </row>
    <row r="1022" spans="1:9">
      <c r="A1022" s="1">
        <v>46027.630555555559</v>
      </c>
      <c r="B1022" s="5">
        <f>_xlfn.XLOOKUP(A1022,Banks!A:A,Banks!H:H,0,-1)</f>
        <v>46.710087829101667</v>
      </c>
      <c r="C1022">
        <f>_xlfn.XLOOKUP(A1022,Energy!A:A,Energy!H:H,0,-1)</f>
        <v>784.14396431027399</v>
      </c>
      <c r="D1022">
        <f t="shared" si="60"/>
        <v>830.85405213937565</v>
      </c>
      <c r="E1022">
        <f>_xlfn.XLOOKUP(A1022,Banks!A:A,Banks!I:I,0)</f>
        <v>42142.197125957282</v>
      </c>
      <c r="F1022">
        <f>_xlfn.XLOOKUP(A1022,Energy!A:A,Energy!I:I,0)</f>
        <v>0</v>
      </c>
      <c r="G1022">
        <f t="shared" si="61"/>
        <v>42142.197125957282</v>
      </c>
      <c r="H1022">
        <f t="shared" si="62"/>
        <v>41311.343073817909</v>
      </c>
      <c r="I1022" t="b">
        <f t="shared" si="63"/>
        <v>0</v>
      </c>
    </row>
    <row r="1023" spans="1:9">
      <c r="A1023" s="1">
        <v>46027.631249999999</v>
      </c>
      <c r="B1023" s="5">
        <f>_xlfn.XLOOKUP(A1023,Banks!A:A,Banks!H:H,0,-1)</f>
        <v>156.00790527652501</v>
      </c>
      <c r="C1023">
        <f>_xlfn.XLOOKUP(A1023,Energy!A:A,Energy!H:H,0,-1)</f>
        <v>784.14396431027399</v>
      </c>
      <c r="D1023">
        <f t="shared" si="60"/>
        <v>940.15186958679897</v>
      </c>
      <c r="E1023">
        <f>_xlfn.XLOOKUP(A1023,Banks!A:A,Banks!I:I,0)</f>
        <v>42171.420180607871</v>
      </c>
      <c r="F1023">
        <f>_xlfn.XLOOKUP(A1023,Energy!A:A,Energy!I:I,0)</f>
        <v>0</v>
      </c>
      <c r="G1023">
        <f t="shared" si="61"/>
        <v>42171.420180607871</v>
      </c>
      <c r="H1023">
        <f t="shared" si="62"/>
        <v>41231.268311021071</v>
      </c>
      <c r="I1023" t="b">
        <f t="shared" si="63"/>
        <v>0</v>
      </c>
    </row>
    <row r="1024" spans="1:9">
      <c r="A1024" s="1">
        <v>46027.631944444453</v>
      </c>
      <c r="B1024" s="5">
        <f>_xlfn.XLOOKUP(A1024,Banks!A:A,Banks!H:H,0,-1)</f>
        <v>-100.63141901487511</v>
      </c>
      <c r="C1024">
        <f>_xlfn.XLOOKUP(A1024,Energy!A:A,Energy!H:H,0,-1)</f>
        <v>784.14396431027399</v>
      </c>
      <c r="D1024">
        <f t="shared" si="60"/>
        <v>683.51254529539892</v>
      </c>
      <c r="E1024">
        <f>_xlfn.XLOOKUP(A1024,Banks!A:A,Banks!I:I,0)</f>
        <v>42222.748045466149</v>
      </c>
      <c r="F1024">
        <f>_xlfn.XLOOKUP(A1024,Energy!A:A,Energy!I:I,0)</f>
        <v>0</v>
      </c>
      <c r="G1024">
        <f t="shared" si="61"/>
        <v>42222.748045466149</v>
      </c>
      <c r="H1024">
        <f t="shared" si="62"/>
        <v>41539.235500170747</v>
      </c>
      <c r="I1024" t="b">
        <f t="shared" si="63"/>
        <v>0</v>
      </c>
    </row>
    <row r="1025" spans="1:9">
      <c r="A1025" s="1">
        <v>46027.632638888892</v>
      </c>
      <c r="B1025" s="5">
        <f>_xlfn.XLOOKUP(A1025,Banks!A:A,Banks!H:H,0,-1)</f>
        <v>67.044334350164718</v>
      </c>
      <c r="C1025">
        <f>_xlfn.XLOOKUP(A1025,Energy!A:A,Energy!H:H,0,-1)</f>
        <v>784.14396431027399</v>
      </c>
      <c r="D1025">
        <f t="shared" si="60"/>
        <v>851.1882986604387</v>
      </c>
      <c r="E1025">
        <f>_xlfn.XLOOKUP(A1025,Banks!A:A,Banks!I:I,0)</f>
        <v>42180.699125103129</v>
      </c>
      <c r="F1025">
        <f>_xlfn.XLOOKUP(A1025,Energy!A:A,Energy!I:I,0)</f>
        <v>0</v>
      </c>
      <c r="G1025">
        <f t="shared" si="61"/>
        <v>42180.699125103129</v>
      </c>
      <c r="H1025">
        <f t="shared" si="62"/>
        <v>41329.510826442689</v>
      </c>
      <c r="I1025" t="b">
        <f t="shared" si="63"/>
        <v>0</v>
      </c>
    </row>
    <row r="1026" spans="1:9">
      <c r="A1026" s="1">
        <v>46027.633333333331</v>
      </c>
      <c r="B1026" s="5">
        <f>_xlfn.XLOOKUP(A1026,Banks!A:A,Banks!H:H,0,-1)</f>
        <v>-39.377786774983178</v>
      </c>
      <c r="C1026">
        <f>_xlfn.XLOOKUP(A1026,Energy!A:A,Energy!H:H,0,-1)</f>
        <v>784.14396431027399</v>
      </c>
      <c r="D1026">
        <f t="shared" si="60"/>
        <v>744.76617753529081</v>
      </c>
      <c r="E1026">
        <f>_xlfn.XLOOKUP(A1026,Banks!A:A,Banks!I:I,0)</f>
        <v>42159.4147008781</v>
      </c>
      <c r="F1026">
        <f>_xlfn.XLOOKUP(A1026,Energy!A:A,Energy!I:I,0)</f>
        <v>0</v>
      </c>
      <c r="G1026">
        <f t="shared" si="61"/>
        <v>42159.4147008781</v>
      </c>
      <c r="H1026">
        <f t="shared" si="62"/>
        <v>41414.64852334281</v>
      </c>
      <c r="I1026" t="b">
        <f t="shared" si="63"/>
        <v>0</v>
      </c>
    </row>
    <row r="1027" spans="1:9">
      <c r="A1027" s="1">
        <v>46027.634027777778</v>
      </c>
      <c r="B1027" s="5">
        <f>_xlfn.XLOOKUP(A1027,Banks!A:A,Banks!H:H,0,-1)</f>
        <v>-300.1800460010536</v>
      </c>
      <c r="C1027">
        <f>_xlfn.XLOOKUP(A1027,Energy!A:A,Energy!H:H,0,-1)</f>
        <v>784.14396431027399</v>
      </c>
      <c r="D1027">
        <f t="shared" ref="D1027:D1090" si="64">B1027+C1027</f>
        <v>483.96391830922039</v>
      </c>
      <c r="E1027">
        <f>_xlfn.XLOOKUP(A1027,Banks!A:A,Banks!I:I,0)</f>
        <v>42220.088922413328</v>
      </c>
      <c r="F1027">
        <f>_xlfn.XLOOKUP(A1027,Energy!A:A,Energy!I:I,0)</f>
        <v>0</v>
      </c>
      <c r="G1027">
        <f t="shared" ref="G1027:G1090" si="65">F1027+E1027</f>
        <v>42220.088922413328</v>
      </c>
      <c r="H1027">
        <f t="shared" ref="H1027:H1090" si="66">G1027-D1027</f>
        <v>41736.125004104106</v>
      </c>
      <c r="I1027" t="b">
        <f t="shared" ref="I1027:I1090" si="67">AND(E1027&gt;0,F1027&gt;0)</f>
        <v>0</v>
      </c>
    </row>
    <row r="1028" spans="1:9">
      <c r="A1028" s="1">
        <v>46027.634722222218</v>
      </c>
      <c r="B1028" s="5">
        <f>_xlfn.XLOOKUP(A1028,Banks!A:A,Banks!H:H,0,-1)</f>
        <v>-87.974083756668733</v>
      </c>
      <c r="C1028">
        <f>_xlfn.XLOOKUP(A1028,Energy!A:A,Energy!H:H,0,-1)</f>
        <v>784.14396431027399</v>
      </c>
      <c r="D1028">
        <f t="shared" si="64"/>
        <v>696.16988055360525</v>
      </c>
      <c r="E1028">
        <f>_xlfn.XLOOKUP(A1028,Banks!A:A,Banks!I:I,0)</f>
        <v>42203.189039034478</v>
      </c>
      <c r="F1028">
        <f>_xlfn.XLOOKUP(A1028,Energy!A:A,Energy!I:I,0)</f>
        <v>0</v>
      </c>
      <c r="G1028">
        <f t="shared" si="65"/>
        <v>42203.189039034478</v>
      </c>
      <c r="H1028">
        <f t="shared" si="66"/>
        <v>41507.019158480871</v>
      </c>
      <c r="I1028" t="b">
        <f t="shared" si="67"/>
        <v>0</v>
      </c>
    </row>
    <row r="1029" spans="1:9">
      <c r="A1029" s="1">
        <v>46027.635416666657</v>
      </c>
      <c r="B1029" s="5">
        <f>_xlfn.XLOOKUP(A1029,Banks!A:A,Banks!H:H,0,-1)</f>
        <v>-104.72267032763919</v>
      </c>
      <c r="C1029">
        <f>_xlfn.XLOOKUP(A1029,Energy!A:A,Energy!H:H,0,-1)</f>
        <v>784.14396431027399</v>
      </c>
      <c r="D1029">
        <f t="shared" si="64"/>
        <v>679.42129398263478</v>
      </c>
      <c r="E1029">
        <f>_xlfn.XLOOKUP(A1029,Banks!A:A,Banks!I:I,0)</f>
        <v>42180.997447278642</v>
      </c>
      <c r="F1029">
        <f>_xlfn.XLOOKUP(A1029,Energy!A:A,Energy!I:I,0)</f>
        <v>0</v>
      </c>
      <c r="G1029">
        <f t="shared" si="65"/>
        <v>42180.997447278642</v>
      </c>
      <c r="H1029">
        <f t="shared" si="66"/>
        <v>41501.57615329601</v>
      </c>
      <c r="I1029" t="b">
        <f t="shared" si="67"/>
        <v>0</v>
      </c>
    </row>
    <row r="1030" spans="1:9">
      <c r="A1030" s="1">
        <v>46027.636111111111</v>
      </c>
      <c r="B1030" s="5">
        <f>_xlfn.XLOOKUP(A1030,Banks!A:A,Banks!H:H,0,-1)</f>
        <v>-36.59169498008805</v>
      </c>
      <c r="C1030">
        <f>_xlfn.XLOOKUP(A1030,Energy!A:A,Energy!H:H,0,-1)</f>
        <v>784.14396431027399</v>
      </c>
      <c r="D1030">
        <f t="shared" si="64"/>
        <v>747.55226933018594</v>
      </c>
      <c r="E1030">
        <f>_xlfn.XLOOKUP(A1030,Banks!A:A,Banks!I:I,0)</f>
        <v>42231.224524884223</v>
      </c>
      <c r="F1030">
        <f>_xlfn.XLOOKUP(A1030,Energy!A:A,Energy!I:I,0)</f>
        <v>0</v>
      </c>
      <c r="G1030">
        <f t="shared" si="65"/>
        <v>42231.224524884223</v>
      </c>
      <c r="H1030">
        <f t="shared" si="66"/>
        <v>41483.67225555404</v>
      </c>
      <c r="I1030" t="b">
        <f t="shared" si="67"/>
        <v>0</v>
      </c>
    </row>
    <row r="1031" spans="1:9">
      <c r="A1031" s="1">
        <v>46027.636805555558</v>
      </c>
      <c r="B1031" s="5">
        <f>_xlfn.XLOOKUP(A1031,Banks!A:A,Banks!H:H,0,-1)</f>
        <v>-67.471306781356361</v>
      </c>
      <c r="C1031">
        <f>_xlfn.XLOOKUP(A1031,Energy!A:A,Energy!H:H,0,-1)</f>
        <v>784.14396431027399</v>
      </c>
      <c r="D1031">
        <f t="shared" si="64"/>
        <v>716.67265752891763</v>
      </c>
      <c r="E1031">
        <f>_xlfn.XLOOKUP(A1031,Banks!A:A,Banks!I:I,0)</f>
        <v>42250.171101779502</v>
      </c>
      <c r="F1031">
        <f>_xlfn.XLOOKUP(A1031,Energy!A:A,Energy!I:I,0)</f>
        <v>0</v>
      </c>
      <c r="G1031">
        <f t="shared" si="65"/>
        <v>42250.171101779502</v>
      </c>
      <c r="H1031">
        <f t="shared" si="66"/>
        <v>41533.498444250581</v>
      </c>
      <c r="I1031" t="b">
        <f t="shared" si="67"/>
        <v>0</v>
      </c>
    </row>
    <row r="1032" spans="1:9">
      <c r="A1032" s="1">
        <v>46027.637499999997</v>
      </c>
      <c r="B1032" s="5">
        <f>_xlfn.XLOOKUP(A1032,Banks!A:A,Banks!H:H,0,-1)</f>
        <v>-3.447678139145864</v>
      </c>
      <c r="C1032">
        <f>_xlfn.XLOOKUP(A1032,Energy!A:A,Energy!H:H,0,-1)</f>
        <v>784.14396431027399</v>
      </c>
      <c r="D1032">
        <f t="shared" si="64"/>
        <v>780.69628617112812</v>
      </c>
      <c r="E1032">
        <f>_xlfn.XLOOKUP(A1032,Banks!A:A,Banks!I:I,0)</f>
        <v>0</v>
      </c>
      <c r="F1032">
        <f>_xlfn.XLOOKUP(A1032,Energy!A:A,Energy!I:I,0)</f>
        <v>0</v>
      </c>
      <c r="G1032">
        <f t="shared" si="65"/>
        <v>0</v>
      </c>
      <c r="H1032">
        <f t="shared" si="66"/>
        <v>-780.69628617112812</v>
      </c>
      <c r="I1032" t="b">
        <f t="shared" si="67"/>
        <v>0</v>
      </c>
    </row>
    <row r="1033" spans="1:9">
      <c r="A1033" s="1">
        <v>46027.870138888888</v>
      </c>
      <c r="B1033" s="5">
        <f>_xlfn.XLOOKUP(A1033,Banks!A:A,Banks!H:H,0,-1)</f>
        <v>-3.447678139145864</v>
      </c>
      <c r="C1033">
        <f>_xlfn.XLOOKUP(A1033,Energy!A:A,Energy!H:H,0,-1)</f>
        <v>784.14396431027399</v>
      </c>
      <c r="D1033">
        <f t="shared" si="64"/>
        <v>780.69628617112812</v>
      </c>
      <c r="E1033">
        <f>_xlfn.XLOOKUP(A1033,Banks!A:A,Banks!I:I,0)</f>
        <v>41258.882915960698</v>
      </c>
      <c r="F1033">
        <f>_xlfn.XLOOKUP(A1033,Energy!A:A,Energy!I:I,0)</f>
        <v>0</v>
      </c>
      <c r="G1033">
        <f t="shared" si="65"/>
        <v>41258.882915960698</v>
      </c>
      <c r="H1033">
        <f t="shared" si="66"/>
        <v>40478.186629789569</v>
      </c>
      <c r="I1033" t="b">
        <f t="shared" si="67"/>
        <v>0</v>
      </c>
    </row>
    <row r="1034" spans="1:9">
      <c r="A1034" s="1">
        <v>46027.870833333327</v>
      </c>
      <c r="B1034" s="5">
        <f>_xlfn.XLOOKUP(A1034,Banks!A:A,Banks!H:H,0,-1)</f>
        <v>-103.4851675728935</v>
      </c>
      <c r="C1034">
        <f>_xlfn.XLOOKUP(A1034,Energy!A:A,Energy!H:H,0,-1)</f>
        <v>784.14396431027399</v>
      </c>
      <c r="D1034">
        <f t="shared" si="64"/>
        <v>680.6587967373805</v>
      </c>
      <c r="E1034">
        <f>_xlfn.XLOOKUP(A1034,Banks!A:A,Banks!I:I,0)</f>
        <v>41255.710803475631</v>
      </c>
      <c r="F1034">
        <f>_xlfn.XLOOKUP(A1034,Energy!A:A,Energy!I:I,0)</f>
        <v>0</v>
      </c>
      <c r="G1034">
        <f t="shared" si="65"/>
        <v>41255.710803475631</v>
      </c>
      <c r="H1034">
        <f t="shared" si="66"/>
        <v>40575.052006738253</v>
      </c>
      <c r="I1034" t="b">
        <f t="shared" si="67"/>
        <v>0</v>
      </c>
    </row>
    <row r="1035" spans="1:9">
      <c r="A1035" s="1">
        <v>46027.871527777781</v>
      </c>
      <c r="B1035" s="5">
        <f>_xlfn.XLOOKUP(A1035,Banks!A:A,Banks!H:H,0,-1)</f>
        <v>-34.599781693459747</v>
      </c>
      <c r="C1035">
        <f>_xlfn.XLOOKUP(A1035,Energy!A:A,Energy!H:H,0,-1)</f>
        <v>784.14396431027399</v>
      </c>
      <c r="D1035">
        <f t="shared" si="64"/>
        <v>749.54418261681428</v>
      </c>
      <c r="E1035">
        <f>_xlfn.XLOOKUP(A1035,Banks!A:A,Banks!I:I,0)</f>
        <v>41231.608263497757</v>
      </c>
      <c r="F1035">
        <f>_xlfn.XLOOKUP(A1035,Energy!A:A,Energy!I:I,0)</f>
        <v>0</v>
      </c>
      <c r="G1035">
        <f t="shared" si="65"/>
        <v>41231.608263497757</v>
      </c>
      <c r="H1035">
        <f t="shared" si="66"/>
        <v>40482.06408088094</v>
      </c>
      <c r="I1035" t="b">
        <f t="shared" si="67"/>
        <v>0</v>
      </c>
    </row>
    <row r="1036" spans="1:9">
      <c r="A1036" s="1">
        <v>46027.87222222222</v>
      </c>
      <c r="B1036" s="5">
        <f>_xlfn.XLOOKUP(A1036,Banks!A:A,Banks!H:H,0,-1)</f>
        <v>56.566373127132707</v>
      </c>
      <c r="C1036">
        <f>_xlfn.XLOOKUP(A1036,Energy!A:A,Energy!H:H,0,-1)</f>
        <v>784.14396431027399</v>
      </c>
      <c r="D1036">
        <f t="shared" si="64"/>
        <v>840.71033743740668</v>
      </c>
      <c r="E1036">
        <f>_xlfn.XLOOKUP(A1036,Banks!A:A,Banks!I:I,0)</f>
        <v>41258.259187162708</v>
      </c>
      <c r="F1036">
        <f>_xlfn.XLOOKUP(A1036,Energy!A:A,Energy!I:I,0)</f>
        <v>0</v>
      </c>
      <c r="G1036">
        <f t="shared" si="65"/>
        <v>41258.259187162708</v>
      </c>
      <c r="H1036">
        <f t="shared" si="66"/>
        <v>40417.548849725303</v>
      </c>
      <c r="I1036" t="b">
        <f t="shared" si="67"/>
        <v>0</v>
      </c>
    </row>
    <row r="1037" spans="1:9">
      <c r="A1037" s="1">
        <v>46027.872916666667</v>
      </c>
      <c r="B1037" s="5">
        <f>_xlfn.XLOOKUP(A1037,Banks!A:A,Banks!H:H,0,-1)</f>
        <v>-20.390000530986779</v>
      </c>
      <c r="C1037">
        <f>_xlfn.XLOOKUP(A1037,Energy!A:A,Energy!H:H,0,-1)</f>
        <v>784.14396431027399</v>
      </c>
      <c r="D1037">
        <f t="shared" si="64"/>
        <v>763.75396377928723</v>
      </c>
      <c r="E1037">
        <f>_xlfn.XLOOKUP(A1037,Banks!A:A,Banks!I:I,0)</f>
        <v>41230.241373379831</v>
      </c>
      <c r="F1037">
        <f>_xlfn.XLOOKUP(A1037,Energy!A:A,Energy!I:I,0)</f>
        <v>0</v>
      </c>
      <c r="G1037">
        <f t="shared" si="65"/>
        <v>41230.241373379831</v>
      </c>
      <c r="H1037">
        <f t="shared" si="66"/>
        <v>40466.487409600544</v>
      </c>
      <c r="I1037" t="b">
        <f t="shared" si="67"/>
        <v>0</v>
      </c>
    </row>
    <row r="1038" spans="1:9">
      <c r="A1038" s="1">
        <v>46027.873611111107</v>
      </c>
      <c r="B1038" s="5">
        <f>_xlfn.XLOOKUP(A1038,Banks!A:A,Banks!H:H,0,-1)</f>
        <v>52.267474574452962</v>
      </c>
      <c r="C1038">
        <f>_xlfn.XLOOKUP(A1038,Energy!A:A,Energy!H:H,0,-1)</f>
        <v>784.14396431027399</v>
      </c>
      <c r="D1038">
        <f t="shared" si="64"/>
        <v>836.41143888472698</v>
      </c>
      <c r="E1038">
        <f>_xlfn.XLOOKUP(A1038,Banks!A:A,Banks!I:I,0)</f>
        <v>41232.146329349664</v>
      </c>
      <c r="F1038">
        <f>_xlfn.XLOOKUP(A1038,Energy!A:A,Energy!I:I,0)</f>
        <v>0</v>
      </c>
      <c r="G1038">
        <f t="shared" si="65"/>
        <v>41232.146329349664</v>
      </c>
      <c r="H1038">
        <f t="shared" si="66"/>
        <v>40395.734890464933</v>
      </c>
      <c r="I1038" t="b">
        <f t="shared" si="67"/>
        <v>0</v>
      </c>
    </row>
    <row r="1039" spans="1:9">
      <c r="A1039" s="1">
        <v>46027.874305555553</v>
      </c>
      <c r="B1039" s="5">
        <f>_xlfn.XLOOKUP(A1039,Banks!A:A,Banks!H:H,0,-1)</f>
        <v>-2.9490101257263599</v>
      </c>
      <c r="C1039">
        <f>_xlfn.XLOOKUP(A1039,Energy!A:A,Energy!H:H,0,-1)</f>
        <v>784.14396431027399</v>
      </c>
      <c r="D1039">
        <f t="shared" si="64"/>
        <v>781.19495418454767</v>
      </c>
      <c r="E1039">
        <f>_xlfn.XLOOKUP(A1039,Banks!A:A,Banks!I:I,0)</f>
        <v>41250.564956862552</v>
      </c>
      <c r="F1039">
        <f>_xlfn.XLOOKUP(A1039,Energy!A:A,Energy!I:I,0)</f>
        <v>0</v>
      </c>
      <c r="G1039">
        <f t="shared" si="65"/>
        <v>41250.564956862552</v>
      </c>
      <c r="H1039">
        <f t="shared" si="66"/>
        <v>40469.370002678006</v>
      </c>
      <c r="I1039" t="b">
        <f t="shared" si="67"/>
        <v>0</v>
      </c>
    </row>
    <row r="1040" spans="1:9">
      <c r="A1040" s="1">
        <v>46028.604166666657</v>
      </c>
      <c r="B1040" s="5">
        <f>_xlfn.XLOOKUP(A1040,Banks!A:A,Banks!H:H,0,-1)</f>
        <v>119.6146444437782</v>
      </c>
      <c r="C1040">
        <f>_xlfn.XLOOKUP(A1040,Energy!A:A,Energy!H:H,0,-1)</f>
        <v>784.14396431027399</v>
      </c>
      <c r="D1040">
        <f t="shared" si="64"/>
        <v>903.75860875405215</v>
      </c>
      <c r="E1040">
        <f>_xlfn.XLOOKUP(A1040,Banks!A:A,Banks!I:I,0)</f>
        <v>41220.362685221029</v>
      </c>
      <c r="F1040">
        <f>_xlfn.XLOOKUP(A1040,Energy!A:A,Energy!I:I,0)</f>
        <v>0</v>
      </c>
      <c r="G1040">
        <f t="shared" si="65"/>
        <v>41220.362685221029</v>
      </c>
      <c r="H1040">
        <f t="shared" si="66"/>
        <v>40316.604076466974</v>
      </c>
      <c r="I1040" t="b">
        <f t="shared" si="67"/>
        <v>0</v>
      </c>
    </row>
    <row r="1041" spans="1:9">
      <c r="A1041" s="1">
        <v>46028.604861111111</v>
      </c>
      <c r="B1041" s="5">
        <f>_xlfn.XLOOKUP(A1041,Banks!A:A,Banks!H:H,0,-1)</f>
        <v>318.76264056740689</v>
      </c>
      <c r="C1041">
        <f>_xlfn.XLOOKUP(A1041,Energy!A:A,Energy!H:H,0,-1)</f>
        <v>784.14396431027399</v>
      </c>
      <c r="D1041">
        <f t="shared" si="64"/>
        <v>1102.9066048776808</v>
      </c>
      <c r="E1041">
        <f>_xlfn.XLOOKUP(A1041,Banks!A:A,Banks!I:I,0)</f>
        <v>41264.401130796163</v>
      </c>
      <c r="F1041">
        <f>_xlfn.XLOOKUP(A1041,Energy!A:A,Energy!I:I,0)</f>
        <v>0</v>
      </c>
      <c r="G1041">
        <f t="shared" si="65"/>
        <v>41264.401130796163</v>
      </c>
      <c r="H1041">
        <f t="shared" si="66"/>
        <v>40161.494525918482</v>
      </c>
      <c r="I1041" t="b">
        <f t="shared" si="67"/>
        <v>0</v>
      </c>
    </row>
    <row r="1042" spans="1:9">
      <c r="A1042" s="1">
        <v>46028.605555555558</v>
      </c>
      <c r="B1042" s="5">
        <f>_xlfn.XLOOKUP(A1042,Banks!A:A,Banks!H:H,0,-1)</f>
        <v>448.39994688875828</v>
      </c>
      <c r="C1042">
        <f>_xlfn.XLOOKUP(A1042,Energy!A:A,Energy!H:H,0,-1)</f>
        <v>784.14396431027399</v>
      </c>
      <c r="D1042">
        <f t="shared" si="64"/>
        <v>1232.5439111990322</v>
      </c>
      <c r="E1042">
        <f>_xlfn.XLOOKUP(A1042,Banks!A:A,Banks!I:I,0)</f>
        <v>41302.955131111688</v>
      </c>
      <c r="F1042">
        <f>_xlfn.XLOOKUP(A1042,Energy!A:A,Energy!I:I,0)</f>
        <v>0</v>
      </c>
      <c r="G1042">
        <f t="shared" si="65"/>
        <v>41302.955131111688</v>
      </c>
      <c r="H1042">
        <f t="shared" si="66"/>
        <v>40070.411219912654</v>
      </c>
      <c r="I1042" t="b">
        <f t="shared" si="67"/>
        <v>0</v>
      </c>
    </row>
    <row r="1043" spans="1:9">
      <c r="A1043" s="1">
        <v>46028.606249999997</v>
      </c>
      <c r="B1043" s="5">
        <f>_xlfn.XLOOKUP(A1043,Banks!A:A,Banks!H:H,0,-1)</f>
        <v>197.6029435354468</v>
      </c>
      <c r="C1043">
        <f>_xlfn.XLOOKUP(A1043,Energy!A:A,Energy!H:H,0,-1)</f>
        <v>784.14396431027399</v>
      </c>
      <c r="D1043">
        <f t="shared" si="64"/>
        <v>981.74690784572078</v>
      </c>
      <c r="E1043">
        <f>_xlfn.XLOOKUP(A1043,Banks!A:A,Banks!I:I,0)</f>
        <v>0</v>
      </c>
      <c r="F1043">
        <f>_xlfn.XLOOKUP(A1043,Energy!A:A,Energy!I:I,0)</f>
        <v>0</v>
      </c>
      <c r="G1043">
        <f t="shared" si="65"/>
        <v>0</v>
      </c>
      <c r="H1043">
        <f t="shared" si="66"/>
        <v>-981.74690784572078</v>
      </c>
      <c r="I1043" t="b">
        <f t="shared" si="67"/>
        <v>0</v>
      </c>
    </row>
    <row r="1044" spans="1:9">
      <c r="A1044" s="1">
        <v>46029.874305555553</v>
      </c>
      <c r="B1044" s="5">
        <f>_xlfn.XLOOKUP(A1044,Banks!A:A,Banks!H:H,0,-1)</f>
        <v>197.6029435354468</v>
      </c>
      <c r="C1044">
        <f>_xlfn.XLOOKUP(A1044,Energy!A:A,Energy!H:H,0,-1)</f>
        <v>784.14396431027399</v>
      </c>
      <c r="D1044">
        <f t="shared" si="64"/>
        <v>981.74690784572078</v>
      </c>
      <c r="E1044">
        <f>_xlfn.XLOOKUP(A1044,Banks!A:A,Banks!I:I,0)</f>
        <v>41258.882915960712</v>
      </c>
      <c r="F1044">
        <f>_xlfn.XLOOKUP(A1044,Energy!A:A,Energy!I:I,0)</f>
        <v>0</v>
      </c>
      <c r="G1044">
        <f t="shared" si="65"/>
        <v>41258.882915960712</v>
      </c>
      <c r="H1044">
        <f t="shared" si="66"/>
        <v>40277.136008114991</v>
      </c>
      <c r="I1044" t="b">
        <f t="shared" si="67"/>
        <v>0</v>
      </c>
    </row>
    <row r="1045" spans="1:9">
      <c r="A1045" s="1">
        <v>46030.604166666657</v>
      </c>
      <c r="B1045" s="5">
        <f>_xlfn.XLOOKUP(A1045,Banks!A:A,Banks!H:H,0,-1)</f>
        <v>484.71471134376583</v>
      </c>
      <c r="C1045">
        <f>_xlfn.XLOOKUP(A1045,Energy!A:A,Energy!H:H,0,-1)</f>
        <v>784.14396431027399</v>
      </c>
      <c r="D1045">
        <f t="shared" si="64"/>
        <v>1268.8586756540399</v>
      </c>
      <c r="E1045">
        <f>_xlfn.XLOOKUP(A1045,Banks!A:A,Banks!I:I,0)</f>
        <v>0</v>
      </c>
      <c r="F1045">
        <f>_xlfn.XLOOKUP(A1045,Energy!A:A,Energy!I:I,0)</f>
        <v>0</v>
      </c>
      <c r="G1045">
        <f t="shared" si="65"/>
        <v>0</v>
      </c>
      <c r="H1045">
        <f t="shared" si="66"/>
        <v>-1268.8586756540399</v>
      </c>
      <c r="I1045" t="b">
        <f t="shared" si="67"/>
        <v>0</v>
      </c>
    </row>
    <row r="1046" spans="1:9">
      <c r="A1046" s="1">
        <v>46031.60833333333</v>
      </c>
      <c r="B1046" s="5">
        <f>_xlfn.XLOOKUP(A1046,Banks!A:A,Banks!H:H,0,-1)</f>
        <v>484.71471134376583</v>
      </c>
      <c r="C1046">
        <f>_xlfn.XLOOKUP(A1046,Energy!A:A,Energy!H:H,0,-1)</f>
        <v>784.14396431027399</v>
      </c>
      <c r="D1046">
        <f t="shared" si="64"/>
        <v>1268.8586756540399</v>
      </c>
      <c r="E1046">
        <f>_xlfn.XLOOKUP(A1046,Banks!A:A,Banks!I:I,0)</f>
        <v>41258.882915960712</v>
      </c>
      <c r="F1046">
        <f>_xlfn.XLOOKUP(A1046,Energy!A:A,Energy!I:I,0)</f>
        <v>0</v>
      </c>
      <c r="G1046">
        <f t="shared" si="65"/>
        <v>41258.882915960712</v>
      </c>
      <c r="H1046">
        <f t="shared" si="66"/>
        <v>39990.024240306673</v>
      </c>
      <c r="I1046" t="b">
        <f t="shared" si="67"/>
        <v>0</v>
      </c>
    </row>
    <row r="1047" spans="1:9">
      <c r="A1047" s="1">
        <v>46031.609027777777</v>
      </c>
      <c r="B1047" s="5">
        <f>_xlfn.XLOOKUP(A1047,Banks!A:A,Banks!H:H,0,-1)</f>
        <v>553.34490936498696</v>
      </c>
      <c r="C1047">
        <f>_xlfn.XLOOKUP(A1047,Energy!A:A,Energy!H:H,0,-1)</f>
        <v>784.14396431027399</v>
      </c>
      <c r="D1047">
        <f t="shared" si="64"/>
        <v>1337.4888736752609</v>
      </c>
      <c r="E1047">
        <f>_xlfn.XLOOKUP(A1047,Banks!A:A,Banks!I:I,0)</f>
        <v>41303.343457162613</v>
      </c>
      <c r="F1047">
        <f>_xlfn.XLOOKUP(A1047,Energy!A:A,Energy!I:I,0)</f>
        <v>0</v>
      </c>
      <c r="G1047">
        <f t="shared" si="65"/>
        <v>41303.343457162613</v>
      </c>
      <c r="H1047">
        <f t="shared" si="66"/>
        <v>39965.854583487351</v>
      </c>
      <c r="I1047" t="b">
        <f t="shared" si="67"/>
        <v>0</v>
      </c>
    </row>
    <row r="1048" spans="1:9">
      <c r="A1048" s="1">
        <v>46031.609722222223</v>
      </c>
      <c r="B1048" s="5">
        <f>_xlfn.XLOOKUP(A1048,Banks!A:A,Banks!H:H,0,-1)</f>
        <v>345.14200061341302</v>
      </c>
      <c r="C1048">
        <f>_xlfn.XLOOKUP(A1048,Energy!A:A,Energy!H:H,0,-1)</f>
        <v>784.14396431027399</v>
      </c>
      <c r="D1048">
        <f t="shared" si="64"/>
        <v>1129.2859649236871</v>
      </c>
      <c r="E1048">
        <f>_xlfn.XLOOKUP(A1048,Banks!A:A,Banks!I:I,0)</f>
        <v>41290.953642450077</v>
      </c>
      <c r="F1048">
        <f>_xlfn.XLOOKUP(A1048,Energy!A:A,Energy!I:I,0)</f>
        <v>0</v>
      </c>
      <c r="G1048">
        <f t="shared" si="65"/>
        <v>41290.953642450077</v>
      </c>
      <c r="H1048">
        <f t="shared" si="66"/>
        <v>40161.667677526391</v>
      </c>
      <c r="I1048" t="b">
        <f t="shared" si="67"/>
        <v>0</v>
      </c>
    </row>
    <row r="1049" spans="1:9">
      <c r="A1049" s="1">
        <v>46031.61041666667</v>
      </c>
      <c r="B1049" s="5">
        <f>_xlfn.XLOOKUP(A1049,Banks!A:A,Banks!H:H,0,-1)</f>
        <v>313.97061803868939</v>
      </c>
      <c r="C1049">
        <f>_xlfn.XLOOKUP(A1049,Energy!A:A,Energy!H:H,0,-1)</f>
        <v>784.14396431027399</v>
      </c>
      <c r="D1049">
        <f t="shared" si="64"/>
        <v>1098.1145823489633</v>
      </c>
      <c r="E1049">
        <f>_xlfn.XLOOKUP(A1049,Banks!A:A,Banks!I:I,0)</f>
        <v>41284.719365935132</v>
      </c>
      <c r="F1049">
        <f>_xlfn.XLOOKUP(A1049,Energy!A:A,Energy!I:I,0)</f>
        <v>0</v>
      </c>
      <c r="G1049">
        <f t="shared" si="65"/>
        <v>41284.719365935132</v>
      </c>
      <c r="H1049">
        <f t="shared" si="66"/>
        <v>40186.604783586168</v>
      </c>
      <c r="I1049" t="b">
        <f t="shared" si="67"/>
        <v>0</v>
      </c>
    </row>
    <row r="1050" spans="1:9">
      <c r="A1050" s="1">
        <v>46031.611111111109</v>
      </c>
      <c r="B1050" s="5">
        <f>_xlfn.XLOOKUP(A1050,Banks!A:A,Banks!H:H,0,-1)</f>
        <v>454.25928241480528</v>
      </c>
      <c r="C1050">
        <f>_xlfn.XLOOKUP(A1050,Energy!A:A,Energy!H:H,0,-1)</f>
        <v>784.14396431027399</v>
      </c>
      <c r="D1050">
        <f t="shared" si="64"/>
        <v>1238.4032467250793</v>
      </c>
      <c r="E1050">
        <f>_xlfn.XLOOKUP(A1050,Banks!A:A,Banks!I:I,0)</f>
        <v>41227.568342656828</v>
      </c>
      <c r="F1050">
        <f>_xlfn.XLOOKUP(A1050,Energy!A:A,Energy!I:I,0)</f>
        <v>0</v>
      </c>
      <c r="G1050">
        <f t="shared" si="65"/>
        <v>41227.568342656828</v>
      </c>
      <c r="H1050">
        <f t="shared" si="66"/>
        <v>39989.165095931749</v>
      </c>
      <c r="I1050" t="b">
        <f t="shared" si="67"/>
        <v>0</v>
      </c>
    </row>
    <row r="1051" spans="1:9">
      <c r="A1051" s="1">
        <v>46031.611805555563</v>
      </c>
      <c r="B1051" s="5">
        <f>_xlfn.XLOOKUP(A1051,Banks!A:A,Banks!H:H,0,-1)</f>
        <v>391.91651726537287</v>
      </c>
      <c r="C1051">
        <f>_xlfn.XLOOKUP(A1051,Energy!A:A,Energy!H:H,0,-1)</f>
        <v>784.14396431027399</v>
      </c>
      <c r="D1051">
        <f t="shared" si="64"/>
        <v>1176.0604815756469</v>
      </c>
      <c r="E1051">
        <f>_xlfn.XLOOKUP(A1051,Banks!A:A,Banks!I:I,0)</f>
        <v>41215.099789626947</v>
      </c>
      <c r="F1051">
        <f>_xlfn.XLOOKUP(A1051,Energy!A:A,Energy!I:I,0)</f>
        <v>0</v>
      </c>
      <c r="G1051">
        <f t="shared" si="65"/>
        <v>41215.099789626947</v>
      </c>
      <c r="H1051">
        <f t="shared" si="66"/>
        <v>40039.039308051302</v>
      </c>
      <c r="I1051" t="b">
        <f t="shared" si="67"/>
        <v>0</v>
      </c>
    </row>
    <row r="1052" spans="1:9">
      <c r="A1052" s="1">
        <v>46031.612500000003</v>
      </c>
      <c r="B1052" s="5">
        <f>_xlfn.XLOOKUP(A1052,Banks!A:A,Banks!H:H,0,-1)</f>
        <v>225.66914353350859</v>
      </c>
      <c r="C1052">
        <f>_xlfn.XLOOKUP(A1052,Energy!A:A,Energy!H:H,0,-1)</f>
        <v>784.14396431027399</v>
      </c>
      <c r="D1052">
        <f t="shared" si="64"/>
        <v>1009.8131078437825</v>
      </c>
      <c r="E1052">
        <f>_xlfn.XLOOKUP(A1052,Banks!A:A,Banks!I:I,0)</f>
        <v>41181.850314880583</v>
      </c>
      <c r="F1052">
        <f>_xlfn.XLOOKUP(A1052,Energy!A:A,Energy!I:I,0)</f>
        <v>0</v>
      </c>
      <c r="G1052">
        <f t="shared" si="65"/>
        <v>41181.850314880583</v>
      </c>
      <c r="H1052">
        <f t="shared" si="66"/>
        <v>40172.037207036803</v>
      </c>
      <c r="I1052" t="b">
        <f t="shared" si="67"/>
        <v>0</v>
      </c>
    </row>
    <row r="1053" spans="1:9">
      <c r="A1053" s="1">
        <v>46031.613194444442</v>
      </c>
      <c r="B1053" s="5">
        <f>_xlfn.XLOOKUP(A1053,Banks!A:A,Banks!H:H,0,-1)</f>
        <v>691.61483928757957</v>
      </c>
      <c r="C1053">
        <f>_xlfn.XLOOKUP(A1053,Energy!A:A,Energy!H:H,0,-1)</f>
        <v>784.14396431027399</v>
      </c>
      <c r="D1053">
        <f t="shared" si="64"/>
        <v>1475.7588035978536</v>
      </c>
      <c r="E1053">
        <f>_xlfn.XLOOKUP(A1053,Banks!A:A,Banks!I:I,0)</f>
        <v>0</v>
      </c>
      <c r="F1053">
        <f>_xlfn.XLOOKUP(A1053,Energy!A:A,Energy!I:I,0)</f>
        <v>0</v>
      </c>
      <c r="G1053">
        <f t="shared" si="65"/>
        <v>0</v>
      </c>
      <c r="H1053">
        <f t="shared" si="66"/>
        <v>-1475.7588035978536</v>
      </c>
      <c r="I1053" t="b">
        <f t="shared" si="67"/>
        <v>0</v>
      </c>
    </row>
    <row r="1054" spans="1:9">
      <c r="A1054" s="1">
        <v>46034.604166666657</v>
      </c>
      <c r="B1054" s="5">
        <f>_xlfn.XLOOKUP(A1054,Banks!A:A,Banks!H:H,0,-1)</f>
        <v>691.61483928757957</v>
      </c>
      <c r="C1054">
        <f>_xlfn.XLOOKUP(A1054,Energy!A:A,Energy!H:H,0,-1)</f>
        <v>784.14396431027399</v>
      </c>
      <c r="D1054">
        <f t="shared" si="64"/>
        <v>1475.7588035978536</v>
      </c>
      <c r="E1054">
        <f>_xlfn.XLOOKUP(A1054,Banks!A:A,Banks!I:I,0)</f>
        <v>41258.882915960698</v>
      </c>
      <c r="F1054">
        <f>_xlfn.XLOOKUP(A1054,Energy!A:A,Energy!I:I,0)</f>
        <v>0</v>
      </c>
      <c r="G1054">
        <f t="shared" si="65"/>
        <v>41258.882915960698</v>
      </c>
      <c r="H1054">
        <f t="shared" si="66"/>
        <v>39783.124112362842</v>
      </c>
      <c r="I1054" t="b">
        <f t="shared" si="67"/>
        <v>0</v>
      </c>
    </row>
    <row r="1055" spans="1:9">
      <c r="A1055" s="1">
        <v>46034.604861111111</v>
      </c>
      <c r="B1055" s="5">
        <f>_xlfn.XLOOKUP(A1055,Banks!A:A,Banks!H:H,0,-1)</f>
        <v>409.13723411714051</v>
      </c>
      <c r="C1055">
        <f>_xlfn.XLOOKUP(A1055,Energy!A:A,Energy!H:H,0,-1)</f>
        <v>784.14396431027399</v>
      </c>
      <c r="D1055">
        <f t="shared" si="64"/>
        <v>1193.2811984274144</v>
      </c>
      <c r="E1055">
        <f>_xlfn.XLOOKUP(A1055,Banks!A:A,Banks!I:I,0)</f>
        <v>41166.789140527762</v>
      </c>
      <c r="F1055">
        <f>_xlfn.XLOOKUP(A1055,Energy!A:A,Energy!I:I,0)</f>
        <v>0</v>
      </c>
      <c r="G1055">
        <f t="shared" si="65"/>
        <v>41166.789140527762</v>
      </c>
      <c r="H1055">
        <f t="shared" si="66"/>
        <v>39973.507942100347</v>
      </c>
      <c r="I1055" t="b">
        <f t="shared" si="67"/>
        <v>0</v>
      </c>
    </row>
    <row r="1056" spans="1:9">
      <c r="A1056" s="1">
        <v>46034.605555555558</v>
      </c>
      <c r="B1056" s="5">
        <f>_xlfn.XLOOKUP(A1056,Banks!A:A,Banks!H:H,0,-1)</f>
        <v>474.77756409270722</v>
      </c>
      <c r="C1056">
        <f>_xlfn.XLOOKUP(A1056,Energy!A:A,Energy!H:H,0,-1)</f>
        <v>784.14396431027399</v>
      </c>
      <c r="D1056">
        <f t="shared" si="64"/>
        <v>1258.9215284029813</v>
      </c>
      <c r="E1056">
        <f>_xlfn.XLOOKUP(A1056,Banks!A:A,Banks!I:I,0)</f>
        <v>41102.716172886823</v>
      </c>
      <c r="F1056">
        <f>_xlfn.XLOOKUP(A1056,Energy!A:A,Energy!I:I,0)</f>
        <v>0</v>
      </c>
      <c r="G1056">
        <f t="shared" si="65"/>
        <v>41102.716172886823</v>
      </c>
      <c r="H1056">
        <f t="shared" si="66"/>
        <v>39843.794644483845</v>
      </c>
      <c r="I1056" t="b">
        <f t="shared" si="67"/>
        <v>0</v>
      </c>
    </row>
    <row r="1057" spans="1:9">
      <c r="A1057" s="1">
        <v>46034.606249999997</v>
      </c>
      <c r="B1057" s="5">
        <f>_xlfn.XLOOKUP(A1057,Banks!A:A,Banks!H:H,0,-1)</f>
        <v>354.32000978721697</v>
      </c>
      <c r="C1057">
        <f>_xlfn.XLOOKUP(A1057,Energy!A:A,Energy!H:H,0,-1)</f>
        <v>784.14396431027399</v>
      </c>
      <c r="D1057">
        <f t="shared" si="64"/>
        <v>1138.463974097491</v>
      </c>
      <c r="E1057">
        <f>_xlfn.XLOOKUP(A1057,Banks!A:A,Banks!I:I,0)</f>
        <v>41245.67912092153</v>
      </c>
      <c r="F1057">
        <f>_xlfn.XLOOKUP(A1057,Energy!A:A,Energy!I:I,0)</f>
        <v>0</v>
      </c>
      <c r="G1057">
        <f t="shared" si="65"/>
        <v>41245.67912092153</v>
      </c>
      <c r="H1057">
        <f t="shared" si="66"/>
        <v>40107.215146824041</v>
      </c>
      <c r="I1057" t="b">
        <f t="shared" si="67"/>
        <v>0</v>
      </c>
    </row>
    <row r="1058" spans="1:9">
      <c r="A1058" s="1">
        <v>46034.606944444437</v>
      </c>
      <c r="B1058" s="5">
        <f>_xlfn.XLOOKUP(A1058,Banks!A:A,Banks!H:H,0,-1)</f>
        <v>104.638255373437</v>
      </c>
      <c r="C1058">
        <f>_xlfn.XLOOKUP(A1058,Energy!A:A,Energy!H:H,0,-1)</f>
        <v>784.14396431027399</v>
      </c>
      <c r="D1058">
        <f t="shared" si="64"/>
        <v>888.78221968371099</v>
      </c>
      <c r="E1058">
        <f>_xlfn.XLOOKUP(A1058,Banks!A:A,Banks!I:I,0)</f>
        <v>41185.234851571637</v>
      </c>
      <c r="F1058">
        <f>_xlfn.XLOOKUP(A1058,Energy!A:A,Energy!I:I,0)</f>
        <v>0</v>
      </c>
      <c r="G1058">
        <f t="shared" si="65"/>
        <v>41185.234851571637</v>
      </c>
      <c r="H1058">
        <f t="shared" si="66"/>
        <v>40296.452631887929</v>
      </c>
      <c r="I1058" t="b">
        <f t="shared" si="67"/>
        <v>0</v>
      </c>
    </row>
    <row r="1059" spans="1:9">
      <c r="A1059" s="1">
        <v>46034.607638888891</v>
      </c>
      <c r="B1059" s="5">
        <f>_xlfn.XLOOKUP(A1059,Banks!A:A,Banks!H:H,0,-1)</f>
        <v>138.1798088886388</v>
      </c>
      <c r="C1059">
        <f>_xlfn.XLOOKUP(A1059,Energy!A:A,Energy!H:H,0,-1)</f>
        <v>784.14396431027399</v>
      </c>
      <c r="D1059">
        <f t="shared" si="64"/>
        <v>922.32377319891282</v>
      </c>
      <c r="E1059">
        <f>_xlfn.XLOOKUP(A1059,Banks!A:A,Banks!I:I,0)</f>
        <v>41229.471442514427</v>
      </c>
      <c r="F1059">
        <f>_xlfn.XLOOKUP(A1059,Energy!A:A,Energy!I:I,0)</f>
        <v>0</v>
      </c>
      <c r="G1059">
        <f t="shared" si="65"/>
        <v>41229.471442514427</v>
      </c>
      <c r="H1059">
        <f t="shared" si="66"/>
        <v>40307.147669315513</v>
      </c>
      <c r="I1059" t="b">
        <f t="shared" si="67"/>
        <v>0</v>
      </c>
    </row>
    <row r="1060" spans="1:9">
      <c r="A1060" s="1">
        <v>46034.60833333333</v>
      </c>
      <c r="B1060" s="5">
        <f>_xlfn.XLOOKUP(A1060,Banks!A:A,Banks!H:H,0,-1)</f>
        <v>7.9713855158009892</v>
      </c>
      <c r="C1060">
        <f>_xlfn.XLOOKUP(A1060,Energy!A:A,Energy!H:H,0,-1)</f>
        <v>784.14396431027399</v>
      </c>
      <c r="D1060">
        <f t="shared" si="64"/>
        <v>792.11534982607498</v>
      </c>
      <c r="E1060">
        <f>_xlfn.XLOOKUP(A1060,Banks!A:A,Banks!I:I,0)</f>
        <v>41357.402930480683</v>
      </c>
      <c r="F1060">
        <f>_xlfn.XLOOKUP(A1060,Energy!A:A,Energy!I:I,0)</f>
        <v>0</v>
      </c>
      <c r="G1060">
        <f t="shared" si="65"/>
        <v>41357.402930480683</v>
      </c>
      <c r="H1060">
        <f t="shared" si="66"/>
        <v>40565.287580654607</v>
      </c>
      <c r="I1060" t="b">
        <f t="shared" si="67"/>
        <v>0</v>
      </c>
    </row>
    <row r="1061" spans="1:9">
      <c r="A1061" s="1">
        <v>46034.609027777777</v>
      </c>
      <c r="B1061" s="5">
        <f>_xlfn.XLOOKUP(A1061,Banks!A:A,Banks!H:H,0,-1)</f>
        <v>34.442661409346329</v>
      </c>
      <c r="C1061">
        <f>_xlfn.XLOOKUP(A1061,Energy!A:A,Energy!H:H,0,-1)</f>
        <v>784.14396431027399</v>
      </c>
      <c r="D1061">
        <f t="shared" si="64"/>
        <v>818.58662571962032</v>
      </c>
      <c r="E1061">
        <f>_xlfn.XLOOKUP(A1061,Banks!A:A,Banks!I:I,0)</f>
        <v>41386.071943065857</v>
      </c>
      <c r="F1061">
        <f>_xlfn.XLOOKUP(A1061,Energy!A:A,Energy!I:I,0)</f>
        <v>0</v>
      </c>
      <c r="G1061">
        <f t="shared" si="65"/>
        <v>41386.071943065857</v>
      </c>
      <c r="H1061">
        <f t="shared" si="66"/>
        <v>40567.48531734624</v>
      </c>
      <c r="I1061" t="b">
        <f t="shared" si="67"/>
        <v>0</v>
      </c>
    </row>
    <row r="1062" spans="1:9">
      <c r="A1062" s="1">
        <v>46034.609722222223</v>
      </c>
      <c r="B1062" s="5">
        <f>_xlfn.XLOOKUP(A1062,Banks!A:A,Banks!H:H,0,-1)</f>
        <v>3.8455785273640693E-2</v>
      </c>
      <c r="C1062">
        <f>_xlfn.XLOOKUP(A1062,Energy!A:A,Energy!H:H,0,-1)</f>
        <v>784.14396431027399</v>
      </c>
      <c r="D1062">
        <f t="shared" si="64"/>
        <v>784.18242009554763</v>
      </c>
      <c r="E1062">
        <f>_xlfn.XLOOKUP(A1062,Banks!A:A,Banks!I:I,0)</f>
        <v>41354.7441079563</v>
      </c>
      <c r="F1062">
        <f>_xlfn.XLOOKUP(A1062,Energy!A:A,Energy!I:I,0)</f>
        <v>0</v>
      </c>
      <c r="G1062">
        <f t="shared" si="65"/>
        <v>41354.7441079563</v>
      </c>
      <c r="H1062">
        <f t="shared" si="66"/>
        <v>40570.561687860754</v>
      </c>
      <c r="I1062" t="b">
        <f t="shared" si="67"/>
        <v>0</v>
      </c>
    </row>
    <row r="1063" spans="1:9">
      <c r="A1063" s="1">
        <v>46034.61041666667</v>
      </c>
      <c r="B1063" s="5">
        <f>_xlfn.XLOOKUP(A1063,Banks!A:A,Banks!H:H,0,-1)</f>
        <v>42.492540490144393</v>
      </c>
      <c r="C1063">
        <f>_xlfn.XLOOKUP(A1063,Energy!A:A,Energy!H:H,0,-1)</f>
        <v>784.14396431027399</v>
      </c>
      <c r="D1063">
        <f t="shared" si="64"/>
        <v>826.63650480041838</v>
      </c>
      <c r="E1063">
        <f>_xlfn.XLOOKUP(A1063,Banks!A:A,Banks!I:I,0)</f>
        <v>41363.234924897268</v>
      </c>
      <c r="F1063">
        <f>_xlfn.XLOOKUP(A1063,Energy!A:A,Energy!I:I,0)</f>
        <v>0</v>
      </c>
      <c r="G1063">
        <f t="shared" si="65"/>
        <v>41363.234924897268</v>
      </c>
      <c r="H1063">
        <f t="shared" si="66"/>
        <v>40536.598420096852</v>
      </c>
      <c r="I1063" t="b">
        <f t="shared" si="67"/>
        <v>0</v>
      </c>
    </row>
    <row r="1064" spans="1:9">
      <c r="A1064" s="1">
        <v>46034.611111111109</v>
      </c>
      <c r="B1064" s="5">
        <f>_xlfn.XLOOKUP(A1064,Banks!A:A,Banks!H:H,0,-1)</f>
        <v>-107.5441548371418</v>
      </c>
      <c r="C1064">
        <f>_xlfn.XLOOKUP(A1064,Energy!A:A,Energy!H:H,0,-1)</f>
        <v>784.14396431027399</v>
      </c>
      <c r="D1064">
        <f t="shared" si="64"/>
        <v>676.59980947313215</v>
      </c>
      <c r="E1064">
        <f>_xlfn.XLOOKUP(A1064,Banks!A:A,Banks!I:I,0)</f>
        <v>41473.905024901956</v>
      </c>
      <c r="F1064">
        <f>_xlfn.XLOOKUP(A1064,Energy!A:A,Energy!I:I,0)</f>
        <v>0</v>
      </c>
      <c r="G1064">
        <f t="shared" si="65"/>
        <v>41473.905024901956</v>
      </c>
      <c r="H1064">
        <f t="shared" si="66"/>
        <v>40797.305215428823</v>
      </c>
      <c r="I1064" t="b">
        <f t="shared" si="67"/>
        <v>0</v>
      </c>
    </row>
    <row r="1065" spans="1:9">
      <c r="A1065" s="1">
        <v>46034.611805555563</v>
      </c>
      <c r="B1065" s="5">
        <f>_xlfn.XLOOKUP(A1065,Banks!A:A,Banks!H:H,0,-1)</f>
        <v>-202.35256163936401</v>
      </c>
      <c r="C1065">
        <f>_xlfn.XLOOKUP(A1065,Energy!A:A,Energy!H:H,0,-1)</f>
        <v>784.14396431027399</v>
      </c>
      <c r="D1065">
        <f t="shared" si="64"/>
        <v>581.79140267090997</v>
      </c>
      <c r="E1065">
        <f>_xlfn.XLOOKUP(A1065,Banks!A:A,Banks!I:I,0)</f>
        <v>41552.302424849222</v>
      </c>
      <c r="F1065">
        <f>_xlfn.XLOOKUP(A1065,Energy!A:A,Energy!I:I,0)</f>
        <v>0</v>
      </c>
      <c r="G1065">
        <f t="shared" si="65"/>
        <v>41552.302424849222</v>
      </c>
      <c r="H1065">
        <f t="shared" si="66"/>
        <v>40970.511022178311</v>
      </c>
      <c r="I1065" t="b">
        <f t="shared" si="67"/>
        <v>0</v>
      </c>
    </row>
    <row r="1066" spans="1:9">
      <c r="A1066" s="1">
        <v>46034.612500000003</v>
      </c>
      <c r="B1066" s="5">
        <f>_xlfn.XLOOKUP(A1066,Banks!A:A,Banks!H:H,0,-1)</f>
        <v>-313.74011168635161</v>
      </c>
      <c r="C1066">
        <f>_xlfn.XLOOKUP(A1066,Energy!A:A,Energy!H:H,0,-1)</f>
        <v>784.14396431027399</v>
      </c>
      <c r="D1066">
        <f t="shared" si="64"/>
        <v>470.40385262392238</v>
      </c>
      <c r="E1066">
        <f>_xlfn.XLOOKUP(A1066,Banks!A:A,Banks!I:I,0)</f>
        <v>41527.880441683257</v>
      </c>
      <c r="F1066">
        <f>_xlfn.XLOOKUP(A1066,Energy!A:A,Energy!I:I,0)</f>
        <v>0</v>
      </c>
      <c r="G1066">
        <f t="shared" si="65"/>
        <v>41527.880441683257</v>
      </c>
      <c r="H1066">
        <f t="shared" si="66"/>
        <v>41057.476589059333</v>
      </c>
      <c r="I1066" t="b">
        <f t="shared" si="67"/>
        <v>0</v>
      </c>
    </row>
    <row r="1067" spans="1:9">
      <c r="A1067" s="1">
        <v>46034.613194444442</v>
      </c>
      <c r="B1067" s="5">
        <f>_xlfn.XLOOKUP(A1067,Banks!A:A,Banks!H:H,0,-1)</f>
        <v>-377.42123874365012</v>
      </c>
      <c r="C1067">
        <f>_xlfn.XLOOKUP(A1067,Energy!A:A,Energy!H:H,0,-1)</f>
        <v>784.14396431027399</v>
      </c>
      <c r="D1067">
        <f t="shared" si="64"/>
        <v>406.72272556662386</v>
      </c>
      <c r="E1067">
        <f>_xlfn.XLOOKUP(A1067,Banks!A:A,Banks!I:I,0)</f>
        <v>41515.144216271809</v>
      </c>
      <c r="F1067">
        <f>_xlfn.XLOOKUP(A1067,Energy!A:A,Energy!I:I,0)</f>
        <v>0</v>
      </c>
      <c r="G1067">
        <f t="shared" si="65"/>
        <v>41515.144216271809</v>
      </c>
      <c r="H1067">
        <f t="shared" si="66"/>
        <v>41108.421490705186</v>
      </c>
      <c r="I1067" t="b">
        <f t="shared" si="67"/>
        <v>0</v>
      </c>
    </row>
    <row r="1068" spans="1:9">
      <c r="A1068" s="1">
        <v>46034.613888888889</v>
      </c>
      <c r="B1068" s="5">
        <f>_xlfn.XLOOKUP(A1068,Banks!A:A,Banks!H:H,0,-1)</f>
        <v>-358.30625057293008</v>
      </c>
      <c r="C1068">
        <f>_xlfn.XLOOKUP(A1068,Energy!A:A,Energy!H:H,0,-1)</f>
        <v>784.14396431027399</v>
      </c>
      <c r="D1068">
        <f t="shared" si="64"/>
        <v>425.8377137373439</v>
      </c>
      <c r="E1068">
        <f>_xlfn.XLOOKUP(A1068,Banks!A:A,Banks!I:I,0)</f>
        <v>41434.903866168897</v>
      </c>
      <c r="F1068">
        <f>_xlfn.XLOOKUP(A1068,Energy!A:A,Energy!I:I,0)</f>
        <v>0</v>
      </c>
      <c r="G1068">
        <f t="shared" si="65"/>
        <v>41434.903866168897</v>
      </c>
      <c r="H1068">
        <f t="shared" si="66"/>
        <v>41009.066152431551</v>
      </c>
      <c r="I1068" t="b">
        <f t="shared" si="67"/>
        <v>0</v>
      </c>
    </row>
    <row r="1069" spans="1:9">
      <c r="A1069" s="1">
        <v>46034.614583333343</v>
      </c>
      <c r="B1069" s="5">
        <f>_xlfn.XLOOKUP(A1069,Banks!A:A,Banks!H:H,0,-1)</f>
        <v>101.99356584089971</v>
      </c>
      <c r="C1069">
        <f>_xlfn.XLOOKUP(A1069,Energy!A:A,Energy!H:H,0,-1)</f>
        <v>784.14396431027399</v>
      </c>
      <c r="D1069">
        <f t="shared" si="64"/>
        <v>886.13753015117368</v>
      </c>
      <c r="E1069">
        <f>_xlfn.XLOOKUP(A1069,Banks!A:A,Banks!I:I,0)</f>
        <v>41372.561762179554</v>
      </c>
      <c r="F1069">
        <f>_xlfn.XLOOKUP(A1069,Energy!A:A,Energy!I:I,0)</f>
        <v>0</v>
      </c>
      <c r="G1069">
        <f t="shared" si="65"/>
        <v>41372.561762179554</v>
      </c>
      <c r="H1069">
        <f t="shared" si="66"/>
        <v>40486.424232028381</v>
      </c>
      <c r="I1069" t="b">
        <f t="shared" si="67"/>
        <v>0</v>
      </c>
    </row>
    <row r="1070" spans="1:9">
      <c r="A1070" s="1">
        <v>46034.615277777782</v>
      </c>
      <c r="B1070" s="5">
        <f>_xlfn.XLOOKUP(A1070,Banks!A:A,Banks!H:H,0,-1)</f>
        <v>101.99356584089971</v>
      </c>
      <c r="C1070">
        <f>_xlfn.XLOOKUP(A1070,Energy!A:A,Energy!H:H,0,-1)</f>
        <v>784.14396431027399</v>
      </c>
      <c r="D1070">
        <f t="shared" si="64"/>
        <v>886.13753015117368</v>
      </c>
      <c r="E1070">
        <f>_xlfn.XLOOKUP(A1070,Banks!A:A,Banks!I:I,0)</f>
        <v>41372.561762179554</v>
      </c>
      <c r="F1070">
        <f>_xlfn.XLOOKUP(A1070,Energy!A:A,Energy!I:I,0)</f>
        <v>0</v>
      </c>
      <c r="G1070">
        <f t="shared" si="65"/>
        <v>41372.561762179554</v>
      </c>
      <c r="H1070">
        <f t="shared" si="66"/>
        <v>40486.424232028381</v>
      </c>
      <c r="I1070" t="b">
        <f t="shared" si="67"/>
        <v>0</v>
      </c>
    </row>
    <row r="1071" spans="1:9">
      <c r="A1071" s="1">
        <v>46034.615972222222</v>
      </c>
      <c r="B1071" s="5">
        <f>_xlfn.XLOOKUP(A1071,Banks!A:A,Banks!H:H,0,-1)</f>
        <v>366.43705569645402</v>
      </c>
      <c r="C1071">
        <f>_xlfn.XLOOKUP(A1071,Energy!A:A,Energy!H:H,0,-1)</f>
        <v>784.14396431027399</v>
      </c>
      <c r="D1071">
        <f t="shared" si="64"/>
        <v>1150.5810200067281</v>
      </c>
      <c r="E1071">
        <f>_xlfn.XLOOKUP(A1071,Banks!A:A,Banks!I:I,0)</f>
        <v>0</v>
      </c>
      <c r="F1071">
        <f>_xlfn.XLOOKUP(A1071,Energy!A:A,Energy!I:I,0)</f>
        <v>0</v>
      </c>
      <c r="G1071">
        <f t="shared" si="65"/>
        <v>0</v>
      </c>
      <c r="H1071">
        <f t="shared" si="66"/>
        <v>-1150.5810200067281</v>
      </c>
      <c r="I1071" t="b">
        <f t="shared" si="67"/>
        <v>0</v>
      </c>
    </row>
    <row r="1072" spans="1:9">
      <c r="A1072" s="1">
        <v>46035.604166666657</v>
      </c>
      <c r="B1072" s="5">
        <f>_xlfn.XLOOKUP(A1072,Banks!A:A,Banks!H:H,0,-1)</f>
        <v>366.43705569645402</v>
      </c>
      <c r="C1072">
        <f>_xlfn.XLOOKUP(A1072,Energy!A:A,Energy!H:H,0,-1)</f>
        <v>784.14396431027399</v>
      </c>
      <c r="D1072">
        <f t="shared" si="64"/>
        <v>1150.5810200067281</v>
      </c>
      <c r="E1072">
        <f>_xlfn.XLOOKUP(A1072,Banks!A:A,Banks!I:I,0)</f>
        <v>41258.882915960698</v>
      </c>
      <c r="F1072">
        <f>_xlfn.XLOOKUP(A1072,Energy!A:A,Energy!I:I,0)</f>
        <v>0</v>
      </c>
      <c r="G1072">
        <f t="shared" si="65"/>
        <v>41258.882915960698</v>
      </c>
      <c r="H1072">
        <f t="shared" si="66"/>
        <v>40108.30189595397</v>
      </c>
      <c r="I1072" t="b">
        <f t="shared" si="67"/>
        <v>0</v>
      </c>
    </row>
    <row r="1073" spans="1:9">
      <c r="A1073" s="1">
        <v>46035.604861111111</v>
      </c>
      <c r="B1073" s="5">
        <f>_xlfn.XLOOKUP(A1073,Banks!A:A,Banks!H:H,0,-1)</f>
        <v>-33.833230060495453</v>
      </c>
      <c r="C1073">
        <f>_xlfn.XLOOKUP(A1073,Energy!A:A,Energy!H:H,0,-1)</f>
        <v>784.14396431027399</v>
      </c>
      <c r="D1073">
        <f t="shared" si="64"/>
        <v>750.31073424977853</v>
      </c>
      <c r="E1073">
        <f>_xlfn.XLOOKUP(A1073,Banks!A:A,Banks!I:I,0)</f>
        <v>41284.405353227077</v>
      </c>
      <c r="F1073">
        <f>_xlfn.XLOOKUP(A1073,Energy!A:A,Energy!I:I,0)</f>
        <v>0</v>
      </c>
      <c r="G1073">
        <f t="shared" si="65"/>
        <v>41284.405353227077</v>
      </c>
      <c r="H1073">
        <f t="shared" si="66"/>
        <v>40534.094618977302</v>
      </c>
      <c r="I1073" t="b">
        <f t="shared" si="67"/>
        <v>0</v>
      </c>
    </row>
    <row r="1074" spans="1:9">
      <c r="A1074" s="1">
        <v>46035.605555555558</v>
      </c>
      <c r="B1074" s="5">
        <f>_xlfn.XLOOKUP(A1074,Banks!A:A,Banks!H:H,0,-1)</f>
        <v>505.76864527689389</v>
      </c>
      <c r="C1074">
        <f>_xlfn.XLOOKUP(A1074,Energy!A:A,Energy!H:H,0,-1)</f>
        <v>784.14396431027399</v>
      </c>
      <c r="D1074">
        <f t="shared" si="64"/>
        <v>1289.9126095871679</v>
      </c>
      <c r="E1074">
        <f>_xlfn.XLOOKUP(A1074,Banks!A:A,Banks!I:I,0)</f>
        <v>41219.180277449421</v>
      </c>
      <c r="F1074">
        <f>_xlfn.XLOOKUP(A1074,Energy!A:A,Energy!I:I,0)</f>
        <v>0</v>
      </c>
      <c r="G1074">
        <f t="shared" si="65"/>
        <v>41219.180277449421</v>
      </c>
      <c r="H1074">
        <f t="shared" si="66"/>
        <v>39929.267667862252</v>
      </c>
      <c r="I1074" t="b">
        <f t="shared" si="67"/>
        <v>0</v>
      </c>
    </row>
    <row r="1075" spans="1:9">
      <c r="A1075" s="1">
        <v>46035.606249999997</v>
      </c>
      <c r="B1075" s="5">
        <f>_xlfn.XLOOKUP(A1075,Banks!A:A,Banks!H:H,0,-1)</f>
        <v>217.2583307689448</v>
      </c>
      <c r="C1075">
        <f>_xlfn.XLOOKUP(A1075,Energy!A:A,Energy!H:H,0,-1)</f>
        <v>784.14396431027399</v>
      </c>
      <c r="D1075">
        <f t="shared" si="64"/>
        <v>1001.4022950792188</v>
      </c>
      <c r="E1075">
        <f>_xlfn.XLOOKUP(A1075,Banks!A:A,Banks!I:I,0)</f>
        <v>41161.478214547817</v>
      </c>
      <c r="F1075">
        <f>_xlfn.XLOOKUP(A1075,Energy!A:A,Energy!I:I,0)</f>
        <v>0</v>
      </c>
      <c r="G1075">
        <f t="shared" si="65"/>
        <v>41161.478214547817</v>
      </c>
      <c r="H1075">
        <f t="shared" si="66"/>
        <v>40160.075919468596</v>
      </c>
      <c r="I1075" t="b">
        <f t="shared" si="67"/>
        <v>0</v>
      </c>
    </row>
    <row r="1076" spans="1:9">
      <c r="A1076" s="1">
        <v>46035.606944444437</v>
      </c>
      <c r="B1076" s="5">
        <f>_xlfn.XLOOKUP(A1076,Banks!A:A,Banks!H:H,0,-1)</f>
        <v>256.3604613066525</v>
      </c>
      <c r="C1076">
        <f>_xlfn.XLOOKUP(A1076,Energy!A:A,Energy!H:H,0,-1)</f>
        <v>784.14396431027399</v>
      </c>
      <c r="D1076">
        <f t="shared" si="64"/>
        <v>1040.5044256169265</v>
      </c>
      <c r="E1076">
        <f>_xlfn.XLOOKUP(A1076,Banks!A:A,Banks!I:I,0)</f>
        <v>41169.298640655368</v>
      </c>
      <c r="F1076">
        <f>_xlfn.XLOOKUP(A1076,Energy!A:A,Energy!I:I,0)</f>
        <v>0</v>
      </c>
      <c r="G1076">
        <f t="shared" si="65"/>
        <v>41169.298640655368</v>
      </c>
      <c r="H1076">
        <f t="shared" si="66"/>
        <v>40128.794215038441</v>
      </c>
      <c r="I1076" t="b">
        <f t="shared" si="67"/>
        <v>0</v>
      </c>
    </row>
    <row r="1077" spans="1:9">
      <c r="A1077" s="1">
        <v>46035.607638888891</v>
      </c>
      <c r="B1077" s="5">
        <f>_xlfn.XLOOKUP(A1077,Banks!A:A,Banks!H:H,0,-1)</f>
        <v>340.82165684086078</v>
      </c>
      <c r="C1077">
        <f>_xlfn.XLOOKUP(A1077,Energy!A:A,Energy!H:H,0,-1)</f>
        <v>784.14396431027399</v>
      </c>
      <c r="D1077">
        <f t="shared" si="64"/>
        <v>1124.9656211511347</v>
      </c>
      <c r="E1077">
        <f>_xlfn.XLOOKUP(A1077,Banks!A:A,Banks!I:I,0)</f>
        <v>41152.406401548527</v>
      </c>
      <c r="F1077">
        <f>_xlfn.XLOOKUP(A1077,Energy!A:A,Energy!I:I,0)</f>
        <v>0</v>
      </c>
      <c r="G1077">
        <f t="shared" si="65"/>
        <v>41152.406401548527</v>
      </c>
      <c r="H1077">
        <f t="shared" si="66"/>
        <v>40027.440780397395</v>
      </c>
      <c r="I1077" t="b">
        <f t="shared" si="67"/>
        <v>0</v>
      </c>
    </row>
    <row r="1078" spans="1:9">
      <c r="A1078" s="1">
        <v>46035.60833333333</v>
      </c>
      <c r="B1078" s="5">
        <f>_xlfn.XLOOKUP(A1078,Banks!A:A,Banks!H:H,0,-1)</f>
        <v>316.51492704714911</v>
      </c>
      <c r="C1078">
        <f>_xlfn.XLOOKUP(A1078,Energy!A:A,Energy!H:H,0,-1)</f>
        <v>784.14396431027399</v>
      </c>
      <c r="D1078">
        <f t="shared" si="64"/>
        <v>1100.658891357423</v>
      </c>
      <c r="E1078">
        <f>_xlfn.XLOOKUP(A1078,Banks!A:A,Banks!I:I,0)</f>
        <v>41147.545055589777</v>
      </c>
      <c r="F1078">
        <f>_xlfn.XLOOKUP(A1078,Energy!A:A,Energy!I:I,0)</f>
        <v>0</v>
      </c>
      <c r="G1078">
        <f t="shared" si="65"/>
        <v>41147.545055589777</v>
      </c>
      <c r="H1078">
        <f t="shared" si="66"/>
        <v>40046.886164232354</v>
      </c>
      <c r="I1078" t="b">
        <f t="shared" si="67"/>
        <v>0</v>
      </c>
    </row>
    <row r="1079" spans="1:9">
      <c r="A1079" s="1">
        <v>46035.609027777777</v>
      </c>
      <c r="B1079" s="5">
        <f>_xlfn.XLOOKUP(A1079,Banks!A:A,Banks!H:H,0,-1)</f>
        <v>96.169137395471239</v>
      </c>
      <c r="C1079">
        <f>_xlfn.XLOOKUP(A1079,Energy!A:A,Energy!H:H,0,-1)</f>
        <v>784.14396431027399</v>
      </c>
      <c r="D1079">
        <f t="shared" si="64"/>
        <v>880.31310170574523</v>
      </c>
      <c r="E1079">
        <f>_xlfn.XLOOKUP(A1079,Banks!A:A,Banks!I:I,0)</f>
        <v>41103.475897659453</v>
      </c>
      <c r="F1079">
        <f>_xlfn.XLOOKUP(A1079,Energy!A:A,Energy!I:I,0)</f>
        <v>0</v>
      </c>
      <c r="G1079">
        <f t="shared" si="65"/>
        <v>41103.475897659453</v>
      </c>
      <c r="H1079">
        <f t="shared" si="66"/>
        <v>40223.162795953707</v>
      </c>
      <c r="I1079" t="b">
        <f t="shared" si="67"/>
        <v>0</v>
      </c>
    </row>
    <row r="1080" spans="1:9">
      <c r="A1080" s="1">
        <v>46035.609722222223</v>
      </c>
      <c r="B1080" s="5">
        <f>_xlfn.XLOOKUP(A1080,Banks!A:A,Banks!H:H,0,-1)</f>
        <v>-89.553633796963368</v>
      </c>
      <c r="C1080">
        <f>_xlfn.XLOOKUP(A1080,Energy!A:A,Energy!H:H,0,-1)</f>
        <v>784.14396431027399</v>
      </c>
      <c r="D1080">
        <f t="shared" si="64"/>
        <v>694.59033051331062</v>
      </c>
      <c r="E1080">
        <f>_xlfn.XLOOKUP(A1080,Banks!A:A,Banks!I:I,0)</f>
        <v>40964.977908779918</v>
      </c>
      <c r="F1080">
        <f>_xlfn.XLOOKUP(A1080,Energy!A:A,Energy!I:I,0)</f>
        <v>0</v>
      </c>
      <c r="G1080">
        <f t="shared" si="65"/>
        <v>40964.977908779918</v>
      </c>
      <c r="H1080">
        <f t="shared" si="66"/>
        <v>40270.387578266607</v>
      </c>
      <c r="I1080" t="b">
        <f t="shared" si="67"/>
        <v>0</v>
      </c>
    </row>
    <row r="1081" spans="1:9">
      <c r="A1081" s="1">
        <v>46035.61041666667</v>
      </c>
      <c r="B1081" s="5">
        <f>_xlfn.XLOOKUP(A1081,Banks!A:A,Banks!H:H,0,-1)</f>
        <v>-15.65008770452164</v>
      </c>
      <c r="C1081">
        <f>_xlfn.XLOOKUP(A1081,Energy!A:A,Energy!H:H,0,-1)</f>
        <v>784.14396431027399</v>
      </c>
      <c r="D1081">
        <f t="shared" si="64"/>
        <v>768.49387660575235</v>
      </c>
      <c r="E1081">
        <f>_xlfn.XLOOKUP(A1081,Banks!A:A,Banks!I:I,0)</f>
        <v>40950.197199561429</v>
      </c>
      <c r="F1081">
        <f>_xlfn.XLOOKUP(A1081,Energy!A:A,Energy!I:I,0)</f>
        <v>0</v>
      </c>
      <c r="G1081">
        <f t="shared" si="65"/>
        <v>40950.197199561429</v>
      </c>
      <c r="H1081">
        <f t="shared" si="66"/>
        <v>40181.703322955676</v>
      </c>
      <c r="I1081" t="b">
        <f t="shared" si="67"/>
        <v>0</v>
      </c>
    </row>
    <row r="1082" spans="1:9">
      <c r="A1082" s="1">
        <v>46035.611111111109</v>
      </c>
      <c r="B1082" s="5">
        <f>_xlfn.XLOOKUP(A1082,Banks!A:A,Banks!H:H,0,-1)</f>
        <v>-89.669067211691868</v>
      </c>
      <c r="C1082">
        <f>_xlfn.XLOOKUP(A1082,Energy!A:A,Energy!H:H,0,-1)</f>
        <v>784.14396431027399</v>
      </c>
      <c r="D1082">
        <f t="shared" si="64"/>
        <v>694.47489709858212</v>
      </c>
      <c r="E1082">
        <f>_xlfn.XLOOKUP(A1082,Banks!A:A,Banks!I:I,0)</f>
        <v>40918.501164553163</v>
      </c>
      <c r="F1082">
        <f>_xlfn.XLOOKUP(A1082,Energy!A:A,Energy!I:I,0)</f>
        <v>0</v>
      </c>
      <c r="G1082">
        <f t="shared" si="65"/>
        <v>40918.501164553163</v>
      </c>
      <c r="H1082">
        <f t="shared" si="66"/>
        <v>40224.026267454581</v>
      </c>
      <c r="I1082" t="b">
        <f t="shared" si="67"/>
        <v>0</v>
      </c>
    </row>
    <row r="1083" spans="1:9">
      <c r="A1083" s="1">
        <v>46035.611805555563</v>
      </c>
      <c r="B1083" s="5">
        <f>_xlfn.XLOOKUP(A1083,Banks!A:A,Banks!H:H,0,-1)</f>
        <v>2.2213105348942008</v>
      </c>
      <c r="C1083">
        <f>_xlfn.XLOOKUP(A1083,Energy!A:A,Energy!H:H,0,-1)</f>
        <v>784.14396431027399</v>
      </c>
      <c r="D1083">
        <f t="shared" si="64"/>
        <v>786.36527484516819</v>
      </c>
      <c r="E1083">
        <f>_xlfn.XLOOKUP(A1083,Banks!A:A,Banks!I:I,0)</f>
        <v>40915.763941218916</v>
      </c>
      <c r="F1083">
        <f>_xlfn.XLOOKUP(A1083,Energy!A:A,Energy!I:I,0)</f>
        <v>0</v>
      </c>
      <c r="G1083">
        <f t="shared" si="65"/>
        <v>40915.763941218916</v>
      </c>
      <c r="H1083">
        <f t="shared" si="66"/>
        <v>40129.398666373745</v>
      </c>
      <c r="I1083" t="b">
        <f t="shared" si="67"/>
        <v>0</v>
      </c>
    </row>
    <row r="1084" spans="1:9">
      <c r="A1084" s="1">
        <v>46035.612500000003</v>
      </c>
      <c r="B1084" s="5">
        <f>_xlfn.XLOOKUP(A1084,Banks!A:A,Banks!H:H,0,-1)</f>
        <v>12.85241760424049</v>
      </c>
      <c r="C1084">
        <f>_xlfn.XLOOKUP(A1084,Energy!A:A,Energy!H:H,0,-1)</f>
        <v>784.14396431027399</v>
      </c>
      <c r="D1084">
        <f t="shared" si="64"/>
        <v>796.99638191451447</v>
      </c>
      <c r="E1084">
        <f>_xlfn.XLOOKUP(A1084,Banks!A:A,Banks!I:I,0)</f>
        <v>40943.228521293036</v>
      </c>
      <c r="F1084">
        <f>_xlfn.XLOOKUP(A1084,Energy!A:A,Energy!I:I,0)</f>
        <v>0</v>
      </c>
      <c r="G1084">
        <f t="shared" si="65"/>
        <v>40943.228521293036</v>
      </c>
      <c r="H1084">
        <f t="shared" si="66"/>
        <v>40146.232139378524</v>
      </c>
      <c r="I1084" t="b">
        <f t="shared" si="67"/>
        <v>0</v>
      </c>
    </row>
    <row r="1085" spans="1:9">
      <c r="A1085" s="1">
        <v>46035.613194444442</v>
      </c>
      <c r="B1085" s="5">
        <f>_xlfn.XLOOKUP(A1085,Banks!A:A,Banks!H:H,0,-1)</f>
        <v>19.20379758416664</v>
      </c>
      <c r="C1085">
        <f>_xlfn.XLOOKUP(A1085,Energy!A:A,Energy!H:H,0,-1)</f>
        <v>784.14396431027399</v>
      </c>
      <c r="D1085">
        <f t="shared" si="64"/>
        <v>803.34776189444062</v>
      </c>
      <c r="E1085">
        <f>_xlfn.XLOOKUP(A1085,Banks!A:A,Banks!I:I,0)</f>
        <v>40948.721857065742</v>
      </c>
      <c r="F1085">
        <f>_xlfn.XLOOKUP(A1085,Energy!A:A,Energy!I:I,0)</f>
        <v>0</v>
      </c>
      <c r="G1085">
        <f t="shared" si="65"/>
        <v>40948.721857065742</v>
      </c>
      <c r="H1085">
        <f t="shared" si="66"/>
        <v>40145.374095171304</v>
      </c>
      <c r="I1085" t="b">
        <f t="shared" si="67"/>
        <v>0</v>
      </c>
    </row>
    <row r="1086" spans="1:9">
      <c r="A1086" s="1">
        <v>46035.613888888889</v>
      </c>
      <c r="B1086" s="5">
        <f>_xlfn.XLOOKUP(A1086,Banks!A:A,Banks!H:H,0,-1)</f>
        <v>141.77327299798591</v>
      </c>
      <c r="C1086">
        <f>_xlfn.XLOOKUP(A1086,Energy!A:A,Energy!H:H,0,-1)</f>
        <v>784.14396431027399</v>
      </c>
      <c r="D1086">
        <f t="shared" si="64"/>
        <v>925.91723730825993</v>
      </c>
      <c r="E1086">
        <f>_xlfn.XLOOKUP(A1086,Banks!A:A,Banks!I:I,0)</f>
        <v>40964.789632595093</v>
      </c>
      <c r="F1086">
        <f>_xlfn.XLOOKUP(A1086,Energy!A:A,Energy!I:I,0)</f>
        <v>0</v>
      </c>
      <c r="G1086">
        <f t="shared" si="65"/>
        <v>40964.789632595093</v>
      </c>
      <c r="H1086">
        <f t="shared" si="66"/>
        <v>40038.872395286831</v>
      </c>
      <c r="I1086" t="b">
        <f t="shared" si="67"/>
        <v>0</v>
      </c>
    </row>
    <row r="1087" spans="1:9">
      <c r="A1087" s="1">
        <v>46035.614583333343</v>
      </c>
      <c r="B1087" s="5">
        <f>_xlfn.XLOOKUP(A1087,Banks!A:A,Banks!H:H,0,-1)</f>
        <v>138.6448057685968</v>
      </c>
      <c r="C1087">
        <f>_xlfn.XLOOKUP(A1087,Energy!A:A,Energy!H:H,0,-1)</f>
        <v>784.14396431027399</v>
      </c>
      <c r="D1087">
        <f t="shared" si="64"/>
        <v>922.78877007887081</v>
      </c>
      <c r="E1087">
        <f>_xlfn.XLOOKUP(A1087,Banks!A:A,Banks!I:I,0)</f>
        <v>40981.056178256047</v>
      </c>
      <c r="F1087">
        <f>_xlfn.XLOOKUP(A1087,Energy!A:A,Energy!I:I,0)</f>
        <v>0</v>
      </c>
      <c r="G1087">
        <f t="shared" si="65"/>
        <v>40981.056178256047</v>
      </c>
      <c r="H1087">
        <f t="shared" si="66"/>
        <v>40058.267408177177</v>
      </c>
      <c r="I1087" t="b">
        <f t="shared" si="67"/>
        <v>0</v>
      </c>
    </row>
    <row r="1088" spans="1:9">
      <c r="A1088" s="1">
        <v>46035.615277777782</v>
      </c>
      <c r="B1088" s="5">
        <f>_xlfn.XLOOKUP(A1088,Banks!A:A,Banks!H:H,0,-1)</f>
        <v>-26.767626156104939</v>
      </c>
      <c r="C1088">
        <f>_xlfn.XLOOKUP(A1088,Energy!A:A,Energy!H:H,0,-1)</f>
        <v>784.14396431027399</v>
      </c>
      <c r="D1088">
        <f t="shared" si="64"/>
        <v>757.37633815416905</v>
      </c>
      <c r="E1088">
        <f>_xlfn.XLOOKUP(A1088,Banks!A:A,Banks!I:I,0)</f>
        <v>40939.527572317689</v>
      </c>
      <c r="F1088">
        <f>_xlfn.XLOOKUP(A1088,Energy!A:A,Energy!I:I,0)</f>
        <v>0</v>
      </c>
      <c r="G1088">
        <f t="shared" si="65"/>
        <v>40939.527572317689</v>
      </c>
      <c r="H1088">
        <f t="shared" si="66"/>
        <v>40182.151234163517</v>
      </c>
      <c r="I1088" t="b">
        <f t="shared" si="67"/>
        <v>0</v>
      </c>
    </row>
    <row r="1089" spans="1:9">
      <c r="A1089" s="1">
        <v>46035.615972222222</v>
      </c>
      <c r="B1089" s="5">
        <f>_xlfn.XLOOKUP(A1089,Banks!A:A,Banks!H:H,0,-1)</f>
        <v>-113.4159079955899</v>
      </c>
      <c r="C1089">
        <f>_xlfn.XLOOKUP(A1089,Energy!A:A,Energy!H:H,0,-1)</f>
        <v>784.14396431027399</v>
      </c>
      <c r="D1089">
        <f t="shared" si="64"/>
        <v>670.72805631468407</v>
      </c>
      <c r="E1089">
        <f>_xlfn.XLOOKUP(A1089,Banks!A:A,Banks!I:I,0)</f>
        <v>40926.420975726513</v>
      </c>
      <c r="F1089">
        <f>_xlfn.XLOOKUP(A1089,Energy!A:A,Energy!I:I,0)</f>
        <v>0</v>
      </c>
      <c r="G1089">
        <f t="shared" si="65"/>
        <v>40926.420975726513</v>
      </c>
      <c r="H1089">
        <f t="shared" si="66"/>
        <v>40255.692919411827</v>
      </c>
      <c r="I1089" t="b">
        <f t="shared" si="67"/>
        <v>0</v>
      </c>
    </row>
    <row r="1090" spans="1:9">
      <c r="A1090" s="1">
        <v>46035.616666666669</v>
      </c>
      <c r="B1090" s="5">
        <f>_xlfn.XLOOKUP(A1090,Banks!A:A,Banks!H:H,0,-1)</f>
        <v>-230.2673500668343</v>
      </c>
      <c r="C1090">
        <f>_xlfn.XLOOKUP(A1090,Energy!A:A,Energy!H:H,0,-1)</f>
        <v>784.14396431027399</v>
      </c>
      <c r="D1090">
        <f t="shared" si="64"/>
        <v>553.87661424343969</v>
      </c>
      <c r="E1090">
        <f>_xlfn.XLOOKUP(A1090,Banks!A:A,Banks!I:I,0)</f>
        <v>40873.489268875273</v>
      </c>
      <c r="F1090">
        <f>_xlfn.XLOOKUP(A1090,Energy!A:A,Energy!I:I,0)</f>
        <v>0</v>
      </c>
      <c r="G1090">
        <f t="shared" si="65"/>
        <v>40873.489268875273</v>
      </c>
      <c r="H1090">
        <f t="shared" si="66"/>
        <v>40319.612654631834</v>
      </c>
      <c r="I1090" t="b">
        <f t="shared" si="67"/>
        <v>0</v>
      </c>
    </row>
    <row r="1091" spans="1:9">
      <c r="A1091" s="1">
        <v>46035.617361111108</v>
      </c>
      <c r="B1091" s="5">
        <f>_xlfn.XLOOKUP(A1091,Banks!A:A,Banks!H:H,0,-1)</f>
        <v>-164.76584895128639</v>
      </c>
      <c r="C1091">
        <f>_xlfn.XLOOKUP(A1091,Energy!A:A,Energy!H:H,0,-1)</f>
        <v>784.14396431027399</v>
      </c>
      <c r="D1091">
        <f t="shared" ref="D1091:D1154" si="68">B1091+C1091</f>
        <v>619.37811535898754</v>
      </c>
      <c r="E1091">
        <f>_xlfn.XLOOKUP(A1091,Banks!A:A,Banks!I:I,0)</f>
        <v>40878.143449544958</v>
      </c>
      <c r="F1091">
        <f>_xlfn.XLOOKUP(A1091,Energy!A:A,Energy!I:I,0)</f>
        <v>0</v>
      </c>
      <c r="G1091">
        <f t="shared" ref="G1091:G1154" si="69">F1091+E1091</f>
        <v>40878.143449544958</v>
      </c>
      <c r="H1091">
        <f t="shared" ref="H1091:H1154" si="70">G1091-D1091</f>
        <v>40258.76533418597</v>
      </c>
      <c r="I1091" t="b">
        <f t="shared" ref="I1091:I1154" si="71">AND(E1091&gt;0,F1091&gt;0)</f>
        <v>0</v>
      </c>
    </row>
    <row r="1092" spans="1:9">
      <c r="A1092" s="1">
        <v>46035.618055555547</v>
      </c>
      <c r="B1092" s="5">
        <f>_xlfn.XLOOKUP(A1092,Banks!A:A,Banks!H:H,0,-1)</f>
        <v>-365.36118834503321</v>
      </c>
      <c r="C1092">
        <f>_xlfn.XLOOKUP(A1092,Energy!A:A,Energy!H:H,0,-1)</f>
        <v>784.14396431027399</v>
      </c>
      <c r="D1092">
        <f t="shared" si="68"/>
        <v>418.78277596524077</v>
      </c>
      <c r="E1092">
        <f>_xlfn.XLOOKUP(A1092,Banks!A:A,Banks!I:I,0)</f>
        <v>40918.262517423718</v>
      </c>
      <c r="F1092">
        <f>_xlfn.XLOOKUP(A1092,Energy!A:A,Energy!I:I,0)</f>
        <v>0</v>
      </c>
      <c r="G1092">
        <f t="shared" si="69"/>
        <v>40918.262517423718</v>
      </c>
      <c r="H1092">
        <f t="shared" si="70"/>
        <v>40499.479741458475</v>
      </c>
      <c r="I1092" t="b">
        <f t="shared" si="71"/>
        <v>0</v>
      </c>
    </row>
    <row r="1093" spans="1:9">
      <c r="A1093" s="1">
        <v>46035.618750000001</v>
      </c>
      <c r="B1093" s="5">
        <f>_xlfn.XLOOKUP(A1093,Banks!A:A,Banks!H:H,0,-1)</f>
        <v>-339.03527539474243</v>
      </c>
      <c r="C1093">
        <f>_xlfn.XLOOKUP(A1093,Energy!A:A,Energy!H:H,0,-1)</f>
        <v>784.14396431027399</v>
      </c>
      <c r="D1093">
        <f t="shared" si="68"/>
        <v>445.10868891553156</v>
      </c>
      <c r="E1093">
        <f>_xlfn.XLOOKUP(A1093,Banks!A:A,Banks!I:I,0)</f>
        <v>40885.520162023393</v>
      </c>
      <c r="F1093">
        <f>_xlfn.XLOOKUP(A1093,Energy!A:A,Energy!I:I,0)</f>
        <v>0</v>
      </c>
      <c r="G1093">
        <f t="shared" si="69"/>
        <v>40885.520162023393</v>
      </c>
      <c r="H1093">
        <f t="shared" si="70"/>
        <v>40440.411473107859</v>
      </c>
      <c r="I1093" t="b">
        <f t="shared" si="71"/>
        <v>0</v>
      </c>
    </row>
    <row r="1094" spans="1:9">
      <c r="A1094" s="1">
        <v>46035.619444444441</v>
      </c>
      <c r="B1094" s="5">
        <f>_xlfn.XLOOKUP(A1094,Banks!A:A,Banks!H:H,0,-1)</f>
        <v>-420.33652185918811</v>
      </c>
      <c r="C1094">
        <f>_xlfn.XLOOKUP(A1094,Energy!A:A,Energy!H:H,0,-1)</f>
        <v>784.14396431027399</v>
      </c>
      <c r="D1094">
        <f t="shared" si="68"/>
        <v>363.80744245108588</v>
      </c>
      <c r="E1094">
        <f>_xlfn.XLOOKUP(A1094,Banks!A:A,Banks!I:I,0)</f>
        <v>40898.82133116747</v>
      </c>
      <c r="F1094">
        <f>_xlfn.XLOOKUP(A1094,Energy!A:A,Energy!I:I,0)</f>
        <v>0</v>
      </c>
      <c r="G1094">
        <f t="shared" si="69"/>
        <v>40898.82133116747</v>
      </c>
      <c r="H1094">
        <f t="shared" si="70"/>
        <v>40535.013888716385</v>
      </c>
      <c r="I1094" t="b">
        <f t="shared" si="71"/>
        <v>0</v>
      </c>
    </row>
    <row r="1095" spans="1:9">
      <c r="A1095" s="1">
        <v>46035.620138888888</v>
      </c>
      <c r="B1095" s="5">
        <f>_xlfn.XLOOKUP(A1095,Banks!A:A,Banks!H:H,0,-1)</f>
        <v>-460.00903535348749</v>
      </c>
      <c r="C1095">
        <f>_xlfn.XLOOKUP(A1095,Energy!A:A,Energy!H:H,0,-1)</f>
        <v>784.14396431027399</v>
      </c>
      <c r="D1095">
        <f t="shared" si="68"/>
        <v>324.1349289567865</v>
      </c>
      <c r="E1095">
        <f>_xlfn.XLOOKUP(A1095,Banks!A:A,Banks!I:I,0)</f>
        <v>40873.994589361762</v>
      </c>
      <c r="F1095">
        <f>_xlfn.XLOOKUP(A1095,Energy!A:A,Energy!I:I,0)</f>
        <v>0</v>
      </c>
      <c r="G1095">
        <f t="shared" si="69"/>
        <v>40873.994589361762</v>
      </c>
      <c r="H1095">
        <f t="shared" si="70"/>
        <v>40549.859660404974</v>
      </c>
      <c r="I1095" t="b">
        <f t="shared" si="71"/>
        <v>0</v>
      </c>
    </row>
    <row r="1096" spans="1:9">
      <c r="A1096" s="1">
        <v>46035.620833333327</v>
      </c>
      <c r="B1096" s="5">
        <f>_xlfn.XLOOKUP(A1096,Banks!A:A,Banks!H:H,0,-1)</f>
        <v>-407.78067715442302</v>
      </c>
      <c r="C1096">
        <f>_xlfn.XLOOKUP(A1096,Energy!A:A,Energy!H:H,0,-1)</f>
        <v>784.14396431027399</v>
      </c>
      <c r="D1096">
        <f t="shared" si="68"/>
        <v>376.36328715585097</v>
      </c>
      <c r="E1096">
        <f>_xlfn.XLOOKUP(A1096,Banks!A:A,Banks!I:I,0)</f>
        <v>40850.655782787893</v>
      </c>
      <c r="F1096">
        <f>_xlfn.XLOOKUP(A1096,Energy!A:A,Energy!I:I,0)</f>
        <v>0</v>
      </c>
      <c r="G1096">
        <f t="shared" si="69"/>
        <v>40850.655782787893</v>
      </c>
      <c r="H1096">
        <f t="shared" si="70"/>
        <v>40474.292495632042</v>
      </c>
      <c r="I1096" t="b">
        <f t="shared" si="71"/>
        <v>0</v>
      </c>
    </row>
    <row r="1097" spans="1:9">
      <c r="A1097" s="1">
        <v>46035.621527777781</v>
      </c>
      <c r="B1097" s="5">
        <f>_xlfn.XLOOKUP(A1097,Banks!A:A,Banks!H:H,0,-1)</f>
        <v>-421.39333619804398</v>
      </c>
      <c r="C1097">
        <f>_xlfn.XLOOKUP(A1097,Energy!A:A,Energy!H:H,0,-1)</f>
        <v>784.14396431027399</v>
      </c>
      <c r="D1097">
        <f t="shared" si="68"/>
        <v>362.75062811223</v>
      </c>
      <c r="E1097">
        <f>_xlfn.XLOOKUP(A1097,Banks!A:A,Banks!I:I,0)</f>
        <v>40898.609968299686</v>
      </c>
      <c r="F1097">
        <f>_xlfn.XLOOKUP(A1097,Energy!A:A,Energy!I:I,0)</f>
        <v>0</v>
      </c>
      <c r="G1097">
        <f t="shared" si="69"/>
        <v>40898.609968299686</v>
      </c>
      <c r="H1097">
        <f t="shared" si="70"/>
        <v>40535.859340187453</v>
      </c>
      <c r="I1097" t="b">
        <f t="shared" si="71"/>
        <v>0</v>
      </c>
    </row>
    <row r="1098" spans="1:9">
      <c r="A1098" s="1">
        <v>46035.62222222222</v>
      </c>
      <c r="B1098" s="5">
        <f>_xlfn.XLOOKUP(A1098,Banks!A:A,Banks!H:H,0,-1)</f>
        <v>-298.81336683743149</v>
      </c>
      <c r="C1098">
        <f>_xlfn.XLOOKUP(A1098,Energy!A:A,Energy!H:H,0,-1)</f>
        <v>784.14396431027399</v>
      </c>
      <c r="D1098">
        <f t="shared" si="68"/>
        <v>485.3305974728425</v>
      </c>
      <c r="E1098">
        <f>_xlfn.XLOOKUP(A1098,Banks!A:A,Banks!I:I,0)</f>
        <v>40918.902902395108</v>
      </c>
      <c r="F1098">
        <f>_xlfn.XLOOKUP(A1098,Energy!A:A,Energy!I:I,0)</f>
        <v>0</v>
      </c>
      <c r="G1098">
        <f t="shared" si="69"/>
        <v>40918.902902395108</v>
      </c>
      <c r="H1098">
        <f t="shared" si="70"/>
        <v>40433.572304922265</v>
      </c>
      <c r="I1098" t="b">
        <f t="shared" si="71"/>
        <v>0</v>
      </c>
    </row>
    <row r="1099" spans="1:9">
      <c r="A1099" s="1">
        <v>46035.622916666667</v>
      </c>
      <c r="B1099" s="5">
        <f>_xlfn.XLOOKUP(A1099,Banks!A:A,Banks!H:H,0,-1)</f>
        <v>99.896265628735705</v>
      </c>
      <c r="C1099">
        <f>_xlfn.XLOOKUP(A1099,Energy!A:A,Energy!H:H,0,-1)</f>
        <v>784.14396431027399</v>
      </c>
      <c r="D1099">
        <f t="shared" si="68"/>
        <v>884.04022993900969</v>
      </c>
      <c r="E1099">
        <f>_xlfn.XLOOKUP(A1099,Banks!A:A,Banks!I:I,0)</f>
        <v>0</v>
      </c>
      <c r="F1099">
        <f>_xlfn.XLOOKUP(A1099,Energy!A:A,Energy!I:I,0)</f>
        <v>0</v>
      </c>
      <c r="G1099">
        <f t="shared" si="69"/>
        <v>0</v>
      </c>
      <c r="H1099">
        <f t="shared" si="70"/>
        <v>-884.04022993900969</v>
      </c>
      <c r="I1099" t="b">
        <f t="shared" si="71"/>
        <v>0</v>
      </c>
    </row>
    <row r="1100" spans="1:9">
      <c r="A1100" s="1">
        <v>46036.668749999997</v>
      </c>
      <c r="B1100" s="5">
        <f>_xlfn.XLOOKUP(A1100,Banks!A:A,Banks!H:H,0,-1)</f>
        <v>99.896265628735705</v>
      </c>
      <c r="C1100">
        <f>_xlfn.XLOOKUP(A1100,Energy!A:A,Energy!H:H,0,-1)</f>
        <v>784.14396431027399</v>
      </c>
      <c r="D1100">
        <f t="shared" si="68"/>
        <v>884.04022993900969</v>
      </c>
      <c r="E1100">
        <f>_xlfn.XLOOKUP(A1100,Banks!A:A,Banks!I:I,0)</f>
        <v>40045.069641097172</v>
      </c>
      <c r="F1100">
        <f>_xlfn.XLOOKUP(A1100,Energy!A:A,Energy!I:I,0)</f>
        <v>0</v>
      </c>
      <c r="G1100">
        <f t="shared" si="69"/>
        <v>40045.069641097172</v>
      </c>
      <c r="H1100">
        <f t="shared" si="70"/>
        <v>39161.029411158161</v>
      </c>
      <c r="I1100" t="b">
        <f t="shared" si="71"/>
        <v>0</v>
      </c>
    </row>
    <row r="1101" spans="1:9">
      <c r="A1101" s="1">
        <v>46036.669444444437</v>
      </c>
      <c r="B1101" s="5">
        <f>_xlfn.XLOOKUP(A1101,Banks!A:A,Banks!H:H,0,-1)</f>
        <v>100.9001514258803</v>
      </c>
      <c r="C1101">
        <f>_xlfn.XLOOKUP(A1101,Energy!A:A,Energy!H:H,0,-1)</f>
        <v>784.14396431027399</v>
      </c>
      <c r="D1101">
        <f t="shared" si="68"/>
        <v>885.04411573615425</v>
      </c>
      <c r="E1101">
        <f>_xlfn.XLOOKUP(A1101,Banks!A:A,Banks!I:I,0)</f>
        <v>40026.000018678547</v>
      </c>
      <c r="F1101">
        <f>_xlfn.XLOOKUP(A1101,Energy!A:A,Energy!I:I,0)</f>
        <v>0</v>
      </c>
      <c r="G1101">
        <f t="shared" si="69"/>
        <v>40026.000018678547</v>
      </c>
      <c r="H1101">
        <f t="shared" si="70"/>
        <v>39140.955902942391</v>
      </c>
      <c r="I1101" t="b">
        <f t="shared" si="71"/>
        <v>0</v>
      </c>
    </row>
    <row r="1102" spans="1:9">
      <c r="A1102" s="1">
        <v>46036.670138888891</v>
      </c>
      <c r="B1102" s="5">
        <f>_xlfn.XLOOKUP(A1102,Banks!A:A,Banks!H:H,0,-1)</f>
        <v>241.1710132815532</v>
      </c>
      <c r="C1102">
        <f>_xlfn.XLOOKUP(A1102,Energy!A:A,Energy!H:H,0,-1)</f>
        <v>784.14396431027399</v>
      </c>
      <c r="D1102">
        <f t="shared" si="68"/>
        <v>1025.3149775918273</v>
      </c>
      <c r="E1102">
        <f>_xlfn.XLOOKUP(A1102,Banks!A:A,Banks!I:I,0)</f>
        <v>40015.513391893561</v>
      </c>
      <c r="F1102">
        <f>_xlfn.XLOOKUP(A1102,Energy!A:A,Energy!I:I,0)</f>
        <v>0</v>
      </c>
      <c r="G1102">
        <f t="shared" si="69"/>
        <v>40015.513391893561</v>
      </c>
      <c r="H1102">
        <f t="shared" si="70"/>
        <v>38990.198414301733</v>
      </c>
      <c r="I1102" t="b">
        <f t="shared" si="71"/>
        <v>0</v>
      </c>
    </row>
    <row r="1103" spans="1:9">
      <c r="A1103" s="1">
        <v>46036.67083333333</v>
      </c>
      <c r="B1103" s="5">
        <f>_xlfn.XLOOKUP(A1103,Banks!A:A,Banks!H:H,0,-1)</f>
        <v>208.26487817884211</v>
      </c>
      <c r="C1103">
        <f>_xlfn.XLOOKUP(A1103,Energy!A:A,Energy!H:H,0,-1)</f>
        <v>784.14396431027399</v>
      </c>
      <c r="D1103">
        <f t="shared" si="68"/>
        <v>992.40884248911607</v>
      </c>
      <c r="E1103">
        <f>_xlfn.XLOOKUP(A1103,Banks!A:A,Banks!I:I,0)</f>
        <v>39997.369925126179</v>
      </c>
      <c r="F1103">
        <f>_xlfn.XLOOKUP(A1103,Energy!A:A,Energy!I:I,0)</f>
        <v>0</v>
      </c>
      <c r="G1103">
        <f t="shared" si="69"/>
        <v>39997.369925126179</v>
      </c>
      <c r="H1103">
        <f t="shared" si="70"/>
        <v>39004.961082637063</v>
      </c>
      <c r="I1103" t="b">
        <f t="shared" si="71"/>
        <v>0</v>
      </c>
    </row>
    <row r="1104" spans="1:9">
      <c r="A1104" s="1">
        <v>46036.671527777777</v>
      </c>
      <c r="B1104" s="5">
        <f>_xlfn.XLOOKUP(A1104,Banks!A:A,Banks!H:H,0,-1)</f>
        <v>5.2954400885928408</v>
      </c>
      <c r="C1104">
        <f>_xlfn.XLOOKUP(A1104,Energy!A:A,Energy!H:H,0,-1)</f>
        <v>784.14396431027399</v>
      </c>
      <c r="D1104">
        <f t="shared" si="68"/>
        <v>789.43940439886683</v>
      </c>
      <c r="E1104">
        <f>_xlfn.XLOOKUP(A1104,Banks!A:A,Banks!I:I,0)</f>
        <v>40068.544355060883</v>
      </c>
      <c r="F1104">
        <f>_xlfn.XLOOKUP(A1104,Energy!A:A,Energy!I:I,0)</f>
        <v>0</v>
      </c>
      <c r="G1104">
        <f t="shared" si="69"/>
        <v>40068.544355060883</v>
      </c>
      <c r="H1104">
        <f t="shared" si="70"/>
        <v>39279.104950662018</v>
      </c>
      <c r="I1104" t="b">
        <f t="shared" si="71"/>
        <v>0</v>
      </c>
    </row>
    <row r="1105" spans="1:9">
      <c r="A1105" s="1">
        <v>46036.672222222223</v>
      </c>
      <c r="B1105" s="5">
        <f>_xlfn.XLOOKUP(A1105,Banks!A:A,Banks!H:H,0,-1)</f>
        <v>-130.22009575200511</v>
      </c>
      <c r="C1105">
        <f>_xlfn.XLOOKUP(A1105,Energy!A:A,Energy!H:H,0,-1)</f>
        <v>784.14396431027399</v>
      </c>
      <c r="D1105">
        <f t="shared" si="68"/>
        <v>653.92386855826885</v>
      </c>
      <c r="E1105">
        <f>_xlfn.XLOOKUP(A1105,Banks!A:A,Banks!I:I,0)</f>
        <v>40076.12796713326</v>
      </c>
      <c r="F1105">
        <f>_xlfn.XLOOKUP(A1105,Energy!A:A,Energy!I:I,0)</f>
        <v>0</v>
      </c>
      <c r="G1105">
        <f t="shared" si="69"/>
        <v>40076.12796713326</v>
      </c>
      <c r="H1105">
        <f t="shared" si="70"/>
        <v>39422.204098574992</v>
      </c>
      <c r="I1105" t="b">
        <f t="shared" si="71"/>
        <v>0</v>
      </c>
    </row>
    <row r="1106" spans="1:9">
      <c r="A1106" s="1">
        <v>46036.67291666667</v>
      </c>
      <c r="B1106" s="5">
        <f>_xlfn.XLOOKUP(A1106,Banks!A:A,Banks!H:H,0,-1)</f>
        <v>-106.0698224000039</v>
      </c>
      <c r="C1106">
        <f>_xlfn.XLOOKUP(A1106,Energy!A:A,Energy!H:H,0,-1)</f>
        <v>784.14396431027399</v>
      </c>
      <c r="D1106">
        <f t="shared" si="68"/>
        <v>678.0741419102701</v>
      </c>
      <c r="E1106">
        <f>_xlfn.XLOOKUP(A1106,Banks!A:A,Banks!I:I,0)</f>
        <v>40073.249861972443</v>
      </c>
      <c r="F1106">
        <f>_xlfn.XLOOKUP(A1106,Energy!A:A,Energy!I:I,0)</f>
        <v>0</v>
      </c>
      <c r="G1106">
        <f t="shared" si="69"/>
        <v>40073.249861972443</v>
      </c>
      <c r="H1106">
        <f t="shared" si="70"/>
        <v>39395.175720062172</v>
      </c>
      <c r="I1106" t="b">
        <f t="shared" si="71"/>
        <v>0</v>
      </c>
    </row>
    <row r="1107" spans="1:9">
      <c r="A1107" s="1">
        <v>46036.673611111109</v>
      </c>
      <c r="B1107" s="5">
        <f>_xlfn.XLOOKUP(A1107,Banks!A:A,Banks!H:H,0,-1)</f>
        <v>-246.09158873802309</v>
      </c>
      <c r="C1107">
        <f>_xlfn.XLOOKUP(A1107,Energy!A:A,Energy!H:H,0,-1)</f>
        <v>784.14396431027399</v>
      </c>
      <c r="D1107">
        <f t="shared" si="68"/>
        <v>538.05237557225087</v>
      </c>
      <c r="E1107">
        <f>_xlfn.XLOOKUP(A1107,Banks!A:A,Banks!I:I,0)</f>
        <v>40091.494467692173</v>
      </c>
      <c r="F1107">
        <f>_xlfn.XLOOKUP(A1107,Energy!A:A,Energy!I:I,0)</f>
        <v>0</v>
      </c>
      <c r="G1107">
        <f t="shared" si="69"/>
        <v>40091.494467692173</v>
      </c>
      <c r="H1107">
        <f t="shared" si="70"/>
        <v>39553.44209211992</v>
      </c>
      <c r="I1107" t="b">
        <f t="shared" si="71"/>
        <v>0</v>
      </c>
    </row>
    <row r="1108" spans="1:9">
      <c r="A1108" s="1">
        <v>46036.674305555563</v>
      </c>
      <c r="B1108" s="5">
        <f>_xlfn.XLOOKUP(A1108,Banks!A:A,Banks!H:H,0,-1)</f>
        <v>-287.0062990384597</v>
      </c>
      <c r="C1108">
        <f>_xlfn.XLOOKUP(A1108,Energy!A:A,Energy!H:H,0,-1)</f>
        <v>784.14396431027399</v>
      </c>
      <c r="D1108">
        <f t="shared" si="68"/>
        <v>497.13766527181429</v>
      </c>
      <c r="E1108">
        <f>_xlfn.XLOOKUP(A1108,Banks!A:A,Banks!I:I,0)</f>
        <v>40075.603365800867</v>
      </c>
      <c r="F1108">
        <f>_xlfn.XLOOKUP(A1108,Energy!A:A,Energy!I:I,0)</f>
        <v>0</v>
      </c>
      <c r="G1108">
        <f t="shared" si="69"/>
        <v>40075.603365800867</v>
      </c>
      <c r="H1108">
        <f t="shared" si="70"/>
        <v>39578.46570052905</v>
      </c>
      <c r="I1108" t="b">
        <f t="shared" si="71"/>
        <v>0</v>
      </c>
    </row>
    <row r="1109" spans="1:9">
      <c r="A1109" s="1">
        <v>46036.675000000003</v>
      </c>
      <c r="B1109" s="5">
        <f>_xlfn.XLOOKUP(A1109,Banks!A:A,Banks!H:H,0,-1)</f>
        <v>-339.81307623987362</v>
      </c>
      <c r="C1109">
        <f>_xlfn.XLOOKUP(A1109,Energy!A:A,Energy!H:H,0,-1)</f>
        <v>784.14396431027399</v>
      </c>
      <c r="D1109">
        <f t="shared" si="68"/>
        <v>444.33088807040036</v>
      </c>
      <c r="E1109">
        <f>_xlfn.XLOOKUP(A1109,Banks!A:A,Banks!I:I,0)</f>
        <v>40092.020569769869</v>
      </c>
      <c r="F1109">
        <f>_xlfn.XLOOKUP(A1109,Energy!A:A,Energy!I:I,0)</f>
        <v>0</v>
      </c>
      <c r="G1109">
        <f t="shared" si="69"/>
        <v>40092.020569769869</v>
      </c>
      <c r="H1109">
        <f t="shared" si="70"/>
        <v>39647.68968169947</v>
      </c>
      <c r="I1109" t="b">
        <f t="shared" si="71"/>
        <v>0</v>
      </c>
    </row>
    <row r="1110" spans="1:9">
      <c r="A1110" s="1">
        <v>46036.675694444442</v>
      </c>
      <c r="B1110" s="5">
        <f>_xlfn.XLOOKUP(A1110,Banks!A:A,Banks!H:H,0,-1)</f>
        <v>-402.24754950382538</v>
      </c>
      <c r="C1110">
        <f>_xlfn.XLOOKUP(A1110,Energy!A:A,Energy!H:H,0,-1)</f>
        <v>784.14396431027399</v>
      </c>
      <c r="D1110">
        <f t="shared" si="68"/>
        <v>381.8964148064486</v>
      </c>
      <c r="E1110">
        <f>_xlfn.XLOOKUP(A1110,Banks!A:A,Banks!I:I,0)</f>
        <v>40060.263275539022</v>
      </c>
      <c r="F1110">
        <f>_xlfn.XLOOKUP(A1110,Energy!A:A,Energy!I:I,0)</f>
        <v>0</v>
      </c>
      <c r="G1110">
        <f t="shared" si="69"/>
        <v>40060.263275539022</v>
      </c>
      <c r="H1110">
        <f t="shared" si="70"/>
        <v>39678.366860732574</v>
      </c>
      <c r="I1110" t="b">
        <f t="shared" si="71"/>
        <v>0</v>
      </c>
    </row>
    <row r="1111" spans="1:9">
      <c r="A1111" s="1">
        <v>46036.676388888889</v>
      </c>
      <c r="B1111" s="5">
        <f>_xlfn.XLOOKUP(A1111,Banks!A:A,Banks!H:H,0,-1)</f>
        <v>-374.47038369271382</v>
      </c>
      <c r="C1111">
        <f>_xlfn.XLOOKUP(A1111,Energy!A:A,Energy!H:H,0,-1)</f>
        <v>784.14396431027399</v>
      </c>
      <c r="D1111">
        <f t="shared" si="68"/>
        <v>409.67358061756016</v>
      </c>
      <c r="E1111">
        <f>_xlfn.XLOOKUP(A1111,Banks!A:A,Banks!I:I,0)</f>
        <v>40069.672788616852</v>
      </c>
      <c r="F1111">
        <f>_xlfn.XLOOKUP(A1111,Energy!A:A,Energy!I:I,0)</f>
        <v>0</v>
      </c>
      <c r="G1111">
        <f t="shared" si="69"/>
        <v>40069.672788616852</v>
      </c>
      <c r="H1111">
        <f t="shared" si="70"/>
        <v>39659.999207999295</v>
      </c>
      <c r="I1111" t="b">
        <f t="shared" si="71"/>
        <v>0</v>
      </c>
    </row>
    <row r="1112" spans="1:9">
      <c r="A1112" s="1">
        <v>46036.677083333343</v>
      </c>
      <c r="B1112" s="5">
        <f>_xlfn.XLOOKUP(A1112,Banks!A:A,Banks!H:H,0,-1)</f>
        <v>-395.61650337976897</v>
      </c>
      <c r="C1112">
        <f>_xlfn.XLOOKUP(A1112,Energy!A:A,Energy!H:H,0,-1)</f>
        <v>784.14396431027399</v>
      </c>
      <c r="D1112">
        <f t="shared" si="68"/>
        <v>388.52746093050501</v>
      </c>
      <c r="E1112">
        <f>_xlfn.XLOOKUP(A1112,Banks!A:A,Banks!I:I,0)</f>
        <v>40065.443564679437</v>
      </c>
      <c r="F1112">
        <f>_xlfn.XLOOKUP(A1112,Energy!A:A,Energy!I:I,0)</f>
        <v>0</v>
      </c>
      <c r="G1112">
        <f t="shared" si="69"/>
        <v>40065.443564679437</v>
      </c>
      <c r="H1112">
        <f t="shared" si="70"/>
        <v>39676.916103748932</v>
      </c>
      <c r="I1112" t="b">
        <f t="shared" si="71"/>
        <v>0</v>
      </c>
    </row>
    <row r="1113" spans="1:9">
      <c r="A1113" s="1">
        <v>46036.677777777782</v>
      </c>
      <c r="B1113" s="5">
        <f>_xlfn.XLOOKUP(A1113,Banks!A:A,Banks!H:H,0,-1)</f>
        <v>-415.63418951082258</v>
      </c>
      <c r="C1113">
        <f>_xlfn.XLOOKUP(A1113,Energy!A:A,Energy!H:H,0,-1)</f>
        <v>784.14396431027399</v>
      </c>
      <c r="D1113">
        <f t="shared" si="68"/>
        <v>368.50977479945141</v>
      </c>
      <c r="E1113">
        <f>_xlfn.XLOOKUP(A1113,Banks!A:A,Banks!I:I,0)</f>
        <v>40046.02370779078</v>
      </c>
      <c r="F1113">
        <f>_xlfn.XLOOKUP(A1113,Energy!A:A,Energy!I:I,0)</f>
        <v>0</v>
      </c>
      <c r="G1113">
        <f t="shared" si="69"/>
        <v>40046.02370779078</v>
      </c>
      <c r="H1113">
        <f t="shared" si="70"/>
        <v>39677.513932991329</v>
      </c>
      <c r="I1113" t="b">
        <f t="shared" si="71"/>
        <v>0</v>
      </c>
    </row>
    <row r="1114" spans="1:9">
      <c r="A1114" s="1">
        <v>46036.678472222222</v>
      </c>
      <c r="B1114" s="5">
        <f>_xlfn.XLOOKUP(A1114,Banks!A:A,Banks!H:H,0,-1)</f>
        <v>-365.83156597435459</v>
      </c>
      <c r="C1114">
        <f>_xlfn.XLOOKUP(A1114,Energy!A:A,Energy!H:H,0,-1)</f>
        <v>784.14396431027399</v>
      </c>
      <c r="D1114">
        <f t="shared" si="68"/>
        <v>418.3123983359194</v>
      </c>
      <c r="E1114">
        <f>_xlfn.XLOOKUP(A1114,Banks!A:A,Banks!I:I,0)</f>
        <v>40036.71383292001</v>
      </c>
      <c r="F1114">
        <f>_xlfn.XLOOKUP(A1114,Energy!A:A,Energy!I:I,0)</f>
        <v>0</v>
      </c>
      <c r="G1114">
        <f t="shared" si="69"/>
        <v>40036.71383292001</v>
      </c>
      <c r="H1114">
        <f t="shared" si="70"/>
        <v>39618.401434584091</v>
      </c>
      <c r="I1114" t="b">
        <f t="shared" si="71"/>
        <v>0</v>
      </c>
    </row>
    <row r="1115" spans="1:9">
      <c r="A1115" s="1">
        <v>46036.679166666669</v>
      </c>
      <c r="B1115" s="5">
        <f>_xlfn.XLOOKUP(A1115,Banks!A:A,Banks!H:H,0,-1)</f>
        <v>-358.07208629430141</v>
      </c>
      <c r="C1115">
        <f>_xlfn.XLOOKUP(A1115,Energy!A:A,Energy!H:H,0,-1)</f>
        <v>784.14396431027399</v>
      </c>
      <c r="D1115">
        <f t="shared" si="68"/>
        <v>426.07187801597257</v>
      </c>
      <c r="E1115">
        <f>_xlfn.XLOOKUP(A1115,Banks!A:A,Banks!I:I,0)</f>
        <v>40026.70348910919</v>
      </c>
      <c r="F1115">
        <f>_xlfn.XLOOKUP(A1115,Energy!A:A,Energy!I:I,0)</f>
        <v>0</v>
      </c>
      <c r="G1115">
        <f t="shared" si="69"/>
        <v>40026.70348910919</v>
      </c>
      <c r="H1115">
        <f t="shared" si="70"/>
        <v>39600.631611093217</v>
      </c>
      <c r="I1115" t="b">
        <f t="shared" si="71"/>
        <v>0</v>
      </c>
    </row>
    <row r="1116" spans="1:9">
      <c r="A1116" s="1">
        <v>46036.679861111108</v>
      </c>
      <c r="B1116" s="5">
        <f>_xlfn.XLOOKUP(A1116,Banks!A:A,Banks!H:H,0,-1)</f>
        <v>-251.21305430315331</v>
      </c>
      <c r="C1116">
        <f>_xlfn.XLOOKUP(A1116,Energy!A:A,Energy!H:H,0,-1)</f>
        <v>784.14396431027399</v>
      </c>
      <c r="D1116">
        <f t="shared" si="68"/>
        <v>532.9309100071207</v>
      </c>
      <c r="E1116">
        <f>_xlfn.XLOOKUP(A1116,Banks!A:A,Banks!I:I,0)</f>
        <v>40032.65897584497</v>
      </c>
      <c r="F1116">
        <f>_xlfn.XLOOKUP(A1116,Energy!A:A,Energy!I:I,0)</f>
        <v>0</v>
      </c>
      <c r="G1116">
        <f t="shared" si="69"/>
        <v>40032.65897584497</v>
      </c>
      <c r="H1116">
        <f t="shared" si="70"/>
        <v>39499.728065837851</v>
      </c>
      <c r="I1116" t="b">
        <f t="shared" si="71"/>
        <v>0</v>
      </c>
    </row>
    <row r="1117" spans="1:9">
      <c r="A1117" s="1">
        <v>46036.680555555547</v>
      </c>
      <c r="B1117" s="5">
        <f>_xlfn.XLOOKUP(A1117,Banks!A:A,Banks!H:H,0,-1)</f>
        <v>-214.30638346482101</v>
      </c>
      <c r="C1117">
        <f>_xlfn.XLOOKUP(A1117,Energy!A:A,Energy!H:H,0,-1)</f>
        <v>784.14396431027399</v>
      </c>
      <c r="D1117">
        <f t="shared" si="68"/>
        <v>569.83758084545298</v>
      </c>
      <c r="E1117">
        <f>_xlfn.XLOOKUP(A1117,Banks!A:A,Banks!I:I,0)</f>
        <v>40074.727029253147</v>
      </c>
      <c r="F1117">
        <f>_xlfn.XLOOKUP(A1117,Energy!A:A,Energy!I:I,0)</f>
        <v>0</v>
      </c>
      <c r="G1117">
        <f t="shared" si="69"/>
        <v>40074.727029253147</v>
      </c>
      <c r="H1117">
        <f t="shared" si="70"/>
        <v>39504.889448407695</v>
      </c>
      <c r="I1117" t="b">
        <f t="shared" si="71"/>
        <v>0</v>
      </c>
    </row>
    <row r="1118" spans="1:9">
      <c r="A1118" s="1">
        <v>46036.681250000001</v>
      </c>
      <c r="B1118" s="5">
        <f>_xlfn.XLOOKUP(A1118,Banks!A:A,Banks!H:H,0,-1)</f>
        <v>-130.22009575200511</v>
      </c>
      <c r="C1118">
        <f>_xlfn.XLOOKUP(A1118,Energy!A:A,Energy!H:H,0,-1)</f>
        <v>784.14396431027399</v>
      </c>
      <c r="D1118">
        <f t="shared" si="68"/>
        <v>653.92386855826885</v>
      </c>
      <c r="E1118">
        <f>_xlfn.XLOOKUP(A1118,Banks!A:A,Banks!I:I,0)</f>
        <v>40076.12796713326</v>
      </c>
      <c r="F1118">
        <f>_xlfn.XLOOKUP(A1118,Energy!A:A,Energy!I:I,0)</f>
        <v>0</v>
      </c>
      <c r="G1118">
        <f t="shared" si="69"/>
        <v>40076.12796713326</v>
      </c>
      <c r="H1118">
        <f t="shared" si="70"/>
        <v>39422.204098574992</v>
      </c>
      <c r="I1118" t="b">
        <f t="shared" si="71"/>
        <v>0</v>
      </c>
    </row>
    <row r="1119" spans="1:9">
      <c r="A1119" s="1">
        <v>46036.681944444441</v>
      </c>
      <c r="B1119" s="5">
        <f>_xlfn.XLOOKUP(A1119,Banks!A:A,Banks!H:H,0,-1)</f>
        <v>-132.85060614044019</v>
      </c>
      <c r="C1119">
        <f>_xlfn.XLOOKUP(A1119,Energy!A:A,Energy!H:H,0,-1)</f>
        <v>784.14396431027399</v>
      </c>
      <c r="D1119">
        <f t="shared" si="68"/>
        <v>651.29335816983382</v>
      </c>
      <c r="E1119">
        <f>_xlfn.XLOOKUP(A1119,Banks!A:A,Banks!I:I,0)</f>
        <v>40094.872264633632</v>
      </c>
      <c r="F1119">
        <f>_xlfn.XLOOKUP(A1119,Energy!A:A,Energy!I:I,0)</f>
        <v>0</v>
      </c>
      <c r="G1119">
        <f t="shared" si="69"/>
        <v>40094.872264633632</v>
      </c>
      <c r="H1119">
        <f t="shared" si="70"/>
        <v>39443.578906463801</v>
      </c>
      <c r="I1119" t="b">
        <f t="shared" si="71"/>
        <v>0</v>
      </c>
    </row>
    <row r="1120" spans="1:9">
      <c r="A1120" s="1">
        <v>46036.682638888888</v>
      </c>
      <c r="B1120" s="5">
        <f>_xlfn.XLOOKUP(A1120,Banks!A:A,Banks!H:H,0,-1)</f>
        <v>-154.50242058929081</v>
      </c>
      <c r="C1120">
        <f>_xlfn.XLOOKUP(A1120,Energy!A:A,Energy!H:H,0,-1)</f>
        <v>784.14396431027399</v>
      </c>
      <c r="D1120">
        <f t="shared" si="68"/>
        <v>629.64154372098324</v>
      </c>
      <c r="E1120">
        <f>_xlfn.XLOOKUP(A1120,Banks!A:A,Banks!I:I,0)</f>
        <v>40125.228620984373</v>
      </c>
      <c r="F1120">
        <f>_xlfn.XLOOKUP(A1120,Energy!A:A,Energy!I:I,0)</f>
        <v>0</v>
      </c>
      <c r="G1120">
        <f t="shared" si="69"/>
        <v>40125.228620984373</v>
      </c>
      <c r="H1120">
        <f t="shared" si="70"/>
        <v>39495.587077263393</v>
      </c>
      <c r="I1120" t="b">
        <f t="shared" si="71"/>
        <v>0</v>
      </c>
    </row>
    <row r="1121" spans="1:9">
      <c r="A1121" s="1">
        <v>46036.683333333327</v>
      </c>
      <c r="B1121" s="5">
        <f>_xlfn.XLOOKUP(A1121,Banks!A:A,Banks!H:H,0,-1)</f>
        <v>-180.4038662914347</v>
      </c>
      <c r="C1121">
        <f>_xlfn.XLOOKUP(A1121,Energy!A:A,Energy!H:H,0,-1)</f>
        <v>784.14396431027399</v>
      </c>
      <c r="D1121">
        <f t="shared" si="68"/>
        <v>603.74009801883926</v>
      </c>
      <c r="E1121">
        <f>_xlfn.XLOOKUP(A1121,Banks!A:A,Banks!I:I,0)</f>
        <v>40123.902411759547</v>
      </c>
      <c r="F1121">
        <f>_xlfn.XLOOKUP(A1121,Energy!A:A,Energy!I:I,0)</f>
        <v>0</v>
      </c>
      <c r="G1121">
        <f t="shared" si="69"/>
        <v>40123.902411759547</v>
      </c>
      <c r="H1121">
        <f t="shared" si="70"/>
        <v>39520.162313740708</v>
      </c>
      <c r="I1121" t="b">
        <f t="shared" si="71"/>
        <v>0</v>
      </c>
    </row>
    <row r="1122" spans="1:9">
      <c r="A1122" s="1">
        <v>46036.684027777781</v>
      </c>
      <c r="B1122" s="5">
        <f>_xlfn.XLOOKUP(A1122,Banks!A:A,Banks!H:H,0,-1)</f>
        <v>-173.35190916165641</v>
      </c>
      <c r="C1122">
        <f>_xlfn.XLOOKUP(A1122,Energy!A:A,Energy!H:H,0,-1)</f>
        <v>784.14396431027399</v>
      </c>
      <c r="D1122">
        <f t="shared" si="68"/>
        <v>610.79205514861758</v>
      </c>
      <c r="E1122">
        <f>_xlfn.XLOOKUP(A1122,Banks!A:A,Banks!I:I,0)</f>
        <v>0</v>
      </c>
      <c r="F1122">
        <f>_xlfn.XLOOKUP(A1122,Energy!A:A,Energy!I:I,0)</f>
        <v>0</v>
      </c>
      <c r="G1122">
        <f t="shared" si="69"/>
        <v>0</v>
      </c>
      <c r="H1122">
        <f t="shared" si="70"/>
        <v>-610.79205514861758</v>
      </c>
      <c r="I1122" t="b">
        <f t="shared" si="71"/>
        <v>0</v>
      </c>
    </row>
    <row r="1123" spans="1:9">
      <c r="A1123" s="1">
        <v>46038.60833333333</v>
      </c>
      <c r="B1123" s="5">
        <f>_xlfn.XLOOKUP(A1123,Banks!A:A,Banks!H:H,0,-1)</f>
        <v>-173.35190916165641</v>
      </c>
      <c r="C1123">
        <f>_xlfn.XLOOKUP(A1123,Energy!A:A,Energy!H:H,0,-1)</f>
        <v>784.14396431027399</v>
      </c>
      <c r="D1123">
        <f t="shared" si="68"/>
        <v>610.79205514861758</v>
      </c>
      <c r="E1123">
        <f>_xlfn.XLOOKUP(A1123,Banks!A:A,Banks!I:I,0)</f>
        <v>40045.069641097172</v>
      </c>
      <c r="F1123">
        <f>_xlfn.XLOOKUP(A1123,Energy!A:A,Energy!I:I,0)</f>
        <v>0</v>
      </c>
      <c r="G1123">
        <f t="shared" si="69"/>
        <v>40045.069641097172</v>
      </c>
      <c r="H1123">
        <f t="shared" si="70"/>
        <v>39434.277585948555</v>
      </c>
      <c r="I1123" t="b">
        <f t="shared" si="71"/>
        <v>0</v>
      </c>
    </row>
    <row r="1124" spans="1:9">
      <c r="A1124" s="1">
        <v>46038.609027777777</v>
      </c>
      <c r="B1124" s="5">
        <f>_xlfn.XLOOKUP(A1124,Banks!A:A,Banks!H:H,0,-1)</f>
        <v>-276.1625464907857</v>
      </c>
      <c r="C1124">
        <f>_xlfn.XLOOKUP(A1124,Energy!A:A,Energy!H:H,0,-1)</f>
        <v>784.14396431027399</v>
      </c>
      <c r="D1124">
        <f t="shared" si="68"/>
        <v>507.98141781948829</v>
      </c>
      <c r="E1124">
        <f>_xlfn.XLOOKUP(A1124,Banks!A:A,Banks!I:I,0)</f>
        <v>40073.272351616593</v>
      </c>
      <c r="F1124">
        <f>_xlfn.XLOOKUP(A1124,Energy!A:A,Energy!I:I,0)</f>
        <v>0</v>
      </c>
      <c r="G1124">
        <f t="shared" si="69"/>
        <v>40073.272351616593</v>
      </c>
      <c r="H1124">
        <f t="shared" si="70"/>
        <v>39565.290933797107</v>
      </c>
      <c r="I1124" t="b">
        <f t="shared" si="71"/>
        <v>0</v>
      </c>
    </row>
    <row r="1125" spans="1:9">
      <c r="A1125" s="1">
        <v>46038.609722222223</v>
      </c>
      <c r="B1125" s="5">
        <f>_xlfn.XLOOKUP(A1125,Banks!A:A,Banks!H:H,0,-1)</f>
        <v>-327.1983138601214</v>
      </c>
      <c r="C1125">
        <f>_xlfn.XLOOKUP(A1125,Energy!A:A,Energy!H:H,0,-1)</f>
        <v>784.14396431027399</v>
      </c>
      <c r="D1125">
        <f t="shared" si="68"/>
        <v>456.94565045015258</v>
      </c>
      <c r="E1125">
        <f>_xlfn.XLOOKUP(A1125,Banks!A:A,Banks!I:I,0)</f>
        <v>40068.198338983268</v>
      </c>
      <c r="F1125">
        <f>_xlfn.XLOOKUP(A1125,Energy!A:A,Energy!I:I,0)</f>
        <v>0</v>
      </c>
      <c r="G1125">
        <f t="shared" si="69"/>
        <v>40068.198338983268</v>
      </c>
      <c r="H1125">
        <f t="shared" si="70"/>
        <v>39611.252688533117</v>
      </c>
      <c r="I1125" t="b">
        <f t="shared" si="71"/>
        <v>0</v>
      </c>
    </row>
    <row r="1126" spans="1:9">
      <c r="A1126" s="1">
        <v>46038.61041666667</v>
      </c>
      <c r="B1126" s="5">
        <f>_xlfn.XLOOKUP(A1126,Banks!A:A,Banks!H:H,0,-1)</f>
        <v>-273.5456155377974</v>
      </c>
      <c r="C1126">
        <f>_xlfn.XLOOKUP(A1126,Energy!A:A,Energy!H:H,0,-1)</f>
        <v>784.14396431027399</v>
      </c>
      <c r="D1126">
        <f t="shared" si="68"/>
        <v>510.59834877247658</v>
      </c>
      <c r="E1126">
        <f>_xlfn.XLOOKUP(A1126,Banks!A:A,Banks!I:I,0)</f>
        <v>40103.311297640357</v>
      </c>
      <c r="F1126">
        <f>_xlfn.XLOOKUP(A1126,Energy!A:A,Energy!I:I,0)</f>
        <v>0</v>
      </c>
      <c r="G1126">
        <f t="shared" si="69"/>
        <v>40103.311297640357</v>
      </c>
      <c r="H1126">
        <f t="shared" si="70"/>
        <v>39592.712948867884</v>
      </c>
      <c r="I1126" t="b">
        <f t="shared" si="71"/>
        <v>0</v>
      </c>
    </row>
    <row r="1127" spans="1:9">
      <c r="A1127" s="1">
        <v>46038.611111111109</v>
      </c>
      <c r="B1127" s="5">
        <f>_xlfn.XLOOKUP(A1127,Banks!A:A,Banks!H:H,0,-1)</f>
        <v>-130.78013590995229</v>
      </c>
      <c r="C1127">
        <f>_xlfn.XLOOKUP(A1127,Energy!A:A,Energy!H:H,0,-1)</f>
        <v>784.14396431027399</v>
      </c>
      <c r="D1127">
        <f t="shared" si="68"/>
        <v>653.36382840032172</v>
      </c>
      <c r="E1127">
        <f>_xlfn.XLOOKUP(A1127,Banks!A:A,Banks!I:I,0)</f>
        <v>40074.758201714787</v>
      </c>
      <c r="F1127">
        <f>_xlfn.XLOOKUP(A1127,Energy!A:A,Energy!I:I,0)</f>
        <v>0</v>
      </c>
      <c r="G1127">
        <f t="shared" si="69"/>
        <v>40074.758201714787</v>
      </c>
      <c r="H1127">
        <f t="shared" si="70"/>
        <v>39421.394373314462</v>
      </c>
      <c r="I1127" t="b">
        <f t="shared" si="71"/>
        <v>0</v>
      </c>
    </row>
    <row r="1128" spans="1:9">
      <c r="A1128" s="1">
        <v>46038.611805555563</v>
      </c>
      <c r="B1128" s="5">
        <f>_xlfn.XLOOKUP(A1128,Banks!A:A,Banks!H:H,0,-1)</f>
        <v>-152.72025527406049</v>
      </c>
      <c r="C1128">
        <f>_xlfn.XLOOKUP(A1128,Energy!A:A,Energy!H:H,0,-1)</f>
        <v>784.14396431027399</v>
      </c>
      <c r="D1128">
        <f t="shared" si="68"/>
        <v>631.42370903621349</v>
      </c>
      <c r="E1128">
        <f>_xlfn.XLOOKUP(A1128,Banks!A:A,Banks!I:I,0)</f>
        <v>40052.404184900042</v>
      </c>
      <c r="F1128">
        <f>_xlfn.XLOOKUP(A1128,Energy!A:A,Energy!I:I,0)</f>
        <v>0</v>
      </c>
      <c r="G1128">
        <f t="shared" si="69"/>
        <v>40052.404184900042</v>
      </c>
      <c r="H1128">
        <f t="shared" si="70"/>
        <v>39420.980475863827</v>
      </c>
      <c r="I1128" t="b">
        <f t="shared" si="71"/>
        <v>0</v>
      </c>
    </row>
    <row r="1129" spans="1:9">
      <c r="A1129" s="1">
        <v>46038.612500000003</v>
      </c>
      <c r="B1129" s="5">
        <f>_xlfn.XLOOKUP(A1129,Banks!A:A,Banks!H:H,0,-1)</f>
        <v>-244.44996753255629</v>
      </c>
      <c r="C1129">
        <f>_xlfn.XLOOKUP(A1129,Energy!A:A,Energy!H:H,0,-1)</f>
        <v>784.14396431027399</v>
      </c>
      <c r="D1129">
        <f t="shared" si="68"/>
        <v>539.69399677771776</v>
      </c>
      <c r="E1129">
        <f>_xlfn.XLOOKUP(A1129,Banks!A:A,Banks!I:I,0)</f>
        <v>40086.031293458916</v>
      </c>
      <c r="F1129">
        <f>_xlfn.XLOOKUP(A1129,Energy!A:A,Energy!I:I,0)</f>
        <v>0</v>
      </c>
      <c r="G1129">
        <f t="shared" si="69"/>
        <v>40086.031293458916</v>
      </c>
      <c r="H1129">
        <f t="shared" si="70"/>
        <v>39546.337296681202</v>
      </c>
      <c r="I1129" t="b">
        <f t="shared" si="71"/>
        <v>0</v>
      </c>
    </row>
    <row r="1130" spans="1:9">
      <c r="A1130" s="1">
        <v>46038.613194444442</v>
      </c>
      <c r="B1130" s="5">
        <f>_xlfn.XLOOKUP(A1130,Banks!A:A,Banks!H:H,0,-1)</f>
        <v>-250.34902176993651</v>
      </c>
      <c r="C1130">
        <f>_xlfn.XLOOKUP(A1130,Energy!A:A,Energy!H:H,0,-1)</f>
        <v>784.14396431027399</v>
      </c>
      <c r="D1130">
        <f t="shared" si="68"/>
        <v>533.7949425403375</v>
      </c>
      <c r="E1130">
        <f>_xlfn.XLOOKUP(A1130,Banks!A:A,Banks!I:I,0)</f>
        <v>40060.469063618832</v>
      </c>
      <c r="F1130">
        <f>_xlfn.XLOOKUP(A1130,Energy!A:A,Energy!I:I,0)</f>
        <v>0</v>
      </c>
      <c r="G1130">
        <f t="shared" si="69"/>
        <v>40060.469063618832</v>
      </c>
      <c r="H1130">
        <f t="shared" si="70"/>
        <v>39526.674121078497</v>
      </c>
      <c r="I1130" t="b">
        <f t="shared" si="71"/>
        <v>0</v>
      </c>
    </row>
    <row r="1131" spans="1:9">
      <c r="A1131" s="1">
        <v>46038.613888888889</v>
      </c>
      <c r="B1131" s="5">
        <f>_xlfn.XLOOKUP(A1131,Banks!A:A,Banks!H:H,0,-1)</f>
        <v>-268.14201392743081</v>
      </c>
      <c r="C1131">
        <f>_xlfn.XLOOKUP(A1131,Energy!A:A,Energy!H:H,0,-1)</f>
        <v>784.14396431027399</v>
      </c>
      <c r="D1131">
        <f t="shared" si="68"/>
        <v>516.00195038284323</v>
      </c>
      <c r="E1131">
        <f>_xlfn.XLOOKUP(A1131,Banks!A:A,Banks!I:I,0)</f>
        <v>40071.668245103923</v>
      </c>
      <c r="F1131">
        <f>_xlfn.XLOOKUP(A1131,Energy!A:A,Energy!I:I,0)</f>
        <v>0</v>
      </c>
      <c r="G1131">
        <f t="shared" si="69"/>
        <v>40071.668245103923</v>
      </c>
      <c r="H1131">
        <f t="shared" si="70"/>
        <v>39555.666294721079</v>
      </c>
      <c r="I1131" t="b">
        <f t="shared" si="71"/>
        <v>0</v>
      </c>
    </row>
    <row r="1132" spans="1:9">
      <c r="A1132" s="1">
        <v>46038.614583333343</v>
      </c>
      <c r="B1132" s="5">
        <f>_xlfn.XLOOKUP(A1132,Banks!A:A,Banks!H:H,0,-1)</f>
        <v>-358.54134152312872</v>
      </c>
      <c r="C1132">
        <f>_xlfn.XLOOKUP(A1132,Energy!A:A,Energy!H:H,0,-1)</f>
        <v>784.14396431027399</v>
      </c>
      <c r="D1132">
        <f t="shared" si="68"/>
        <v>425.60262278714526</v>
      </c>
      <c r="E1132">
        <f>_xlfn.XLOOKUP(A1132,Banks!A:A,Banks!I:I,0)</f>
        <v>40036.264029247919</v>
      </c>
      <c r="F1132">
        <f>_xlfn.XLOOKUP(A1132,Energy!A:A,Energy!I:I,0)</f>
        <v>0</v>
      </c>
      <c r="G1132">
        <f t="shared" si="69"/>
        <v>40036.264029247919</v>
      </c>
      <c r="H1132">
        <f t="shared" si="70"/>
        <v>39610.661406460771</v>
      </c>
      <c r="I1132" t="b">
        <f t="shared" si="71"/>
        <v>0</v>
      </c>
    </row>
    <row r="1133" spans="1:9">
      <c r="A1133" s="1">
        <v>46038.615277777782</v>
      </c>
      <c r="B1133" s="5">
        <f>_xlfn.XLOOKUP(A1133,Banks!A:A,Banks!H:H,0,-1)</f>
        <v>-405.7037035357053</v>
      </c>
      <c r="C1133">
        <f>_xlfn.XLOOKUP(A1133,Energy!A:A,Energy!H:H,0,-1)</f>
        <v>784.14396431027399</v>
      </c>
      <c r="D1133">
        <f t="shared" si="68"/>
        <v>378.44026077456869</v>
      </c>
      <c r="E1133">
        <f>_xlfn.XLOOKUP(A1133,Banks!A:A,Banks!I:I,0)</f>
        <v>39996.032711802087</v>
      </c>
      <c r="F1133">
        <f>_xlfn.XLOOKUP(A1133,Energy!A:A,Energy!I:I,0)</f>
        <v>0</v>
      </c>
      <c r="G1133">
        <f t="shared" si="69"/>
        <v>39996.032711802087</v>
      </c>
      <c r="H1133">
        <f t="shared" si="70"/>
        <v>39617.592451027522</v>
      </c>
      <c r="I1133" t="b">
        <f t="shared" si="71"/>
        <v>0</v>
      </c>
    </row>
    <row r="1134" spans="1:9">
      <c r="A1134" s="1">
        <v>46038.615972222222</v>
      </c>
      <c r="B1134" s="5">
        <f>_xlfn.XLOOKUP(A1134,Banks!A:A,Banks!H:H,0,-1)</f>
        <v>-450.54477563148401</v>
      </c>
      <c r="C1134">
        <f>_xlfn.XLOOKUP(A1134,Energy!A:A,Energy!H:H,0,-1)</f>
        <v>784.14396431027399</v>
      </c>
      <c r="D1134">
        <f t="shared" si="68"/>
        <v>333.59918867878997</v>
      </c>
      <c r="E1134">
        <f>_xlfn.XLOOKUP(A1134,Banks!A:A,Banks!I:I,0)</f>
        <v>40001.180634694458</v>
      </c>
      <c r="F1134">
        <f>_xlfn.XLOOKUP(A1134,Energy!A:A,Energy!I:I,0)</f>
        <v>0</v>
      </c>
      <c r="G1134">
        <f t="shared" si="69"/>
        <v>40001.180634694458</v>
      </c>
      <c r="H1134">
        <f t="shared" si="70"/>
        <v>39667.581446015669</v>
      </c>
      <c r="I1134" t="b">
        <f t="shared" si="71"/>
        <v>0</v>
      </c>
    </row>
    <row r="1135" spans="1:9">
      <c r="A1135" s="1">
        <v>46038.616666666669</v>
      </c>
      <c r="B1135" s="5">
        <f>_xlfn.XLOOKUP(A1135,Banks!A:A,Banks!H:H,0,-1)</f>
        <v>-357.06313634220379</v>
      </c>
      <c r="C1135">
        <f>_xlfn.XLOOKUP(A1135,Energy!A:A,Energy!H:H,0,-1)</f>
        <v>784.14396431027399</v>
      </c>
      <c r="D1135">
        <f t="shared" si="68"/>
        <v>427.0808279680702</v>
      </c>
      <c r="E1135">
        <f>_xlfn.XLOOKUP(A1135,Banks!A:A,Banks!I:I,0)</f>
        <v>39959.562557675818</v>
      </c>
      <c r="F1135">
        <f>_xlfn.XLOOKUP(A1135,Energy!A:A,Energy!I:I,0)</f>
        <v>0</v>
      </c>
      <c r="G1135">
        <f t="shared" si="69"/>
        <v>39959.562557675818</v>
      </c>
      <c r="H1135">
        <f t="shared" si="70"/>
        <v>39532.481729707746</v>
      </c>
      <c r="I1135" t="b">
        <f t="shared" si="71"/>
        <v>0</v>
      </c>
    </row>
    <row r="1136" spans="1:9">
      <c r="A1136" s="1">
        <v>46038.617361111108</v>
      </c>
      <c r="B1136" s="5">
        <f>_xlfn.XLOOKUP(A1136,Banks!A:A,Banks!H:H,0,-1)</f>
        <v>-228.88243584651099</v>
      </c>
      <c r="C1136">
        <f>_xlfn.XLOOKUP(A1136,Energy!A:A,Energy!H:H,0,-1)</f>
        <v>784.14396431027399</v>
      </c>
      <c r="D1136">
        <f t="shared" si="68"/>
        <v>555.26152846376294</v>
      </c>
      <c r="E1136">
        <f>_xlfn.XLOOKUP(A1136,Banks!A:A,Banks!I:I,0)</f>
        <v>39941.567000630283</v>
      </c>
      <c r="F1136">
        <f>_xlfn.XLOOKUP(A1136,Energy!A:A,Energy!I:I,0)</f>
        <v>0</v>
      </c>
      <c r="G1136">
        <f t="shared" si="69"/>
        <v>39941.567000630283</v>
      </c>
      <c r="H1136">
        <f t="shared" si="70"/>
        <v>39386.305472166518</v>
      </c>
      <c r="I1136" t="b">
        <f t="shared" si="71"/>
        <v>0</v>
      </c>
    </row>
    <row r="1137" spans="1:9">
      <c r="A1137" s="1">
        <v>46038.618055555547</v>
      </c>
      <c r="B1137" s="5">
        <f>_xlfn.XLOOKUP(A1137,Banks!A:A,Banks!H:H,0,-1)</f>
        <v>-128.26718710241991</v>
      </c>
      <c r="C1137">
        <f>_xlfn.XLOOKUP(A1137,Energy!A:A,Energy!H:H,0,-1)</f>
        <v>784.14396431027399</v>
      </c>
      <c r="D1137">
        <f t="shared" si="68"/>
        <v>655.87677720785405</v>
      </c>
      <c r="E1137">
        <f>_xlfn.XLOOKUP(A1137,Banks!A:A,Banks!I:I,0)</f>
        <v>39944.365700042217</v>
      </c>
      <c r="F1137">
        <f>_xlfn.XLOOKUP(A1137,Energy!A:A,Energy!I:I,0)</f>
        <v>0</v>
      </c>
      <c r="G1137">
        <f t="shared" si="69"/>
        <v>39944.365700042217</v>
      </c>
      <c r="H1137">
        <f t="shared" si="70"/>
        <v>39288.48892283436</v>
      </c>
      <c r="I1137" t="b">
        <f t="shared" si="71"/>
        <v>0</v>
      </c>
    </row>
    <row r="1138" spans="1:9">
      <c r="A1138" s="1">
        <v>46038.618750000001</v>
      </c>
      <c r="B1138" s="5">
        <f>_xlfn.XLOOKUP(A1138,Banks!A:A,Banks!H:H,0,-1)</f>
        <v>-128.91509897267741</v>
      </c>
      <c r="C1138">
        <f>_xlfn.XLOOKUP(A1138,Energy!A:A,Energy!H:H,0,-1)</f>
        <v>784.14396431027399</v>
      </c>
      <c r="D1138">
        <f t="shared" si="68"/>
        <v>655.22886533759652</v>
      </c>
      <c r="E1138">
        <f>_xlfn.XLOOKUP(A1138,Banks!A:A,Banks!I:I,0)</f>
        <v>0</v>
      </c>
      <c r="F1138">
        <f>_xlfn.XLOOKUP(A1138,Energy!A:A,Energy!I:I,0)</f>
        <v>0</v>
      </c>
      <c r="G1138">
        <f t="shared" si="69"/>
        <v>0</v>
      </c>
      <c r="H1138">
        <f t="shared" si="70"/>
        <v>-655.22886533759652</v>
      </c>
      <c r="I1138" t="b">
        <f t="shared" si="71"/>
        <v>0</v>
      </c>
    </row>
    <row r="1139" spans="1:9">
      <c r="A1139" s="1">
        <v>46038.840277777781</v>
      </c>
      <c r="B1139" s="5">
        <f>_xlfn.XLOOKUP(A1139,Banks!A:A,Banks!H:H,0,-1)</f>
        <v>-128.91509897267741</v>
      </c>
      <c r="C1139">
        <f>_xlfn.XLOOKUP(A1139,Energy!A:A,Energy!H:H,0,-1)</f>
        <v>784.14396431027399</v>
      </c>
      <c r="D1139">
        <f t="shared" si="68"/>
        <v>655.22886533759652</v>
      </c>
      <c r="E1139">
        <f>_xlfn.XLOOKUP(A1139,Banks!A:A,Banks!I:I,0)</f>
        <v>40045.069641097172</v>
      </c>
      <c r="F1139">
        <f>_xlfn.XLOOKUP(A1139,Energy!A:A,Energy!I:I,0)</f>
        <v>0</v>
      </c>
      <c r="G1139">
        <f t="shared" si="69"/>
        <v>40045.069641097172</v>
      </c>
      <c r="H1139">
        <f t="shared" si="70"/>
        <v>39389.840775759578</v>
      </c>
      <c r="I1139" t="b">
        <f t="shared" si="71"/>
        <v>0</v>
      </c>
    </row>
    <row r="1140" spans="1:9">
      <c r="A1140" s="1">
        <v>46038.84097222222</v>
      </c>
      <c r="B1140" s="5">
        <f>_xlfn.XLOOKUP(A1140,Banks!A:A,Banks!H:H,0,-1)</f>
        <v>-120.55142131996671</v>
      </c>
      <c r="C1140">
        <f>_xlfn.XLOOKUP(A1140,Energy!A:A,Energy!H:H,0,-1)</f>
        <v>784.14396431027399</v>
      </c>
      <c r="D1140">
        <f t="shared" si="68"/>
        <v>663.59254299030727</v>
      </c>
      <c r="E1140">
        <f>_xlfn.XLOOKUP(A1140,Banks!A:A,Banks!I:I,0)</f>
        <v>40058.06620845585</v>
      </c>
      <c r="F1140">
        <f>_xlfn.XLOOKUP(A1140,Energy!A:A,Energy!I:I,0)</f>
        <v>0</v>
      </c>
      <c r="G1140">
        <f t="shared" si="69"/>
        <v>40058.06620845585</v>
      </c>
      <c r="H1140">
        <f t="shared" si="70"/>
        <v>39394.473665465543</v>
      </c>
      <c r="I1140" t="b">
        <f t="shared" si="71"/>
        <v>0</v>
      </c>
    </row>
    <row r="1141" spans="1:9">
      <c r="A1141" s="1">
        <v>46038.841666666667</v>
      </c>
      <c r="B1141" s="5">
        <f>_xlfn.XLOOKUP(A1141,Banks!A:A,Banks!H:H,0,-1)</f>
        <v>-120.55142131996671</v>
      </c>
      <c r="C1141">
        <f>_xlfn.XLOOKUP(A1141,Energy!A:A,Energy!H:H,0,-1)</f>
        <v>784.14396431027399</v>
      </c>
      <c r="D1141">
        <f t="shared" si="68"/>
        <v>663.59254299030727</v>
      </c>
      <c r="E1141">
        <f>_xlfn.XLOOKUP(A1141,Banks!A:A,Banks!I:I,0)</f>
        <v>40058.06620845585</v>
      </c>
      <c r="F1141">
        <f>_xlfn.XLOOKUP(A1141,Energy!A:A,Energy!I:I,0)</f>
        <v>0</v>
      </c>
      <c r="G1141">
        <f t="shared" si="69"/>
        <v>40058.06620845585</v>
      </c>
      <c r="H1141">
        <f t="shared" si="70"/>
        <v>39394.473665465543</v>
      </c>
      <c r="I1141" t="b">
        <f t="shared" si="71"/>
        <v>0</v>
      </c>
    </row>
    <row r="1142" spans="1:9">
      <c r="A1142" s="1">
        <v>46038.842361111107</v>
      </c>
      <c r="B1142" s="5">
        <f>_xlfn.XLOOKUP(A1142,Banks!A:A,Banks!H:H,0,-1)</f>
        <v>-54.78612366597828</v>
      </c>
      <c r="C1142">
        <f>_xlfn.XLOOKUP(A1142,Energy!A:A,Energy!H:H,0,-1)</f>
        <v>784.14396431027399</v>
      </c>
      <c r="D1142">
        <f t="shared" si="68"/>
        <v>729.35784064429572</v>
      </c>
      <c r="E1142">
        <f>_xlfn.XLOOKUP(A1142,Banks!A:A,Banks!I:I,0)</f>
        <v>40082.543099814779</v>
      </c>
      <c r="F1142">
        <f>_xlfn.XLOOKUP(A1142,Energy!A:A,Energy!I:I,0)</f>
        <v>0</v>
      </c>
      <c r="G1142">
        <f t="shared" si="69"/>
        <v>40082.543099814779</v>
      </c>
      <c r="H1142">
        <f t="shared" si="70"/>
        <v>39353.185259170481</v>
      </c>
      <c r="I1142" t="b">
        <f t="shared" si="71"/>
        <v>0</v>
      </c>
    </row>
    <row r="1143" spans="1:9">
      <c r="A1143" s="1">
        <v>46038.843055555553</v>
      </c>
      <c r="B1143" s="5">
        <f>_xlfn.XLOOKUP(A1143,Banks!A:A,Banks!H:H,0,-1)</f>
        <v>-23.417975350128359</v>
      </c>
      <c r="C1143">
        <f>_xlfn.XLOOKUP(A1143,Energy!A:A,Energy!H:H,0,-1)</f>
        <v>784.14396431027399</v>
      </c>
      <c r="D1143">
        <f t="shared" si="68"/>
        <v>760.72598896014563</v>
      </c>
      <c r="E1143">
        <f>_xlfn.XLOOKUP(A1143,Banks!A:A,Banks!I:I,0)</f>
        <v>40073.718287040443</v>
      </c>
      <c r="F1143">
        <f>_xlfn.XLOOKUP(A1143,Energy!A:A,Energy!I:I,0)</f>
        <v>0</v>
      </c>
      <c r="G1143">
        <f t="shared" si="69"/>
        <v>40073.718287040443</v>
      </c>
      <c r="H1143">
        <f t="shared" si="70"/>
        <v>39312.992298080295</v>
      </c>
      <c r="I1143" t="b">
        <f t="shared" si="71"/>
        <v>0</v>
      </c>
    </row>
    <row r="1144" spans="1:9">
      <c r="A1144" s="1">
        <v>46038.84375</v>
      </c>
      <c r="B1144" s="5">
        <f>_xlfn.XLOOKUP(A1144,Banks!A:A,Banks!H:H,0,-1)</f>
        <v>-89.86489144453995</v>
      </c>
      <c r="C1144">
        <f>_xlfn.XLOOKUP(A1144,Energy!A:A,Energy!H:H,0,-1)</f>
        <v>784.14396431027399</v>
      </c>
      <c r="D1144">
        <f t="shared" si="68"/>
        <v>694.27907286573407</v>
      </c>
      <c r="E1144">
        <f>_xlfn.XLOOKUP(A1144,Banks!A:A,Banks!I:I,0)</f>
        <v>40075.52734625907</v>
      </c>
      <c r="F1144">
        <f>_xlfn.XLOOKUP(A1144,Energy!A:A,Energy!I:I,0)</f>
        <v>0</v>
      </c>
      <c r="G1144">
        <f t="shared" si="69"/>
        <v>40075.52734625907</v>
      </c>
      <c r="H1144">
        <f t="shared" si="70"/>
        <v>39381.248273393336</v>
      </c>
      <c r="I1144" t="b">
        <f t="shared" si="71"/>
        <v>0</v>
      </c>
    </row>
    <row r="1145" spans="1:9">
      <c r="A1145" s="1">
        <v>46038.844444444447</v>
      </c>
      <c r="B1145" s="5">
        <f>_xlfn.XLOOKUP(A1145,Banks!A:A,Banks!H:H,0,-1)</f>
        <v>-118.95693187548829</v>
      </c>
      <c r="C1145">
        <f>_xlfn.XLOOKUP(A1145,Energy!A:A,Energy!H:H,0,-1)</f>
        <v>784.14396431027399</v>
      </c>
      <c r="D1145">
        <f t="shared" si="68"/>
        <v>665.18703243478569</v>
      </c>
      <c r="E1145">
        <f>_xlfn.XLOOKUP(A1145,Banks!A:A,Banks!I:I,0)</f>
        <v>40058.385106344736</v>
      </c>
      <c r="F1145">
        <f>_xlfn.XLOOKUP(A1145,Energy!A:A,Energy!I:I,0)</f>
        <v>0</v>
      </c>
      <c r="G1145">
        <f t="shared" si="69"/>
        <v>40058.385106344736</v>
      </c>
      <c r="H1145">
        <f t="shared" si="70"/>
        <v>39393.198073909953</v>
      </c>
      <c r="I1145" t="b">
        <f t="shared" si="71"/>
        <v>0</v>
      </c>
    </row>
    <row r="1146" spans="1:9">
      <c r="A1146" s="1">
        <v>46038.845138888893</v>
      </c>
      <c r="B1146" s="5">
        <f>_xlfn.XLOOKUP(A1146,Banks!A:A,Banks!H:H,0,-1)</f>
        <v>-117.3624424310099</v>
      </c>
      <c r="C1146">
        <f>_xlfn.XLOOKUP(A1146,Energy!A:A,Energy!H:H,0,-1)</f>
        <v>784.14396431027399</v>
      </c>
      <c r="D1146">
        <f t="shared" si="68"/>
        <v>666.78152187926412</v>
      </c>
      <c r="E1146">
        <f>_xlfn.XLOOKUP(A1146,Banks!A:A,Banks!I:I,0)</f>
        <v>40058.704004233638</v>
      </c>
      <c r="F1146">
        <f>_xlfn.XLOOKUP(A1146,Energy!A:A,Energy!I:I,0)</f>
        <v>0</v>
      </c>
      <c r="G1146">
        <f t="shared" si="69"/>
        <v>40058.704004233638</v>
      </c>
      <c r="H1146">
        <f t="shared" si="70"/>
        <v>39391.92248235437</v>
      </c>
      <c r="I1146" t="b">
        <f t="shared" si="71"/>
        <v>0</v>
      </c>
    </row>
    <row r="1147" spans="1:9">
      <c r="A1147" s="1">
        <v>46038.845833333333</v>
      </c>
      <c r="B1147" s="5">
        <f>_xlfn.XLOOKUP(A1147,Banks!A:A,Banks!H:H,0,-1)</f>
        <v>-149.12182117717359</v>
      </c>
      <c r="C1147">
        <f>_xlfn.XLOOKUP(A1147,Energy!A:A,Energy!H:H,0,-1)</f>
        <v>784.14396431027399</v>
      </c>
      <c r="D1147">
        <f t="shared" si="68"/>
        <v>635.02214313310037</v>
      </c>
      <c r="E1147">
        <f>_xlfn.XLOOKUP(A1147,Banks!A:A,Banks!I:I,0)</f>
        <v>40056.126739093786</v>
      </c>
      <c r="F1147">
        <f>_xlfn.XLOOKUP(A1147,Energy!A:A,Energy!I:I,0)</f>
        <v>0</v>
      </c>
      <c r="G1147">
        <f t="shared" si="69"/>
        <v>40056.126739093786</v>
      </c>
      <c r="H1147">
        <f t="shared" si="70"/>
        <v>39421.104595960685</v>
      </c>
      <c r="I1147" t="b">
        <f t="shared" si="71"/>
        <v>0</v>
      </c>
    </row>
    <row r="1148" spans="1:9">
      <c r="A1148" s="1">
        <v>46038.84652777778</v>
      </c>
      <c r="B1148" s="5">
        <f>_xlfn.XLOOKUP(A1148,Banks!A:A,Banks!H:H,0,-1)</f>
        <v>-131.4520271444517</v>
      </c>
      <c r="C1148">
        <f>_xlfn.XLOOKUP(A1148,Energy!A:A,Energy!H:H,0,-1)</f>
        <v>784.14396431027399</v>
      </c>
      <c r="D1148">
        <f t="shared" si="68"/>
        <v>652.69193716582231</v>
      </c>
      <c r="E1148">
        <f>_xlfn.XLOOKUP(A1148,Banks!A:A,Banks!I:I,0)</f>
        <v>40063.43530850971</v>
      </c>
      <c r="F1148">
        <f>_xlfn.XLOOKUP(A1148,Energy!A:A,Energy!I:I,0)</f>
        <v>0</v>
      </c>
      <c r="G1148">
        <f t="shared" si="69"/>
        <v>40063.43530850971</v>
      </c>
      <c r="H1148">
        <f t="shared" si="70"/>
        <v>39410.743371343888</v>
      </c>
      <c r="I1148" t="b">
        <f t="shared" si="71"/>
        <v>0</v>
      </c>
    </row>
    <row r="1149" spans="1:9">
      <c r="A1149" s="1">
        <v>46038.847222222219</v>
      </c>
      <c r="B1149" s="5">
        <f>_xlfn.XLOOKUP(A1149,Banks!A:A,Banks!H:H,0,-1)</f>
        <v>-151.23795119539349</v>
      </c>
      <c r="C1149">
        <f>_xlfn.XLOOKUP(A1149,Energy!A:A,Energy!H:H,0,-1)</f>
        <v>784.14396431027399</v>
      </c>
      <c r="D1149">
        <f t="shared" si="68"/>
        <v>632.90601311488047</v>
      </c>
      <c r="E1149">
        <f>_xlfn.XLOOKUP(A1149,Banks!A:A,Banks!I:I,0)</f>
        <v>40040.605070652629</v>
      </c>
      <c r="F1149">
        <f>_xlfn.XLOOKUP(A1149,Energy!A:A,Energy!I:I,0)</f>
        <v>0</v>
      </c>
      <c r="G1149">
        <f t="shared" si="69"/>
        <v>40040.605070652629</v>
      </c>
      <c r="H1149">
        <f t="shared" si="70"/>
        <v>39407.699057537749</v>
      </c>
      <c r="I1149" t="b">
        <f t="shared" si="71"/>
        <v>0</v>
      </c>
    </row>
    <row r="1150" spans="1:9">
      <c r="A1150" s="1">
        <v>46038.847916666673</v>
      </c>
      <c r="B1150" s="5">
        <f>_xlfn.XLOOKUP(A1150,Banks!A:A,Banks!H:H,0,-1)</f>
        <v>-211.95896022906439</v>
      </c>
      <c r="C1150">
        <f>_xlfn.XLOOKUP(A1150,Energy!A:A,Energy!H:H,0,-1)</f>
        <v>784.14396431027399</v>
      </c>
      <c r="D1150">
        <f t="shared" si="68"/>
        <v>572.18500408120963</v>
      </c>
      <c r="E1150">
        <f>_xlfn.XLOOKUP(A1150,Banks!A:A,Banks!I:I,0)</f>
        <v>40024.686258236528</v>
      </c>
      <c r="F1150">
        <f>_xlfn.XLOOKUP(A1150,Energy!A:A,Energy!I:I,0)</f>
        <v>0</v>
      </c>
      <c r="G1150">
        <f t="shared" si="69"/>
        <v>40024.686258236528</v>
      </c>
      <c r="H1150">
        <f t="shared" si="70"/>
        <v>39452.501254155315</v>
      </c>
      <c r="I1150" t="b">
        <f t="shared" si="71"/>
        <v>0</v>
      </c>
    </row>
    <row r="1151" spans="1:9">
      <c r="A1151" s="1">
        <v>46038.848611111112</v>
      </c>
      <c r="B1151" s="5">
        <f>_xlfn.XLOOKUP(A1151,Banks!A:A,Banks!H:H,0,-1)</f>
        <v>-185.1134599597905</v>
      </c>
      <c r="C1151">
        <f>_xlfn.XLOOKUP(A1151,Energy!A:A,Energy!H:H,0,-1)</f>
        <v>784.14396431027399</v>
      </c>
      <c r="D1151">
        <f t="shared" si="68"/>
        <v>599.03050435048351</v>
      </c>
      <c r="E1151">
        <f>_xlfn.XLOOKUP(A1151,Banks!A:A,Banks!I:I,0)</f>
        <v>40022.506137071621</v>
      </c>
      <c r="F1151">
        <f>_xlfn.XLOOKUP(A1151,Energy!A:A,Energy!I:I,0)</f>
        <v>0</v>
      </c>
      <c r="G1151">
        <f t="shared" si="69"/>
        <v>40022.506137071621</v>
      </c>
      <c r="H1151">
        <f t="shared" si="70"/>
        <v>39423.475632721136</v>
      </c>
      <c r="I1151" t="b">
        <f t="shared" si="71"/>
        <v>0</v>
      </c>
    </row>
    <row r="1152" spans="1:9">
      <c r="A1152" s="1">
        <v>46038.849305555559</v>
      </c>
      <c r="B1152" s="5">
        <f>_xlfn.XLOOKUP(A1152,Banks!A:A,Banks!H:H,0,-1)</f>
        <v>-148.9618433104919</v>
      </c>
      <c r="C1152">
        <f>_xlfn.XLOOKUP(A1152,Energy!A:A,Energy!H:H,0,-1)</f>
        <v>784.14396431027399</v>
      </c>
      <c r="D1152">
        <f t="shared" si="68"/>
        <v>635.18212099978211</v>
      </c>
      <c r="E1152">
        <f>_xlfn.XLOOKUP(A1152,Banks!A:A,Banks!I:I,0)</f>
        <v>40014.638017963967</v>
      </c>
      <c r="F1152">
        <f>_xlfn.XLOOKUP(A1152,Energy!A:A,Energy!I:I,0)</f>
        <v>0</v>
      </c>
      <c r="G1152">
        <f t="shared" si="69"/>
        <v>40014.638017963967</v>
      </c>
      <c r="H1152">
        <f t="shared" si="70"/>
        <v>39379.455896964188</v>
      </c>
      <c r="I1152" t="b">
        <f t="shared" si="71"/>
        <v>0</v>
      </c>
    </row>
    <row r="1153" spans="1:9">
      <c r="A1153" s="1">
        <v>46038.85</v>
      </c>
      <c r="B1153" s="5">
        <f>_xlfn.XLOOKUP(A1153,Banks!A:A,Banks!H:H,0,-1)</f>
        <v>-171.28469553320801</v>
      </c>
      <c r="C1153">
        <f>_xlfn.XLOOKUP(A1153,Energy!A:A,Energy!H:H,0,-1)</f>
        <v>784.14396431027399</v>
      </c>
      <c r="D1153">
        <f t="shared" si="68"/>
        <v>612.85926877706595</v>
      </c>
      <c r="E1153">
        <f>_xlfn.XLOOKUP(A1153,Banks!A:A,Banks!I:I,0)</f>
        <v>40010.173447519417</v>
      </c>
      <c r="F1153">
        <f>_xlfn.XLOOKUP(A1153,Energy!A:A,Energy!I:I,0)</f>
        <v>0</v>
      </c>
      <c r="G1153">
        <f t="shared" si="69"/>
        <v>40010.173447519417</v>
      </c>
      <c r="H1153">
        <f t="shared" si="70"/>
        <v>39397.314178742352</v>
      </c>
      <c r="I1153" t="b">
        <f t="shared" si="71"/>
        <v>0</v>
      </c>
    </row>
    <row r="1154" spans="1:9">
      <c r="A1154" s="1">
        <v>46038.850694444453</v>
      </c>
      <c r="B1154" s="5">
        <f>_xlfn.XLOOKUP(A1154,Banks!A:A,Banks!H:H,0,-1)</f>
        <v>-197.18775707519941</v>
      </c>
      <c r="C1154">
        <f>_xlfn.XLOOKUP(A1154,Energy!A:A,Energy!H:H,0,-1)</f>
        <v>784.14396431027399</v>
      </c>
      <c r="D1154">
        <f t="shared" si="68"/>
        <v>586.95620723507454</v>
      </c>
      <c r="E1154">
        <f>_xlfn.XLOOKUP(A1154,Banks!A:A,Banks!I:I,0)</f>
        <v>39993.6690033829</v>
      </c>
      <c r="F1154">
        <f>_xlfn.XLOOKUP(A1154,Energy!A:A,Energy!I:I,0)</f>
        <v>0</v>
      </c>
      <c r="G1154">
        <f t="shared" si="69"/>
        <v>39993.6690033829</v>
      </c>
      <c r="H1154">
        <f t="shared" si="70"/>
        <v>39406.712796147825</v>
      </c>
      <c r="I1154" t="b">
        <f t="shared" si="71"/>
        <v>0</v>
      </c>
    </row>
    <row r="1155" spans="1:9">
      <c r="A1155" s="1">
        <v>46038.851388888892</v>
      </c>
      <c r="B1155" s="5">
        <f>_xlfn.XLOOKUP(A1155,Banks!A:A,Banks!H:H,0,-1)</f>
        <v>-219.51060929791561</v>
      </c>
      <c r="C1155">
        <f>_xlfn.XLOOKUP(A1155,Energy!A:A,Energy!H:H,0,-1)</f>
        <v>784.14396431027399</v>
      </c>
      <c r="D1155">
        <f t="shared" ref="D1155:D1218" si="72">B1155+C1155</f>
        <v>564.63335501235838</v>
      </c>
      <c r="E1155">
        <f>_xlfn.XLOOKUP(A1155,Banks!A:A,Banks!I:I,0)</f>
        <v>39989.204432938357</v>
      </c>
      <c r="F1155">
        <f>_xlfn.XLOOKUP(A1155,Energy!A:A,Energy!I:I,0)</f>
        <v>0</v>
      </c>
      <c r="G1155">
        <f t="shared" ref="G1155:G1218" si="73">F1155+E1155</f>
        <v>39989.204432938357</v>
      </c>
      <c r="H1155">
        <f t="shared" ref="H1155:H1218" si="74">G1155-D1155</f>
        <v>39424.571077925997</v>
      </c>
      <c r="I1155" t="b">
        <f t="shared" ref="I1155:I1218" si="75">AND(E1155&gt;0,F1155&gt;0)</f>
        <v>0</v>
      </c>
    </row>
    <row r="1156" spans="1:9">
      <c r="A1156" s="1">
        <v>46038.852083333331</v>
      </c>
      <c r="B1156" s="5">
        <f>_xlfn.XLOOKUP(A1156,Banks!A:A,Banks!H:H,0,-1)</f>
        <v>-273.20160983649498</v>
      </c>
      <c r="C1156">
        <f>_xlfn.XLOOKUP(A1156,Energy!A:A,Energy!H:H,0,-1)</f>
        <v>784.14396431027399</v>
      </c>
      <c r="D1156">
        <f t="shared" si="72"/>
        <v>510.94235447377901</v>
      </c>
      <c r="E1156">
        <f>_xlfn.XLOOKUP(A1156,Banks!A:A,Banks!I:I,0)</f>
        <v>39993.56467526815</v>
      </c>
      <c r="F1156">
        <f>_xlfn.XLOOKUP(A1156,Energy!A:A,Energy!I:I,0)</f>
        <v>0</v>
      </c>
      <c r="G1156">
        <f t="shared" si="73"/>
        <v>39993.56467526815</v>
      </c>
      <c r="H1156">
        <f t="shared" si="74"/>
        <v>39482.622320794369</v>
      </c>
      <c r="I1156" t="b">
        <f t="shared" si="75"/>
        <v>0</v>
      </c>
    </row>
    <row r="1157" spans="1:9">
      <c r="A1157" s="1">
        <v>46038.852777777778</v>
      </c>
      <c r="B1157" s="5">
        <f>_xlfn.XLOOKUP(A1157,Banks!A:A,Banks!H:H,0,-1)</f>
        <v>-210.33490306134539</v>
      </c>
      <c r="C1157">
        <f>_xlfn.XLOOKUP(A1157,Energy!A:A,Energy!H:H,0,-1)</f>
        <v>784.14396431027399</v>
      </c>
      <c r="D1157">
        <f t="shared" si="72"/>
        <v>573.80906124892863</v>
      </c>
      <c r="E1157">
        <f>_xlfn.XLOOKUP(A1157,Banks!A:A,Banks!I:I,0)</f>
        <v>39979.715742357541</v>
      </c>
      <c r="F1157">
        <f>_xlfn.XLOOKUP(A1157,Energy!A:A,Energy!I:I,0)</f>
        <v>0</v>
      </c>
      <c r="G1157">
        <f t="shared" si="73"/>
        <v>39979.715742357541</v>
      </c>
      <c r="H1157">
        <f t="shared" si="74"/>
        <v>39405.906681108609</v>
      </c>
      <c r="I1157" t="b">
        <f t="shared" si="75"/>
        <v>0</v>
      </c>
    </row>
    <row r="1158" spans="1:9">
      <c r="A1158" s="1">
        <v>46038.853472222218</v>
      </c>
      <c r="B1158" s="5">
        <f>_xlfn.XLOOKUP(A1158,Banks!A:A,Banks!H:H,0,-1)</f>
        <v>-165.40849576081229</v>
      </c>
      <c r="C1158">
        <f>_xlfn.XLOOKUP(A1158,Energy!A:A,Energy!H:H,0,-1)</f>
        <v>784.14396431027399</v>
      </c>
      <c r="D1158">
        <f t="shared" si="72"/>
        <v>618.73546854946176</v>
      </c>
      <c r="E1158">
        <f>_xlfn.XLOOKUP(A1158,Banks!A:A,Banks!I:I,0)</f>
        <v>0</v>
      </c>
      <c r="F1158">
        <f>_xlfn.XLOOKUP(A1158,Energy!A:A,Energy!I:I,0)</f>
        <v>0</v>
      </c>
      <c r="G1158">
        <f t="shared" si="73"/>
        <v>0</v>
      </c>
      <c r="H1158">
        <f t="shared" si="74"/>
        <v>-618.73546854946176</v>
      </c>
      <c r="I1158" t="b">
        <f t="shared" si="75"/>
        <v>0</v>
      </c>
    </row>
    <row r="1159" spans="1:9">
      <c r="A1159" s="1">
        <v>46042.604166666657</v>
      </c>
      <c r="B1159" s="5">
        <f>_xlfn.XLOOKUP(A1159,Banks!A:A,Banks!H:H,0,-1)</f>
        <v>-165.40849576081229</v>
      </c>
      <c r="C1159">
        <f>_xlfn.XLOOKUP(A1159,Energy!A:A,Energy!H:H,0,-1)</f>
        <v>784.14396431027399</v>
      </c>
      <c r="D1159">
        <f t="shared" si="72"/>
        <v>618.73546854946176</v>
      </c>
      <c r="E1159">
        <f>_xlfn.XLOOKUP(A1159,Banks!A:A,Banks!I:I,0)</f>
        <v>40045.069641097172</v>
      </c>
      <c r="F1159">
        <f>_xlfn.XLOOKUP(A1159,Energy!A:A,Energy!I:I,0)</f>
        <v>0</v>
      </c>
      <c r="G1159">
        <f t="shared" si="73"/>
        <v>40045.069641097172</v>
      </c>
      <c r="H1159">
        <f t="shared" si="74"/>
        <v>39426.334172547708</v>
      </c>
      <c r="I1159" t="b">
        <f t="shared" si="75"/>
        <v>0</v>
      </c>
    </row>
    <row r="1160" spans="1:9">
      <c r="A1160" s="1">
        <v>46042.604861111111</v>
      </c>
      <c r="B1160" s="5">
        <f>_xlfn.XLOOKUP(A1160,Banks!A:A,Banks!H:H,0,-1)</f>
        <v>67.598077237374525</v>
      </c>
      <c r="C1160">
        <f>_xlfn.XLOOKUP(A1160,Energy!A:A,Energy!H:H,0,-1)</f>
        <v>784.14396431027399</v>
      </c>
      <c r="D1160">
        <f t="shared" si="72"/>
        <v>851.74204154764857</v>
      </c>
      <c r="E1160">
        <f>_xlfn.XLOOKUP(A1160,Banks!A:A,Banks!I:I,0)</f>
        <v>40164.318799889632</v>
      </c>
      <c r="F1160">
        <f>_xlfn.XLOOKUP(A1160,Energy!A:A,Energy!I:I,0)</f>
        <v>0</v>
      </c>
      <c r="G1160">
        <f t="shared" si="73"/>
        <v>40164.318799889632</v>
      </c>
      <c r="H1160">
        <f t="shared" si="74"/>
        <v>39312.57675834198</v>
      </c>
      <c r="I1160" t="b">
        <f t="shared" si="75"/>
        <v>0</v>
      </c>
    </row>
    <row r="1161" spans="1:9">
      <c r="A1161" s="1">
        <v>46042.605555555558</v>
      </c>
      <c r="B1161" s="5">
        <f>_xlfn.XLOOKUP(A1161,Banks!A:A,Banks!H:H,0,-1)</f>
        <v>86.025114132530518</v>
      </c>
      <c r="C1161">
        <f>_xlfn.XLOOKUP(A1161,Energy!A:A,Energy!H:H,0,-1)</f>
        <v>784.14396431027399</v>
      </c>
      <c r="D1161">
        <f t="shared" si="72"/>
        <v>870.16907844280445</v>
      </c>
      <c r="E1161">
        <f>_xlfn.XLOOKUP(A1161,Banks!A:A,Banks!I:I,0)</f>
        <v>40175.651348762643</v>
      </c>
      <c r="F1161">
        <f>_xlfn.XLOOKUP(A1161,Energy!A:A,Energy!I:I,0)</f>
        <v>0</v>
      </c>
      <c r="G1161">
        <f t="shared" si="73"/>
        <v>40175.651348762643</v>
      </c>
      <c r="H1161">
        <f t="shared" si="74"/>
        <v>39305.482270319837</v>
      </c>
      <c r="I1161" t="b">
        <f t="shared" si="75"/>
        <v>0</v>
      </c>
    </row>
    <row r="1162" spans="1:9">
      <c r="A1162" s="1">
        <v>46042.606249999997</v>
      </c>
      <c r="B1162" s="5">
        <f>_xlfn.XLOOKUP(A1162,Banks!A:A,Banks!H:H,0,-1)</f>
        <v>114.8604849513132</v>
      </c>
      <c r="C1162">
        <f>_xlfn.XLOOKUP(A1162,Energy!A:A,Energy!H:H,0,-1)</f>
        <v>784.14396431027399</v>
      </c>
      <c r="D1162">
        <f t="shared" si="72"/>
        <v>899.00444926158718</v>
      </c>
      <c r="E1162">
        <f>_xlfn.XLOOKUP(A1162,Banks!A:A,Banks!I:I,0)</f>
        <v>40039.946305287747</v>
      </c>
      <c r="F1162">
        <f>_xlfn.XLOOKUP(A1162,Energy!A:A,Energy!I:I,0)</f>
        <v>0</v>
      </c>
      <c r="G1162">
        <f t="shared" si="73"/>
        <v>40039.946305287747</v>
      </c>
      <c r="H1162">
        <f t="shared" si="74"/>
        <v>39140.941856026162</v>
      </c>
      <c r="I1162" t="b">
        <f t="shared" si="75"/>
        <v>0</v>
      </c>
    </row>
    <row r="1163" spans="1:9">
      <c r="A1163" s="1">
        <v>46042.606944444437</v>
      </c>
      <c r="B1163" s="5">
        <f>_xlfn.XLOOKUP(A1163,Banks!A:A,Banks!H:H,0,-1)</f>
        <v>339.00628148122888</v>
      </c>
      <c r="C1163">
        <f>_xlfn.XLOOKUP(A1163,Energy!A:A,Energy!H:H,0,-1)</f>
        <v>784.14396431027399</v>
      </c>
      <c r="D1163">
        <f t="shared" si="72"/>
        <v>1123.1502457915028</v>
      </c>
      <c r="E1163">
        <f>_xlfn.XLOOKUP(A1163,Banks!A:A,Banks!I:I,0)</f>
        <v>0</v>
      </c>
      <c r="F1163">
        <f>_xlfn.XLOOKUP(A1163,Energy!A:A,Energy!I:I,0)</f>
        <v>0</v>
      </c>
      <c r="G1163">
        <f t="shared" si="73"/>
        <v>0</v>
      </c>
      <c r="H1163">
        <f t="shared" si="74"/>
        <v>-1123.1502457915028</v>
      </c>
      <c r="I1163" t="b">
        <f t="shared" si="75"/>
        <v>0</v>
      </c>
    </row>
    <row r="1164" spans="1:9">
      <c r="A1164" s="1">
        <v>46043.738194444442</v>
      </c>
      <c r="B1164" s="5">
        <f>_xlfn.XLOOKUP(A1164,Banks!A:A,Banks!H:H,0,-1)</f>
        <v>339.00628148122888</v>
      </c>
      <c r="C1164">
        <f>_xlfn.XLOOKUP(A1164,Energy!A:A,Energy!H:H,0,-1)</f>
        <v>784.14396431027399</v>
      </c>
      <c r="D1164">
        <f t="shared" si="72"/>
        <v>1123.1502457915028</v>
      </c>
      <c r="E1164">
        <f>_xlfn.XLOOKUP(A1164,Banks!A:A,Banks!I:I,0)</f>
        <v>40045.069641097172</v>
      </c>
      <c r="F1164">
        <f>_xlfn.XLOOKUP(A1164,Energy!A:A,Energy!I:I,0)</f>
        <v>0</v>
      </c>
      <c r="G1164">
        <f t="shared" si="73"/>
        <v>40045.069641097172</v>
      </c>
      <c r="H1164">
        <f t="shared" si="74"/>
        <v>38921.919395305667</v>
      </c>
      <c r="I1164" t="b">
        <f t="shared" si="75"/>
        <v>0</v>
      </c>
    </row>
    <row r="1165" spans="1:9">
      <c r="A1165" s="1">
        <v>46043.738888888889</v>
      </c>
      <c r="B1165" s="5">
        <f>_xlfn.XLOOKUP(A1165,Banks!A:A,Banks!H:H,0,-1)</f>
        <v>319.73785431561379</v>
      </c>
      <c r="C1165">
        <f>_xlfn.XLOOKUP(A1165,Energy!A:A,Energy!H:H,0,-1)</f>
        <v>784.14396431027399</v>
      </c>
      <c r="D1165">
        <f t="shared" si="72"/>
        <v>1103.8818186258877</v>
      </c>
      <c r="E1165">
        <f>_xlfn.XLOOKUP(A1165,Banks!A:A,Banks!I:I,0)</f>
        <v>40064.16394609461</v>
      </c>
      <c r="F1165">
        <f>_xlfn.XLOOKUP(A1165,Energy!A:A,Energy!I:I,0)</f>
        <v>0</v>
      </c>
      <c r="G1165">
        <f t="shared" si="73"/>
        <v>40064.16394609461</v>
      </c>
      <c r="H1165">
        <f t="shared" si="74"/>
        <v>38960.282127468723</v>
      </c>
      <c r="I1165" t="b">
        <f t="shared" si="75"/>
        <v>0</v>
      </c>
    </row>
    <row r="1166" spans="1:9">
      <c r="A1166" s="1">
        <v>46043.739583333343</v>
      </c>
      <c r="B1166" s="5">
        <f>_xlfn.XLOOKUP(A1166,Banks!A:A,Banks!H:H,0,-1)</f>
        <v>389.22692759943322</v>
      </c>
      <c r="C1166">
        <f>_xlfn.XLOOKUP(A1166,Energy!A:A,Energy!H:H,0,-1)</f>
        <v>784.14396431027399</v>
      </c>
      <c r="D1166">
        <f t="shared" si="72"/>
        <v>1173.3708919097071</v>
      </c>
      <c r="E1166">
        <f>_xlfn.XLOOKUP(A1166,Banks!A:A,Banks!I:I,0)</f>
        <v>40043.639775105526</v>
      </c>
      <c r="F1166">
        <f>_xlfn.XLOOKUP(A1166,Energy!A:A,Energy!I:I,0)</f>
        <v>0</v>
      </c>
      <c r="G1166">
        <f t="shared" si="73"/>
        <v>40043.639775105526</v>
      </c>
      <c r="H1166">
        <f t="shared" si="74"/>
        <v>38870.268883195822</v>
      </c>
      <c r="I1166" t="b">
        <f t="shared" si="75"/>
        <v>0</v>
      </c>
    </row>
    <row r="1167" spans="1:9">
      <c r="A1167" s="1">
        <v>46043.740277777782</v>
      </c>
      <c r="B1167" s="5">
        <f>_xlfn.XLOOKUP(A1167,Banks!A:A,Banks!H:H,0,-1)</f>
        <v>354.58365866162529</v>
      </c>
      <c r="C1167">
        <f>_xlfn.XLOOKUP(A1167,Energy!A:A,Energy!H:H,0,-1)</f>
        <v>784.14396431027399</v>
      </c>
      <c r="D1167">
        <f t="shared" si="72"/>
        <v>1138.7276229718993</v>
      </c>
      <c r="E1167">
        <f>_xlfn.XLOOKUP(A1167,Banks!A:A,Banks!I:I,0)</f>
        <v>40021.41246103093</v>
      </c>
      <c r="F1167">
        <f>_xlfn.XLOOKUP(A1167,Energy!A:A,Energy!I:I,0)</f>
        <v>0</v>
      </c>
      <c r="G1167">
        <f t="shared" si="73"/>
        <v>40021.41246103093</v>
      </c>
      <c r="H1167">
        <f t="shared" si="74"/>
        <v>38882.684838059031</v>
      </c>
      <c r="I1167" t="b">
        <f t="shared" si="75"/>
        <v>0</v>
      </c>
    </row>
    <row r="1168" spans="1:9">
      <c r="A1168" s="1">
        <v>46043.740972222222</v>
      </c>
      <c r="B1168" s="5">
        <f>_xlfn.XLOOKUP(A1168,Banks!A:A,Banks!H:H,0,-1)</f>
        <v>413.84299383336241</v>
      </c>
      <c r="C1168">
        <f>_xlfn.XLOOKUP(A1168,Energy!A:A,Energy!H:H,0,-1)</f>
        <v>784.14396431027399</v>
      </c>
      <c r="D1168">
        <f t="shared" si="72"/>
        <v>1197.9869581436365</v>
      </c>
      <c r="E1168">
        <f>_xlfn.XLOOKUP(A1168,Banks!A:A,Banks!I:I,0)</f>
        <v>40029.439662993507</v>
      </c>
      <c r="F1168">
        <f>_xlfn.XLOOKUP(A1168,Energy!A:A,Energy!I:I,0)</f>
        <v>0</v>
      </c>
      <c r="G1168">
        <f t="shared" si="73"/>
        <v>40029.439662993507</v>
      </c>
      <c r="H1168">
        <f t="shared" si="74"/>
        <v>38831.452704849871</v>
      </c>
      <c r="I1168" t="b">
        <f t="shared" si="75"/>
        <v>0</v>
      </c>
    </row>
    <row r="1169" spans="1:9">
      <c r="A1169" s="1">
        <v>46043.741666666669</v>
      </c>
      <c r="B1169" s="5">
        <f>_xlfn.XLOOKUP(A1169,Banks!A:A,Banks!H:H,0,-1)</f>
        <v>270.18528363008562</v>
      </c>
      <c r="C1169">
        <f>_xlfn.XLOOKUP(A1169,Energy!A:A,Energy!H:H,0,-1)</f>
        <v>784.14396431027399</v>
      </c>
      <c r="D1169">
        <f t="shared" si="72"/>
        <v>1054.3292479403597</v>
      </c>
      <c r="E1169">
        <f>_xlfn.XLOOKUP(A1169,Banks!A:A,Banks!I:I,0)</f>
        <v>40038.954771670469</v>
      </c>
      <c r="F1169">
        <f>_xlfn.XLOOKUP(A1169,Energy!A:A,Energy!I:I,0)</f>
        <v>0</v>
      </c>
      <c r="G1169">
        <f t="shared" si="73"/>
        <v>40038.954771670469</v>
      </c>
      <c r="H1169">
        <f t="shared" si="74"/>
        <v>38984.625523730108</v>
      </c>
      <c r="I1169" t="b">
        <f t="shared" si="75"/>
        <v>0</v>
      </c>
    </row>
    <row r="1170" spans="1:9">
      <c r="A1170" s="1">
        <v>46043.742361111108</v>
      </c>
      <c r="B1170" s="5">
        <f>_xlfn.XLOOKUP(A1170,Banks!A:A,Banks!H:H,0,-1)</f>
        <v>250.16111282634711</v>
      </c>
      <c r="C1170">
        <f>_xlfn.XLOOKUP(A1170,Energy!A:A,Energy!H:H,0,-1)</f>
        <v>784.14396431027399</v>
      </c>
      <c r="D1170">
        <f t="shared" si="72"/>
        <v>1034.3050771366211</v>
      </c>
      <c r="E1170">
        <f>_xlfn.XLOOKUP(A1170,Banks!A:A,Banks!I:I,0)</f>
        <v>40050.248597796774</v>
      </c>
      <c r="F1170">
        <f>_xlfn.XLOOKUP(A1170,Energy!A:A,Energy!I:I,0)</f>
        <v>0</v>
      </c>
      <c r="G1170">
        <f t="shared" si="73"/>
        <v>40050.248597796774</v>
      </c>
      <c r="H1170">
        <f t="shared" si="74"/>
        <v>39015.943520660156</v>
      </c>
      <c r="I1170" t="b">
        <f t="shared" si="75"/>
        <v>0</v>
      </c>
    </row>
    <row r="1171" spans="1:9">
      <c r="A1171" s="1">
        <v>46043.743055555547</v>
      </c>
      <c r="B1171" s="5">
        <f>_xlfn.XLOOKUP(A1171,Banks!A:A,Banks!H:H,0,-1)</f>
        <v>274.48697544662531</v>
      </c>
      <c r="C1171">
        <f>_xlfn.XLOOKUP(A1171,Energy!A:A,Energy!H:H,0,-1)</f>
        <v>784.14396431027399</v>
      </c>
      <c r="D1171">
        <f t="shared" si="72"/>
        <v>1058.6309397568994</v>
      </c>
      <c r="E1171">
        <f>_xlfn.XLOOKUP(A1171,Banks!A:A,Banks!I:I,0)</f>
        <v>40066.587765536096</v>
      </c>
      <c r="F1171">
        <f>_xlfn.XLOOKUP(A1171,Energy!A:A,Energy!I:I,0)</f>
        <v>0</v>
      </c>
      <c r="G1171">
        <f t="shared" si="73"/>
        <v>40066.587765536096</v>
      </c>
      <c r="H1171">
        <f t="shared" si="74"/>
        <v>39007.956825779198</v>
      </c>
      <c r="I1171" t="b">
        <f t="shared" si="75"/>
        <v>0</v>
      </c>
    </row>
    <row r="1172" spans="1:9">
      <c r="A1172" s="1">
        <v>46043.743750000001</v>
      </c>
      <c r="B1172" s="5">
        <f>_xlfn.XLOOKUP(A1172,Banks!A:A,Banks!H:H,0,-1)</f>
        <v>289.62904720658179</v>
      </c>
      <c r="C1172">
        <f>_xlfn.XLOOKUP(A1172,Energy!A:A,Energy!H:H,0,-1)</f>
        <v>784.14396431027399</v>
      </c>
      <c r="D1172">
        <f t="shared" si="72"/>
        <v>1073.7730115168558</v>
      </c>
      <c r="E1172">
        <f>_xlfn.XLOOKUP(A1172,Banks!A:A,Banks!I:I,0)</f>
        <v>40088.739505246893</v>
      </c>
      <c r="F1172">
        <f>_xlfn.XLOOKUP(A1172,Energy!A:A,Energy!I:I,0)</f>
        <v>0</v>
      </c>
      <c r="G1172">
        <f t="shared" si="73"/>
        <v>40088.739505246893</v>
      </c>
      <c r="H1172">
        <f t="shared" si="74"/>
        <v>39014.96649373004</v>
      </c>
      <c r="I1172" t="b">
        <f t="shared" si="75"/>
        <v>0</v>
      </c>
    </row>
    <row r="1173" spans="1:9">
      <c r="A1173" s="1">
        <v>46043.744444444441</v>
      </c>
      <c r="B1173" s="5">
        <f>_xlfn.XLOOKUP(A1173,Banks!A:A,Banks!H:H,0,-1)</f>
        <v>349.26625419739003</v>
      </c>
      <c r="C1173">
        <f>_xlfn.XLOOKUP(A1173,Energy!A:A,Energy!H:H,0,-1)</f>
        <v>784.14396431027399</v>
      </c>
      <c r="D1173">
        <f t="shared" si="72"/>
        <v>1133.410218507664</v>
      </c>
      <c r="E1173">
        <f>_xlfn.XLOOKUP(A1173,Banks!A:A,Banks!I:I,0)</f>
        <v>40100.666946645048</v>
      </c>
      <c r="F1173">
        <f>_xlfn.XLOOKUP(A1173,Energy!A:A,Energy!I:I,0)</f>
        <v>0</v>
      </c>
      <c r="G1173">
        <f t="shared" si="73"/>
        <v>40100.666946645048</v>
      </c>
      <c r="H1173">
        <f t="shared" si="74"/>
        <v>38967.256728137385</v>
      </c>
      <c r="I1173" t="b">
        <f t="shared" si="75"/>
        <v>0</v>
      </c>
    </row>
    <row r="1174" spans="1:9">
      <c r="A1174" s="1">
        <v>46043.745138888888</v>
      </c>
      <c r="B1174" s="5">
        <f>_xlfn.XLOOKUP(A1174,Banks!A:A,Banks!H:H,0,-1)</f>
        <v>338.19310424170982</v>
      </c>
      <c r="C1174">
        <f>_xlfn.XLOOKUP(A1174,Energy!A:A,Energy!H:H,0,-1)</f>
        <v>784.14396431027399</v>
      </c>
      <c r="D1174">
        <f t="shared" si="72"/>
        <v>1122.3370685519837</v>
      </c>
      <c r="E1174">
        <f>_xlfn.XLOOKUP(A1174,Banks!A:A,Banks!I:I,0)</f>
        <v>40086.978321438633</v>
      </c>
      <c r="F1174">
        <f>_xlfn.XLOOKUP(A1174,Energy!A:A,Energy!I:I,0)</f>
        <v>0</v>
      </c>
      <c r="G1174">
        <f t="shared" si="73"/>
        <v>40086.978321438633</v>
      </c>
      <c r="H1174">
        <f t="shared" si="74"/>
        <v>38964.641252886649</v>
      </c>
      <c r="I1174" t="b">
        <f t="shared" si="75"/>
        <v>0</v>
      </c>
    </row>
    <row r="1175" spans="1:9">
      <c r="A1175" s="1">
        <v>46043.745833333327</v>
      </c>
      <c r="B1175" s="5">
        <f>_xlfn.XLOOKUP(A1175,Banks!A:A,Banks!H:H,0,-1)</f>
        <v>393.9941594404915</v>
      </c>
      <c r="C1175">
        <f>_xlfn.XLOOKUP(A1175,Energy!A:A,Energy!H:H,0,-1)</f>
        <v>784.14396431027399</v>
      </c>
      <c r="D1175">
        <f t="shared" si="72"/>
        <v>1178.1381237507655</v>
      </c>
      <c r="E1175">
        <f>_xlfn.XLOOKUP(A1175,Banks!A:A,Banks!I:I,0)</f>
        <v>40109.612527693673</v>
      </c>
      <c r="F1175">
        <f>_xlfn.XLOOKUP(A1175,Energy!A:A,Energy!I:I,0)</f>
        <v>0</v>
      </c>
      <c r="G1175">
        <f t="shared" si="73"/>
        <v>40109.612527693673</v>
      </c>
      <c r="H1175">
        <f t="shared" si="74"/>
        <v>38931.474403942906</v>
      </c>
      <c r="I1175" t="b">
        <f t="shared" si="75"/>
        <v>0</v>
      </c>
    </row>
    <row r="1176" spans="1:9">
      <c r="A1176" s="1">
        <v>46043.746527777781</v>
      </c>
      <c r="B1176" s="5">
        <f>_xlfn.XLOOKUP(A1176,Banks!A:A,Banks!H:H,0,-1)</f>
        <v>356.64835416781921</v>
      </c>
      <c r="C1176">
        <f>_xlfn.XLOOKUP(A1176,Energy!A:A,Energy!H:H,0,-1)</f>
        <v>784.14396431027399</v>
      </c>
      <c r="D1176">
        <f t="shared" si="72"/>
        <v>1140.7923184780932</v>
      </c>
      <c r="E1176">
        <f>_xlfn.XLOOKUP(A1176,Banks!A:A,Banks!I:I,0)</f>
        <v>40109.792696782657</v>
      </c>
      <c r="F1176">
        <f>_xlfn.XLOOKUP(A1176,Energy!A:A,Energy!I:I,0)</f>
        <v>0</v>
      </c>
      <c r="G1176">
        <f t="shared" si="73"/>
        <v>40109.792696782657</v>
      </c>
      <c r="H1176">
        <f t="shared" si="74"/>
        <v>38969.000378304561</v>
      </c>
      <c r="I1176" t="b">
        <f t="shared" si="75"/>
        <v>0</v>
      </c>
    </row>
    <row r="1177" spans="1:9">
      <c r="A1177" s="1">
        <v>46043.74722222222</v>
      </c>
      <c r="B1177" s="5">
        <f>_xlfn.XLOOKUP(A1177,Banks!A:A,Banks!H:H,0,-1)</f>
        <v>357.40409780595621</v>
      </c>
      <c r="C1177">
        <f>_xlfn.XLOOKUP(A1177,Energy!A:A,Energy!H:H,0,-1)</f>
        <v>784.14396431027399</v>
      </c>
      <c r="D1177">
        <f t="shared" si="72"/>
        <v>1141.5480621162301</v>
      </c>
      <c r="E1177">
        <f>_xlfn.XLOOKUP(A1177,Banks!A:A,Banks!I:I,0)</f>
        <v>40117.593175653812</v>
      </c>
      <c r="F1177">
        <f>_xlfn.XLOOKUP(A1177,Energy!A:A,Energy!I:I,0)</f>
        <v>0</v>
      </c>
      <c r="G1177">
        <f t="shared" si="73"/>
        <v>40117.593175653812</v>
      </c>
      <c r="H1177">
        <f t="shared" si="74"/>
        <v>38976.045113537584</v>
      </c>
      <c r="I1177" t="b">
        <f t="shared" si="75"/>
        <v>0</v>
      </c>
    </row>
    <row r="1178" spans="1:9">
      <c r="A1178" s="1">
        <v>46043.747916666667</v>
      </c>
      <c r="B1178" s="5">
        <f>_xlfn.XLOOKUP(A1178,Banks!A:A,Banks!H:H,0,-1)</f>
        <v>394.22692945274662</v>
      </c>
      <c r="C1178">
        <f>_xlfn.XLOOKUP(A1178,Energy!A:A,Energy!H:H,0,-1)</f>
        <v>784.14396431027399</v>
      </c>
      <c r="D1178">
        <f t="shared" si="72"/>
        <v>1178.3708937630206</v>
      </c>
      <c r="E1178">
        <f>_xlfn.XLOOKUP(A1178,Banks!A:A,Banks!I:I,0)</f>
        <v>40128.782407054932</v>
      </c>
      <c r="F1178">
        <f>_xlfn.XLOOKUP(A1178,Energy!A:A,Energy!I:I,0)</f>
        <v>0</v>
      </c>
      <c r="G1178">
        <f t="shared" si="73"/>
        <v>40128.782407054932</v>
      </c>
      <c r="H1178">
        <f t="shared" si="74"/>
        <v>38950.411513291911</v>
      </c>
      <c r="I1178" t="b">
        <f t="shared" si="75"/>
        <v>0</v>
      </c>
    </row>
    <row r="1179" spans="1:9">
      <c r="A1179" s="1">
        <v>46043.748611111107</v>
      </c>
      <c r="B1179" s="5">
        <f>_xlfn.XLOOKUP(A1179,Banks!A:A,Banks!H:H,0,-1)</f>
        <v>284.07887273008322</v>
      </c>
      <c r="C1179">
        <f>_xlfn.XLOOKUP(A1179,Energy!A:A,Energy!H:H,0,-1)</f>
        <v>784.14396431027399</v>
      </c>
      <c r="D1179">
        <f t="shared" si="72"/>
        <v>1068.2228370403573</v>
      </c>
      <c r="E1179">
        <f>_xlfn.XLOOKUP(A1179,Banks!A:A,Banks!I:I,0)</f>
        <v>40148.824111499773</v>
      </c>
      <c r="F1179">
        <f>_xlfn.XLOOKUP(A1179,Energy!A:A,Energy!I:I,0)</f>
        <v>0</v>
      </c>
      <c r="G1179">
        <f t="shared" si="73"/>
        <v>40148.824111499773</v>
      </c>
      <c r="H1179">
        <f t="shared" si="74"/>
        <v>39080.601274459419</v>
      </c>
      <c r="I1179" t="b">
        <f t="shared" si="75"/>
        <v>0</v>
      </c>
    </row>
    <row r="1180" spans="1:9">
      <c r="A1180" s="1">
        <v>46043.749305555553</v>
      </c>
      <c r="B1180" s="5">
        <f>_xlfn.XLOOKUP(A1180,Banks!A:A,Banks!H:H,0,-1)</f>
        <v>334.29951884830109</v>
      </c>
      <c r="C1180">
        <f>_xlfn.XLOOKUP(A1180,Energy!A:A,Energy!H:H,0,-1)</f>
        <v>784.14396431027399</v>
      </c>
      <c r="D1180">
        <f t="shared" si="72"/>
        <v>1118.443483158575</v>
      </c>
      <c r="E1180">
        <f>_xlfn.XLOOKUP(A1180,Banks!A:A,Banks!I:I,0)</f>
        <v>40147.394245508127</v>
      </c>
      <c r="F1180">
        <f>_xlfn.XLOOKUP(A1180,Energy!A:A,Energy!I:I,0)</f>
        <v>0</v>
      </c>
      <c r="G1180">
        <f t="shared" si="73"/>
        <v>40147.394245508127</v>
      </c>
      <c r="H1180">
        <f t="shared" si="74"/>
        <v>39028.950762349552</v>
      </c>
      <c r="I1180" t="b">
        <f t="shared" si="75"/>
        <v>0</v>
      </c>
    </row>
    <row r="1181" spans="1:9">
      <c r="A1181" s="1">
        <v>46043.75</v>
      </c>
      <c r="B1181" s="5">
        <f>_xlfn.XLOOKUP(A1181,Banks!A:A,Banks!H:H,0,-1)</f>
        <v>335.72333791912769</v>
      </c>
      <c r="C1181">
        <f>_xlfn.XLOOKUP(A1181,Energy!A:A,Energy!H:H,0,-1)</f>
        <v>784.14396431027399</v>
      </c>
      <c r="D1181">
        <f t="shared" si="72"/>
        <v>1119.8673022294017</v>
      </c>
      <c r="E1181">
        <f>_xlfn.XLOOKUP(A1181,Banks!A:A,Banks!I:I,0)</f>
        <v>40128.555683963503</v>
      </c>
      <c r="F1181">
        <f>_xlfn.XLOOKUP(A1181,Energy!A:A,Energy!I:I,0)</f>
        <v>0</v>
      </c>
      <c r="G1181">
        <f t="shared" si="73"/>
        <v>40128.555683963503</v>
      </c>
      <c r="H1181">
        <f t="shared" si="74"/>
        <v>39008.6883817341</v>
      </c>
      <c r="I1181" t="b">
        <f t="shared" si="75"/>
        <v>0</v>
      </c>
    </row>
    <row r="1182" spans="1:9">
      <c r="A1182" s="1">
        <v>46043.750694444447</v>
      </c>
      <c r="B1182" s="5">
        <f>_xlfn.XLOOKUP(A1182,Banks!A:A,Banks!H:H,0,-1)</f>
        <v>348.36540875243702</v>
      </c>
      <c r="C1182">
        <f>_xlfn.XLOOKUP(A1182,Energy!A:A,Energy!H:H,0,-1)</f>
        <v>784.14396431027399</v>
      </c>
      <c r="D1182">
        <f t="shared" si="72"/>
        <v>1132.5093730627109</v>
      </c>
      <c r="E1182">
        <f>_xlfn.XLOOKUP(A1182,Banks!A:A,Banks!I:I,0)</f>
        <v>40108.136107699589</v>
      </c>
      <c r="F1182">
        <f>_xlfn.XLOOKUP(A1182,Energy!A:A,Energy!I:I,0)</f>
        <v>0</v>
      </c>
      <c r="G1182">
        <f t="shared" si="73"/>
        <v>40108.136107699589</v>
      </c>
      <c r="H1182">
        <f t="shared" si="74"/>
        <v>38975.626734636877</v>
      </c>
      <c r="I1182" t="b">
        <f t="shared" si="75"/>
        <v>0</v>
      </c>
    </row>
    <row r="1183" spans="1:9">
      <c r="A1183" s="1">
        <v>46043.751388888893</v>
      </c>
      <c r="B1183" s="5">
        <f>_xlfn.XLOOKUP(A1183,Banks!A:A,Banks!H:H,0,-1)</f>
        <v>317.62982066585101</v>
      </c>
      <c r="C1183">
        <f>_xlfn.XLOOKUP(A1183,Energy!A:A,Energy!H:H,0,-1)</f>
        <v>784.14396431027399</v>
      </c>
      <c r="D1183">
        <f t="shared" si="72"/>
        <v>1101.7737849761249</v>
      </c>
      <c r="E1183">
        <f>_xlfn.XLOOKUP(A1183,Banks!A:A,Banks!I:I,0)</f>
        <v>0</v>
      </c>
      <c r="F1183">
        <f>_xlfn.XLOOKUP(A1183,Energy!A:A,Energy!I:I,0)</f>
        <v>0</v>
      </c>
      <c r="G1183">
        <f t="shared" si="73"/>
        <v>0</v>
      </c>
      <c r="H1183">
        <f t="shared" si="74"/>
        <v>-1101.7737849761249</v>
      </c>
      <c r="I1183" t="b">
        <f t="shared" si="75"/>
        <v>0</v>
      </c>
    </row>
    <row r="1184" spans="1:9">
      <c r="A1184" s="1">
        <v>46043.817361111112</v>
      </c>
      <c r="B1184" s="5">
        <f>_xlfn.XLOOKUP(A1184,Banks!A:A,Banks!H:H,0,-1)</f>
        <v>317.62982066585101</v>
      </c>
      <c r="C1184">
        <f>_xlfn.XLOOKUP(A1184,Energy!A:A,Energy!H:H,0,-1)</f>
        <v>784.14396431027399</v>
      </c>
      <c r="D1184">
        <f t="shared" si="72"/>
        <v>1101.7737849761249</v>
      </c>
      <c r="E1184">
        <f>_xlfn.XLOOKUP(A1184,Banks!A:A,Banks!I:I,0)</f>
        <v>40045.069641097172</v>
      </c>
      <c r="F1184">
        <f>_xlfn.XLOOKUP(A1184,Energy!A:A,Energy!I:I,0)</f>
        <v>0</v>
      </c>
      <c r="G1184">
        <f t="shared" si="73"/>
        <v>40045.069641097172</v>
      </c>
      <c r="H1184">
        <f t="shared" si="74"/>
        <v>38943.295856121047</v>
      </c>
      <c r="I1184" t="b">
        <f t="shared" si="75"/>
        <v>0</v>
      </c>
    </row>
    <row r="1185" spans="1:9">
      <c r="A1185" s="1">
        <v>46043.818055555559</v>
      </c>
      <c r="B1185" s="5">
        <f>_xlfn.XLOOKUP(A1185,Banks!A:A,Banks!H:H,0,-1)</f>
        <v>272.29065565474292</v>
      </c>
      <c r="C1185">
        <f>_xlfn.XLOOKUP(A1185,Energy!A:A,Energy!H:H,0,-1)</f>
        <v>784.14396431027399</v>
      </c>
      <c r="D1185">
        <f t="shared" si="72"/>
        <v>1056.434619965017</v>
      </c>
      <c r="E1185">
        <f>_xlfn.XLOOKUP(A1185,Banks!A:A,Banks!I:I,0)</f>
        <v>40062.675220791018</v>
      </c>
      <c r="F1185">
        <f>_xlfn.XLOOKUP(A1185,Energy!A:A,Energy!I:I,0)</f>
        <v>0</v>
      </c>
      <c r="G1185">
        <f t="shared" si="73"/>
        <v>40062.675220791018</v>
      </c>
      <c r="H1185">
        <f t="shared" si="74"/>
        <v>39006.240600826</v>
      </c>
      <c r="I1185" t="b">
        <f t="shared" si="75"/>
        <v>0</v>
      </c>
    </row>
    <row r="1186" spans="1:9">
      <c r="A1186" s="1">
        <v>46043.818749999999</v>
      </c>
      <c r="B1186" s="5">
        <f>_xlfn.XLOOKUP(A1186,Banks!A:A,Banks!H:H,0,-1)</f>
        <v>252.60490084013199</v>
      </c>
      <c r="C1186">
        <f>_xlfn.XLOOKUP(A1186,Energy!A:A,Energy!H:H,0,-1)</f>
        <v>784.14396431027399</v>
      </c>
      <c r="D1186">
        <f t="shared" si="72"/>
        <v>1036.7488651504059</v>
      </c>
      <c r="E1186">
        <f>_xlfn.XLOOKUP(A1186,Banks!A:A,Banks!I:I,0)</f>
        <v>40039.685632188048</v>
      </c>
      <c r="F1186">
        <f>_xlfn.XLOOKUP(A1186,Energy!A:A,Energy!I:I,0)</f>
        <v>0</v>
      </c>
      <c r="G1186">
        <f t="shared" si="73"/>
        <v>40039.685632188048</v>
      </c>
      <c r="H1186">
        <f t="shared" si="74"/>
        <v>39002.936767037645</v>
      </c>
      <c r="I1186" t="b">
        <f t="shared" si="75"/>
        <v>0</v>
      </c>
    </row>
    <row r="1187" spans="1:9">
      <c r="A1187" s="1">
        <v>46043.819444444453</v>
      </c>
      <c r="B1187" s="5">
        <f>_xlfn.XLOOKUP(A1187,Banks!A:A,Banks!H:H,0,-1)</f>
        <v>361.97716603843031</v>
      </c>
      <c r="C1187">
        <f>_xlfn.XLOOKUP(A1187,Energy!A:A,Energy!H:H,0,-1)</f>
        <v>784.14396431027399</v>
      </c>
      <c r="D1187">
        <f t="shared" si="72"/>
        <v>1146.1211303487044</v>
      </c>
      <c r="E1187">
        <f>_xlfn.XLOOKUP(A1187,Banks!A:A,Banks!I:I,0)</f>
        <v>40034.886672531633</v>
      </c>
      <c r="F1187">
        <f>_xlfn.XLOOKUP(A1187,Energy!A:A,Energy!I:I,0)</f>
        <v>0</v>
      </c>
      <c r="G1187">
        <f t="shared" si="73"/>
        <v>40034.886672531633</v>
      </c>
      <c r="H1187">
        <f t="shared" si="74"/>
        <v>38888.765542182926</v>
      </c>
      <c r="I1187" t="b">
        <f t="shared" si="75"/>
        <v>0</v>
      </c>
    </row>
    <row r="1188" spans="1:9">
      <c r="A1188" s="1">
        <v>46043.820138888892</v>
      </c>
      <c r="B1188" s="5">
        <f>_xlfn.XLOOKUP(A1188,Banks!A:A,Banks!H:H,0,-1)</f>
        <v>438.18691659863077</v>
      </c>
      <c r="C1188">
        <f>_xlfn.XLOOKUP(A1188,Energy!A:A,Energy!H:H,0,-1)</f>
        <v>784.14396431027399</v>
      </c>
      <c r="D1188">
        <f t="shared" si="72"/>
        <v>1222.3308809089049</v>
      </c>
      <c r="E1188">
        <f>_xlfn.XLOOKUP(A1188,Banks!A:A,Banks!I:I,0)</f>
        <v>40019.644722419587</v>
      </c>
      <c r="F1188">
        <f>_xlfn.XLOOKUP(A1188,Energy!A:A,Energy!I:I,0)</f>
        <v>0</v>
      </c>
      <c r="G1188">
        <f t="shared" si="73"/>
        <v>40019.644722419587</v>
      </c>
      <c r="H1188">
        <f t="shared" si="74"/>
        <v>38797.313841510681</v>
      </c>
      <c r="I1188" t="b">
        <f t="shared" si="75"/>
        <v>0</v>
      </c>
    </row>
    <row r="1189" spans="1:9">
      <c r="A1189" s="1">
        <v>46043.820833333331</v>
      </c>
      <c r="B1189" s="5">
        <f>_xlfn.XLOOKUP(A1189,Banks!A:A,Banks!H:H,0,-1)</f>
        <v>348.84217112825269</v>
      </c>
      <c r="C1189">
        <f>_xlfn.XLOOKUP(A1189,Energy!A:A,Energy!H:H,0,-1)</f>
        <v>784.14396431027399</v>
      </c>
      <c r="D1189">
        <f t="shared" si="72"/>
        <v>1132.9861354385266</v>
      </c>
      <c r="E1189">
        <f>_xlfn.XLOOKUP(A1189,Banks!A:A,Banks!I:I,0)</f>
        <v>40032.259673549597</v>
      </c>
      <c r="F1189">
        <f>_xlfn.XLOOKUP(A1189,Energy!A:A,Energy!I:I,0)</f>
        <v>0</v>
      </c>
      <c r="G1189">
        <f t="shared" si="73"/>
        <v>40032.259673549597</v>
      </c>
      <c r="H1189">
        <f t="shared" si="74"/>
        <v>38899.273538111069</v>
      </c>
      <c r="I1189" t="b">
        <f t="shared" si="75"/>
        <v>0</v>
      </c>
    </row>
    <row r="1190" spans="1:9">
      <c r="A1190" s="1">
        <v>46043.821527777778</v>
      </c>
      <c r="B1190" s="5">
        <f>_xlfn.XLOOKUP(A1190,Banks!A:A,Banks!H:H,0,-1)</f>
        <v>363.31075059029217</v>
      </c>
      <c r="C1190">
        <f>_xlfn.XLOOKUP(A1190,Energy!A:A,Energy!H:H,0,-1)</f>
        <v>784.14396431027399</v>
      </c>
      <c r="D1190">
        <f t="shared" si="72"/>
        <v>1147.4547149005662</v>
      </c>
      <c r="E1190">
        <f>_xlfn.XLOOKUP(A1190,Banks!A:A,Banks!I:I,0)</f>
        <v>40012.290464273938</v>
      </c>
      <c r="F1190">
        <f>_xlfn.XLOOKUP(A1190,Energy!A:A,Energy!I:I,0)</f>
        <v>0</v>
      </c>
      <c r="G1190">
        <f t="shared" si="73"/>
        <v>40012.290464273938</v>
      </c>
      <c r="H1190">
        <f t="shared" si="74"/>
        <v>38864.835749373371</v>
      </c>
      <c r="I1190" t="b">
        <f t="shared" si="75"/>
        <v>0</v>
      </c>
    </row>
    <row r="1191" spans="1:9">
      <c r="A1191" s="1">
        <v>46043.822222222218</v>
      </c>
      <c r="B1191" s="5">
        <f>_xlfn.XLOOKUP(A1191,Banks!A:A,Banks!H:H,0,-1)</f>
        <v>405.70793178717042</v>
      </c>
      <c r="C1191">
        <f>_xlfn.XLOOKUP(A1191,Energy!A:A,Energy!H:H,0,-1)</f>
        <v>784.14396431027399</v>
      </c>
      <c r="D1191">
        <f t="shared" si="72"/>
        <v>1189.8518960974443</v>
      </c>
      <c r="E1191">
        <f>_xlfn.XLOOKUP(A1191,Banks!A:A,Banks!I:I,0)</f>
        <v>39978.854537705207</v>
      </c>
      <c r="F1191">
        <f>_xlfn.XLOOKUP(A1191,Energy!A:A,Energy!I:I,0)</f>
        <v>0</v>
      </c>
      <c r="G1191">
        <f t="shared" si="73"/>
        <v>39978.854537705207</v>
      </c>
      <c r="H1191">
        <f t="shared" si="74"/>
        <v>38789.00264160776</v>
      </c>
      <c r="I1191" t="b">
        <f t="shared" si="75"/>
        <v>0</v>
      </c>
    </row>
    <row r="1192" spans="1:9">
      <c r="A1192" s="1">
        <v>46043.822916666657</v>
      </c>
      <c r="B1192" s="5">
        <f>_xlfn.XLOOKUP(A1192,Banks!A:A,Banks!H:H,0,-1)</f>
        <v>393.6328816601299</v>
      </c>
      <c r="C1192">
        <f>_xlfn.XLOOKUP(A1192,Energy!A:A,Energy!H:H,0,-1)</f>
        <v>784.14396431027399</v>
      </c>
      <c r="D1192">
        <f t="shared" si="72"/>
        <v>1177.7768459704039</v>
      </c>
      <c r="E1192">
        <f>_xlfn.XLOOKUP(A1192,Banks!A:A,Banks!I:I,0)</f>
        <v>0</v>
      </c>
      <c r="F1192">
        <f>_xlfn.XLOOKUP(A1192,Energy!A:A,Energy!I:I,0)</f>
        <v>0</v>
      </c>
      <c r="G1192">
        <f t="shared" si="73"/>
        <v>0</v>
      </c>
      <c r="H1192">
        <f t="shared" si="74"/>
        <v>-1177.7768459704039</v>
      </c>
      <c r="I1192" t="b">
        <f t="shared" si="75"/>
        <v>0</v>
      </c>
    </row>
    <row r="1193" spans="1:9">
      <c r="A1193" s="1">
        <v>46044.797222222223</v>
      </c>
      <c r="B1193" s="5">
        <f>_xlfn.XLOOKUP(A1193,Banks!A:A,Banks!H:H,0,-1)</f>
        <v>393.6328816601299</v>
      </c>
      <c r="C1193">
        <f>_xlfn.XLOOKUP(A1193,Energy!A:A,Energy!H:H,0,-1)</f>
        <v>784.14396431027399</v>
      </c>
      <c r="D1193">
        <f t="shared" si="72"/>
        <v>1177.7768459704039</v>
      </c>
      <c r="E1193">
        <f>_xlfn.XLOOKUP(A1193,Banks!A:A,Banks!I:I,0)</f>
        <v>40045.069641097172</v>
      </c>
      <c r="F1193">
        <f>_xlfn.XLOOKUP(A1193,Energy!A:A,Energy!I:I,0)</f>
        <v>0</v>
      </c>
      <c r="G1193">
        <f t="shared" si="73"/>
        <v>40045.069641097172</v>
      </c>
      <c r="H1193">
        <f t="shared" si="74"/>
        <v>38867.29279512677</v>
      </c>
      <c r="I1193" t="b">
        <f t="shared" si="75"/>
        <v>0</v>
      </c>
    </row>
    <row r="1194" spans="1:9">
      <c r="A1194" s="1">
        <v>46044.79791666667</v>
      </c>
      <c r="B1194" s="5">
        <f>_xlfn.XLOOKUP(A1194,Banks!A:A,Banks!H:H,0,-1)</f>
        <v>407.42435091880668</v>
      </c>
      <c r="C1194">
        <f>_xlfn.XLOOKUP(A1194,Energy!A:A,Energy!H:H,0,-1)</f>
        <v>784.14396431027399</v>
      </c>
      <c r="D1194">
        <f t="shared" si="72"/>
        <v>1191.5683152290808</v>
      </c>
      <c r="E1194">
        <f>_xlfn.XLOOKUP(A1194,Banks!A:A,Banks!I:I,0)</f>
        <v>40055.428681803052</v>
      </c>
      <c r="F1194">
        <f>_xlfn.XLOOKUP(A1194,Energy!A:A,Energy!I:I,0)</f>
        <v>0</v>
      </c>
      <c r="G1194">
        <f t="shared" si="73"/>
        <v>40055.428681803052</v>
      </c>
      <c r="H1194">
        <f t="shared" si="74"/>
        <v>38863.860366573972</v>
      </c>
      <c r="I1194" t="b">
        <f t="shared" si="75"/>
        <v>0</v>
      </c>
    </row>
    <row r="1195" spans="1:9">
      <c r="A1195" s="1">
        <v>46044.798611111109</v>
      </c>
      <c r="B1195" s="5">
        <f>_xlfn.XLOOKUP(A1195,Banks!A:A,Banks!H:H,0,-1)</f>
        <v>470.65155225317318</v>
      </c>
      <c r="C1195">
        <f>_xlfn.XLOOKUP(A1195,Energy!A:A,Energy!H:H,0,-1)</f>
        <v>784.14396431027399</v>
      </c>
      <c r="D1195">
        <f t="shared" si="72"/>
        <v>1254.7955165634471</v>
      </c>
      <c r="E1195">
        <f>_xlfn.XLOOKUP(A1195,Banks!A:A,Banks!I:I,0)</f>
        <v>40041.471508080424</v>
      </c>
      <c r="F1195">
        <f>_xlfn.XLOOKUP(A1195,Energy!A:A,Energy!I:I,0)</f>
        <v>0</v>
      </c>
      <c r="G1195">
        <f t="shared" si="73"/>
        <v>40041.471508080424</v>
      </c>
      <c r="H1195">
        <f t="shared" si="74"/>
        <v>38786.675991516975</v>
      </c>
      <c r="I1195" t="b">
        <f t="shared" si="75"/>
        <v>0</v>
      </c>
    </row>
    <row r="1196" spans="1:9">
      <c r="A1196" s="1">
        <v>46044.799305555563</v>
      </c>
      <c r="B1196" s="5">
        <f>_xlfn.XLOOKUP(A1196,Banks!A:A,Banks!H:H,0,-1)</f>
        <v>431.34521851328429</v>
      </c>
      <c r="C1196">
        <f>_xlfn.XLOOKUP(A1196,Energy!A:A,Energy!H:H,0,-1)</f>
        <v>784.14396431027399</v>
      </c>
      <c r="D1196">
        <f t="shared" si="72"/>
        <v>1215.4891828235582</v>
      </c>
      <c r="E1196">
        <f>_xlfn.XLOOKUP(A1196,Banks!A:A,Banks!I:I,0)</f>
        <v>40052.612108467802</v>
      </c>
      <c r="F1196">
        <f>_xlfn.XLOOKUP(A1196,Energy!A:A,Energy!I:I,0)</f>
        <v>0</v>
      </c>
      <c r="G1196">
        <f t="shared" si="73"/>
        <v>40052.612108467802</v>
      </c>
      <c r="H1196">
        <f t="shared" si="74"/>
        <v>38837.122925644246</v>
      </c>
      <c r="I1196" t="b">
        <f t="shared" si="75"/>
        <v>0</v>
      </c>
    </row>
    <row r="1197" spans="1:9">
      <c r="A1197" s="1">
        <v>46044.800000000003</v>
      </c>
      <c r="B1197" s="5">
        <f>_xlfn.XLOOKUP(A1197,Banks!A:A,Banks!H:H,0,-1)</f>
        <v>448.70741882894538</v>
      </c>
      <c r="C1197">
        <f>_xlfn.XLOOKUP(A1197,Energy!A:A,Energy!H:H,0,-1)</f>
        <v>784.14396431027399</v>
      </c>
      <c r="D1197">
        <f t="shared" si="72"/>
        <v>1232.8513831392193</v>
      </c>
      <c r="E1197">
        <f>_xlfn.XLOOKUP(A1197,Banks!A:A,Banks!I:I,0)</f>
        <v>40048.48380167679</v>
      </c>
      <c r="F1197">
        <f>_xlfn.XLOOKUP(A1197,Energy!A:A,Energy!I:I,0)</f>
        <v>0</v>
      </c>
      <c r="G1197">
        <f t="shared" si="73"/>
        <v>40048.48380167679</v>
      </c>
      <c r="H1197">
        <f t="shared" si="74"/>
        <v>38815.632418537571</v>
      </c>
      <c r="I1197" t="b">
        <f t="shared" si="75"/>
        <v>0</v>
      </c>
    </row>
    <row r="1198" spans="1:9">
      <c r="A1198" s="1">
        <v>46044.800694444442</v>
      </c>
      <c r="B1198" s="5">
        <f>_xlfn.XLOOKUP(A1198,Banks!A:A,Banks!H:H,0,-1)</f>
        <v>432.31075063191929</v>
      </c>
      <c r="C1198">
        <f>_xlfn.XLOOKUP(A1198,Energy!A:A,Energy!H:H,0,-1)</f>
        <v>784.14396431027399</v>
      </c>
      <c r="D1198">
        <f t="shared" si="72"/>
        <v>1216.4547149421933</v>
      </c>
      <c r="E1198">
        <f>_xlfn.XLOOKUP(A1198,Banks!A:A,Banks!I:I,0)</f>
        <v>40045.204468037387</v>
      </c>
      <c r="F1198">
        <f>_xlfn.XLOOKUP(A1198,Energy!A:A,Energy!I:I,0)</f>
        <v>0</v>
      </c>
      <c r="G1198">
        <f t="shared" si="73"/>
        <v>40045.204468037387</v>
      </c>
      <c r="H1198">
        <f t="shared" si="74"/>
        <v>38828.749753095195</v>
      </c>
      <c r="I1198" t="b">
        <f t="shared" si="75"/>
        <v>0</v>
      </c>
    </row>
    <row r="1199" spans="1:9">
      <c r="A1199" s="1">
        <v>46044.801388888889</v>
      </c>
      <c r="B1199" s="5">
        <f>_xlfn.XLOOKUP(A1199,Banks!A:A,Banks!H:H,0,-1)</f>
        <v>438.53235056020549</v>
      </c>
      <c r="C1199">
        <f>_xlfn.XLOOKUP(A1199,Energy!A:A,Energy!H:H,0,-1)</f>
        <v>784.14396431027399</v>
      </c>
      <c r="D1199">
        <f t="shared" si="72"/>
        <v>1222.6763148704795</v>
      </c>
      <c r="E1199">
        <f>_xlfn.XLOOKUP(A1199,Banks!A:A,Banks!I:I,0)</f>
        <v>40042.648414595962</v>
      </c>
      <c r="F1199">
        <f>_xlfn.XLOOKUP(A1199,Energy!A:A,Energy!I:I,0)</f>
        <v>0</v>
      </c>
      <c r="G1199">
        <f t="shared" si="73"/>
        <v>40042.648414595962</v>
      </c>
      <c r="H1199">
        <f t="shared" si="74"/>
        <v>38819.972099725484</v>
      </c>
      <c r="I1199" t="b">
        <f t="shared" si="75"/>
        <v>0</v>
      </c>
    </row>
    <row r="1200" spans="1:9">
      <c r="A1200" s="1">
        <v>46044.802083333343</v>
      </c>
      <c r="B1200" s="5">
        <f>_xlfn.XLOOKUP(A1200,Banks!A:A,Banks!H:H,0,-1)</f>
        <v>442.44014896771159</v>
      </c>
      <c r="C1200">
        <f>_xlfn.XLOOKUP(A1200,Energy!A:A,Energy!H:H,0,-1)</f>
        <v>784.14396431027399</v>
      </c>
      <c r="D1200">
        <f t="shared" si="72"/>
        <v>1226.5841132779856</v>
      </c>
      <c r="E1200">
        <f>_xlfn.XLOOKUP(A1200,Banks!A:A,Banks!I:I,0)</f>
        <v>40032.028853996249</v>
      </c>
      <c r="F1200">
        <f>_xlfn.XLOOKUP(A1200,Energy!A:A,Energy!I:I,0)</f>
        <v>0</v>
      </c>
      <c r="G1200">
        <f t="shared" si="73"/>
        <v>40032.028853996249</v>
      </c>
      <c r="H1200">
        <f t="shared" si="74"/>
        <v>38805.444740718267</v>
      </c>
      <c r="I1200" t="b">
        <f t="shared" si="75"/>
        <v>0</v>
      </c>
    </row>
    <row r="1201" spans="1:9">
      <c r="A1201" s="1">
        <v>46044.802777777782</v>
      </c>
      <c r="B1201" s="5">
        <f>_xlfn.XLOOKUP(A1201,Banks!A:A,Banks!H:H,0,-1)</f>
        <v>449.62728101463279</v>
      </c>
      <c r="C1201">
        <f>_xlfn.XLOOKUP(A1201,Energy!A:A,Energy!H:H,0,-1)</f>
        <v>784.14396431027399</v>
      </c>
      <c r="D1201">
        <f t="shared" si="72"/>
        <v>1233.7712453249069</v>
      </c>
      <c r="E1201">
        <f>_xlfn.XLOOKUP(A1201,Banks!A:A,Banks!I:I,0)</f>
        <v>40022.065160124417</v>
      </c>
      <c r="F1201">
        <f>_xlfn.XLOOKUP(A1201,Energy!A:A,Energy!I:I,0)</f>
        <v>0</v>
      </c>
      <c r="G1201">
        <f t="shared" si="73"/>
        <v>40022.065160124417</v>
      </c>
      <c r="H1201">
        <f t="shared" si="74"/>
        <v>38788.293914799513</v>
      </c>
      <c r="I1201" t="b">
        <f t="shared" si="75"/>
        <v>0</v>
      </c>
    </row>
    <row r="1202" spans="1:9">
      <c r="A1202" s="1">
        <v>46044.803472222222</v>
      </c>
      <c r="B1202" s="5">
        <f>_xlfn.XLOOKUP(A1202,Banks!A:A,Banks!H:H,0,-1)</f>
        <v>432.54832580968008</v>
      </c>
      <c r="C1202">
        <f>_xlfn.XLOOKUP(A1202,Energy!A:A,Energy!H:H,0,-1)</f>
        <v>784.14396431027399</v>
      </c>
      <c r="D1202">
        <f t="shared" si="72"/>
        <v>1216.6922901199541</v>
      </c>
      <c r="E1202">
        <f>_xlfn.XLOOKUP(A1202,Banks!A:A,Banks!I:I,0)</f>
        <v>0</v>
      </c>
      <c r="F1202">
        <f>_xlfn.XLOOKUP(A1202,Energy!A:A,Energy!I:I,0)</f>
        <v>0</v>
      </c>
      <c r="G1202">
        <f t="shared" si="73"/>
        <v>0</v>
      </c>
      <c r="H1202">
        <f t="shared" si="74"/>
        <v>-1216.6922901199541</v>
      </c>
      <c r="I1202" t="b">
        <f t="shared" si="75"/>
        <v>0</v>
      </c>
    </row>
    <row r="1203" spans="1:9">
      <c r="A1203" s="1">
        <v>46045.604861111111</v>
      </c>
      <c r="B1203" s="5">
        <f>_xlfn.XLOOKUP(A1203,Banks!A:A,Banks!H:H,0,-1)</f>
        <v>432.54832580968008</v>
      </c>
      <c r="C1203">
        <f>_xlfn.XLOOKUP(A1203,Energy!A:A,Energy!H:H,0,-1)</f>
        <v>784.14396431027399</v>
      </c>
      <c r="D1203">
        <f t="shared" si="72"/>
        <v>1216.6922901199541</v>
      </c>
      <c r="E1203">
        <f>_xlfn.XLOOKUP(A1203,Banks!A:A,Banks!I:I,0)</f>
        <v>40045.069641097172</v>
      </c>
      <c r="F1203">
        <f>_xlfn.XLOOKUP(A1203,Energy!A:A,Energy!I:I,0)</f>
        <v>0</v>
      </c>
      <c r="G1203">
        <f t="shared" si="73"/>
        <v>40045.069641097172</v>
      </c>
      <c r="H1203">
        <f t="shared" si="74"/>
        <v>38828.377350977215</v>
      </c>
      <c r="I1203" t="b">
        <f t="shared" si="75"/>
        <v>0</v>
      </c>
    </row>
    <row r="1204" spans="1:9">
      <c r="A1204" s="1">
        <v>46045.605555555558</v>
      </c>
      <c r="B1204" s="5">
        <f>_xlfn.XLOOKUP(A1204,Banks!A:A,Banks!H:H,0,-1)</f>
        <v>609.71055072004378</v>
      </c>
      <c r="C1204">
        <f>_xlfn.XLOOKUP(A1204,Energy!A:A,Energy!H:H,0,-1)</f>
        <v>784.14396431027399</v>
      </c>
      <c r="D1204">
        <f t="shared" si="72"/>
        <v>1393.8545150303178</v>
      </c>
      <c r="E1204">
        <f>_xlfn.XLOOKUP(A1204,Banks!A:A,Banks!I:I,0)</f>
        <v>40119.079972224543</v>
      </c>
      <c r="F1204">
        <f>_xlfn.XLOOKUP(A1204,Energy!A:A,Energy!I:I,0)</f>
        <v>0</v>
      </c>
      <c r="G1204">
        <f t="shared" si="73"/>
        <v>40119.079972224543</v>
      </c>
      <c r="H1204">
        <f t="shared" si="74"/>
        <v>38725.225457194225</v>
      </c>
      <c r="I1204" t="b">
        <f t="shared" si="75"/>
        <v>0</v>
      </c>
    </row>
    <row r="1205" spans="1:9">
      <c r="A1205" s="1">
        <v>46045.606249999997</v>
      </c>
      <c r="B1205" s="5">
        <f>_xlfn.XLOOKUP(A1205,Banks!A:A,Banks!H:H,0,-1)</f>
        <v>603.54322040755847</v>
      </c>
      <c r="C1205">
        <f>_xlfn.XLOOKUP(A1205,Energy!A:A,Energy!H:H,0,-1)</f>
        <v>784.14396431027399</v>
      </c>
      <c r="D1205">
        <f t="shared" si="72"/>
        <v>1387.6871847178325</v>
      </c>
      <c r="E1205">
        <f>_xlfn.XLOOKUP(A1205,Banks!A:A,Banks!I:I,0)</f>
        <v>40017.544002184273</v>
      </c>
      <c r="F1205">
        <f>_xlfn.XLOOKUP(A1205,Energy!A:A,Energy!I:I,0)</f>
        <v>0</v>
      </c>
      <c r="G1205">
        <f t="shared" si="73"/>
        <v>40017.544002184273</v>
      </c>
      <c r="H1205">
        <f t="shared" si="74"/>
        <v>38629.85681746644</v>
      </c>
      <c r="I1205" t="b">
        <f t="shared" si="75"/>
        <v>0</v>
      </c>
    </row>
    <row r="1206" spans="1:9">
      <c r="A1206" s="1">
        <v>46045.606944444437</v>
      </c>
      <c r="B1206" s="5">
        <f>_xlfn.XLOOKUP(A1206,Banks!A:A,Banks!H:H,0,-1)</f>
        <v>612.72850598986713</v>
      </c>
      <c r="C1206">
        <f>_xlfn.XLOOKUP(A1206,Energy!A:A,Energy!H:H,0,-1)</f>
        <v>784.14396431027399</v>
      </c>
      <c r="D1206">
        <f t="shared" si="72"/>
        <v>1396.8724703001412</v>
      </c>
      <c r="E1206">
        <f>_xlfn.XLOOKUP(A1206,Banks!A:A,Banks!I:I,0)</f>
        <v>40081.105677133208</v>
      </c>
      <c r="F1206">
        <f>_xlfn.XLOOKUP(A1206,Energy!A:A,Energy!I:I,0)</f>
        <v>0</v>
      </c>
      <c r="G1206">
        <f t="shared" si="73"/>
        <v>40081.105677133208</v>
      </c>
      <c r="H1206">
        <f t="shared" si="74"/>
        <v>38684.233206833065</v>
      </c>
      <c r="I1206" t="b">
        <f t="shared" si="75"/>
        <v>0</v>
      </c>
    </row>
    <row r="1207" spans="1:9">
      <c r="A1207" s="1">
        <v>46045.607638888891</v>
      </c>
      <c r="B1207" s="5">
        <f>_xlfn.XLOOKUP(A1207,Banks!A:A,Banks!H:H,0,-1)</f>
        <v>725.62521504452002</v>
      </c>
      <c r="C1207">
        <f>_xlfn.XLOOKUP(A1207,Energy!A:A,Energy!H:H,0,-1)</f>
        <v>784.14396431027399</v>
      </c>
      <c r="D1207">
        <f t="shared" si="72"/>
        <v>1509.769179354794</v>
      </c>
      <c r="E1207">
        <f>_xlfn.XLOOKUP(A1207,Banks!A:A,Banks!I:I,0)</f>
        <v>0</v>
      </c>
      <c r="F1207">
        <f>_xlfn.XLOOKUP(A1207,Energy!A:A,Energy!I:I,0)</f>
        <v>0</v>
      </c>
      <c r="G1207">
        <f t="shared" si="73"/>
        <v>0</v>
      </c>
      <c r="H1207">
        <f t="shared" si="74"/>
        <v>-1509.769179354794</v>
      </c>
      <c r="I1207" t="b">
        <f t="shared" si="75"/>
        <v>0</v>
      </c>
    </row>
    <row r="1208" spans="1:9">
      <c r="A1208" s="1">
        <v>46049.759027777778</v>
      </c>
      <c r="B1208" s="5">
        <f>_xlfn.XLOOKUP(A1208,Banks!A:A,Banks!H:H,0,-1)</f>
        <v>725.62521504452002</v>
      </c>
      <c r="C1208">
        <f>_xlfn.XLOOKUP(A1208,Energy!A:A,Energy!H:H,0,-1)</f>
        <v>784.14396431027399</v>
      </c>
      <c r="D1208">
        <f t="shared" si="72"/>
        <v>1509.769179354794</v>
      </c>
      <c r="E1208">
        <f>_xlfn.XLOOKUP(A1208,Banks!A:A,Banks!I:I,0)</f>
        <v>40045.069641097172</v>
      </c>
      <c r="F1208">
        <f>_xlfn.XLOOKUP(A1208,Energy!A:A,Energy!I:I,0)</f>
        <v>0</v>
      </c>
      <c r="G1208">
        <f t="shared" si="73"/>
        <v>40045.069641097172</v>
      </c>
      <c r="H1208">
        <f t="shared" si="74"/>
        <v>38535.300461742379</v>
      </c>
      <c r="I1208" t="b">
        <f t="shared" si="75"/>
        <v>0</v>
      </c>
    </row>
    <row r="1209" spans="1:9">
      <c r="A1209" s="1">
        <v>46049.759722222218</v>
      </c>
      <c r="B1209" s="5">
        <f>_xlfn.XLOOKUP(A1209,Banks!A:A,Banks!H:H,0,-1)</f>
        <v>688.90959421676405</v>
      </c>
      <c r="C1209">
        <f>_xlfn.XLOOKUP(A1209,Energy!A:A,Energy!H:H,0,-1)</f>
        <v>784.14396431027399</v>
      </c>
      <c r="D1209">
        <f t="shared" si="72"/>
        <v>1473.0535585270381</v>
      </c>
      <c r="E1209">
        <f>_xlfn.XLOOKUP(A1209,Banks!A:A,Banks!I:I,0)</f>
        <v>40052.412765262721</v>
      </c>
      <c r="F1209">
        <f>_xlfn.XLOOKUP(A1209,Energy!A:A,Energy!I:I,0)</f>
        <v>0</v>
      </c>
      <c r="G1209">
        <f t="shared" si="73"/>
        <v>40052.412765262721</v>
      </c>
      <c r="H1209">
        <f t="shared" si="74"/>
        <v>38579.35920673568</v>
      </c>
      <c r="I1209" t="b">
        <f t="shared" si="75"/>
        <v>0</v>
      </c>
    </row>
    <row r="1210" spans="1:9">
      <c r="A1210" s="1">
        <v>46049.760416666657</v>
      </c>
      <c r="B1210" s="5">
        <f>_xlfn.XLOOKUP(A1210,Banks!A:A,Banks!H:H,0,-1)</f>
        <v>647.91391378171943</v>
      </c>
      <c r="C1210">
        <f>_xlfn.XLOOKUP(A1210,Energy!A:A,Energy!H:H,0,-1)</f>
        <v>784.14396431027399</v>
      </c>
      <c r="D1210">
        <f t="shared" si="72"/>
        <v>1432.0578780919934</v>
      </c>
      <c r="E1210">
        <f>_xlfn.XLOOKUP(A1210,Banks!A:A,Banks!I:I,0)</f>
        <v>40052.891866825921</v>
      </c>
      <c r="F1210">
        <f>_xlfn.XLOOKUP(A1210,Energy!A:A,Energy!I:I,0)</f>
        <v>0</v>
      </c>
      <c r="G1210">
        <f t="shared" si="73"/>
        <v>40052.891866825921</v>
      </c>
      <c r="H1210">
        <f t="shared" si="74"/>
        <v>38620.833988733924</v>
      </c>
      <c r="I1210" t="b">
        <f t="shared" si="75"/>
        <v>0</v>
      </c>
    </row>
    <row r="1211" spans="1:9">
      <c r="A1211" s="1">
        <v>46049.761111111111</v>
      </c>
      <c r="B1211" s="5">
        <f>_xlfn.XLOOKUP(A1211,Banks!A:A,Banks!H:H,0,-1)</f>
        <v>611.0506449093948</v>
      </c>
      <c r="C1211">
        <f>_xlfn.XLOOKUP(A1211,Energy!A:A,Energy!H:H,0,-1)</f>
        <v>784.14396431027399</v>
      </c>
      <c r="D1211">
        <f t="shared" si="72"/>
        <v>1395.1946092196688</v>
      </c>
      <c r="E1211">
        <f>_xlfn.XLOOKUP(A1211,Banks!A:A,Banks!I:I,0)</f>
        <v>40079.564606909931</v>
      </c>
      <c r="F1211">
        <f>_xlfn.XLOOKUP(A1211,Energy!A:A,Energy!I:I,0)</f>
        <v>0</v>
      </c>
      <c r="G1211">
        <f t="shared" si="73"/>
        <v>40079.564606909931</v>
      </c>
      <c r="H1211">
        <f t="shared" si="74"/>
        <v>38684.369997690264</v>
      </c>
      <c r="I1211" t="b">
        <f t="shared" si="75"/>
        <v>0</v>
      </c>
    </row>
    <row r="1212" spans="1:9">
      <c r="A1212" s="1">
        <v>46049.761805555558</v>
      </c>
      <c r="B1212" s="5">
        <f>_xlfn.XLOOKUP(A1212,Banks!A:A,Banks!H:H,0,-1)</f>
        <v>618.08952031267779</v>
      </c>
      <c r="C1212">
        <f>_xlfn.XLOOKUP(A1212,Energy!A:A,Energy!H:H,0,-1)</f>
        <v>784.14396431027399</v>
      </c>
      <c r="D1212">
        <f t="shared" si="72"/>
        <v>1402.2334846229519</v>
      </c>
      <c r="E1212">
        <f>_xlfn.XLOOKUP(A1212,Banks!A:A,Banks!I:I,0)</f>
        <v>40074.296814567359</v>
      </c>
      <c r="F1212">
        <f>_xlfn.XLOOKUP(A1212,Energy!A:A,Energy!I:I,0)</f>
        <v>0</v>
      </c>
      <c r="G1212">
        <f t="shared" si="73"/>
        <v>40074.296814567359</v>
      </c>
      <c r="H1212">
        <f t="shared" si="74"/>
        <v>38672.063329944409</v>
      </c>
      <c r="I1212" t="b">
        <f t="shared" si="75"/>
        <v>0</v>
      </c>
    </row>
    <row r="1213" spans="1:9">
      <c r="A1213" s="1">
        <v>46049.762499999997</v>
      </c>
      <c r="B1213" s="5">
        <f>_xlfn.XLOOKUP(A1213,Banks!A:A,Banks!H:H,0,-1)</f>
        <v>719.74427547241635</v>
      </c>
      <c r="C1213">
        <f>_xlfn.XLOOKUP(A1213,Energy!A:A,Energy!H:H,0,-1)</f>
        <v>784.14396431027399</v>
      </c>
      <c r="D1213">
        <f t="shared" si="72"/>
        <v>1503.8882397826903</v>
      </c>
      <c r="E1213">
        <f>_xlfn.XLOOKUP(A1213,Banks!A:A,Banks!I:I,0)</f>
        <v>40073.265949844958</v>
      </c>
      <c r="F1213">
        <f>_xlfn.XLOOKUP(A1213,Energy!A:A,Energy!I:I,0)</f>
        <v>0</v>
      </c>
      <c r="G1213">
        <f t="shared" si="73"/>
        <v>40073.265949844958</v>
      </c>
      <c r="H1213">
        <f t="shared" si="74"/>
        <v>38569.377710062268</v>
      </c>
      <c r="I1213" t="b">
        <f t="shared" si="75"/>
        <v>0</v>
      </c>
    </row>
    <row r="1214" spans="1:9">
      <c r="A1214" s="1">
        <v>46049.763194444437</v>
      </c>
      <c r="B1214" s="5">
        <f>_xlfn.XLOOKUP(A1214,Banks!A:A,Banks!H:H,0,-1)</f>
        <v>806.89725038566473</v>
      </c>
      <c r="C1214">
        <f>_xlfn.XLOOKUP(A1214,Energy!A:A,Energy!H:H,0,-1)</f>
        <v>784.14396431027399</v>
      </c>
      <c r="D1214">
        <f t="shared" si="72"/>
        <v>1591.0412146959388</v>
      </c>
      <c r="E1214">
        <f>_xlfn.XLOOKUP(A1214,Banks!A:A,Banks!I:I,0)</f>
        <v>0</v>
      </c>
      <c r="F1214">
        <f>_xlfn.XLOOKUP(A1214,Energy!A:A,Energy!I:I,0)</f>
        <v>0</v>
      </c>
      <c r="G1214">
        <f t="shared" si="73"/>
        <v>0</v>
      </c>
      <c r="H1214">
        <f t="shared" si="74"/>
        <v>-1591.0412146959388</v>
      </c>
      <c r="I1214" t="b">
        <f t="shared" si="75"/>
        <v>0</v>
      </c>
    </row>
    <row r="1215" spans="1:9">
      <c r="A1215" s="1">
        <v>46050.604166666657</v>
      </c>
      <c r="B1215" s="5">
        <f>_xlfn.XLOOKUP(A1215,Banks!A:A,Banks!H:H,0,-1)</f>
        <v>806.89725038566473</v>
      </c>
      <c r="C1215">
        <f>_xlfn.XLOOKUP(A1215,Energy!A:A,Energy!H:H,0,-1)</f>
        <v>784.14396431027399</v>
      </c>
      <c r="D1215">
        <f t="shared" si="72"/>
        <v>1591.0412146959388</v>
      </c>
      <c r="E1215">
        <f>_xlfn.XLOOKUP(A1215,Banks!A:A,Banks!I:I,0)</f>
        <v>40045.069641097172</v>
      </c>
      <c r="F1215">
        <f>_xlfn.XLOOKUP(A1215,Energy!A:A,Energy!I:I,0)</f>
        <v>0</v>
      </c>
      <c r="G1215">
        <f t="shared" si="73"/>
        <v>40045.069641097172</v>
      </c>
      <c r="H1215">
        <f t="shared" si="74"/>
        <v>38454.02842640123</v>
      </c>
      <c r="I1215" t="b">
        <f t="shared" si="75"/>
        <v>0</v>
      </c>
    </row>
    <row r="1216" spans="1:9">
      <c r="A1216" s="1">
        <v>46050.604861111111</v>
      </c>
      <c r="B1216" s="5">
        <f>_xlfn.XLOOKUP(A1216,Banks!A:A,Banks!H:H,0,-1)</f>
        <v>926.3395253878972</v>
      </c>
      <c r="C1216">
        <f>_xlfn.XLOOKUP(A1216,Energy!A:A,Energy!H:H,0,-1)</f>
        <v>784.14396431027399</v>
      </c>
      <c r="D1216">
        <f t="shared" si="72"/>
        <v>1710.4834896981711</v>
      </c>
      <c r="E1216">
        <f>_xlfn.XLOOKUP(A1216,Banks!A:A,Banks!I:I,0)</f>
        <v>40063.625029417621</v>
      </c>
      <c r="F1216">
        <f>_xlfn.XLOOKUP(A1216,Energy!A:A,Energy!I:I,0)</f>
        <v>0</v>
      </c>
      <c r="G1216">
        <f t="shared" si="73"/>
        <v>40063.625029417621</v>
      </c>
      <c r="H1216">
        <f t="shared" si="74"/>
        <v>38353.141539719451</v>
      </c>
      <c r="I1216" t="b">
        <f t="shared" si="75"/>
        <v>0</v>
      </c>
    </row>
    <row r="1217" spans="1:9">
      <c r="A1217" s="1">
        <v>46050.605555555558</v>
      </c>
      <c r="B1217" s="5">
        <f>_xlfn.XLOOKUP(A1217,Banks!A:A,Banks!H:H,0,-1)</f>
        <v>895.11548317875952</v>
      </c>
      <c r="C1217">
        <f>_xlfn.XLOOKUP(A1217,Energy!A:A,Energy!H:H,0,-1)</f>
        <v>784.14396431027399</v>
      </c>
      <c r="D1217">
        <f t="shared" si="72"/>
        <v>1679.2594474890334</v>
      </c>
      <c r="E1217">
        <f>_xlfn.XLOOKUP(A1217,Banks!A:A,Banks!I:I,0)</f>
        <v>39919.38712063081</v>
      </c>
      <c r="F1217">
        <f>_xlfn.XLOOKUP(A1217,Energy!A:A,Energy!I:I,0)</f>
        <v>0</v>
      </c>
      <c r="G1217">
        <f t="shared" si="73"/>
        <v>39919.38712063081</v>
      </c>
      <c r="H1217">
        <f t="shared" si="74"/>
        <v>38240.127673141775</v>
      </c>
      <c r="I1217" t="b">
        <f t="shared" si="75"/>
        <v>0</v>
      </c>
    </row>
    <row r="1218" spans="1:9">
      <c r="A1218" s="1">
        <v>46050.606249999997</v>
      </c>
      <c r="B1218" s="5">
        <f>_xlfn.XLOOKUP(A1218,Banks!A:A,Banks!H:H,0,-1)</f>
        <v>886.83790853845346</v>
      </c>
      <c r="C1218">
        <f>_xlfn.XLOOKUP(A1218,Energy!A:A,Energy!H:H,0,-1)</f>
        <v>784.14396431027399</v>
      </c>
      <c r="D1218">
        <f t="shared" si="72"/>
        <v>1670.9818728487276</v>
      </c>
      <c r="E1218">
        <f>_xlfn.XLOOKUP(A1218,Banks!A:A,Banks!I:I,0)</f>
        <v>39975.062072512737</v>
      </c>
      <c r="F1218">
        <f>_xlfn.XLOOKUP(A1218,Energy!A:A,Energy!I:I,0)</f>
        <v>0</v>
      </c>
      <c r="G1218">
        <f t="shared" si="73"/>
        <v>39975.062072512737</v>
      </c>
      <c r="H1218">
        <f t="shared" si="74"/>
        <v>38304.080199664008</v>
      </c>
      <c r="I1218" t="b">
        <f t="shared" si="75"/>
        <v>0</v>
      </c>
    </row>
    <row r="1219" spans="1:9">
      <c r="A1219" s="1">
        <v>46050.606944444437</v>
      </c>
      <c r="B1219" s="5">
        <f>_xlfn.XLOOKUP(A1219,Banks!A:A,Banks!H:H,0,-1)</f>
        <v>1001.379710178302</v>
      </c>
      <c r="C1219">
        <f>_xlfn.XLOOKUP(A1219,Energy!A:A,Energy!H:H,0,-1)</f>
        <v>784.14396431027399</v>
      </c>
      <c r="D1219">
        <f t="shared" ref="D1219:D1282" si="76">B1219+C1219</f>
        <v>1785.523674488576</v>
      </c>
      <c r="E1219">
        <f>_xlfn.XLOOKUP(A1219,Banks!A:A,Banks!I:I,0)</f>
        <v>39975.304899450712</v>
      </c>
      <c r="F1219">
        <f>_xlfn.XLOOKUP(A1219,Energy!A:A,Energy!I:I,0)</f>
        <v>0</v>
      </c>
      <c r="G1219">
        <f t="shared" ref="G1219:G1282" si="77">F1219+E1219</f>
        <v>39975.304899450712</v>
      </c>
      <c r="H1219">
        <f t="shared" ref="H1219:H1282" si="78">G1219-D1219</f>
        <v>38189.781224962135</v>
      </c>
      <c r="I1219" t="b">
        <f t="shared" ref="I1219:I1282" si="79">AND(E1219&gt;0,F1219&gt;0)</f>
        <v>0</v>
      </c>
    </row>
    <row r="1220" spans="1:9">
      <c r="A1220" s="1">
        <v>46050.607638888891</v>
      </c>
      <c r="B1220" s="5">
        <f>_xlfn.XLOOKUP(A1220,Banks!A:A,Banks!H:H,0,-1)</f>
        <v>996.43530221299261</v>
      </c>
      <c r="C1220">
        <f>_xlfn.XLOOKUP(A1220,Energy!A:A,Energy!H:H,0,-1)</f>
        <v>784.14396431027399</v>
      </c>
      <c r="D1220">
        <f t="shared" si="76"/>
        <v>1780.5792665232666</v>
      </c>
      <c r="E1220">
        <f>_xlfn.XLOOKUP(A1220,Banks!A:A,Banks!I:I,0)</f>
        <v>40030.313217997653</v>
      </c>
      <c r="F1220">
        <f>_xlfn.XLOOKUP(A1220,Energy!A:A,Energy!I:I,0)</f>
        <v>0</v>
      </c>
      <c r="G1220">
        <f t="shared" si="77"/>
        <v>40030.313217997653</v>
      </c>
      <c r="H1220">
        <f t="shared" si="78"/>
        <v>38249.733951474387</v>
      </c>
      <c r="I1220" t="b">
        <f t="shared" si="79"/>
        <v>0</v>
      </c>
    </row>
    <row r="1221" spans="1:9">
      <c r="A1221" s="1">
        <v>46050.60833333333</v>
      </c>
      <c r="B1221" s="5">
        <f>_xlfn.XLOOKUP(A1221,Banks!A:A,Banks!H:H,0,-1)</f>
        <v>1046.587421035289</v>
      </c>
      <c r="C1221">
        <f>_xlfn.XLOOKUP(A1221,Energy!A:A,Energy!H:H,0,-1)</f>
        <v>784.14396431027399</v>
      </c>
      <c r="D1221">
        <f t="shared" si="76"/>
        <v>1830.731385345563</v>
      </c>
      <c r="E1221">
        <f>_xlfn.XLOOKUP(A1221,Banks!A:A,Banks!I:I,0)</f>
        <v>40055.009575132113</v>
      </c>
      <c r="F1221">
        <f>_xlfn.XLOOKUP(A1221,Energy!A:A,Energy!I:I,0)</f>
        <v>0</v>
      </c>
      <c r="G1221">
        <f t="shared" si="77"/>
        <v>40055.009575132113</v>
      </c>
      <c r="H1221">
        <f t="shared" si="78"/>
        <v>38224.27818978655</v>
      </c>
      <c r="I1221" t="b">
        <f t="shared" si="79"/>
        <v>0</v>
      </c>
    </row>
    <row r="1222" spans="1:9">
      <c r="A1222" s="1">
        <v>46050.609027777777</v>
      </c>
      <c r="B1222" s="5">
        <f>_xlfn.XLOOKUP(A1222,Banks!A:A,Banks!H:H,0,-1)</f>
        <v>1200.7740507776209</v>
      </c>
      <c r="C1222">
        <f>_xlfn.XLOOKUP(A1222,Energy!A:A,Energy!H:H,0,-1)</f>
        <v>784.14396431027399</v>
      </c>
      <c r="D1222">
        <f t="shared" si="76"/>
        <v>1984.9180150878949</v>
      </c>
      <c r="E1222">
        <f>_xlfn.XLOOKUP(A1222,Banks!A:A,Banks!I:I,0)</f>
        <v>40051.181967660581</v>
      </c>
      <c r="F1222">
        <f>_xlfn.XLOOKUP(A1222,Energy!A:A,Energy!I:I,0)</f>
        <v>0</v>
      </c>
      <c r="G1222">
        <f t="shared" si="77"/>
        <v>40051.181967660581</v>
      </c>
      <c r="H1222">
        <f t="shared" si="78"/>
        <v>38066.263952572685</v>
      </c>
      <c r="I1222" t="b">
        <f t="shared" si="79"/>
        <v>0</v>
      </c>
    </row>
    <row r="1223" spans="1:9">
      <c r="A1223" s="1">
        <v>46050.609722222223</v>
      </c>
      <c r="B1223" s="5">
        <f>_xlfn.XLOOKUP(A1223,Banks!A:A,Banks!H:H,0,-1)</f>
        <v>1298.14222834765</v>
      </c>
      <c r="C1223">
        <f>_xlfn.XLOOKUP(A1223,Energy!A:A,Energy!H:H,0,-1)</f>
        <v>784.14396431027399</v>
      </c>
      <c r="D1223">
        <f t="shared" si="76"/>
        <v>2082.2861926579239</v>
      </c>
      <c r="E1223">
        <f>_xlfn.XLOOKUP(A1223,Banks!A:A,Banks!I:I,0)</f>
        <v>40023.991269724589</v>
      </c>
      <c r="F1223">
        <f>_xlfn.XLOOKUP(A1223,Energy!A:A,Energy!I:I,0)</f>
        <v>0</v>
      </c>
      <c r="G1223">
        <f t="shared" si="77"/>
        <v>40023.991269724589</v>
      </c>
      <c r="H1223">
        <f t="shared" si="78"/>
        <v>37941.705077066668</v>
      </c>
      <c r="I1223" t="b">
        <f t="shared" si="79"/>
        <v>0</v>
      </c>
    </row>
    <row r="1224" spans="1:9">
      <c r="A1224" s="1">
        <v>46050.61041666667</v>
      </c>
      <c r="B1224" s="5">
        <f>_xlfn.XLOOKUP(A1224,Banks!A:A,Banks!H:H,0,-1)</f>
        <v>1290.614932305313</v>
      </c>
      <c r="C1224">
        <f>_xlfn.XLOOKUP(A1224,Energy!A:A,Energy!H:H,0,-1)</f>
        <v>784.14396431027399</v>
      </c>
      <c r="D1224">
        <f t="shared" si="76"/>
        <v>2074.7588966155872</v>
      </c>
      <c r="E1224">
        <f>_xlfn.XLOOKUP(A1224,Banks!A:A,Banks!I:I,0)</f>
        <v>39998.487010456127</v>
      </c>
      <c r="F1224">
        <f>_xlfn.XLOOKUP(A1224,Energy!A:A,Energy!I:I,0)</f>
        <v>0</v>
      </c>
      <c r="G1224">
        <f t="shared" si="77"/>
        <v>39998.487010456127</v>
      </c>
      <c r="H1224">
        <f t="shared" si="78"/>
        <v>37923.728113840538</v>
      </c>
      <c r="I1224" t="b">
        <f t="shared" si="79"/>
        <v>0</v>
      </c>
    </row>
    <row r="1225" spans="1:9">
      <c r="A1225" s="1">
        <v>46050.611111111109</v>
      </c>
      <c r="B1225" s="5">
        <f>_xlfn.XLOOKUP(A1225,Banks!A:A,Banks!H:H,0,-1)</f>
        <v>1425.762801340097</v>
      </c>
      <c r="C1225">
        <f>_xlfn.XLOOKUP(A1225,Energy!A:A,Energy!H:H,0,-1)</f>
        <v>784.14396431027399</v>
      </c>
      <c r="D1225">
        <f t="shared" si="76"/>
        <v>2209.9067656503712</v>
      </c>
      <c r="E1225">
        <f>_xlfn.XLOOKUP(A1225,Banks!A:A,Banks!I:I,0)</f>
        <v>40006.184217548092</v>
      </c>
      <c r="F1225">
        <f>_xlfn.XLOOKUP(A1225,Energy!A:A,Energy!I:I,0)</f>
        <v>0</v>
      </c>
      <c r="G1225">
        <f t="shared" si="77"/>
        <v>40006.184217548092</v>
      </c>
      <c r="H1225">
        <f t="shared" si="78"/>
        <v>37796.277451897724</v>
      </c>
      <c r="I1225" t="b">
        <f t="shared" si="79"/>
        <v>0</v>
      </c>
    </row>
    <row r="1226" spans="1:9">
      <c r="A1226" s="1">
        <v>46050.611805555563</v>
      </c>
      <c r="B1226" s="5">
        <f>_xlfn.XLOOKUP(A1226,Banks!A:A,Banks!H:H,0,-1)</f>
        <v>1302.987359662849</v>
      </c>
      <c r="C1226">
        <f>_xlfn.XLOOKUP(A1226,Energy!A:A,Energy!H:H,0,-1)</f>
        <v>784.14396431027399</v>
      </c>
      <c r="D1226">
        <f t="shared" si="76"/>
        <v>2087.131323973123</v>
      </c>
      <c r="E1226">
        <f>_xlfn.XLOOKUP(A1226,Banks!A:A,Banks!I:I,0)</f>
        <v>39988.295462562637</v>
      </c>
      <c r="F1226">
        <f>_xlfn.XLOOKUP(A1226,Energy!A:A,Energy!I:I,0)</f>
        <v>0</v>
      </c>
      <c r="G1226">
        <f t="shared" si="77"/>
        <v>39988.295462562637</v>
      </c>
      <c r="H1226">
        <f t="shared" si="78"/>
        <v>37901.164138589513</v>
      </c>
      <c r="I1226" t="b">
        <f t="shared" si="79"/>
        <v>0</v>
      </c>
    </row>
    <row r="1227" spans="1:9">
      <c r="A1227" s="1">
        <v>46050.612500000003</v>
      </c>
      <c r="B1227" s="5">
        <f>_xlfn.XLOOKUP(A1227,Banks!A:A,Banks!H:H,0,-1)</f>
        <v>1336.672198410379</v>
      </c>
      <c r="C1227">
        <f>_xlfn.XLOOKUP(A1227,Energy!A:A,Energy!H:H,0,-1)</f>
        <v>784.14396431027399</v>
      </c>
      <c r="D1227">
        <f t="shared" si="76"/>
        <v>2120.8161627206528</v>
      </c>
      <c r="E1227">
        <f>_xlfn.XLOOKUP(A1227,Banks!A:A,Banks!I:I,0)</f>
        <v>39977.699963602143</v>
      </c>
      <c r="F1227">
        <f>_xlfn.XLOOKUP(A1227,Energy!A:A,Energy!I:I,0)</f>
        <v>0</v>
      </c>
      <c r="G1227">
        <f t="shared" si="77"/>
        <v>39977.699963602143</v>
      </c>
      <c r="H1227">
        <f t="shared" si="78"/>
        <v>37856.883800881493</v>
      </c>
      <c r="I1227" t="b">
        <f t="shared" si="79"/>
        <v>0</v>
      </c>
    </row>
    <row r="1228" spans="1:9">
      <c r="A1228" s="1">
        <v>46050.613194444442</v>
      </c>
      <c r="B1228" s="5">
        <f>_xlfn.XLOOKUP(A1228,Banks!A:A,Banks!H:H,0,-1)</f>
        <v>1310.6578669582309</v>
      </c>
      <c r="C1228">
        <f>_xlfn.XLOOKUP(A1228,Energy!A:A,Energy!H:H,0,-1)</f>
        <v>784.14396431027399</v>
      </c>
      <c r="D1228">
        <f t="shared" si="76"/>
        <v>2094.8018312685049</v>
      </c>
      <c r="E1228">
        <f>_xlfn.XLOOKUP(A1228,Banks!A:A,Banks!I:I,0)</f>
        <v>39921.166330516717</v>
      </c>
      <c r="F1228">
        <f>_xlfn.XLOOKUP(A1228,Energy!A:A,Energy!I:I,0)</f>
        <v>0</v>
      </c>
      <c r="G1228">
        <f t="shared" si="77"/>
        <v>39921.166330516717</v>
      </c>
      <c r="H1228">
        <f t="shared" si="78"/>
        <v>37826.364499248215</v>
      </c>
      <c r="I1228" t="b">
        <f t="shared" si="79"/>
        <v>0</v>
      </c>
    </row>
    <row r="1229" spans="1:9">
      <c r="A1229" s="1">
        <v>46050.613888888889</v>
      </c>
      <c r="B1229" s="5">
        <f>_xlfn.XLOOKUP(A1229,Banks!A:A,Banks!H:H,0,-1)</f>
        <v>1139.4639728387581</v>
      </c>
      <c r="C1229">
        <f>_xlfn.XLOOKUP(A1229,Energy!A:A,Energy!H:H,0,-1)</f>
        <v>784.14396431027399</v>
      </c>
      <c r="D1229">
        <f t="shared" si="76"/>
        <v>1923.6079371490321</v>
      </c>
      <c r="E1229">
        <f>_xlfn.XLOOKUP(A1229,Banks!A:A,Banks!I:I,0)</f>
        <v>0</v>
      </c>
      <c r="F1229">
        <f>_xlfn.XLOOKUP(A1229,Energy!A:A,Energy!I:I,0)</f>
        <v>0</v>
      </c>
      <c r="G1229">
        <f t="shared" si="77"/>
        <v>0</v>
      </c>
      <c r="H1229">
        <f t="shared" si="78"/>
        <v>-1923.6079371490321</v>
      </c>
      <c r="I1229" t="b">
        <f t="shared" si="79"/>
        <v>0</v>
      </c>
    </row>
    <row r="1230" spans="1:9">
      <c r="A1230" s="1">
        <v>46050.749305555553</v>
      </c>
      <c r="B1230" s="5">
        <f>_xlfn.XLOOKUP(A1230,Banks!A:A,Banks!H:H,0,-1)</f>
        <v>1139.4639728387581</v>
      </c>
      <c r="C1230">
        <f>_xlfn.XLOOKUP(A1230,Energy!A:A,Energy!H:H,0,-1)</f>
        <v>784.14396431027399</v>
      </c>
      <c r="D1230">
        <f t="shared" si="76"/>
        <v>1923.6079371490321</v>
      </c>
      <c r="E1230">
        <f>_xlfn.XLOOKUP(A1230,Banks!A:A,Banks!I:I,0)</f>
        <v>0</v>
      </c>
      <c r="F1230">
        <f>_xlfn.XLOOKUP(A1230,Energy!A:A,Energy!I:I,0)</f>
        <v>44104.887662813198</v>
      </c>
      <c r="G1230">
        <f t="shared" si="77"/>
        <v>44104.887662813198</v>
      </c>
      <c r="H1230">
        <f t="shared" si="78"/>
        <v>42181.279725664164</v>
      </c>
      <c r="I1230" t="b">
        <f t="shared" si="79"/>
        <v>0</v>
      </c>
    </row>
    <row r="1231" spans="1:9">
      <c r="A1231" s="1">
        <v>46050.75</v>
      </c>
      <c r="B1231" s="5">
        <f>_xlfn.XLOOKUP(A1231,Banks!A:A,Banks!H:H,0,-1)</f>
        <v>1139.4639728387581</v>
      </c>
      <c r="C1231">
        <f>_xlfn.XLOOKUP(A1231,Energy!A:A,Energy!H:H,0,-1)</f>
        <v>1328.7250885210819</v>
      </c>
      <c r="D1231">
        <f t="shared" si="76"/>
        <v>2468.1890613598398</v>
      </c>
      <c r="E1231">
        <f>_xlfn.XLOOKUP(A1231,Banks!A:A,Banks!I:I,0)</f>
        <v>0</v>
      </c>
      <c r="F1231">
        <f>_xlfn.XLOOKUP(A1231,Energy!A:A,Energy!I:I,0)</f>
        <v>44174.526161399277</v>
      </c>
      <c r="G1231">
        <f t="shared" si="77"/>
        <v>44174.526161399277</v>
      </c>
      <c r="H1231">
        <f t="shared" si="78"/>
        <v>41706.33710003944</v>
      </c>
      <c r="I1231" t="b">
        <f t="shared" si="79"/>
        <v>0</v>
      </c>
    </row>
    <row r="1232" spans="1:9">
      <c r="A1232" s="1">
        <v>46050.750694444447</v>
      </c>
      <c r="B1232" s="5">
        <f>_xlfn.XLOOKUP(A1232,Banks!A:A,Banks!H:H,0,-1)</f>
        <v>1139.4639728387581</v>
      </c>
      <c r="C1232">
        <f>_xlfn.XLOOKUP(A1232,Energy!A:A,Energy!H:H,0,-1)</f>
        <v>1158.3891655473881</v>
      </c>
      <c r="D1232">
        <f t="shared" si="76"/>
        <v>2297.8531383861464</v>
      </c>
      <c r="E1232">
        <f>_xlfn.XLOOKUP(A1232,Banks!A:A,Banks!I:I,0)</f>
        <v>0</v>
      </c>
      <c r="F1232">
        <f>_xlfn.XLOOKUP(A1232,Energy!A:A,Energy!I:I,0)</f>
        <v>44268.111587136773</v>
      </c>
      <c r="G1232">
        <f t="shared" si="77"/>
        <v>44268.111587136773</v>
      </c>
      <c r="H1232">
        <f t="shared" si="78"/>
        <v>41970.258448750625</v>
      </c>
      <c r="I1232" t="b">
        <f t="shared" si="79"/>
        <v>0</v>
      </c>
    </row>
    <row r="1233" spans="1:9">
      <c r="A1233" s="1">
        <v>46050.751388888893</v>
      </c>
      <c r="B1233" s="5">
        <f>_xlfn.XLOOKUP(A1233,Banks!A:A,Banks!H:H,0,-1)</f>
        <v>1139.4639728387581</v>
      </c>
      <c r="C1233">
        <f>_xlfn.XLOOKUP(A1233,Energy!A:A,Energy!H:H,0,-1)</f>
        <v>1239.216724246869</v>
      </c>
      <c r="D1233">
        <f t="shared" si="76"/>
        <v>2378.6806970856269</v>
      </c>
      <c r="E1233">
        <f>_xlfn.XLOOKUP(A1233,Banks!A:A,Banks!I:I,0)</f>
        <v>0</v>
      </c>
      <c r="F1233">
        <f>_xlfn.XLOOKUP(A1233,Energy!A:A,Energy!I:I,0)</f>
        <v>44300.642818150031</v>
      </c>
      <c r="G1233">
        <f t="shared" si="77"/>
        <v>44300.642818150031</v>
      </c>
      <c r="H1233">
        <f t="shared" si="78"/>
        <v>41921.962121064404</v>
      </c>
      <c r="I1233" t="b">
        <f t="shared" si="79"/>
        <v>0</v>
      </c>
    </row>
    <row r="1234" spans="1:9">
      <c r="A1234" s="1">
        <v>46050.752083333333</v>
      </c>
      <c r="B1234" s="5">
        <f>_xlfn.XLOOKUP(A1234,Banks!A:A,Banks!H:H,0,-1)</f>
        <v>1139.4639728387581</v>
      </c>
      <c r="C1234">
        <f>_xlfn.XLOOKUP(A1234,Energy!A:A,Energy!H:H,0,-1)</f>
        <v>1306.851089181826</v>
      </c>
      <c r="D1234">
        <f t="shared" si="76"/>
        <v>2446.3150620205843</v>
      </c>
      <c r="E1234">
        <f>_xlfn.XLOOKUP(A1234,Banks!A:A,Banks!I:I,0)</f>
        <v>0</v>
      </c>
      <c r="F1234">
        <f>_xlfn.XLOOKUP(A1234,Energy!A:A,Energy!I:I,0)</f>
        <v>44314.169691137024</v>
      </c>
      <c r="G1234">
        <f t="shared" si="77"/>
        <v>44314.169691137024</v>
      </c>
      <c r="H1234">
        <f t="shared" si="78"/>
        <v>41867.854629116438</v>
      </c>
      <c r="I1234" t="b">
        <f t="shared" si="79"/>
        <v>0</v>
      </c>
    </row>
    <row r="1235" spans="1:9">
      <c r="A1235" s="1">
        <v>46050.75277777778</v>
      </c>
      <c r="B1235" s="5">
        <f>_xlfn.XLOOKUP(A1235,Banks!A:A,Banks!H:H,0,-1)</f>
        <v>1139.4639728387581</v>
      </c>
      <c r="C1235">
        <f>_xlfn.XLOOKUP(A1235,Energy!A:A,Energy!H:H,0,-1)</f>
        <v>1415.733431522611</v>
      </c>
      <c r="D1235">
        <f t="shared" si="76"/>
        <v>2555.1974043613691</v>
      </c>
      <c r="E1235">
        <f>_xlfn.XLOOKUP(A1235,Banks!A:A,Banks!I:I,0)</f>
        <v>0</v>
      </c>
      <c r="F1235">
        <f>_xlfn.XLOOKUP(A1235,Energy!A:A,Energy!I:I,0)</f>
        <v>44303.214721058452</v>
      </c>
      <c r="G1235">
        <f t="shared" si="77"/>
        <v>44303.214721058452</v>
      </c>
      <c r="H1235">
        <f t="shared" si="78"/>
        <v>41748.017316697085</v>
      </c>
      <c r="I1235" t="b">
        <f t="shared" si="79"/>
        <v>0</v>
      </c>
    </row>
    <row r="1236" spans="1:9">
      <c r="A1236" s="1">
        <v>46050.753472222219</v>
      </c>
      <c r="B1236" s="5">
        <f>_xlfn.XLOOKUP(A1236,Banks!A:A,Banks!H:H,0,-1)</f>
        <v>1139.4639728387581</v>
      </c>
      <c r="C1236">
        <f>_xlfn.XLOOKUP(A1236,Energy!A:A,Energy!H:H,0,-1)</f>
        <v>1504.7381882643649</v>
      </c>
      <c r="D1236">
        <f t="shared" si="76"/>
        <v>2644.2021611031232</v>
      </c>
      <c r="E1236">
        <f>_xlfn.XLOOKUP(A1236,Banks!A:A,Banks!I:I,0)</f>
        <v>0</v>
      </c>
      <c r="F1236">
        <f>_xlfn.XLOOKUP(A1236,Energy!A:A,Energy!I:I,0)</f>
        <v>0</v>
      </c>
      <c r="G1236">
        <f t="shared" si="77"/>
        <v>0</v>
      </c>
      <c r="H1236">
        <f t="shared" si="78"/>
        <v>-2644.2021611031232</v>
      </c>
      <c r="I1236" t="b">
        <f t="shared" si="79"/>
        <v>0</v>
      </c>
    </row>
    <row r="1237" spans="1:9">
      <c r="A1237" s="1">
        <v>46050.811805555553</v>
      </c>
      <c r="B1237" s="5">
        <f>_xlfn.XLOOKUP(A1237,Banks!A:A,Banks!H:H,0,-1)</f>
        <v>1139.4639728387581</v>
      </c>
      <c r="C1237">
        <f>_xlfn.XLOOKUP(A1237,Energy!A:A,Energy!H:H,0,-1)</f>
        <v>1504.7381882643649</v>
      </c>
      <c r="D1237">
        <f t="shared" si="76"/>
        <v>2644.2021611031232</v>
      </c>
      <c r="E1237">
        <f>_xlfn.XLOOKUP(A1237,Banks!A:A,Banks!I:I,0)</f>
        <v>0</v>
      </c>
      <c r="F1237">
        <f>_xlfn.XLOOKUP(A1237,Energy!A:A,Energy!I:I,0)</f>
        <v>44104.887662813191</v>
      </c>
      <c r="G1237">
        <f t="shared" si="77"/>
        <v>44104.887662813191</v>
      </c>
      <c r="H1237">
        <f t="shared" si="78"/>
        <v>41460.685501710068</v>
      </c>
      <c r="I1237" t="b">
        <f t="shared" si="79"/>
        <v>0</v>
      </c>
    </row>
    <row r="1238" spans="1:9">
      <c r="A1238" s="1">
        <v>46050.8125</v>
      </c>
      <c r="B1238" s="5">
        <f>_xlfn.XLOOKUP(A1238,Banks!A:A,Banks!H:H,0,-1)</f>
        <v>1139.4639728387581</v>
      </c>
      <c r="C1238">
        <f>_xlfn.XLOOKUP(A1238,Energy!A:A,Energy!H:H,0,-1)</f>
        <v>2007.615436752918</v>
      </c>
      <c r="D1238">
        <f t="shared" si="76"/>
        <v>3147.0794095916763</v>
      </c>
      <c r="E1238">
        <f>_xlfn.XLOOKUP(A1238,Banks!A:A,Banks!I:I,0)</f>
        <v>0</v>
      </c>
      <c r="F1238">
        <f>_xlfn.XLOOKUP(A1238,Energy!A:A,Energy!I:I,0)</f>
        <v>43988.107246619467</v>
      </c>
      <c r="G1238">
        <f t="shared" si="77"/>
        <v>43988.107246619467</v>
      </c>
      <c r="H1238">
        <f t="shared" si="78"/>
        <v>40841.027837027788</v>
      </c>
      <c r="I1238" t="b">
        <f t="shared" si="79"/>
        <v>0</v>
      </c>
    </row>
    <row r="1239" spans="1:9">
      <c r="A1239" s="1">
        <v>46050.813194444447</v>
      </c>
      <c r="B1239" s="5">
        <f>_xlfn.XLOOKUP(A1239,Banks!A:A,Banks!H:H,0,-1)</f>
        <v>1139.4639728387581</v>
      </c>
      <c r="C1239">
        <f>_xlfn.XLOOKUP(A1239,Energy!A:A,Energy!H:H,0,-1)</f>
        <v>1433.395655314521</v>
      </c>
      <c r="D1239">
        <f t="shared" si="76"/>
        <v>2572.8596281532791</v>
      </c>
      <c r="E1239">
        <f>_xlfn.XLOOKUP(A1239,Banks!A:A,Banks!I:I,0)</f>
        <v>0</v>
      </c>
      <c r="F1239">
        <f>_xlfn.XLOOKUP(A1239,Energy!A:A,Energy!I:I,0)</f>
        <v>43984.114781936427</v>
      </c>
      <c r="G1239">
        <f t="shared" si="77"/>
        <v>43984.114781936427</v>
      </c>
      <c r="H1239">
        <f t="shared" si="78"/>
        <v>41411.255153783146</v>
      </c>
      <c r="I1239" t="b">
        <f t="shared" si="79"/>
        <v>0</v>
      </c>
    </row>
    <row r="1240" spans="1:9">
      <c r="A1240" s="1">
        <v>46050.813888888893</v>
      </c>
      <c r="B1240" s="5">
        <f>_xlfn.XLOOKUP(A1240,Banks!A:A,Banks!H:H,0,-1)</f>
        <v>1139.4639728387581</v>
      </c>
      <c r="C1240">
        <f>_xlfn.XLOOKUP(A1240,Energy!A:A,Energy!H:H,0,-1)</f>
        <v>1715.3134580010519</v>
      </c>
      <c r="D1240">
        <f t="shared" si="76"/>
        <v>2854.7774308398102</v>
      </c>
      <c r="E1240">
        <f>_xlfn.XLOOKUP(A1240,Banks!A:A,Banks!I:I,0)</f>
        <v>0</v>
      </c>
      <c r="F1240">
        <f>_xlfn.XLOOKUP(A1240,Energy!A:A,Energy!I:I,0)</f>
        <v>43970.944465388471</v>
      </c>
      <c r="G1240">
        <f t="shared" si="77"/>
        <v>43970.944465388471</v>
      </c>
      <c r="H1240">
        <f t="shared" si="78"/>
        <v>41116.167034548664</v>
      </c>
      <c r="I1240" t="b">
        <f t="shared" si="79"/>
        <v>0</v>
      </c>
    </row>
    <row r="1241" spans="1:9">
      <c r="A1241" s="1">
        <v>46050.814583333333</v>
      </c>
      <c r="B1241" s="5">
        <f>_xlfn.XLOOKUP(A1241,Banks!A:A,Banks!H:H,0,-1)</f>
        <v>1139.4639728387581</v>
      </c>
      <c r="C1241">
        <f>_xlfn.XLOOKUP(A1241,Energy!A:A,Energy!H:H,0,-1)</f>
        <v>1829.1028761078919</v>
      </c>
      <c r="D1241">
        <f t="shared" si="76"/>
        <v>2968.5668489466498</v>
      </c>
      <c r="E1241">
        <f>_xlfn.XLOOKUP(A1241,Banks!A:A,Banks!I:I,0)</f>
        <v>0</v>
      </c>
      <c r="F1241">
        <f>_xlfn.XLOOKUP(A1241,Energy!A:A,Energy!I:I,0)</f>
        <v>43969.793203761779</v>
      </c>
      <c r="G1241">
        <f t="shared" si="77"/>
        <v>43969.793203761779</v>
      </c>
      <c r="H1241">
        <f t="shared" si="78"/>
        <v>41001.226354815131</v>
      </c>
      <c r="I1241" t="b">
        <f t="shared" si="79"/>
        <v>0</v>
      </c>
    </row>
    <row r="1242" spans="1:9">
      <c r="A1242" s="1">
        <v>46050.81527777778</v>
      </c>
      <c r="B1242" s="5">
        <f>_xlfn.XLOOKUP(A1242,Banks!A:A,Banks!H:H,0,-1)</f>
        <v>1139.4639728387581</v>
      </c>
      <c r="C1242">
        <f>_xlfn.XLOOKUP(A1242,Energy!A:A,Energy!H:H,0,-1)</f>
        <v>2027.6136976694299</v>
      </c>
      <c r="D1242">
        <f t="shared" si="76"/>
        <v>3167.077670508188</v>
      </c>
      <c r="E1242">
        <f>_xlfn.XLOOKUP(A1242,Banks!A:A,Banks!I:I,0)</f>
        <v>0</v>
      </c>
      <c r="F1242">
        <f>_xlfn.XLOOKUP(A1242,Energy!A:A,Energy!I:I,0)</f>
        <v>0</v>
      </c>
      <c r="G1242">
        <f t="shared" si="77"/>
        <v>0</v>
      </c>
      <c r="H1242">
        <f t="shared" si="78"/>
        <v>-3167.077670508188</v>
      </c>
      <c r="I1242" t="b">
        <f t="shared" si="79"/>
        <v>0</v>
      </c>
    </row>
    <row r="1243" spans="1:9">
      <c r="A1243" s="1">
        <v>46050.857638888891</v>
      </c>
      <c r="B1243" s="5">
        <f>_xlfn.XLOOKUP(A1243,Banks!A:A,Banks!H:H,0,-1)</f>
        <v>1139.4639728387581</v>
      </c>
      <c r="C1243">
        <f>_xlfn.XLOOKUP(A1243,Energy!A:A,Energy!H:H,0,-1)</f>
        <v>2027.6136976694299</v>
      </c>
      <c r="D1243">
        <f t="shared" si="76"/>
        <v>3167.077670508188</v>
      </c>
      <c r="E1243">
        <f>_xlfn.XLOOKUP(A1243,Banks!A:A,Banks!I:I,0)</f>
        <v>40980.586923336989</v>
      </c>
      <c r="F1243">
        <f>_xlfn.XLOOKUP(A1243,Energy!A:A,Energy!I:I,0)</f>
        <v>0</v>
      </c>
      <c r="G1243">
        <f t="shared" si="77"/>
        <v>40980.586923336989</v>
      </c>
      <c r="H1243">
        <f t="shared" si="78"/>
        <v>37813.509252828801</v>
      </c>
      <c r="I1243" t="b">
        <f t="shared" si="79"/>
        <v>0</v>
      </c>
    </row>
    <row r="1244" spans="1:9">
      <c r="A1244" s="1">
        <v>46050.85833333333</v>
      </c>
      <c r="B1244" s="5">
        <f>_xlfn.XLOOKUP(A1244,Banks!A:A,Banks!H:H,0,-1)</f>
        <v>1135.768719713388</v>
      </c>
      <c r="C1244">
        <f>_xlfn.XLOOKUP(A1244,Energy!A:A,Energy!H:H,0,-1)</f>
        <v>2027.6136976694299</v>
      </c>
      <c r="D1244">
        <f t="shared" si="76"/>
        <v>3163.3824173828179</v>
      </c>
      <c r="E1244">
        <f>_xlfn.XLOOKUP(A1244,Banks!A:A,Banks!I:I,0)</f>
        <v>40987.973584146202</v>
      </c>
      <c r="F1244">
        <f>_xlfn.XLOOKUP(A1244,Energy!A:A,Energy!I:I,0)</f>
        <v>0</v>
      </c>
      <c r="G1244">
        <f t="shared" si="77"/>
        <v>40987.973584146202</v>
      </c>
      <c r="H1244">
        <f t="shared" si="78"/>
        <v>37824.591166763385</v>
      </c>
      <c r="I1244" t="b">
        <f t="shared" si="79"/>
        <v>0</v>
      </c>
    </row>
    <row r="1245" spans="1:9">
      <c r="A1245" s="1">
        <v>46050.859027777777</v>
      </c>
      <c r="B1245" s="5">
        <f>_xlfn.XLOOKUP(A1245,Banks!A:A,Banks!H:H,0,-1)</f>
        <v>1151.2830146776589</v>
      </c>
      <c r="C1245">
        <f>_xlfn.XLOOKUP(A1245,Energy!A:A,Energy!H:H,0,-1)</f>
        <v>2027.6136976694299</v>
      </c>
      <c r="D1245">
        <f t="shared" si="76"/>
        <v>3178.8967123470889</v>
      </c>
      <c r="E1245">
        <f>_xlfn.XLOOKUP(A1245,Banks!A:A,Banks!I:I,0)</f>
        <v>40978.887875987617</v>
      </c>
      <c r="F1245">
        <f>_xlfn.XLOOKUP(A1245,Energy!A:A,Energy!I:I,0)</f>
        <v>0</v>
      </c>
      <c r="G1245">
        <f t="shared" si="77"/>
        <v>40978.887875987617</v>
      </c>
      <c r="H1245">
        <f t="shared" si="78"/>
        <v>37799.99116364053</v>
      </c>
      <c r="I1245" t="b">
        <f t="shared" si="79"/>
        <v>0</v>
      </c>
    </row>
    <row r="1246" spans="1:9">
      <c r="A1246" s="1">
        <v>46050.859722222223</v>
      </c>
      <c r="B1246" s="5">
        <f>_xlfn.XLOOKUP(A1246,Banks!A:A,Banks!H:H,0,-1)</f>
        <v>1197.6401755538241</v>
      </c>
      <c r="C1246">
        <f>_xlfn.XLOOKUP(A1246,Energy!A:A,Energy!H:H,0,-1)</f>
        <v>2027.6136976694299</v>
      </c>
      <c r="D1246">
        <f t="shared" si="76"/>
        <v>3225.2538732232542</v>
      </c>
      <c r="E1246">
        <f>_xlfn.XLOOKUP(A1246,Banks!A:A,Banks!I:I,0)</f>
        <v>40955.656462425693</v>
      </c>
      <c r="F1246">
        <f>_xlfn.XLOOKUP(A1246,Energy!A:A,Energy!I:I,0)</f>
        <v>0</v>
      </c>
      <c r="G1246">
        <f t="shared" si="77"/>
        <v>40955.656462425693</v>
      </c>
      <c r="H1246">
        <f t="shared" si="78"/>
        <v>37730.402589202437</v>
      </c>
      <c r="I1246" t="b">
        <f t="shared" si="79"/>
        <v>0</v>
      </c>
    </row>
    <row r="1247" spans="1:9">
      <c r="A1247" s="1">
        <v>46050.86041666667</v>
      </c>
      <c r="B1247" s="5">
        <f>_xlfn.XLOOKUP(A1247,Banks!A:A,Banks!H:H,0,-1)</f>
        <v>1133.002086671275</v>
      </c>
      <c r="C1247">
        <f>_xlfn.XLOOKUP(A1247,Energy!A:A,Energy!H:H,0,-1)</f>
        <v>2027.6136976694299</v>
      </c>
      <c r="D1247">
        <f t="shared" si="76"/>
        <v>3160.615784340705</v>
      </c>
      <c r="E1247">
        <f>_xlfn.XLOOKUP(A1247,Banks!A:A,Banks!I:I,0)</f>
        <v>40975.231690386339</v>
      </c>
      <c r="F1247">
        <f>_xlfn.XLOOKUP(A1247,Energy!A:A,Energy!I:I,0)</f>
        <v>0</v>
      </c>
      <c r="G1247">
        <f t="shared" si="77"/>
        <v>40975.231690386339</v>
      </c>
      <c r="H1247">
        <f t="shared" si="78"/>
        <v>37814.615906045634</v>
      </c>
      <c r="I1247" t="b">
        <f t="shared" si="79"/>
        <v>0</v>
      </c>
    </row>
    <row r="1248" spans="1:9">
      <c r="A1248" s="1">
        <v>46050.861111111109</v>
      </c>
      <c r="B1248" s="5">
        <f>_xlfn.XLOOKUP(A1248,Banks!A:A,Banks!H:H,0,-1)</f>
        <v>1080.006929214811</v>
      </c>
      <c r="C1248">
        <f>_xlfn.XLOOKUP(A1248,Energy!A:A,Energy!H:H,0,-1)</f>
        <v>2027.6136976694299</v>
      </c>
      <c r="D1248">
        <f t="shared" si="76"/>
        <v>3107.6206268842407</v>
      </c>
      <c r="E1248">
        <f>_xlfn.XLOOKUP(A1248,Banks!A:A,Banks!I:I,0)</f>
        <v>40960.569803177903</v>
      </c>
      <c r="F1248">
        <f>_xlfn.XLOOKUP(A1248,Energy!A:A,Energy!I:I,0)</f>
        <v>0</v>
      </c>
      <c r="G1248">
        <f t="shared" si="77"/>
        <v>40960.569803177903</v>
      </c>
      <c r="H1248">
        <f t="shared" si="78"/>
        <v>37852.94917629366</v>
      </c>
      <c r="I1248" t="b">
        <f t="shared" si="79"/>
        <v>0</v>
      </c>
    </row>
    <row r="1249" spans="1:9">
      <c r="A1249" s="1">
        <v>46050.861805555563</v>
      </c>
      <c r="B1249" s="5">
        <f>_xlfn.XLOOKUP(A1249,Banks!A:A,Banks!H:H,0,-1)</f>
        <v>1046.7688782941091</v>
      </c>
      <c r="C1249">
        <f>_xlfn.XLOOKUP(A1249,Energy!A:A,Energy!H:H,0,-1)</f>
        <v>2027.6136976694299</v>
      </c>
      <c r="D1249">
        <f t="shared" si="76"/>
        <v>3074.3825759635392</v>
      </c>
      <c r="E1249">
        <f>_xlfn.XLOOKUP(A1249,Banks!A:A,Banks!I:I,0)</f>
        <v>40953.922192993763</v>
      </c>
      <c r="F1249">
        <f>_xlfn.XLOOKUP(A1249,Energy!A:A,Energy!I:I,0)</f>
        <v>0</v>
      </c>
      <c r="G1249">
        <f t="shared" si="77"/>
        <v>40953.922192993763</v>
      </c>
      <c r="H1249">
        <f t="shared" si="78"/>
        <v>37879.539617030227</v>
      </c>
      <c r="I1249" t="b">
        <f t="shared" si="79"/>
        <v>0</v>
      </c>
    </row>
    <row r="1250" spans="1:9">
      <c r="A1250" s="1">
        <v>46050.862500000003</v>
      </c>
      <c r="B1250" s="5">
        <f>_xlfn.XLOOKUP(A1250,Banks!A:A,Banks!H:H,0,-1)</f>
        <v>1017.959362961554</v>
      </c>
      <c r="C1250">
        <f>_xlfn.XLOOKUP(A1250,Energy!A:A,Energy!H:H,0,-1)</f>
        <v>2027.6136976694299</v>
      </c>
      <c r="D1250">
        <f t="shared" si="76"/>
        <v>3045.5730606309839</v>
      </c>
      <c r="E1250">
        <f>_xlfn.XLOOKUP(A1250,Banks!A:A,Banks!I:I,0)</f>
        <v>40960.348857078687</v>
      </c>
      <c r="F1250">
        <f>_xlfn.XLOOKUP(A1250,Energy!A:A,Energy!I:I,0)</f>
        <v>0</v>
      </c>
      <c r="G1250">
        <f t="shared" si="77"/>
        <v>40960.348857078687</v>
      </c>
      <c r="H1250">
        <f t="shared" si="78"/>
        <v>37914.775796447706</v>
      </c>
      <c r="I1250" t="b">
        <f t="shared" si="79"/>
        <v>0</v>
      </c>
    </row>
    <row r="1251" spans="1:9">
      <c r="A1251" s="1">
        <v>46050.863194444442</v>
      </c>
      <c r="B1251" s="5">
        <f>_xlfn.XLOOKUP(A1251,Banks!A:A,Banks!H:H,0,-1)</f>
        <v>992.84510075440141</v>
      </c>
      <c r="C1251">
        <f>_xlfn.XLOOKUP(A1251,Energy!A:A,Energy!H:H,0,-1)</f>
        <v>2027.6136976694299</v>
      </c>
      <c r="D1251">
        <f t="shared" si="76"/>
        <v>3020.4587984238315</v>
      </c>
      <c r="E1251">
        <f>_xlfn.XLOOKUP(A1251,Banks!A:A,Banks!I:I,0)</f>
        <v>40959.388860354396</v>
      </c>
      <c r="F1251">
        <f>_xlfn.XLOOKUP(A1251,Energy!A:A,Energy!I:I,0)</f>
        <v>0</v>
      </c>
      <c r="G1251">
        <f t="shared" si="77"/>
        <v>40959.388860354396</v>
      </c>
      <c r="H1251">
        <f t="shared" si="78"/>
        <v>37938.930061930565</v>
      </c>
      <c r="I1251" t="b">
        <f t="shared" si="79"/>
        <v>0</v>
      </c>
    </row>
    <row r="1252" spans="1:9">
      <c r="A1252" s="1">
        <v>46050.863888888889</v>
      </c>
      <c r="B1252" s="5">
        <f>_xlfn.XLOOKUP(A1252,Banks!A:A,Banks!H:H,0,-1)</f>
        <v>1019.6212655075871</v>
      </c>
      <c r="C1252">
        <f>_xlfn.XLOOKUP(A1252,Energy!A:A,Energy!H:H,0,-1)</f>
        <v>2027.6136976694299</v>
      </c>
      <c r="D1252">
        <f t="shared" si="76"/>
        <v>3047.2349631770171</v>
      </c>
      <c r="E1252">
        <f>_xlfn.XLOOKUP(A1252,Banks!A:A,Banks!I:I,0)</f>
        <v>40960.681237587902</v>
      </c>
      <c r="F1252">
        <f>_xlfn.XLOOKUP(A1252,Energy!A:A,Energy!I:I,0)</f>
        <v>0</v>
      </c>
      <c r="G1252">
        <f t="shared" si="77"/>
        <v>40960.681237587902</v>
      </c>
      <c r="H1252">
        <f t="shared" si="78"/>
        <v>37913.446274410882</v>
      </c>
      <c r="I1252" t="b">
        <f t="shared" si="79"/>
        <v>0</v>
      </c>
    </row>
    <row r="1253" spans="1:9">
      <c r="A1253" s="1">
        <v>46050.864583333343</v>
      </c>
      <c r="B1253" s="5">
        <f>_xlfn.XLOOKUP(A1253,Banks!A:A,Banks!H:H,0,-1)</f>
        <v>1033.2879339091901</v>
      </c>
      <c r="C1253">
        <f>_xlfn.XLOOKUP(A1253,Energy!A:A,Energy!H:H,0,-1)</f>
        <v>2027.6136976694299</v>
      </c>
      <c r="D1253">
        <f t="shared" si="76"/>
        <v>3060.9016315786203</v>
      </c>
      <c r="E1253">
        <f>_xlfn.XLOOKUP(A1253,Banks!A:A,Banks!I:I,0)</f>
        <v>40955.288859833927</v>
      </c>
      <c r="F1253">
        <f>_xlfn.XLOOKUP(A1253,Energy!A:A,Energy!I:I,0)</f>
        <v>0</v>
      </c>
      <c r="G1253">
        <f t="shared" si="77"/>
        <v>40955.288859833927</v>
      </c>
      <c r="H1253">
        <f t="shared" si="78"/>
        <v>37894.387228255306</v>
      </c>
      <c r="I1253" t="b">
        <f t="shared" si="79"/>
        <v>0</v>
      </c>
    </row>
    <row r="1254" spans="1:9">
      <c r="A1254" s="1">
        <v>46050.865277777782</v>
      </c>
      <c r="B1254" s="5">
        <f>_xlfn.XLOOKUP(A1254,Banks!A:A,Banks!H:H,0,-1)</f>
        <v>1014.264109836183</v>
      </c>
      <c r="C1254">
        <f>_xlfn.XLOOKUP(A1254,Energy!A:A,Energy!H:H,0,-1)</f>
        <v>2027.6136976694299</v>
      </c>
      <c r="D1254">
        <f t="shared" si="76"/>
        <v>3041.877807505613</v>
      </c>
      <c r="E1254">
        <f>_xlfn.XLOOKUP(A1254,Banks!A:A,Banks!I:I,0)</f>
        <v>40967.735517887901</v>
      </c>
      <c r="F1254">
        <f>_xlfn.XLOOKUP(A1254,Energy!A:A,Energy!I:I,0)</f>
        <v>0</v>
      </c>
      <c r="G1254">
        <f t="shared" si="77"/>
        <v>40967.735517887901</v>
      </c>
      <c r="H1254">
        <f t="shared" si="78"/>
        <v>37925.85771038229</v>
      </c>
      <c r="I1254" t="b">
        <f t="shared" si="79"/>
        <v>0</v>
      </c>
    </row>
    <row r="1255" spans="1:9">
      <c r="A1255" s="1">
        <v>46050.865972222222</v>
      </c>
      <c r="B1255" s="5">
        <f>_xlfn.XLOOKUP(A1255,Banks!A:A,Banks!H:H,0,-1)</f>
        <v>911.04042796539557</v>
      </c>
      <c r="C1255">
        <f>_xlfn.XLOOKUP(A1255,Energy!A:A,Energy!H:H,0,-1)</f>
        <v>2027.6136976694299</v>
      </c>
      <c r="D1255">
        <f t="shared" si="76"/>
        <v>2938.6541256348255</v>
      </c>
      <c r="E1255">
        <f>_xlfn.XLOOKUP(A1255,Banks!A:A,Banks!I:I,0)</f>
        <v>40951.153637230891</v>
      </c>
      <c r="F1255">
        <f>_xlfn.XLOOKUP(A1255,Energy!A:A,Energy!I:I,0)</f>
        <v>0</v>
      </c>
      <c r="G1255">
        <f t="shared" si="77"/>
        <v>40951.153637230891</v>
      </c>
      <c r="H1255">
        <f t="shared" si="78"/>
        <v>38012.499511596063</v>
      </c>
      <c r="I1255" t="b">
        <f t="shared" si="79"/>
        <v>0</v>
      </c>
    </row>
    <row r="1256" spans="1:9">
      <c r="A1256" s="1">
        <v>46050.866666666669</v>
      </c>
      <c r="B1256" s="5">
        <f>_xlfn.XLOOKUP(A1256,Banks!A:A,Banks!H:H,0,-1)</f>
        <v>1015.007005902806</v>
      </c>
      <c r="C1256">
        <f>_xlfn.XLOOKUP(A1256,Energy!A:A,Energy!H:H,0,-1)</f>
        <v>2027.6136976694299</v>
      </c>
      <c r="D1256">
        <f t="shared" si="76"/>
        <v>3042.6207035722359</v>
      </c>
      <c r="E1256">
        <f>_xlfn.XLOOKUP(A1256,Banks!A:A,Banks!I:I,0)</f>
        <v>40951.632674232649</v>
      </c>
      <c r="F1256">
        <f>_xlfn.XLOOKUP(A1256,Energy!A:A,Energy!I:I,0)</f>
        <v>0</v>
      </c>
      <c r="G1256">
        <f t="shared" si="77"/>
        <v>40951.632674232649</v>
      </c>
      <c r="H1256">
        <f t="shared" si="78"/>
        <v>37909.011970660416</v>
      </c>
      <c r="I1256" t="b">
        <f t="shared" si="79"/>
        <v>0</v>
      </c>
    </row>
    <row r="1257" spans="1:9">
      <c r="A1257" s="1">
        <v>46050.867361111108</v>
      </c>
      <c r="B1257" s="5">
        <f>_xlfn.XLOOKUP(A1257,Banks!A:A,Banks!H:H,0,-1)</f>
        <v>1022.759346583018</v>
      </c>
      <c r="C1257">
        <f>_xlfn.XLOOKUP(A1257,Energy!A:A,Energy!H:H,0,-1)</f>
        <v>2027.6136976694299</v>
      </c>
      <c r="D1257">
        <f t="shared" si="76"/>
        <v>3050.3730442524479</v>
      </c>
      <c r="E1257">
        <f>_xlfn.XLOOKUP(A1257,Banks!A:A,Banks!I:I,0)</f>
        <v>40965.371709520128</v>
      </c>
      <c r="F1257">
        <f>_xlfn.XLOOKUP(A1257,Energy!A:A,Energy!I:I,0)</f>
        <v>0</v>
      </c>
      <c r="G1257">
        <f t="shared" si="77"/>
        <v>40965.371709520128</v>
      </c>
      <c r="H1257">
        <f t="shared" si="78"/>
        <v>37914.998665267682</v>
      </c>
      <c r="I1257" t="b">
        <f t="shared" si="79"/>
        <v>0</v>
      </c>
    </row>
    <row r="1258" spans="1:9">
      <c r="A1258" s="1">
        <v>46050.868055555547</v>
      </c>
      <c r="B1258" s="5">
        <f>_xlfn.XLOOKUP(A1258,Banks!A:A,Banks!H:H,0,-1)</f>
        <v>835.86413815280957</v>
      </c>
      <c r="C1258">
        <f>_xlfn.XLOOKUP(A1258,Energy!A:A,Energy!H:H,0,-1)</f>
        <v>2027.6136976694299</v>
      </c>
      <c r="D1258">
        <f t="shared" si="76"/>
        <v>2863.4778358222393</v>
      </c>
      <c r="E1258">
        <f>_xlfn.XLOOKUP(A1258,Banks!A:A,Banks!I:I,0)</f>
        <v>41017.375493611267</v>
      </c>
      <c r="F1258">
        <f>_xlfn.XLOOKUP(A1258,Energy!A:A,Energy!I:I,0)</f>
        <v>0</v>
      </c>
      <c r="G1258">
        <f t="shared" si="77"/>
        <v>41017.375493611267</v>
      </c>
      <c r="H1258">
        <f t="shared" si="78"/>
        <v>38153.897657789028</v>
      </c>
      <c r="I1258" t="b">
        <f t="shared" si="79"/>
        <v>0</v>
      </c>
    </row>
    <row r="1259" spans="1:9">
      <c r="A1259" s="1">
        <v>46050.868750000001</v>
      </c>
      <c r="B1259" s="5">
        <f>_xlfn.XLOOKUP(A1259,Banks!A:A,Banks!H:H,0,-1)</f>
        <v>865.5926599647762</v>
      </c>
      <c r="C1259">
        <f>_xlfn.XLOOKUP(A1259,Energy!A:A,Energy!H:H,0,-1)</f>
        <v>2027.6136976694299</v>
      </c>
      <c r="D1259">
        <f t="shared" si="76"/>
        <v>2893.2063576342061</v>
      </c>
      <c r="E1259">
        <f>_xlfn.XLOOKUP(A1259,Banks!A:A,Banks!I:I,0)</f>
        <v>41027.384053690817</v>
      </c>
      <c r="F1259">
        <f>_xlfn.XLOOKUP(A1259,Energy!A:A,Energy!I:I,0)</f>
        <v>0</v>
      </c>
      <c r="G1259">
        <f t="shared" si="77"/>
        <v>41027.384053690817</v>
      </c>
      <c r="H1259">
        <f t="shared" si="78"/>
        <v>38134.177696056613</v>
      </c>
      <c r="I1259" t="b">
        <f t="shared" si="79"/>
        <v>0</v>
      </c>
    </row>
    <row r="1260" spans="1:9">
      <c r="A1260" s="1">
        <v>46050.869444444441</v>
      </c>
      <c r="B1260" s="5">
        <f>_xlfn.XLOOKUP(A1260,Banks!A:A,Banks!H:H,0,-1)</f>
        <v>852.29743959649181</v>
      </c>
      <c r="C1260">
        <f>_xlfn.XLOOKUP(A1260,Energy!A:A,Energy!H:H,0,-1)</f>
        <v>2027.6136976694299</v>
      </c>
      <c r="D1260">
        <f t="shared" si="76"/>
        <v>2879.9111372659218</v>
      </c>
      <c r="E1260">
        <f>_xlfn.XLOOKUP(A1260,Banks!A:A,Banks!I:I,0)</f>
        <v>41024.725009617163</v>
      </c>
      <c r="F1260">
        <f>_xlfn.XLOOKUP(A1260,Energy!A:A,Energy!I:I,0)</f>
        <v>0</v>
      </c>
      <c r="G1260">
        <f t="shared" si="77"/>
        <v>41024.725009617163</v>
      </c>
      <c r="H1260">
        <f t="shared" si="78"/>
        <v>38144.813872351238</v>
      </c>
      <c r="I1260" t="b">
        <f t="shared" si="79"/>
        <v>0</v>
      </c>
    </row>
    <row r="1261" spans="1:9">
      <c r="A1261" s="1">
        <v>46050.870138888888</v>
      </c>
      <c r="B1261" s="5">
        <f>_xlfn.XLOOKUP(A1261,Banks!A:A,Banks!H:H,0,-1)</f>
        <v>835.49269011949127</v>
      </c>
      <c r="C1261">
        <f>_xlfn.XLOOKUP(A1261,Energy!A:A,Energy!H:H,0,-1)</f>
        <v>2027.6136976694299</v>
      </c>
      <c r="D1261">
        <f t="shared" si="76"/>
        <v>2863.106387788921</v>
      </c>
      <c r="E1261">
        <f>_xlfn.XLOOKUP(A1261,Banks!A:A,Banks!I:I,0)</f>
        <v>41025.426915438897</v>
      </c>
      <c r="F1261">
        <f>_xlfn.XLOOKUP(A1261,Energy!A:A,Energy!I:I,0)</f>
        <v>0</v>
      </c>
      <c r="G1261">
        <f t="shared" si="77"/>
        <v>41025.426915438897</v>
      </c>
      <c r="H1261">
        <f t="shared" si="78"/>
        <v>38162.320527649979</v>
      </c>
      <c r="I1261" t="b">
        <f t="shared" si="79"/>
        <v>0</v>
      </c>
    </row>
    <row r="1262" spans="1:9">
      <c r="A1262" s="1">
        <v>46050.870833333327</v>
      </c>
      <c r="B1262" s="5">
        <f>_xlfn.XLOOKUP(A1262,Banks!A:A,Banks!H:H,0,-1)</f>
        <v>846.56883589178415</v>
      </c>
      <c r="C1262">
        <f>_xlfn.XLOOKUP(A1262,Energy!A:A,Energy!H:H,0,-1)</f>
        <v>2027.6136976694299</v>
      </c>
      <c r="D1262">
        <f t="shared" si="76"/>
        <v>2874.1825335612139</v>
      </c>
      <c r="E1262">
        <f>_xlfn.XLOOKUP(A1262,Banks!A:A,Banks!I:I,0)</f>
        <v>41039.830711744791</v>
      </c>
      <c r="F1262">
        <f>_xlfn.XLOOKUP(A1262,Energy!A:A,Energy!I:I,0)</f>
        <v>0</v>
      </c>
      <c r="G1262">
        <f t="shared" si="77"/>
        <v>41039.830711744791</v>
      </c>
      <c r="H1262">
        <f t="shared" si="78"/>
        <v>38165.648178183576</v>
      </c>
      <c r="I1262" t="b">
        <f t="shared" si="79"/>
        <v>0</v>
      </c>
    </row>
    <row r="1263" spans="1:9">
      <c r="A1263" s="1">
        <v>46050.871527777781</v>
      </c>
      <c r="B1263" s="5">
        <f>_xlfn.XLOOKUP(A1263,Banks!A:A,Banks!H:H,0,-1)</f>
        <v>899.57360695208126</v>
      </c>
      <c r="C1263">
        <f>_xlfn.XLOOKUP(A1263,Energy!A:A,Energy!H:H,0,-1)</f>
        <v>2027.6136976694299</v>
      </c>
      <c r="D1263">
        <f t="shared" si="76"/>
        <v>2927.1873046215114</v>
      </c>
      <c r="E1263">
        <f>_xlfn.XLOOKUP(A1263,Banks!A:A,Banks!I:I,0)</f>
        <v>41017.928820219699</v>
      </c>
      <c r="F1263">
        <f>_xlfn.XLOOKUP(A1263,Energy!A:A,Energy!I:I,0)</f>
        <v>0</v>
      </c>
      <c r="G1263">
        <f t="shared" si="77"/>
        <v>41017.928820219699</v>
      </c>
      <c r="H1263">
        <f t="shared" si="78"/>
        <v>38090.741515598187</v>
      </c>
      <c r="I1263" t="b">
        <f t="shared" si="79"/>
        <v>0</v>
      </c>
    </row>
    <row r="1264" spans="1:9">
      <c r="A1264" s="1">
        <v>46050.87222222222</v>
      </c>
      <c r="B1264" s="5">
        <f>_xlfn.XLOOKUP(A1264,Banks!A:A,Banks!H:H,0,-1)</f>
        <v>866.52128004803399</v>
      </c>
      <c r="C1264">
        <f>_xlfn.XLOOKUP(A1264,Energy!A:A,Energy!H:H,0,-1)</f>
        <v>2027.6136976694299</v>
      </c>
      <c r="D1264">
        <f t="shared" si="76"/>
        <v>2894.1349777174637</v>
      </c>
      <c r="E1264">
        <f>_xlfn.XLOOKUP(A1264,Banks!A:A,Banks!I:I,0)</f>
        <v>41007.25549912174</v>
      </c>
      <c r="F1264">
        <f>_xlfn.XLOOKUP(A1264,Energy!A:A,Energy!I:I,0)</f>
        <v>0</v>
      </c>
      <c r="G1264">
        <f t="shared" si="77"/>
        <v>41007.25549912174</v>
      </c>
      <c r="H1264">
        <f t="shared" si="78"/>
        <v>38113.120521404278</v>
      </c>
      <c r="I1264" t="b">
        <f t="shared" si="79"/>
        <v>0</v>
      </c>
    </row>
    <row r="1265" spans="1:9">
      <c r="A1265" s="1">
        <v>46050.872916666667</v>
      </c>
      <c r="B1265" s="5">
        <f>_xlfn.XLOOKUP(A1265,Banks!A:A,Banks!H:H,0,-1)</f>
        <v>834.3879596234118</v>
      </c>
      <c r="C1265">
        <f>_xlfn.XLOOKUP(A1265,Energy!A:A,Energy!H:H,0,-1)</f>
        <v>2027.6136976694299</v>
      </c>
      <c r="D1265">
        <f t="shared" si="76"/>
        <v>2862.0016572928416</v>
      </c>
      <c r="E1265">
        <f>_xlfn.XLOOKUP(A1265,Banks!A:A,Banks!I:I,0)</f>
        <v>41013.017402188263</v>
      </c>
      <c r="F1265">
        <f>_xlfn.XLOOKUP(A1265,Energy!A:A,Energy!I:I,0)</f>
        <v>0</v>
      </c>
      <c r="G1265">
        <f t="shared" si="77"/>
        <v>41013.017402188263</v>
      </c>
      <c r="H1265">
        <f t="shared" si="78"/>
        <v>38151.01574489542</v>
      </c>
      <c r="I1265" t="b">
        <f t="shared" si="79"/>
        <v>0</v>
      </c>
    </row>
    <row r="1266" spans="1:9">
      <c r="A1266" s="1">
        <v>46050.873611111107</v>
      </c>
      <c r="B1266" s="5">
        <f>_xlfn.XLOOKUP(A1266,Banks!A:A,Banks!H:H,0,-1)</f>
        <v>768.63552664093709</v>
      </c>
      <c r="C1266">
        <f>_xlfn.XLOOKUP(A1266,Energy!A:A,Energy!H:H,0,-1)</f>
        <v>2027.6136976694299</v>
      </c>
      <c r="D1266">
        <f t="shared" si="76"/>
        <v>2796.249224310367</v>
      </c>
      <c r="E1266">
        <f>_xlfn.XLOOKUP(A1266,Banks!A:A,Banks!I:I,0)</f>
        <v>41056.74689563179</v>
      </c>
      <c r="F1266">
        <f>_xlfn.XLOOKUP(A1266,Energy!A:A,Energy!I:I,0)</f>
        <v>0</v>
      </c>
      <c r="G1266">
        <f t="shared" si="77"/>
        <v>41056.74689563179</v>
      </c>
      <c r="H1266">
        <f t="shared" si="78"/>
        <v>38260.49767132142</v>
      </c>
      <c r="I1266" t="b">
        <f t="shared" si="79"/>
        <v>0</v>
      </c>
    </row>
    <row r="1267" spans="1:9">
      <c r="A1267" s="1">
        <v>46050.874305555553</v>
      </c>
      <c r="B1267" s="5">
        <f>_xlfn.XLOOKUP(A1267,Banks!A:A,Banks!H:H,0,-1)</f>
        <v>748.33086165908185</v>
      </c>
      <c r="C1267">
        <f>_xlfn.XLOOKUP(A1267,Energy!A:A,Energy!H:H,0,-1)</f>
        <v>2027.6136976694299</v>
      </c>
      <c r="D1267">
        <f t="shared" si="76"/>
        <v>2775.9445593285118</v>
      </c>
      <c r="E1267">
        <f>_xlfn.XLOOKUP(A1267,Banks!A:A,Banks!I:I,0)</f>
        <v>41024.245972615397</v>
      </c>
      <c r="F1267">
        <f>_xlfn.XLOOKUP(A1267,Energy!A:A,Energy!I:I,0)</f>
        <v>0</v>
      </c>
      <c r="G1267">
        <f t="shared" si="77"/>
        <v>41024.245972615397</v>
      </c>
      <c r="H1267">
        <f t="shared" si="78"/>
        <v>38248.301413286885</v>
      </c>
      <c r="I1267" t="b">
        <f t="shared" si="79"/>
        <v>0</v>
      </c>
    </row>
    <row r="1268" spans="1:9">
      <c r="A1268" s="1">
        <v>46051.604166666657</v>
      </c>
      <c r="B1268" s="5">
        <f>_xlfn.XLOOKUP(A1268,Banks!A:A,Banks!H:H,0,-1)</f>
        <v>826.34414528414391</v>
      </c>
      <c r="C1268">
        <f>_xlfn.XLOOKUP(A1268,Energy!A:A,Energy!H:H,0,-1)</f>
        <v>2027.6136976694299</v>
      </c>
      <c r="D1268">
        <f t="shared" si="76"/>
        <v>2853.9578429535741</v>
      </c>
      <c r="E1268">
        <f>_xlfn.XLOOKUP(A1268,Banks!A:A,Banks!I:I,0)</f>
        <v>41405.505643883473</v>
      </c>
      <c r="F1268">
        <f>_xlfn.XLOOKUP(A1268,Energy!A:A,Energy!I:I,0)</f>
        <v>0</v>
      </c>
      <c r="G1268">
        <f t="shared" si="77"/>
        <v>41405.505643883473</v>
      </c>
      <c r="H1268">
        <f t="shared" si="78"/>
        <v>38551.547800929897</v>
      </c>
      <c r="I1268" t="b">
        <f t="shared" si="79"/>
        <v>0</v>
      </c>
    </row>
    <row r="1269" spans="1:9">
      <c r="A1269" s="1">
        <v>46051.604861111111</v>
      </c>
      <c r="B1269" s="5">
        <f>_xlfn.XLOOKUP(A1269,Banks!A:A,Banks!H:H,0,-1)</f>
        <v>816.36311640409338</v>
      </c>
      <c r="C1269">
        <f>_xlfn.XLOOKUP(A1269,Energy!A:A,Energy!H:H,0,-1)</f>
        <v>2027.6136976694299</v>
      </c>
      <c r="D1269">
        <f t="shared" si="76"/>
        <v>2843.9768140735232</v>
      </c>
      <c r="E1269">
        <f>_xlfn.XLOOKUP(A1269,Banks!A:A,Banks!I:I,0)</f>
        <v>41440.075139561763</v>
      </c>
      <c r="F1269">
        <f>_xlfn.XLOOKUP(A1269,Energy!A:A,Energy!I:I,0)</f>
        <v>0</v>
      </c>
      <c r="G1269">
        <f t="shared" si="77"/>
        <v>41440.075139561763</v>
      </c>
      <c r="H1269">
        <f t="shared" si="78"/>
        <v>38596.098325488238</v>
      </c>
      <c r="I1269" t="b">
        <f t="shared" si="79"/>
        <v>0</v>
      </c>
    </row>
    <row r="1270" spans="1:9">
      <c r="A1270" s="1">
        <v>46051.605555555558</v>
      </c>
      <c r="B1270" s="5">
        <f>_xlfn.XLOOKUP(A1270,Banks!A:A,Banks!H:H,0,-1)</f>
        <v>1088.357961903828</v>
      </c>
      <c r="C1270">
        <f>_xlfn.XLOOKUP(A1270,Energy!A:A,Energy!H:H,0,-1)</f>
        <v>2027.6136976694299</v>
      </c>
      <c r="D1270">
        <f t="shared" si="76"/>
        <v>3115.971659573258</v>
      </c>
      <c r="E1270">
        <f>_xlfn.XLOOKUP(A1270,Banks!A:A,Banks!I:I,0)</f>
        <v>41506.662675813153</v>
      </c>
      <c r="F1270">
        <f>_xlfn.XLOOKUP(A1270,Energy!A:A,Energy!I:I,0)</f>
        <v>0</v>
      </c>
      <c r="G1270">
        <f t="shared" si="77"/>
        <v>41506.662675813153</v>
      </c>
      <c r="H1270">
        <f t="shared" si="78"/>
        <v>38390.691016239893</v>
      </c>
      <c r="I1270" t="b">
        <f t="shared" si="79"/>
        <v>0</v>
      </c>
    </row>
    <row r="1271" spans="1:9">
      <c r="A1271" s="1">
        <v>46051.606249999997</v>
      </c>
      <c r="B1271" s="5">
        <f>_xlfn.XLOOKUP(A1271,Banks!A:A,Banks!H:H,0,-1)</f>
        <v>869.35827386054348</v>
      </c>
      <c r="C1271">
        <f>_xlfn.XLOOKUP(A1271,Energy!A:A,Energy!H:H,0,-1)</f>
        <v>2027.6136976694299</v>
      </c>
      <c r="D1271">
        <f t="shared" si="76"/>
        <v>2896.9719715299734</v>
      </c>
      <c r="E1271">
        <f>_xlfn.XLOOKUP(A1271,Banks!A:A,Banks!I:I,0)</f>
        <v>41454.737026770192</v>
      </c>
      <c r="F1271">
        <f>_xlfn.XLOOKUP(A1271,Energy!A:A,Energy!I:I,0)</f>
        <v>0</v>
      </c>
      <c r="G1271">
        <f t="shared" si="77"/>
        <v>41454.737026770192</v>
      </c>
      <c r="H1271">
        <f t="shared" si="78"/>
        <v>38557.765055240219</v>
      </c>
      <c r="I1271" t="b">
        <f t="shared" si="79"/>
        <v>0</v>
      </c>
    </row>
    <row r="1272" spans="1:9">
      <c r="A1272" s="1">
        <v>46051.606944444437</v>
      </c>
      <c r="B1272" s="5">
        <f>_xlfn.XLOOKUP(A1272,Banks!A:A,Banks!H:H,0,-1)</f>
        <v>914.12133670274193</v>
      </c>
      <c r="C1272">
        <f>_xlfn.XLOOKUP(A1272,Energy!A:A,Energy!H:H,0,-1)</f>
        <v>2027.6136976694299</v>
      </c>
      <c r="D1272">
        <f t="shared" si="76"/>
        <v>2941.7350343721719</v>
      </c>
      <c r="E1272">
        <f>_xlfn.XLOOKUP(A1272,Banks!A:A,Banks!I:I,0)</f>
        <v>0</v>
      </c>
      <c r="F1272">
        <f>_xlfn.XLOOKUP(A1272,Energy!A:A,Energy!I:I,0)</f>
        <v>0</v>
      </c>
      <c r="G1272">
        <f t="shared" si="77"/>
        <v>0</v>
      </c>
      <c r="H1272">
        <f t="shared" si="78"/>
        <v>-2941.7350343721719</v>
      </c>
      <c r="I1272" t="b">
        <f t="shared" si="79"/>
        <v>0</v>
      </c>
    </row>
    <row r="1273" spans="1:9">
      <c r="A1273" s="1">
        <v>46051.813194444447</v>
      </c>
      <c r="B1273" s="5">
        <f>_xlfn.XLOOKUP(A1273,Banks!A:A,Banks!H:H,0,-1)</f>
        <v>914.12133670274193</v>
      </c>
      <c r="C1273">
        <f>_xlfn.XLOOKUP(A1273,Energy!A:A,Energy!H:H,0,-1)</f>
        <v>2027.6136976694299</v>
      </c>
      <c r="D1273">
        <f t="shared" si="76"/>
        <v>2941.7350343721719</v>
      </c>
      <c r="E1273">
        <f>_xlfn.XLOOKUP(A1273,Banks!A:A,Banks!I:I,0)</f>
        <v>40980.586923336989</v>
      </c>
      <c r="F1273">
        <f>_xlfn.XLOOKUP(A1273,Energy!A:A,Energy!I:I,0)</f>
        <v>0</v>
      </c>
      <c r="G1273">
        <f t="shared" si="77"/>
        <v>40980.586923336989</v>
      </c>
      <c r="H1273">
        <f t="shared" si="78"/>
        <v>38038.851888964818</v>
      </c>
      <c r="I1273" t="b">
        <f t="shared" si="79"/>
        <v>0</v>
      </c>
    </row>
    <row r="1274" spans="1:9">
      <c r="A1274" s="1">
        <v>46051.813888888893</v>
      </c>
      <c r="B1274" s="5">
        <f>_xlfn.XLOOKUP(A1274,Banks!A:A,Banks!H:H,0,-1)</f>
        <v>1088.1473109387091</v>
      </c>
      <c r="C1274">
        <f>_xlfn.XLOOKUP(A1274,Energy!A:A,Energy!H:H,0,-1)</f>
        <v>2027.6136976694299</v>
      </c>
      <c r="D1274">
        <f t="shared" si="76"/>
        <v>3115.761008608139</v>
      </c>
      <c r="E1274">
        <f>_xlfn.XLOOKUP(A1274,Banks!A:A,Banks!I:I,0)</f>
        <v>41007.455448268032</v>
      </c>
      <c r="F1274">
        <f>_xlfn.XLOOKUP(A1274,Energy!A:A,Energy!I:I,0)</f>
        <v>0</v>
      </c>
      <c r="G1274">
        <f t="shared" si="77"/>
        <v>41007.455448268032</v>
      </c>
      <c r="H1274">
        <f t="shared" si="78"/>
        <v>37891.694439659892</v>
      </c>
      <c r="I1274" t="b">
        <f t="shared" si="79"/>
        <v>0</v>
      </c>
    </row>
    <row r="1275" spans="1:9">
      <c r="A1275" s="1">
        <v>46051.814583333333</v>
      </c>
      <c r="B1275" s="5">
        <f>_xlfn.XLOOKUP(A1275,Banks!A:A,Banks!H:H,0,-1)</f>
        <v>1015.817363996644</v>
      </c>
      <c r="C1275">
        <f>_xlfn.XLOOKUP(A1275,Energy!A:A,Energy!H:H,0,-1)</f>
        <v>2027.6136976694299</v>
      </c>
      <c r="D1275">
        <f t="shared" si="76"/>
        <v>3043.4310616660741</v>
      </c>
      <c r="E1275">
        <f>_xlfn.XLOOKUP(A1275,Banks!A:A,Banks!I:I,0)</f>
        <v>41000.926128795771</v>
      </c>
      <c r="F1275">
        <f>_xlfn.XLOOKUP(A1275,Energy!A:A,Energy!I:I,0)</f>
        <v>0</v>
      </c>
      <c r="G1275">
        <f t="shared" si="77"/>
        <v>41000.926128795771</v>
      </c>
      <c r="H1275">
        <f t="shared" si="78"/>
        <v>37957.495067129697</v>
      </c>
      <c r="I1275" t="b">
        <f t="shared" si="79"/>
        <v>0</v>
      </c>
    </row>
    <row r="1276" spans="1:9">
      <c r="A1276" s="1">
        <v>46051.81527777778</v>
      </c>
      <c r="B1276" s="5">
        <f>_xlfn.XLOOKUP(A1276,Banks!A:A,Banks!H:H,0,-1)</f>
        <v>1010.738015748933</v>
      </c>
      <c r="C1276">
        <f>_xlfn.XLOOKUP(A1276,Energy!A:A,Energy!H:H,0,-1)</f>
        <v>2027.6136976694299</v>
      </c>
      <c r="D1276">
        <f t="shared" si="76"/>
        <v>3038.351713418363</v>
      </c>
      <c r="E1276">
        <f>_xlfn.XLOOKUP(A1276,Banks!A:A,Banks!I:I,0)</f>
        <v>41007.846929062383</v>
      </c>
      <c r="F1276">
        <f>_xlfn.XLOOKUP(A1276,Energy!A:A,Energy!I:I,0)</f>
        <v>0</v>
      </c>
      <c r="G1276">
        <f t="shared" si="77"/>
        <v>41007.846929062383</v>
      </c>
      <c r="H1276">
        <f t="shared" si="78"/>
        <v>37969.495215644019</v>
      </c>
      <c r="I1276" t="b">
        <f t="shared" si="79"/>
        <v>0</v>
      </c>
    </row>
    <row r="1277" spans="1:9">
      <c r="A1277" s="1">
        <v>46051.815972222219</v>
      </c>
      <c r="B1277" s="5">
        <f>_xlfn.XLOOKUP(A1277,Banks!A:A,Banks!H:H,0,-1)</f>
        <v>1013.463528191211</v>
      </c>
      <c r="C1277">
        <f>_xlfn.XLOOKUP(A1277,Energy!A:A,Energy!H:H,0,-1)</f>
        <v>2027.6136976694299</v>
      </c>
      <c r="D1277">
        <f t="shared" si="76"/>
        <v>3041.0772258606412</v>
      </c>
      <c r="E1277">
        <f>_xlfn.XLOOKUP(A1277,Banks!A:A,Banks!I:I,0)</f>
        <v>41036.170376257352</v>
      </c>
      <c r="F1277">
        <f>_xlfn.XLOOKUP(A1277,Energy!A:A,Energy!I:I,0)</f>
        <v>0</v>
      </c>
      <c r="G1277">
        <f t="shared" si="77"/>
        <v>41036.170376257352</v>
      </c>
      <c r="H1277">
        <f t="shared" si="78"/>
        <v>37995.093150396715</v>
      </c>
      <c r="I1277" t="b">
        <f t="shared" si="79"/>
        <v>0</v>
      </c>
    </row>
    <row r="1278" spans="1:9">
      <c r="A1278" s="1">
        <v>46051.816666666673</v>
      </c>
      <c r="B1278" s="5">
        <f>_xlfn.XLOOKUP(A1278,Banks!A:A,Banks!H:H,0,-1)</f>
        <v>1084.073930261794</v>
      </c>
      <c r="C1278">
        <f>_xlfn.XLOOKUP(A1278,Energy!A:A,Energy!H:H,0,-1)</f>
        <v>2027.6136976694299</v>
      </c>
      <c r="D1278">
        <f t="shared" si="76"/>
        <v>3111.6876279312237</v>
      </c>
      <c r="E1278">
        <f>_xlfn.XLOOKUP(A1278,Banks!A:A,Banks!I:I,0)</f>
        <v>41046.324121713376</v>
      </c>
      <c r="F1278">
        <f>_xlfn.XLOOKUP(A1278,Energy!A:A,Energy!I:I,0)</f>
        <v>0</v>
      </c>
      <c r="G1278">
        <f t="shared" si="77"/>
        <v>41046.324121713376</v>
      </c>
      <c r="H1278">
        <f t="shared" si="78"/>
        <v>37934.636493782149</v>
      </c>
      <c r="I1278" t="b">
        <f t="shared" si="79"/>
        <v>0</v>
      </c>
    </row>
    <row r="1279" spans="1:9">
      <c r="A1279" s="1">
        <v>46051.817361111112</v>
      </c>
      <c r="B1279" s="5">
        <f>_xlfn.XLOOKUP(A1279,Banks!A:A,Banks!H:H,0,-1)</f>
        <v>1064.232255471414</v>
      </c>
      <c r="C1279">
        <f>_xlfn.XLOOKUP(A1279,Energy!A:A,Energy!H:H,0,-1)</f>
        <v>2027.6136976694299</v>
      </c>
      <c r="D1279">
        <f t="shared" si="76"/>
        <v>3091.8459531408439</v>
      </c>
      <c r="E1279">
        <f>_xlfn.XLOOKUP(A1279,Banks!A:A,Banks!I:I,0)</f>
        <v>41050.292456671457</v>
      </c>
      <c r="F1279">
        <f>_xlfn.XLOOKUP(A1279,Energy!A:A,Energy!I:I,0)</f>
        <v>0</v>
      </c>
      <c r="G1279">
        <f t="shared" si="77"/>
        <v>41050.292456671457</v>
      </c>
      <c r="H1279">
        <f t="shared" si="78"/>
        <v>37958.446503530613</v>
      </c>
      <c r="I1279" t="b">
        <f t="shared" si="79"/>
        <v>0</v>
      </c>
    </row>
    <row r="1280" spans="1:9">
      <c r="A1280" s="1">
        <v>46051.818055555559</v>
      </c>
      <c r="B1280" s="5">
        <f>_xlfn.XLOOKUP(A1280,Banks!A:A,Banks!H:H,0,-1)</f>
        <v>1070.872575857127</v>
      </c>
      <c r="C1280">
        <f>_xlfn.XLOOKUP(A1280,Energy!A:A,Energy!H:H,0,-1)</f>
        <v>2027.6136976694299</v>
      </c>
      <c r="D1280">
        <f t="shared" si="76"/>
        <v>3098.4862735265569</v>
      </c>
      <c r="E1280">
        <f>_xlfn.XLOOKUP(A1280,Banks!A:A,Banks!I:I,0)</f>
        <v>41047.652185790532</v>
      </c>
      <c r="F1280">
        <f>_xlfn.XLOOKUP(A1280,Energy!A:A,Energy!I:I,0)</f>
        <v>0</v>
      </c>
      <c r="G1280">
        <f t="shared" si="77"/>
        <v>41047.652185790532</v>
      </c>
      <c r="H1280">
        <f t="shared" si="78"/>
        <v>37949.165912263976</v>
      </c>
      <c r="I1280" t="b">
        <f t="shared" si="79"/>
        <v>0</v>
      </c>
    </row>
    <row r="1281" spans="1:9">
      <c r="A1281" s="1">
        <v>46051.818749999999</v>
      </c>
      <c r="B1281" s="5">
        <f>_xlfn.XLOOKUP(A1281,Banks!A:A,Banks!H:H,0,-1)</f>
        <v>1090.555677914012</v>
      </c>
      <c r="C1281">
        <f>_xlfn.XLOOKUP(A1281,Energy!A:A,Energy!H:H,0,-1)</f>
        <v>2027.6136976694299</v>
      </c>
      <c r="D1281">
        <f t="shared" si="76"/>
        <v>3118.1693755834422</v>
      </c>
      <c r="E1281">
        <f>_xlfn.XLOOKUP(A1281,Banks!A:A,Banks!I:I,0)</f>
        <v>41051.588806201908</v>
      </c>
      <c r="F1281">
        <f>_xlfn.XLOOKUP(A1281,Energy!A:A,Energy!I:I,0)</f>
        <v>0</v>
      </c>
      <c r="G1281">
        <f t="shared" si="77"/>
        <v>41051.588806201908</v>
      </c>
      <c r="H1281">
        <f t="shared" si="78"/>
        <v>37933.419430618465</v>
      </c>
      <c r="I1281" t="b">
        <f t="shared" si="79"/>
        <v>0</v>
      </c>
    </row>
    <row r="1282" spans="1:9">
      <c r="A1282" s="1">
        <v>46051.819444444453</v>
      </c>
      <c r="B1282" s="5">
        <f>_xlfn.XLOOKUP(A1282,Banks!A:A,Banks!H:H,0,-1)</f>
        <v>1118.75026470074</v>
      </c>
      <c r="C1282">
        <f>_xlfn.XLOOKUP(A1282,Energy!A:A,Energy!H:H,0,-1)</f>
        <v>2027.6136976694299</v>
      </c>
      <c r="D1282">
        <f t="shared" si="76"/>
        <v>3146.3639623701702</v>
      </c>
      <c r="E1282">
        <f>_xlfn.XLOOKUP(A1282,Banks!A:A,Banks!I:I,0)</f>
        <v>0</v>
      </c>
      <c r="F1282">
        <f>_xlfn.XLOOKUP(A1282,Energy!A:A,Energy!I:I,0)</f>
        <v>0</v>
      </c>
      <c r="G1282">
        <f t="shared" si="77"/>
        <v>0</v>
      </c>
      <c r="H1282">
        <f t="shared" si="78"/>
        <v>-3146.3639623701702</v>
      </c>
      <c r="I1282" t="b">
        <f t="shared" si="79"/>
        <v>0</v>
      </c>
    </row>
    <row r="1283" spans="1:9">
      <c r="A1283" s="1">
        <v>46052.604166666657</v>
      </c>
      <c r="B1283" s="5">
        <f>_xlfn.XLOOKUP(A1283,Banks!A:A,Banks!H:H,0,-1)</f>
        <v>1118.75026470074</v>
      </c>
      <c r="C1283">
        <f>_xlfn.XLOOKUP(A1283,Energy!A:A,Energy!H:H,0,-1)</f>
        <v>2027.6136976694299</v>
      </c>
      <c r="D1283">
        <f t="shared" ref="D1283:D1346" si="80">B1283+C1283</f>
        <v>3146.3639623701702</v>
      </c>
      <c r="E1283">
        <f>_xlfn.XLOOKUP(A1283,Banks!A:A,Banks!I:I,0)</f>
        <v>0</v>
      </c>
      <c r="F1283">
        <f>_xlfn.XLOOKUP(A1283,Energy!A:A,Energy!I:I,0)</f>
        <v>44104.887662813198</v>
      </c>
      <c r="G1283">
        <f t="shared" ref="G1283:G1346" si="81">F1283+E1283</f>
        <v>44104.887662813198</v>
      </c>
      <c r="H1283">
        <f t="shared" ref="H1283:H1346" si="82">G1283-D1283</f>
        <v>40958.523700443031</v>
      </c>
      <c r="I1283" t="b">
        <f t="shared" ref="I1283:I1346" si="83">AND(E1283&gt;0,F1283&gt;0)</f>
        <v>0</v>
      </c>
    </row>
    <row r="1284" spans="1:9">
      <c r="A1284" s="1">
        <v>46052.604861111111</v>
      </c>
      <c r="B1284" s="5">
        <f>_xlfn.XLOOKUP(A1284,Banks!A:A,Banks!H:H,0,-1)</f>
        <v>1118.75026470074</v>
      </c>
      <c r="C1284">
        <f>_xlfn.XLOOKUP(A1284,Energy!A:A,Energy!H:H,0,-1)</f>
        <v>2453.8156158168858</v>
      </c>
      <c r="D1284">
        <f t="shared" si="80"/>
        <v>3572.5658805176258</v>
      </c>
      <c r="E1284">
        <f>_xlfn.XLOOKUP(A1284,Banks!A:A,Banks!I:I,0)</f>
        <v>0</v>
      </c>
      <c r="F1284">
        <f>_xlfn.XLOOKUP(A1284,Energy!A:A,Energy!I:I,0)</f>
        <v>43966.235163821832</v>
      </c>
      <c r="G1284">
        <f t="shared" si="81"/>
        <v>43966.235163821832</v>
      </c>
      <c r="H1284">
        <f t="shared" si="82"/>
        <v>40393.669283304203</v>
      </c>
      <c r="I1284" t="b">
        <f t="shared" si="83"/>
        <v>0</v>
      </c>
    </row>
    <row r="1285" spans="1:9">
      <c r="A1285" s="1">
        <v>46052.605555555558</v>
      </c>
      <c r="B1285" s="5">
        <f>_xlfn.XLOOKUP(A1285,Banks!A:A,Banks!H:H,0,-1)</f>
        <v>1118.75026470074</v>
      </c>
      <c r="C1285">
        <f>_xlfn.XLOOKUP(A1285,Energy!A:A,Energy!H:H,0,-1)</f>
        <v>3096.5931777375558</v>
      </c>
      <c r="D1285">
        <f t="shared" si="80"/>
        <v>4215.3434424382958</v>
      </c>
      <c r="E1285">
        <f>_xlfn.XLOOKUP(A1285,Banks!A:A,Banks!I:I,0)</f>
        <v>0</v>
      </c>
      <c r="F1285">
        <f>_xlfn.XLOOKUP(A1285,Energy!A:A,Energy!I:I,0)</f>
        <v>43826.997228365333</v>
      </c>
      <c r="G1285">
        <f t="shared" si="81"/>
        <v>43826.997228365333</v>
      </c>
      <c r="H1285">
        <f t="shared" si="82"/>
        <v>39611.653785927039</v>
      </c>
      <c r="I1285" t="b">
        <f t="shared" si="83"/>
        <v>0</v>
      </c>
    </row>
    <row r="1286" spans="1:9">
      <c r="A1286" s="1">
        <v>46052.606249999997</v>
      </c>
      <c r="B1286" s="5">
        <f>_xlfn.XLOOKUP(A1286,Banks!A:A,Banks!H:H,0,-1)</f>
        <v>1118.75026470074</v>
      </c>
      <c r="C1286">
        <f>_xlfn.XLOOKUP(A1286,Energy!A:A,Energy!H:H,0,-1)</f>
        <v>3137.566560631632</v>
      </c>
      <c r="D1286">
        <f t="shared" si="80"/>
        <v>4256.316825332372</v>
      </c>
      <c r="E1286">
        <f>_xlfn.XLOOKUP(A1286,Banks!A:A,Banks!I:I,0)</f>
        <v>0</v>
      </c>
      <c r="F1286">
        <f>_xlfn.XLOOKUP(A1286,Energy!A:A,Energy!I:I,0)</f>
        <v>43861.532244075999</v>
      </c>
      <c r="G1286">
        <f t="shared" si="81"/>
        <v>43861.532244075999</v>
      </c>
      <c r="H1286">
        <f t="shared" si="82"/>
        <v>39605.215418743624</v>
      </c>
      <c r="I1286" t="b">
        <f t="shared" si="83"/>
        <v>0</v>
      </c>
    </row>
    <row r="1287" spans="1:9">
      <c r="A1287" s="1">
        <v>46052.606944444437</v>
      </c>
      <c r="B1287" s="5">
        <f>_xlfn.XLOOKUP(A1287,Banks!A:A,Banks!H:H,0,-1)</f>
        <v>1118.75026470074</v>
      </c>
      <c r="C1287">
        <f>_xlfn.XLOOKUP(A1287,Energy!A:A,Energy!H:H,0,-1)</f>
        <v>3481.6356273668662</v>
      </c>
      <c r="D1287">
        <f t="shared" si="80"/>
        <v>4600.3858920676066</v>
      </c>
      <c r="E1287">
        <f>_xlfn.XLOOKUP(A1287,Banks!A:A,Banks!I:I,0)</f>
        <v>0</v>
      </c>
      <c r="F1287">
        <f>_xlfn.XLOOKUP(A1287,Energy!A:A,Energy!I:I,0)</f>
        <v>43936.931142206013</v>
      </c>
      <c r="G1287">
        <f t="shared" si="81"/>
        <v>43936.931142206013</v>
      </c>
      <c r="H1287">
        <f t="shared" si="82"/>
        <v>39336.545250138406</v>
      </c>
      <c r="I1287" t="b">
        <f t="shared" si="83"/>
        <v>0</v>
      </c>
    </row>
    <row r="1288" spans="1:9">
      <c r="A1288" s="1">
        <v>46052.607638888891</v>
      </c>
      <c r="B1288" s="5">
        <f>_xlfn.XLOOKUP(A1288,Banks!A:A,Banks!H:H,0,-1)</f>
        <v>1118.75026470074</v>
      </c>
      <c r="C1288">
        <f>_xlfn.XLOOKUP(A1288,Energy!A:A,Energy!H:H,0,-1)</f>
        <v>3496.0872457876781</v>
      </c>
      <c r="D1288">
        <f t="shared" si="80"/>
        <v>4614.837510488418</v>
      </c>
      <c r="E1288">
        <f>_xlfn.XLOOKUP(A1288,Banks!A:A,Banks!I:I,0)</f>
        <v>0</v>
      </c>
      <c r="F1288">
        <f>_xlfn.XLOOKUP(A1288,Energy!A:A,Energy!I:I,0)</f>
        <v>43843.240222406661</v>
      </c>
      <c r="G1288">
        <f t="shared" si="81"/>
        <v>43843.240222406661</v>
      </c>
      <c r="H1288">
        <f t="shared" si="82"/>
        <v>39228.402711918243</v>
      </c>
      <c r="I1288" t="b">
        <f t="shared" si="83"/>
        <v>0</v>
      </c>
    </row>
    <row r="1289" spans="1:9">
      <c r="A1289" s="1">
        <v>46052.60833333333</v>
      </c>
      <c r="B1289" s="5">
        <f>_xlfn.XLOOKUP(A1289,Banks!A:A,Banks!H:H,0,-1)</f>
        <v>1118.75026470074</v>
      </c>
      <c r="C1289">
        <f>_xlfn.XLOOKUP(A1289,Energy!A:A,Energy!H:H,0,-1)</f>
        <v>3533.5841515658758</v>
      </c>
      <c r="D1289">
        <f t="shared" si="80"/>
        <v>4652.3344162666162</v>
      </c>
      <c r="E1289">
        <f>_xlfn.XLOOKUP(A1289,Banks!A:A,Banks!I:I,0)</f>
        <v>0</v>
      </c>
      <c r="F1289">
        <f>_xlfn.XLOOKUP(A1289,Energy!A:A,Energy!I:I,0)</f>
        <v>43969.271129655703</v>
      </c>
      <c r="G1289">
        <f t="shared" si="81"/>
        <v>43969.271129655703</v>
      </c>
      <c r="H1289">
        <f t="shared" si="82"/>
        <v>39316.936713389085</v>
      </c>
      <c r="I1289" t="b">
        <f t="shared" si="83"/>
        <v>0</v>
      </c>
    </row>
    <row r="1290" spans="1:9">
      <c r="A1290" s="1">
        <v>46052.609027777777</v>
      </c>
      <c r="B1290" s="5">
        <f>_xlfn.XLOOKUP(A1290,Banks!A:A,Banks!H:H,0,-1)</f>
        <v>1118.75026470074</v>
      </c>
      <c r="C1290">
        <f>_xlfn.XLOOKUP(A1290,Energy!A:A,Energy!H:H,0,-1)</f>
        <v>3386.7026267371612</v>
      </c>
      <c r="D1290">
        <f t="shared" si="80"/>
        <v>4505.4528914379007</v>
      </c>
      <c r="E1290">
        <f>_xlfn.XLOOKUP(A1290,Banks!A:A,Banks!I:I,0)</f>
        <v>0</v>
      </c>
      <c r="F1290">
        <f>_xlfn.XLOOKUP(A1290,Energy!A:A,Energy!I:I,0)</f>
        <v>43779.657761637769</v>
      </c>
      <c r="G1290">
        <f t="shared" si="81"/>
        <v>43779.657761637769</v>
      </c>
      <c r="H1290">
        <f t="shared" si="82"/>
        <v>39274.204870199872</v>
      </c>
      <c r="I1290" t="b">
        <f t="shared" si="83"/>
        <v>0</v>
      </c>
    </row>
    <row r="1291" spans="1:9">
      <c r="A1291" s="1">
        <v>46052.609722222223</v>
      </c>
      <c r="B1291" s="5">
        <f>_xlfn.XLOOKUP(A1291,Banks!A:A,Banks!H:H,0,-1)</f>
        <v>1118.75026470074</v>
      </c>
      <c r="C1291">
        <f>_xlfn.XLOOKUP(A1291,Energy!A:A,Energy!H:H,0,-1)</f>
        <v>3237.6230265395302</v>
      </c>
      <c r="D1291">
        <f t="shared" si="80"/>
        <v>4356.3732912402702</v>
      </c>
      <c r="E1291">
        <f>_xlfn.XLOOKUP(A1291,Banks!A:A,Banks!I:I,0)</f>
        <v>0</v>
      </c>
      <c r="F1291">
        <f>_xlfn.XLOOKUP(A1291,Energy!A:A,Energy!I:I,0)</f>
        <v>43862.885797039176</v>
      </c>
      <c r="G1291">
        <f t="shared" si="81"/>
        <v>43862.885797039176</v>
      </c>
      <c r="H1291">
        <f t="shared" si="82"/>
        <v>39506.512505798906</v>
      </c>
      <c r="I1291" t="b">
        <f t="shared" si="83"/>
        <v>0</v>
      </c>
    </row>
    <row r="1292" spans="1:9">
      <c r="A1292" s="1">
        <v>46052.61041666667</v>
      </c>
      <c r="B1292" s="5">
        <f>_xlfn.XLOOKUP(A1292,Banks!A:A,Banks!H:H,0,-1)</f>
        <v>1118.75026470074</v>
      </c>
      <c r="C1292">
        <f>_xlfn.XLOOKUP(A1292,Energy!A:A,Energy!H:H,0,-1)</f>
        <v>3628.1557354459342</v>
      </c>
      <c r="D1292">
        <f t="shared" si="80"/>
        <v>4746.9060001466742</v>
      </c>
      <c r="E1292">
        <f>_xlfn.XLOOKUP(A1292,Banks!A:A,Banks!I:I,0)</f>
        <v>0</v>
      </c>
      <c r="F1292">
        <f>_xlfn.XLOOKUP(A1292,Energy!A:A,Energy!I:I,0)</f>
        <v>43731.367139896021</v>
      </c>
      <c r="G1292">
        <f t="shared" si="81"/>
        <v>43731.367139896021</v>
      </c>
      <c r="H1292">
        <f t="shared" si="82"/>
        <v>38984.46113974935</v>
      </c>
      <c r="I1292" t="b">
        <f t="shared" si="83"/>
        <v>0</v>
      </c>
    </row>
    <row r="1293" spans="1:9">
      <c r="A1293" s="1">
        <v>46052.611111111109</v>
      </c>
      <c r="B1293" s="5">
        <f>_xlfn.XLOOKUP(A1293,Banks!A:A,Banks!H:H,0,-1)</f>
        <v>1118.75026470074</v>
      </c>
      <c r="C1293">
        <f>_xlfn.XLOOKUP(A1293,Energy!A:A,Energy!H:H,0,-1)</f>
        <v>3891.5591267645918</v>
      </c>
      <c r="D1293">
        <f t="shared" si="80"/>
        <v>5010.3093914653318</v>
      </c>
      <c r="E1293">
        <f>_xlfn.XLOOKUP(A1293,Banks!A:A,Banks!I:I,0)</f>
        <v>0</v>
      </c>
      <c r="F1293">
        <f>_xlfn.XLOOKUP(A1293,Energy!A:A,Energy!I:I,0)</f>
        <v>43678.686461632293</v>
      </c>
      <c r="G1293">
        <f t="shared" si="81"/>
        <v>43678.686461632293</v>
      </c>
      <c r="H1293">
        <f t="shared" si="82"/>
        <v>38668.377070166964</v>
      </c>
      <c r="I1293" t="b">
        <f t="shared" si="83"/>
        <v>0</v>
      </c>
    </row>
    <row r="1294" spans="1:9">
      <c r="A1294" s="1">
        <v>46052.611805555563</v>
      </c>
      <c r="B1294" s="5">
        <f>_xlfn.XLOOKUP(A1294,Banks!A:A,Banks!H:H,0,-1)</f>
        <v>1118.75026470074</v>
      </c>
      <c r="C1294">
        <f>_xlfn.XLOOKUP(A1294,Energy!A:A,Energy!H:H,0,-1)</f>
        <v>3901.6199716968731</v>
      </c>
      <c r="D1294">
        <f t="shared" si="80"/>
        <v>5020.3702363976136</v>
      </c>
      <c r="E1294">
        <f>_xlfn.XLOOKUP(A1294,Banks!A:A,Banks!I:I,0)</f>
        <v>0</v>
      </c>
      <c r="F1294">
        <f>_xlfn.XLOOKUP(A1294,Energy!A:A,Energy!I:I,0)</f>
        <v>43649.968234964887</v>
      </c>
      <c r="G1294">
        <f t="shared" si="81"/>
        <v>43649.968234964887</v>
      </c>
      <c r="H1294">
        <f t="shared" si="82"/>
        <v>38629.597998567275</v>
      </c>
      <c r="I1294" t="b">
        <f t="shared" si="83"/>
        <v>0</v>
      </c>
    </row>
    <row r="1295" spans="1:9">
      <c r="A1295" s="1">
        <v>46052.612500000003</v>
      </c>
      <c r="B1295" s="5">
        <f>_xlfn.XLOOKUP(A1295,Banks!A:A,Banks!H:H,0,-1)</f>
        <v>1118.75026470074</v>
      </c>
      <c r="C1295">
        <f>_xlfn.XLOOKUP(A1295,Energy!A:A,Energy!H:H,0,-1)</f>
        <v>3617.3621987240249</v>
      </c>
      <c r="D1295">
        <f t="shared" si="80"/>
        <v>4736.1124634247644</v>
      </c>
      <c r="E1295">
        <f>_xlfn.XLOOKUP(A1295,Banks!A:A,Banks!I:I,0)</f>
        <v>0</v>
      </c>
      <c r="F1295">
        <f>_xlfn.XLOOKUP(A1295,Energy!A:A,Energy!I:I,0)</f>
        <v>43851.032501036527</v>
      </c>
      <c r="G1295">
        <f t="shared" si="81"/>
        <v>43851.032501036527</v>
      </c>
      <c r="H1295">
        <f t="shared" si="82"/>
        <v>39114.920037611766</v>
      </c>
      <c r="I1295" t="b">
        <f t="shared" si="83"/>
        <v>0</v>
      </c>
    </row>
    <row r="1296" spans="1:9">
      <c r="A1296" s="1">
        <v>46052.613194444442</v>
      </c>
      <c r="B1296" s="5">
        <f>_xlfn.XLOOKUP(A1296,Banks!A:A,Banks!H:H,0,-1)</f>
        <v>1118.75026470074</v>
      </c>
      <c r="C1296">
        <f>_xlfn.XLOOKUP(A1296,Energy!A:A,Energy!H:H,0,-1)</f>
        <v>3316.277608419487</v>
      </c>
      <c r="D1296">
        <f t="shared" si="80"/>
        <v>4435.027873120227</v>
      </c>
      <c r="E1296">
        <f>_xlfn.XLOOKUP(A1296,Banks!A:A,Banks!I:I,0)</f>
        <v>0</v>
      </c>
      <c r="F1296">
        <f>_xlfn.XLOOKUP(A1296,Energy!A:A,Energy!I:I,0)</f>
        <v>43900.566996025053</v>
      </c>
      <c r="G1296">
        <f t="shared" si="81"/>
        <v>43900.566996025053</v>
      </c>
      <c r="H1296">
        <f t="shared" si="82"/>
        <v>39465.539122904825</v>
      </c>
      <c r="I1296" t="b">
        <f t="shared" si="83"/>
        <v>0</v>
      </c>
    </row>
    <row r="1297" spans="1:9">
      <c r="A1297" s="1">
        <v>46052.613888888889</v>
      </c>
      <c r="B1297" s="5">
        <f>_xlfn.XLOOKUP(A1297,Banks!A:A,Banks!H:H,0,-1)</f>
        <v>1118.75026470074</v>
      </c>
      <c r="C1297">
        <f>_xlfn.XLOOKUP(A1297,Energy!A:A,Energy!H:H,0,-1)</f>
        <v>3297.8029067172561</v>
      </c>
      <c r="D1297">
        <f t="shared" si="80"/>
        <v>4416.5531714179961</v>
      </c>
      <c r="E1297">
        <f>_xlfn.XLOOKUP(A1297,Banks!A:A,Banks!I:I,0)</f>
        <v>0</v>
      </c>
      <c r="F1297">
        <f>_xlfn.XLOOKUP(A1297,Energy!A:A,Energy!I:I,0)</f>
        <v>43893.579513293123</v>
      </c>
      <c r="G1297">
        <f t="shared" si="81"/>
        <v>43893.579513293123</v>
      </c>
      <c r="H1297">
        <f t="shared" si="82"/>
        <v>39477.026341875127</v>
      </c>
      <c r="I1297" t="b">
        <f t="shared" si="83"/>
        <v>0</v>
      </c>
    </row>
    <row r="1298" spans="1:9">
      <c r="A1298" s="1">
        <v>46052.614583333343</v>
      </c>
      <c r="B1298" s="5">
        <f>_xlfn.XLOOKUP(A1298,Banks!A:A,Banks!H:H,0,-1)</f>
        <v>1118.75026470074</v>
      </c>
      <c r="C1298">
        <f>_xlfn.XLOOKUP(A1298,Energy!A:A,Energy!H:H,0,-1)</f>
        <v>3091.0419493100162</v>
      </c>
      <c r="D1298">
        <f t="shared" si="80"/>
        <v>4209.7922140107567</v>
      </c>
      <c r="E1298">
        <f>_xlfn.XLOOKUP(A1298,Banks!A:A,Banks!I:I,0)</f>
        <v>0</v>
      </c>
      <c r="F1298">
        <f>_xlfn.XLOOKUP(A1298,Energy!A:A,Energy!I:I,0)</f>
        <v>0</v>
      </c>
      <c r="G1298">
        <f t="shared" si="81"/>
        <v>0</v>
      </c>
      <c r="H1298">
        <f t="shared" si="82"/>
        <v>-4209.7922140107567</v>
      </c>
      <c r="I1298" t="b">
        <f t="shared" si="83"/>
        <v>0</v>
      </c>
    </row>
    <row r="1299" spans="1:9">
      <c r="A1299" s="1">
        <v>46052.722916666673</v>
      </c>
      <c r="B1299" s="5">
        <f>_xlfn.XLOOKUP(A1299,Banks!A:A,Banks!H:H,0,-1)</f>
        <v>1118.75026470074</v>
      </c>
      <c r="C1299">
        <f>_xlfn.XLOOKUP(A1299,Energy!A:A,Energy!H:H,0,-1)</f>
        <v>3091.0419493100162</v>
      </c>
      <c r="D1299">
        <f t="shared" si="80"/>
        <v>4209.7922140107567</v>
      </c>
      <c r="E1299">
        <f>_xlfn.XLOOKUP(A1299,Banks!A:A,Banks!I:I,0)</f>
        <v>40980.586923336989</v>
      </c>
      <c r="F1299">
        <f>_xlfn.XLOOKUP(A1299,Energy!A:A,Energy!I:I,0)</f>
        <v>0</v>
      </c>
      <c r="G1299">
        <f t="shared" si="81"/>
        <v>40980.586923336989</v>
      </c>
      <c r="H1299">
        <f t="shared" si="82"/>
        <v>36770.794709326234</v>
      </c>
      <c r="I1299" t="b">
        <f t="shared" si="83"/>
        <v>0</v>
      </c>
    </row>
    <row r="1300" spans="1:9">
      <c r="A1300" s="1">
        <v>46052.723611111112</v>
      </c>
      <c r="B1300" s="5">
        <f>_xlfn.XLOOKUP(A1300,Banks!A:A,Banks!H:H,0,-1)</f>
        <v>1191.1806327786919</v>
      </c>
      <c r="C1300">
        <f>_xlfn.XLOOKUP(A1300,Energy!A:A,Energy!H:H,0,-1)</f>
        <v>3091.0419493100162</v>
      </c>
      <c r="D1300">
        <f t="shared" si="80"/>
        <v>4282.2225820887079</v>
      </c>
      <c r="E1300">
        <f>_xlfn.XLOOKUP(A1300,Banks!A:A,Banks!I:I,0)</f>
        <v>40995.072996952571</v>
      </c>
      <c r="F1300">
        <f>_xlfn.XLOOKUP(A1300,Energy!A:A,Energy!I:I,0)</f>
        <v>0</v>
      </c>
      <c r="G1300">
        <f t="shared" si="81"/>
        <v>40995.072996952571</v>
      </c>
      <c r="H1300">
        <f t="shared" si="82"/>
        <v>36712.85041486386</v>
      </c>
      <c r="I1300" t="b">
        <f t="shared" si="83"/>
        <v>0</v>
      </c>
    </row>
    <row r="1301" spans="1:9">
      <c r="A1301" s="1">
        <v>46052.724305555559</v>
      </c>
      <c r="B1301" s="5">
        <f>_xlfn.XLOOKUP(A1301,Banks!A:A,Banks!H:H,0,-1)</f>
        <v>1184.7680739313571</v>
      </c>
      <c r="C1301">
        <f>_xlfn.XLOOKUP(A1301,Energy!A:A,Energy!H:H,0,-1)</f>
        <v>3091.0419493100162</v>
      </c>
      <c r="D1301">
        <f t="shared" si="80"/>
        <v>4275.8100232413735</v>
      </c>
      <c r="E1301">
        <f>_xlfn.XLOOKUP(A1301,Banks!A:A,Banks!I:I,0)</f>
        <v>40962.11569835792</v>
      </c>
      <c r="F1301">
        <f>_xlfn.XLOOKUP(A1301,Energy!A:A,Energy!I:I,0)</f>
        <v>0</v>
      </c>
      <c r="G1301">
        <f t="shared" si="81"/>
        <v>40962.11569835792</v>
      </c>
      <c r="H1301">
        <f t="shared" si="82"/>
        <v>36686.30567511655</v>
      </c>
      <c r="I1301" t="b">
        <f t="shared" si="83"/>
        <v>0</v>
      </c>
    </row>
    <row r="1302" spans="1:9">
      <c r="A1302" s="1">
        <v>46052.724999999999</v>
      </c>
      <c r="B1302" s="5">
        <f>_xlfn.XLOOKUP(A1302,Banks!A:A,Banks!H:H,0,-1)</f>
        <v>1171.663423624819</v>
      </c>
      <c r="C1302">
        <f>_xlfn.XLOOKUP(A1302,Energy!A:A,Energy!H:H,0,-1)</f>
        <v>3091.0419493100162</v>
      </c>
      <c r="D1302">
        <f t="shared" si="80"/>
        <v>4262.7053729348354</v>
      </c>
      <c r="E1302">
        <f>_xlfn.XLOOKUP(A1302,Banks!A:A,Banks!I:I,0)</f>
        <v>40947.616723237174</v>
      </c>
      <c r="F1302">
        <f>_xlfn.XLOOKUP(A1302,Energy!A:A,Energy!I:I,0)</f>
        <v>0</v>
      </c>
      <c r="G1302">
        <f t="shared" si="81"/>
        <v>40947.616723237174</v>
      </c>
      <c r="H1302">
        <f t="shared" si="82"/>
        <v>36684.91135030234</v>
      </c>
      <c r="I1302" t="b">
        <f t="shared" si="83"/>
        <v>0</v>
      </c>
    </row>
    <row r="1303" spans="1:9">
      <c r="A1303" s="1">
        <v>46052.725694444453</v>
      </c>
      <c r="B1303" s="5">
        <f>_xlfn.XLOOKUP(A1303,Banks!A:A,Banks!H:H,0,-1)</f>
        <v>1158.3222457236179</v>
      </c>
      <c r="C1303">
        <f>_xlfn.XLOOKUP(A1303,Energy!A:A,Energy!H:H,0,-1)</f>
        <v>3091.0419493100162</v>
      </c>
      <c r="D1303">
        <f t="shared" si="80"/>
        <v>4249.3641950336341</v>
      </c>
      <c r="E1303">
        <f>_xlfn.XLOOKUP(A1303,Banks!A:A,Banks!I:I,0)</f>
        <v>40976.623274482117</v>
      </c>
      <c r="F1303">
        <f>_xlfn.XLOOKUP(A1303,Energy!A:A,Energy!I:I,0)</f>
        <v>0</v>
      </c>
      <c r="G1303">
        <f t="shared" si="81"/>
        <v>40976.623274482117</v>
      </c>
      <c r="H1303">
        <f t="shared" si="82"/>
        <v>36727.259079448486</v>
      </c>
      <c r="I1303" t="b">
        <f t="shared" si="83"/>
        <v>0</v>
      </c>
    </row>
    <row r="1304" spans="1:9">
      <c r="A1304" s="1">
        <v>46052.726388888892</v>
      </c>
      <c r="B1304" s="5">
        <f>_xlfn.XLOOKUP(A1304,Banks!A:A,Banks!H:H,0,-1)</f>
        <v>1151.737666807446</v>
      </c>
      <c r="C1304">
        <f>_xlfn.XLOOKUP(A1304,Energy!A:A,Energy!H:H,0,-1)</f>
        <v>3091.0419493100162</v>
      </c>
      <c r="D1304">
        <f t="shared" si="80"/>
        <v>4242.779616117462</v>
      </c>
      <c r="E1304">
        <f>_xlfn.XLOOKUP(A1304,Banks!A:A,Banks!I:I,0)</f>
        <v>40975.306358698879</v>
      </c>
      <c r="F1304">
        <f>_xlfn.XLOOKUP(A1304,Energy!A:A,Energy!I:I,0)</f>
        <v>0</v>
      </c>
      <c r="G1304">
        <f t="shared" si="81"/>
        <v>40975.306358698879</v>
      </c>
      <c r="H1304">
        <f t="shared" si="82"/>
        <v>36732.526742581416</v>
      </c>
      <c r="I1304" t="b">
        <f t="shared" si="83"/>
        <v>0</v>
      </c>
    </row>
    <row r="1305" spans="1:9">
      <c r="A1305" s="1">
        <v>46052.727083333331</v>
      </c>
      <c r="B1305" s="5">
        <f>_xlfn.XLOOKUP(A1305,Banks!A:A,Banks!H:H,0,-1)</f>
        <v>1026.5446573656479</v>
      </c>
      <c r="C1305">
        <f>_xlfn.XLOOKUP(A1305,Energy!A:A,Energy!H:H,0,-1)</f>
        <v>3091.0419493100162</v>
      </c>
      <c r="D1305">
        <f t="shared" si="80"/>
        <v>4117.5866066756644</v>
      </c>
      <c r="E1305">
        <f>_xlfn.XLOOKUP(A1305,Banks!A:A,Banks!I:I,0)</f>
        <v>40966.10515022312</v>
      </c>
      <c r="F1305">
        <f>_xlfn.XLOOKUP(A1305,Energy!A:A,Energy!I:I,0)</f>
        <v>0</v>
      </c>
      <c r="G1305">
        <f t="shared" si="81"/>
        <v>40966.10515022312</v>
      </c>
      <c r="H1305">
        <f t="shared" si="82"/>
        <v>36848.518543547456</v>
      </c>
      <c r="I1305" t="b">
        <f t="shared" si="83"/>
        <v>0</v>
      </c>
    </row>
    <row r="1306" spans="1:9">
      <c r="A1306" s="1">
        <v>46052.727777777778</v>
      </c>
      <c r="B1306" s="5">
        <f>_xlfn.XLOOKUP(A1306,Banks!A:A,Banks!H:H,0,-1)</f>
        <v>1026.501652348428</v>
      </c>
      <c r="C1306">
        <f>_xlfn.XLOOKUP(A1306,Energy!A:A,Energy!H:H,0,-1)</f>
        <v>3091.0419493100162</v>
      </c>
      <c r="D1306">
        <f t="shared" si="80"/>
        <v>4117.5436016584445</v>
      </c>
      <c r="E1306">
        <f>_xlfn.XLOOKUP(A1306,Banks!A:A,Banks!I:I,0)</f>
        <v>40974.015245925977</v>
      </c>
      <c r="F1306">
        <f>_xlfn.XLOOKUP(A1306,Energy!A:A,Energy!I:I,0)</f>
        <v>0</v>
      </c>
      <c r="G1306">
        <f t="shared" si="81"/>
        <v>40974.015245925977</v>
      </c>
      <c r="H1306">
        <f t="shared" si="82"/>
        <v>36856.471644267534</v>
      </c>
      <c r="I1306" t="b">
        <f t="shared" si="83"/>
        <v>0</v>
      </c>
    </row>
    <row r="1307" spans="1:9">
      <c r="A1307" s="1">
        <v>46052.728472222218</v>
      </c>
      <c r="B1307" s="5">
        <f>_xlfn.XLOOKUP(A1307,Banks!A:A,Banks!H:H,0,-1)</f>
        <v>1016.495768922533</v>
      </c>
      <c r="C1307">
        <f>_xlfn.XLOOKUP(A1307,Energy!A:A,Energy!H:H,0,-1)</f>
        <v>3091.0419493100162</v>
      </c>
      <c r="D1307">
        <f t="shared" si="80"/>
        <v>4107.5377182325492</v>
      </c>
      <c r="E1307">
        <f>_xlfn.XLOOKUP(A1307,Banks!A:A,Banks!I:I,0)</f>
        <v>40995.770159359679</v>
      </c>
      <c r="F1307">
        <f>_xlfn.XLOOKUP(A1307,Energy!A:A,Energy!I:I,0)</f>
        <v>44104.887662813198</v>
      </c>
      <c r="G1307">
        <f t="shared" si="81"/>
        <v>85100.657822172885</v>
      </c>
      <c r="H1307">
        <f t="shared" si="82"/>
        <v>80993.120103940339</v>
      </c>
      <c r="I1307" t="b">
        <f t="shared" si="83"/>
        <v>1</v>
      </c>
    </row>
    <row r="1308" spans="1:9">
      <c r="A1308" s="1">
        <v>46052.729166666657</v>
      </c>
      <c r="B1308" s="5">
        <f>_xlfn.XLOOKUP(A1308,Banks!A:A,Banks!H:H,0,-1)</f>
        <v>1108.722878766245</v>
      </c>
      <c r="C1308">
        <f>_xlfn.XLOOKUP(A1308,Energy!A:A,Energy!H:H,0,-1)</f>
        <v>3785.8402226340982</v>
      </c>
      <c r="D1308">
        <f t="shared" si="80"/>
        <v>4894.5631014003429</v>
      </c>
      <c r="E1308">
        <f>_xlfn.XLOOKUP(A1308,Banks!A:A,Banks!I:I,0)</f>
        <v>41006.296884622127</v>
      </c>
      <c r="F1308">
        <f>_xlfn.XLOOKUP(A1308,Energy!A:A,Energy!I:I,0)</f>
        <v>0</v>
      </c>
      <c r="G1308">
        <f t="shared" si="81"/>
        <v>41006.296884622127</v>
      </c>
      <c r="H1308">
        <f t="shared" si="82"/>
        <v>36111.733783221782</v>
      </c>
      <c r="I1308" t="b">
        <f t="shared" si="83"/>
        <v>0</v>
      </c>
    </row>
    <row r="1309" spans="1:9">
      <c r="A1309" s="1">
        <v>46052.729861111111</v>
      </c>
      <c r="B1309" s="5">
        <f>_xlfn.XLOOKUP(A1309,Banks!A:A,Banks!H:H,0,-1)</f>
        <v>1166.4239543172209</v>
      </c>
      <c r="C1309">
        <f>_xlfn.XLOOKUP(A1309,Energy!A:A,Energy!H:H,0,-1)</f>
        <v>3785.8402226340982</v>
      </c>
      <c r="D1309">
        <f t="shared" si="80"/>
        <v>4952.2641769513193</v>
      </c>
      <c r="E1309">
        <f>_xlfn.XLOOKUP(A1309,Banks!A:A,Banks!I:I,0)</f>
        <v>41001.999706319737</v>
      </c>
      <c r="F1309">
        <f>_xlfn.XLOOKUP(A1309,Energy!A:A,Energy!I:I,0)</f>
        <v>0</v>
      </c>
      <c r="G1309">
        <f t="shared" si="81"/>
        <v>41001.999706319737</v>
      </c>
      <c r="H1309">
        <f t="shared" si="82"/>
        <v>36049.735529368416</v>
      </c>
      <c r="I1309" t="b">
        <f t="shared" si="83"/>
        <v>0</v>
      </c>
    </row>
    <row r="1310" spans="1:9">
      <c r="A1310" s="1">
        <v>46052.730555555558</v>
      </c>
      <c r="B1310" s="5">
        <f>_xlfn.XLOOKUP(A1310,Banks!A:A,Banks!H:H,0,-1)</f>
        <v>1135.190209482585</v>
      </c>
      <c r="C1310">
        <f>_xlfn.XLOOKUP(A1310,Energy!A:A,Energy!H:H,0,-1)</f>
        <v>3785.8402226340982</v>
      </c>
      <c r="D1310">
        <f t="shared" si="80"/>
        <v>4921.0304321166832</v>
      </c>
      <c r="E1310">
        <f>_xlfn.XLOOKUP(A1310,Banks!A:A,Banks!I:I,0)</f>
        <v>40987.834260646501</v>
      </c>
      <c r="F1310">
        <f>_xlfn.XLOOKUP(A1310,Energy!A:A,Energy!I:I,0)</f>
        <v>0</v>
      </c>
      <c r="G1310">
        <f t="shared" si="81"/>
        <v>40987.834260646501</v>
      </c>
      <c r="H1310">
        <f t="shared" si="82"/>
        <v>36066.803828529817</v>
      </c>
      <c r="I1310" t="b">
        <f t="shared" si="83"/>
        <v>0</v>
      </c>
    </row>
    <row r="1311" spans="1:9">
      <c r="A1311" s="1">
        <v>46052.731249999997</v>
      </c>
      <c r="B1311" s="5">
        <f>_xlfn.XLOOKUP(A1311,Banks!A:A,Banks!H:H,0,-1)</f>
        <v>1165.035839691441</v>
      </c>
      <c r="C1311">
        <f>_xlfn.XLOOKUP(A1311,Energy!A:A,Energy!H:H,0,-1)</f>
        <v>3785.8402226340982</v>
      </c>
      <c r="D1311">
        <f t="shared" si="80"/>
        <v>4950.8760623255394</v>
      </c>
      <c r="E1311">
        <f>_xlfn.XLOOKUP(A1311,Banks!A:A,Banks!I:I,0)</f>
        <v>40954.209903156792</v>
      </c>
      <c r="F1311">
        <f>_xlfn.XLOOKUP(A1311,Energy!A:A,Energy!I:I,0)</f>
        <v>0</v>
      </c>
      <c r="G1311">
        <f t="shared" si="81"/>
        <v>40954.209903156792</v>
      </c>
      <c r="H1311">
        <f t="shared" si="82"/>
        <v>36003.333840831256</v>
      </c>
      <c r="I1311" t="b">
        <f t="shared" si="83"/>
        <v>0</v>
      </c>
    </row>
    <row r="1312" spans="1:9">
      <c r="A1312" s="1">
        <v>46052.731944444437</v>
      </c>
      <c r="B1312" s="5">
        <f>_xlfn.XLOOKUP(A1312,Banks!A:A,Banks!H:H,0,-1)</f>
        <v>1138.826539078364</v>
      </c>
      <c r="C1312">
        <f>_xlfn.XLOOKUP(A1312,Energy!A:A,Energy!H:H,0,-1)</f>
        <v>3785.8402226340982</v>
      </c>
      <c r="D1312">
        <f t="shared" si="80"/>
        <v>4924.6667617124622</v>
      </c>
      <c r="E1312">
        <f>_xlfn.XLOOKUP(A1312,Banks!A:A,Banks!I:I,0)</f>
        <v>40925.21195291527</v>
      </c>
      <c r="F1312">
        <f>_xlfn.XLOOKUP(A1312,Energy!A:A,Energy!I:I,0)</f>
        <v>0</v>
      </c>
      <c r="G1312">
        <f t="shared" si="81"/>
        <v>40925.21195291527</v>
      </c>
      <c r="H1312">
        <f t="shared" si="82"/>
        <v>36000.545191202807</v>
      </c>
      <c r="I1312" t="b">
        <f t="shared" si="83"/>
        <v>0</v>
      </c>
    </row>
    <row r="1313" spans="1:9">
      <c r="A1313" s="1">
        <v>46052.732638888891</v>
      </c>
      <c r="B1313" s="5">
        <f>_xlfn.XLOOKUP(A1313,Banks!A:A,Banks!H:H,0,-1)</f>
        <v>1125.8078988062371</v>
      </c>
      <c r="C1313">
        <f>_xlfn.XLOOKUP(A1313,Energy!A:A,Energy!H:H,0,-1)</f>
        <v>3785.8402226340982</v>
      </c>
      <c r="D1313">
        <f t="shared" si="80"/>
        <v>4911.6481214403357</v>
      </c>
      <c r="E1313">
        <f>_xlfn.XLOOKUP(A1313,Banks!A:A,Banks!I:I,0)</f>
        <v>40894.892786388809</v>
      </c>
      <c r="F1313">
        <f>_xlfn.XLOOKUP(A1313,Energy!A:A,Energy!I:I,0)</f>
        <v>0</v>
      </c>
      <c r="G1313">
        <f t="shared" si="81"/>
        <v>40894.892786388809</v>
      </c>
      <c r="H1313">
        <f t="shared" si="82"/>
        <v>35983.244664948477</v>
      </c>
      <c r="I1313" t="b">
        <f t="shared" si="83"/>
        <v>0</v>
      </c>
    </row>
    <row r="1314" spans="1:9">
      <c r="A1314" s="1">
        <v>46052.73333333333</v>
      </c>
      <c r="B1314" s="5">
        <f>_xlfn.XLOOKUP(A1314,Banks!A:A,Banks!H:H,0,-1)</f>
        <v>1102.6543600565849</v>
      </c>
      <c r="C1314">
        <f>_xlfn.XLOOKUP(A1314,Energy!A:A,Energy!H:H,0,-1)</f>
        <v>3785.8402226340982</v>
      </c>
      <c r="D1314">
        <f t="shared" si="80"/>
        <v>4888.4945826906833</v>
      </c>
      <c r="E1314">
        <f>_xlfn.XLOOKUP(A1314,Banks!A:A,Banks!I:I,0)</f>
        <v>40910.058820404607</v>
      </c>
      <c r="F1314">
        <f>_xlfn.XLOOKUP(A1314,Energy!A:A,Energy!I:I,0)</f>
        <v>0</v>
      </c>
      <c r="G1314">
        <f t="shared" si="81"/>
        <v>40910.058820404607</v>
      </c>
      <c r="H1314">
        <f t="shared" si="82"/>
        <v>36021.564237713923</v>
      </c>
      <c r="I1314" t="b">
        <f t="shared" si="83"/>
        <v>0</v>
      </c>
    </row>
    <row r="1315" spans="1:9">
      <c r="A1315" s="1">
        <v>46052.734027777777</v>
      </c>
      <c r="B1315" s="5">
        <f>_xlfn.XLOOKUP(A1315,Banks!A:A,Banks!H:H,0,-1)</f>
        <v>1143.7004657396681</v>
      </c>
      <c r="C1315">
        <f>_xlfn.XLOOKUP(A1315,Energy!A:A,Energy!H:H,0,-1)</f>
        <v>3785.8402226340982</v>
      </c>
      <c r="D1315">
        <f t="shared" si="80"/>
        <v>4929.540688373766</v>
      </c>
      <c r="E1315">
        <f>_xlfn.XLOOKUP(A1315,Banks!A:A,Banks!I:I,0)</f>
        <v>40938.064783306982</v>
      </c>
      <c r="F1315">
        <f>_xlfn.XLOOKUP(A1315,Energy!A:A,Energy!I:I,0)</f>
        <v>0</v>
      </c>
      <c r="G1315">
        <f t="shared" si="81"/>
        <v>40938.064783306982</v>
      </c>
      <c r="H1315">
        <f t="shared" si="82"/>
        <v>36008.524094933215</v>
      </c>
      <c r="I1315" t="b">
        <f t="shared" si="83"/>
        <v>0</v>
      </c>
    </row>
    <row r="1316" spans="1:9">
      <c r="A1316" s="1">
        <v>46052.734722222223</v>
      </c>
      <c r="B1316" s="5">
        <f>_xlfn.XLOOKUP(A1316,Banks!A:A,Banks!H:H,0,-1)</f>
        <v>1082.664095713387</v>
      </c>
      <c r="C1316">
        <f>_xlfn.XLOOKUP(A1316,Energy!A:A,Energy!H:H,0,-1)</f>
        <v>3785.8402226340982</v>
      </c>
      <c r="D1316">
        <f t="shared" si="80"/>
        <v>4868.5043183474854</v>
      </c>
      <c r="E1316">
        <f>_xlfn.XLOOKUP(A1316,Banks!A:A,Banks!I:I,0)</f>
        <v>40949.61359942062</v>
      </c>
      <c r="F1316">
        <f>_xlfn.XLOOKUP(A1316,Energy!A:A,Energy!I:I,0)</f>
        <v>0</v>
      </c>
      <c r="G1316">
        <f t="shared" si="81"/>
        <v>40949.61359942062</v>
      </c>
      <c r="H1316">
        <f t="shared" si="82"/>
        <v>36081.109281073135</v>
      </c>
      <c r="I1316" t="b">
        <f t="shared" si="83"/>
        <v>0</v>
      </c>
    </row>
    <row r="1317" spans="1:9">
      <c r="A1317" s="1">
        <v>46052.73541666667</v>
      </c>
      <c r="B1317" s="5">
        <f>_xlfn.XLOOKUP(A1317,Banks!A:A,Banks!H:H,0,-1)</f>
        <v>1107.463779192082</v>
      </c>
      <c r="C1317">
        <f>_xlfn.XLOOKUP(A1317,Energy!A:A,Energy!H:H,0,-1)</f>
        <v>3785.8402226340982</v>
      </c>
      <c r="D1317">
        <f t="shared" si="80"/>
        <v>4893.30400182618</v>
      </c>
      <c r="E1317">
        <f>_xlfn.XLOOKUP(A1317,Banks!A:A,Banks!I:I,0)</f>
        <v>40934.776794350619</v>
      </c>
      <c r="F1317">
        <f>_xlfn.XLOOKUP(A1317,Energy!A:A,Energy!I:I,0)</f>
        <v>0</v>
      </c>
      <c r="G1317">
        <f t="shared" si="81"/>
        <v>40934.776794350619</v>
      </c>
      <c r="H1317">
        <f t="shared" si="82"/>
        <v>36041.472792524437</v>
      </c>
      <c r="I1317" t="b">
        <f t="shared" si="83"/>
        <v>0</v>
      </c>
    </row>
    <row r="1318" spans="1:9">
      <c r="A1318" s="1">
        <v>46052.736111111109</v>
      </c>
      <c r="B1318" s="5">
        <f>_xlfn.XLOOKUP(A1318,Banks!A:A,Banks!H:H,0,-1)</f>
        <v>1117.5566113627269</v>
      </c>
      <c r="C1318">
        <f>_xlfn.XLOOKUP(A1318,Energy!A:A,Energy!H:H,0,-1)</f>
        <v>3785.8402226340982</v>
      </c>
      <c r="D1318">
        <f t="shared" si="80"/>
        <v>4903.3968339968251</v>
      </c>
      <c r="E1318">
        <f>_xlfn.XLOOKUP(A1318,Banks!A:A,Banks!I:I,0)</f>
        <v>0</v>
      </c>
      <c r="F1318">
        <f>_xlfn.XLOOKUP(A1318,Energy!A:A,Energy!I:I,0)</f>
        <v>0</v>
      </c>
      <c r="G1318">
        <f t="shared" si="81"/>
        <v>0</v>
      </c>
      <c r="H1318">
        <f t="shared" si="82"/>
        <v>-4903.3968339968251</v>
      </c>
      <c r="I1318" t="b">
        <f t="shared" si="83"/>
        <v>0</v>
      </c>
    </row>
    <row r="1319" spans="1:9">
      <c r="A1319" s="1">
        <v>46055.604166666657</v>
      </c>
      <c r="B1319" s="5">
        <f>_xlfn.XLOOKUP(A1319,Banks!A:A,Banks!H:H,0,-1)</f>
        <v>1117.5566113627269</v>
      </c>
      <c r="C1319">
        <f>_xlfn.XLOOKUP(A1319,Energy!A:A,Energy!H:H,0,-1)</f>
        <v>3785.8402226340982</v>
      </c>
      <c r="D1319">
        <f t="shared" si="80"/>
        <v>4903.3968339968251</v>
      </c>
      <c r="E1319">
        <f>_xlfn.XLOOKUP(A1319,Banks!A:A,Banks!I:I,0)</f>
        <v>0</v>
      </c>
      <c r="F1319">
        <f>_xlfn.XLOOKUP(A1319,Energy!A:A,Energy!I:I,0)</f>
        <v>44104.887662813198</v>
      </c>
      <c r="G1319">
        <f t="shared" si="81"/>
        <v>44104.887662813198</v>
      </c>
      <c r="H1319">
        <f t="shared" si="82"/>
        <v>39201.490828816372</v>
      </c>
      <c r="I1319" t="b">
        <f t="shared" si="83"/>
        <v>0</v>
      </c>
    </row>
    <row r="1320" spans="1:9">
      <c r="A1320" s="1">
        <v>46055.604861111111</v>
      </c>
      <c r="B1320" s="5">
        <f>_xlfn.XLOOKUP(A1320,Banks!A:A,Banks!H:H,0,-1)</f>
        <v>1117.5566113627269</v>
      </c>
      <c r="C1320">
        <f>_xlfn.XLOOKUP(A1320,Energy!A:A,Energy!H:H,0,-1)</f>
        <v>3703.4021663317239</v>
      </c>
      <c r="D1320">
        <f t="shared" si="80"/>
        <v>4820.9587776944509</v>
      </c>
      <c r="E1320">
        <f>_xlfn.XLOOKUP(A1320,Banks!A:A,Banks!I:I,0)</f>
        <v>0</v>
      </c>
      <c r="F1320">
        <f>_xlfn.XLOOKUP(A1320,Energy!A:A,Energy!I:I,0)</f>
        <v>44088.400051552722</v>
      </c>
      <c r="G1320">
        <f t="shared" si="81"/>
        <v>44088.400051552722</v>
      </c>
      <c r="H1320">
        <f t="shared" si="82"/>
        <v>39267.441273858269</v>
      </c>
      <c r="I1320" t="b">
        <f t="shared" si="83"/>
        <v>0</v>
      </c>
    </row>
    <row r="1321" spans="1:9">
      <c r="A1321" s="1">
        <v>46055.605555555558</v>
      </c>
      <c r="B1321" s="5">
        <f>_xlfn.XLOOKUP(A1321,Banks!A:A,Banks!H:H,0,-1)</f>
        <v>1117.5566113627269</v>
      </c>
      <c r="C1321">
        <f>_xlfn.XLOOKUP(A1321,Energy!A:A,Energy!H:H,0,-1)</f>
        <v>4649.3488419264322</v>
      </c>
      <c r="D1321">
        <f t="shared" si="80"/>
        <v>5766.9054532891587</v>
      </c>
      <c r="E1321">
        <f>_xlfn.XLOOKUP(A1321,Banks!A:A,Banks!I:I,0)</f>
        <v>0</v>
      </c>
      <c r="F1321">
        <f>_xlfn.XLOOKUP(A1321,Energy!A:A,Energy!I:I,0)</f>
        <v>44437.806017609269</v>
      </c>
      <c r="G1321">
        <f t="shared" si="81"/>
        <v>44437.806017609269</v>
      </c>
      <c r="H1321">
        <f t="shared" si="82"/>
        <v>38670.900564320109</v>
      </c>
      <c r="I1321" t="b">
        <f t="shared" si="83"/>
        <v>0</v>
      </c>
    </row>
    <row r="1322" spans="1:9">
      <c r="A1322" s="1">
        <v>46055.606249999997</v>
      </c>
      <c r="B1322" s="5">
        <f>_xlfn.XLOOKUP(A1322,Banks!A:A,Banks!H:H,0,-1)</f>
        <v>1117.5566113627269</v>
      </c>
      <c r="C1322">
        <f>_xlfn.XLOOKUP(A1322,Energy!A:A,Energy!H:H,0,-1)</f>
        <v>4447.3470975533965</v>
      </c>
      <c r="D1322">
        <f t="shared" si="80"/>
        <v>5564.9037089161229</v>
      </c>
      <c r="E1322">
        <f>_xlfn.XLOOKUP(A1322,Banks!A:A,Banks!I:I,0)</f>
        <v>0</v>
      </c>
      <c r="F1322">
        <f>_xlfn.XLOOKUP(A1322,Energy!A:A,Energy!I:I,0)</f>
        <v>44291.3467721985</v>
      </c>
      <c r="G1322">
        <f t="shared" si="81"/>
        <v>44291.3467721985</v>
      </c>
      <c r="H1322">
        <f t="shared" si="82"/>
        <v>38726.443063282379</v>
      </c>
      <c r="I1322" t="b">
        <f t="shared" si="83"/>
        <v>0</v>
      </c>
    </row>
    <row r="1323" spans="1:9">
      <c r="A1323" s="1">
        <v>46055.606944444437</v>
      </c>
      <c r="B1323" s="5">
        <f>_xlfn.XLOOKUP(A1323,Banks!A:A,Banks!H:H,0,-1)</f>
        <v>1117.5566113627269</v>
      </c>
      <c r="C1323">
        <f>_xlfn.XLOOKUP(A1323,Energy!A:A,Energy!H:H,0,-1)</f>
        <v>4062.6361681423318</v>
      </c>
      <c r="D1323">
        <f t="shared" si="80"/>
        <v>5180.1927795050588</v>
      </c>
      <c r="E1323">
        <f>_xlfn.XLOOKUP(A1323,Banks!A:A,Banks!I:I,0)</f>
        <v>0</v>
      </c>
      <c r="F1323">
        <f>_xlfn.XLOOKUP(A1323,Energy!A:A,Energy!I:I,0)</f>
        <v>44214.40458631629</v>
      </c>
      <c r="G1323">
        <f t="shared" si="81"/>
        <v>44214.40458631629</v>
      </c>
      <c r="H1323">
        <f t="shared" si="82"/>
        <v>39034.211806811232</v>
      </c>
      <c r="I1323" t="b">
        <f t="shared" si="83"/>
        <v>0</v>
      </c>
    </row>
    <row r="1324" spans="1:9">
      <c r="A1324" s="1">
        <v>46055.607638888891</v>
      </c>
      <c r="B1324" s="5">
        <f>_xlfn.XLOOKUP(A1324,Banks!A:A,Banks!H:H,0,-1)</f>
        <v>1117.5566113627269</v>
      </c>
      <c r="C1324">
        <f>_xlfn.XLOOKUP(A1324,Energy!A:A,Energy!H:H,0,-1)</f>
        <v>3332.1613863892949</v>
      </c>
      <c r="D1324">
        <f t="shared" si="80"/>
        <v>4449.7179977520218</v>
      </c>
      <c r="E1324">
        <f>_xlfn.XLOOKUP(A1324,Banks!A:A,Banks!I:I,0)</f>
        <v>0</v>
      </c>
      <c r="F1324">
        <f>_xlfn.XLOOKUP(A1324,Energy!A:A,Energy!I:I,0)</f>
        <v>44316.532579305633</v>
      </c>
      <c r="G1324">
        <f t="shared" si="81"/>
        <v>44316.532579305633</v>
      </c>
      <c r="H1324">
        <f t="shared" si="82"/>
        <v>39866.814581553612</v>
      </c>
      <c r="I1324" t="b">
        <f t="shared" si="83"/>
        <v>0</v>
      </c>
    </row>
    <row r="1325" spans="1:9">
      <c r="A1325" s="1">
        <v>46055.60833333333</v>
      </c>
      <c r="B1325" s="5">
        <f>_xlfn.XLOOKUP(A1325,Banks!A:A,Banks!H:H,0,-1)</f>
        <v>1117.5566113627269</v>
      </c>
      <c r="C1325">
        <f>_xlfn.XLOOKUP(A1325,Energy!A:A,Energy!H:H,0,-1)</f>
        <v>3148.452931318649</v>
      </c>
      <c r="D1325">
        <f t="shared" si="80"/>
        <v>4266.0095426813759</v>
      </c>
      <c r="E1325">
        <f>_xlfn.XLOOKUP(A1325,Banks!A:A,Banks!I:I,0)</f>
        <v>0</v>
      </c>
      <c r="F1325">
        <f>_xlfn.XLOOKUP(A1325,Energy!A:A,Energy!I:I,0)</f>
        <v>44529.142123764817</v>
      </c>
      <c r="G1325">
        <f t="shared" si="81"/>
        <v>44529.142123764817</v>
      </c>
      <c r="H1325">
        <f t="shared" si="82"/>
        <v>40263.132581083439</v>
      </c>
      <c r="I1325" t="b">
        <f t="shared" si="83"/>
        <v>0</v>
      </c>
    </row>
    <row r="1326" spans="1:9">
      <c r="A1326" s="1">
        <v>46055.609027777777</v>
      </c>
      <c r="B1326" s="5">
        <f>_xlfn.XLOOKUP(A1326,Banks!A:A,Banks!H:H,0,-1)</f>
        <v>1117.5566113627269</v>
      </c>
      <c r="C1326">
        <f>_xlfn.XLOOKUP(A1326,Energy!A:A,Energy!H:H,0,-1)</f>
        <v>3171.4749864199061</v>
      </c>
      <c r="D1326">
        <f t="shared" si="80"/>
        <v>4289.0315977826331</v>
      </c>
      <c r="E1326">
        <f>_xlfn.XLOOKUP(A1326,Banks!A:A,Banks!I:I,0)</f>
        <v>0</v>
      </c>
      <c r="F1326">
        <f>_xlfn.XLOOKUP(A1326,Energy!A:A,Energy!I:I,0)</f>
        <v>44645.44686198805</v>
      </c>
      <c r="G1326">
        <f t="shared" si="81"/>
        <v>44645.44686198805</v>
      </c>
      <c r="H1326">
        <f t="shared" si="82"/>
        <v>40356.415264205418</v>
      </c>
      <c r="I1326" t="b">
        <f t="shared" si="83"/>
        <v>0</v>
      </c>
    </row>
    <row r="1327" spans="1:9">
      <c r="A1327" s="1">
        <v>46055.609722222223</v>
      </c>
      <c r="B1327" s="5">
        <f>_xlfn.XLOOKUP(A1327,Banks!A:A,Banks!H:H,0,-1)</f>
        <v>1117.5566113627269</v>
      </c>
      <c r="C1327">
        <f>_xlfn.XLOOKUP(A1327,Energy!A:A,Energy!H:H,0,-1)</f>
        <v>3172.3837668527358</v>
      </c>
      <c r="D1327">
        <f t="shared" si="80"/>
        <v>4289.9403782154623</v>
      </c>
      <c r="E1327">
        <f>_xlfn.XLOOKUP(A1327,Banks!A:A,Banks!I:I,0)</f>
        <v>0</v>
      </c>
      <c r="F1327">
        <f>_xlfn.XLOOKUP(A1327,Energy!A:A,Energy!I:I,0)</f>
        <v>44546.339438338633</v>
      </c>
      <c r="G1327">
        <f t="shared" si="81"/>
        <v>44546.339438338633</v>
      </c>
      <c r="H1327">
        <f t="shared" si="82"/>
        <v>40256.399060123171</v>
      </c>
      <c r="I1327" t="b">
        <f t="shared" si="83"/>
        <v>0</v>
      </c>
    </row>
    <row r="1328" spans="1:9">
      <c r="A1328" s="1">
        <v>46055.61041666667</v>
      </c>
      <c r="B1328" s="5">
        <f>_xlfn.XLOOKUP(A1328,Banks!A:A,Banks!H:H,0,-1)</f>
        <v>1117.5566113627269</v>
      </c>
      <c r="C1328">
        <f>_xlfn.XLOOKUP(A1328,Energy!A:A,Energy!H:H,0,-1)</f>
        <v>3144.9044147519512</v>
      </c>
      <c r="D1328">
        <f t="shared" si="80"/>
        <v>4262.4610261146781</v>
      </c>
      <c r="E1328">
        <f>_xlfn.XLOOKUP(A1328,Banks!A:A,Banks!I:I,0)</f>
        <v>0</v>
      </c>
      <c r="F1328">
        <f>_xlfn.XLOOKUP(A1328,Energy!A:A,Energy!I:I,0)</f>
        <v>44540.843567918477</v>
      </c>
      <c r="G1328">
        <f t="shared" si="81"/>
        <v>44540.843567918477</v>
      </c>
      <c r="H1328">
        <f t="shared" si="82"/>
        <v>40278.382541803796</v>
      </c>
      <c r="I1328" t="b">
        <f t="shared" si="83"/>
        <v>0</v>
      </c>
    </row>
    <row r="1329" spans="1:9">
      <c r="A1329" s="1">
        <v>46055.611111111109</v>
      </c>
      <c r="B1329" s="5">
        <f>_xlfn.XLOOKUP(A1329,Banks!A:A,Banks!H:H,0,-1)</f>
        <v>1117.5566113627269</v>
      </c>
      <c r="C1329">
        <f>_xlfn.XLOOKUP(A1329,Energy!A:A,Energy!H:H,0,-1)</f>
        <v>3249.6328404871501</v>
      </c>
      <c r="D1329">
        <f t="shared" si="80"/>
        <v>4367.1894518498775</v>
      </c>
      <c r="E1329">
        <f>_xlfn.XLOOKUP(A1329,Banks!A:A,Banks!I:I,0)</f>
        <v>0</v>
      </c>
      <c r="F1329">
        <f>_xlfn.XLOOKUP(A1329,Energy!A:A,Energy!I:I,0)</f>
        <v>44344.030029326379</v>
      </c>
      <c r="G1329">
        <f t="shared" si="81"/>
        <v>44344.030029326379</v>
      </c>
      <c r="H1329">
        <f t="shared" si="82"/>
        <v>39976.840577476498</v>
      </c>
      <c r="I1329" t="b">
        <f t="shared" si="83"/>
        <v>0</v>
      </c>
    </row>
    <row r="1330" spans="1:9">
      <c r="A1330" s="1">
        <v>46055.611805555563</v>
      </c>
      <c r="B1330" s="5">
        <f>_xlfn.XLOOKUP(A1330,Banks!A:A,Banks!H:H,0,-1)</f>
        <v>1117.5566113627269</v>
      </c>
      <c r="C1330">
        <f>_xlfn.XLOOKUP(A1330,Energy!A:A,Energy!H:H,0,-1)</f>
        <v>2967.4708175465271</v>
      </c>
      <c r="D1330">
        <f t="shared" si="80"/>
        <v>4085.027428909254</v>
      </c>
      <c r="E1330">
        <f>_xlfn.XLOOKUP(A1330,Banks!A:A,Banks!I:I,0)</f>
        <v>0</v>
      </c>
      <c r="F1330">
        <f>_xlfn.XLOOKUP(A1330,Energy!A:A,Energy!I:I,0)</f>
        <v>44444.429397275773</v>
      </c>
      <c r="G1330">
        <f t="shared" si="81"/>
        <v>44444.429397275773</v>
      </c>
      <c r="H1330">
        <f t="shared" si="82"/>
        <v>40359.401968366517</v>
      </c>
      <c r="I1330" t="b">
        <f t="shared" si="83"/>
        <v>0</v>
      </c>
    </row>
    <row r="1331" spans="1:9">
      <c r="A1331" s="1">
        <v>46055.612500000003</v>
      </c>
      <c r="B1331" s="5">
        <f>_xlfn.XLOOKUP(A1331,Banks!A:A,Banks!H:H,0,-1)</f>
        <v>1117.5566113627269</v>
      </c>
      <c r="C1331">
        <f>_xlfn.XLOOKUP(A1331,Energy!A:A,Energy!H:H,0,-1)</f>
        <v>3187.3056343528442</v>
      </c>
      <c r="D1331">
        <f t="shared" si="80"/>
        <v>4304.8622457155707</v>
      </c>
      <c r="E1331">
        <f>_xlfn.XLOOKUP(A1331,Banks!A:A,Banks!I:I,0)</f>
        <v>0</v>
      </c>
      <c r="F1331">
        <f>_xlfn.XLOOKUP(A1331,Energy!A:A,Energy!I:I,0)</f>
        <v>44488.396360637038</v>
      </c>
      <c r="G1331">
        <f t="shared" si="81"/>
        <v>44488.396360637038</v>
      </c>
      <c r="H1331">
        <f t="shared" si="82"/>
        <v>40183.534114921466</v>
      </c>
      <c r="I1331" t="b">
        <f t="shared" si="83"/>
        <v>0</v>
      </c>
    </row>
    <row r="1332" spans="1:9">
      <c r="A1332" s="1">
        <v>46055.613194444442</v>
      </c>
      <c r="B1332" s="5">
        <f>_xlfn.XLOOKUP(A1332,Banks!A:A,Banks!H:H,0,-1)</f>
        <v>1117.5566113627269</v>
      </c>
      <c r="C1332">
        <f>_xlfn.XLOOKUP(A1332,Energy!A:A,Energy!H:H,0,-1)</f>
        <v>2854.2802458110909</v>
      </c>
      <c r="D1332">
        <f t="shared" si="80"/>
        <v>3971.8368571738179</v>
      </c>
      <c r="E1332">
        <f>_xlfn.XLOOKUP(A1332,Banks!A:A,Banks!I:I,0)</f>
        <v>0</v>
      </c>
      <c r="F1332">
        <f>_xlfn.XLOOKUP(A1332,Energy!A:A,Energy!I:I,0)</f>
        <v>44642.935365067911</v>
      </c>
      <c r="G1332">
        <f t="shared" si="81"/>
        <v>44642.935365067911</v>
      </c>
      <c r="H1332">
        <f t="shared" si="82"/>
        <v>40671.098507894094</v>
      </c>
      <c r="I1332" t="b">
        <f t="shared" si="83"/>
        <v>0</v>
      </c>
    </row>
    <row r="1333" spans="1:9">
      <c r="A1333" s="1">
        <v>46055.613888888889</v>
      </c>
      <c r="B1333" s="5">
        <f>_xlfn.XLOOKUP(A1333,Banks!A:A,Banks!H:H,0,-1)</f>
        <v>1117.5566113627269</v>
      </c>
      <c r="C1333">
        <f>_xlfn.XLOOKUP(A1333,Energy!A:A,Energy!H:H,0,-1)</f>
        <v>2569.659465936159</v>
      </c>
      <c r="D1333">
        <f t="shared" si="80"/>
        <v>3687.2160772988859</v>
      </c>
      <c r="E1333">
        <f>_xlfn.XLOOKUP(A1333,Banks!A:A,Banks!I:I,0)</f>
        <v>0</v>
      </c>
      <c r="F1333">
        <f>_xlfn.XLOOKUP(A1333,Energy!A:A,Energy!I:I,0)</f>
        <v>44567.95863095911</v>
      </c>
      <c r="G1333">
        <f t="shared" si="81"/>
        <v>44567.95863095911</v>
      </c>
      <c r="H1333">
        <f t="shared" si="82"/>
        <v>40880.742553660224</v>
      </c>
      <c r="I1333" t="b">
        <f t="shared" si="83"/>
        <v>0</v>
      </c>
    </row>
    <row r="1334" spans="1:9">
      <c r="A1334" s="1">
        <v>46055.614583333343</v>
      </c>
      <c r="B1334" s="5">
        <f>_xlfn.XLOOKUP(A1334,Banks!A:A,Banks!H:H,0,-1)</f>
        <v>1117.5566113627269</v>
      </c>
      <c r="C1334">
        <f>_xlfn.XLOOKUP(A1334,Energy!A:A,Energy!H:H,0,-1)</f>
        <v>2800.7771440760998</v>
      </c>
      <c r="D1334">
        <f t="shared" si="80"/>
        <v>3918.3337554388268</v>
      </c>
      <c r="E1334">
        <f>_xlfn.XLOOKUP(A1334,Banks!A:A,Banks!I:I,0)</f>
        <v>0</v>
      </c>
      <c r="F1334">
        <f>_xlfn.XLOOKUP(A1334,Energy!A:A,Energy!I:I,0)</f>
        <v>44609.669022053647</v>
      </c>
      <c r="G1334">
        <f t="shared" si="81"/>
        <v>44609.669022053647</v>
      </c>
      <c r="H1334">
        <f t="shared" si="82"/>
        <v>40691.33526661482</v>
      </c>
      <c r="I1334" t="b">
        <f t="shared" si="83"/>
        <v>0</v>
      </c>
    </row>
    <row r="1335" spans="1:9">
      <c r="A1335" s="1">
        <v>46055.615277777782</v>
      </c>
      <c r="B1335" s="5">
        <f>_xlfn.XLOOKUP(A1335,Banks!A:A,Banks!H:H,0,-1)</f>
        <v>1117.5566113627269</v>
      </c>
      <c r="C1335">
        <f>_xlfn.XLOOKUP(A1335,Energy!A:A,Energy!H:H,0,-1)</f>
        <v>2647.9116940382842</v>
      </c>
      <c r="D1335">
        <f t="shared" si="80"/>
        <v>3765.4683054010111</v>
      </c>
      <c r="E1335">
        <f>_xlfn.XLOOKUP(A1335,Banks!A:A,Banks!I:I,0)</f>
        <v>0</v>
      </c>
      <c r="F1335">
        <f>_xlfn.XLOOKUP(A1335,Energy!A:A,Energy!I:I,0)</f>
        <v>44563.299926179003</v>
      </c>
      <c r="G1335">
        <f t="shared" si="81"/>
        <v>44563.299926179003</v>
      </c>
      <c r="H1335">
        <f t="shared" si="82"/>
        <v>40797.831620777994</v>
      </c>
      <c r="I1335" t="b">
        <f t="shared" si="83"/>
        <v>0</v>
      </c>
    </row>
    <row r="1336" spans="1:9">
      <c r="A1336" s="1">
        <v>46055.615972222222</v>
      </c>
      <c r="B1336" s="5">
        <f>_xlfn.XLOOKUP(A1336,Banks!A:A,Banks!H:H,0,-1)</f>
        <v>1117.5566113627269</v>
      </c>
      <c r="C1336">
        <f>_xlfn.XLOOKUP(A1336,Energy!A:A,Energy!H:H,0,-1)</f>
        <v>2867.7465108446008</v>
      </c>
      <c r="D1336">
        <f t="shared" si="80"/>
        <v>3985.3031222073278</v>
      </c>
      <c r="E1336">
        <f>_xlfn.XLOOKUP(A1336,Banks!A:A,Banks!I:I,0)</f>
        <v>0</v>
      </c>
      <c r="F1336">
        <f>_xlfn.XLOOKUP(A1336,Energy!A:A,Energy!I:I,0)</f>
        <v>44607.26688954026</v>
      </c>
      <c r="G1336">
        <f t="shared" si="81"/>
        <v>44607.26688954026</v>
      </c>
      <c r="H1336">
        <f t="shared" si="82"/>
        <v>40621.963767332934</v>
      </c>
      <c r="I1336" t="b">
        <f t="shared" si="83"/>
        <v>0</v>
      </c>
    </row>
    <row r="1337" spans="1:9">
      <c r="A1337" s="1">
        <v>46055.616666666669</v>
      </c>
      <c r="B1337" s="5">
        <f>_xlfn.XLOOKUP(A1337,Banks!A:A,Banks!H:H,0,-1)</f>
        <v>1117.5566113627269</v>
      </c>
      <c r="C1337">
        <f>_xlfn.XLOOKUP(A1337,Energy!A:A,Energy!H:H,0,-1)</f>
        <v>3317.605361723397</v>
      </c>
      <c r="D1337">
        <f t="shared" si="80"/>
        <v>4435.1619730861239</v>
      </c>
      <c r="E1337">
        <f>_xlfn.XLOOKUP(A1337,Banks!A:A,Banks!I:I,0)</f>
        <v>0</v>
      </c>
      <c r="F1337">
        <f>_xlfn.XLOOKUP(A1337,Energy!A:A,Energy!I:I,0)</f>
        <v>44539.278601045138</v>
      </c>
      <c r="G1337">
        <f t="shared" si="81"/>
        <v>44539.278601045138</v>
      </c>
      <c r="H1337">
        <f t="shared" si="82"/>
        <v>40104.116627959011</v>
      </c>
      <c r="I1337" t="b">
        <f t="shared" si="83"/>
        <v>0</v>
      </c>
    </row>
    <row r="1338" spans="1:9">
      <c r="A1338" s="1">
        <v>46055.617361111108</v>
      </c>
      <c r="B1338" s="5">
        <f>_xlfn.XLOOKUP(A1338,Banks!A:A,Banks!H:H,0,-1)</f>
        <v>1117.5566113627269</v>
      </c>
      <c r="C1338">
        <f>_xlfn.XLOOKUP(A1338,Energy!A:A,Energy!H:H,0,-1)</f>
        <v>3070.2911928162748</v>
      </c>
      <c r="D1338">
        <f t="shared" si="80"/>
        <v>4187.8478041790022</v>
      </c>
      <c r="E1338">
        <f>_xlfn.XLOOKUP(A1338,Banks!A:A,Banks!I:I,0)</f>
        <v>0</v>
      </c>
      <c r="F1338">
        <f>_xlfn.XLOOKUP(A1338,Energy!A:A,Energy!I:I,0)</f>
        <v>44489.81576726371</v>
      </c>
      <c r="G1338">
        <f t="shared" si="81"/>
        <v>44489.81576726371</v>
      </c>
      <c r="H1338">
        <f t="shared" si="82"/>
        <v>40301.967963084709</v>
      </c>
      <c r="I1338" t="b">
        <f t="shared" si="83"/>
        <v>0</v>
      </c>
    </row>
    <row r="1339" spans="1:9">
      <c r="A1339" s="1">
        <v>46055.618055555547</v>
      </c>
      <c r="B1339" s="5">
        <f>_xlfn.XLOOKUP(A1339,Banks!A:A,Banks!H:H,0,-1)</f>
        <v>1117.5566113627269</v>
      </c>
      <c r="C1339">
        <f>_xlfn.XLOOKUP(A1339,Energy!A:A,Energy!H:H,0,-1)</f>
        <v>3526.8041763021911</v>
      </c>
      <c r="D1339">
        <f t="shared" si="80"/>
        <v>4644.3607876649185</v>
      </c>
      <c r="E1339">
        <f>_xlfn.XLOOKUP(A1339,Banks!A:A,Banks!I:I,0)</f>
        <v>0</v>
      </c>
      <c r="F1339">
        <f>_xlfn.XLOOKUP(A1339,Energy!A:A,Energy!I:I,0)</f>
        <v>0</v>
      </c>
      <c r="G1339">
        <f t="shared" si="81"/>
        <v>0</v>
      </c>
      <c r="H1339">
        <f t="shared" si="82"/>
        <v>-4644.3607876649185</v>
      </c>
      <c r="I1339" t="b">
        <f t="shared" si="83"/>
        <v>0</v>
      </c>
    </row>
    <row r="1340" spans="1:9">
      <c r="A1340" s="1">
        <v>46056.604861111111</v>
      </c>
      <c r="B1340" s="5">
        <f>_xlfn.XLOOKUP(A1340,Banks!A:A,Banks!H:H,0,-1)</f>
        <v>1117.5566113627269</v>
      </c>
      <c r="C1340">
        <f>_xlfn.XLOOKUP(A1340,Energy!A:A,Energy!H:H,0,-1)</f>
        <v>3526.8041763021911</v>
      </c>
      <c r="D1340">
        <f t="shared" si="80"/>
        <v>4644.3607876649185</v>
      </c>
      <c r="E1340">
        <f>_xlfn.XLOOKUP(A1340,Banks!A:A,Banks!I:I,0)</f>
        <v>40980.586923336989</v>
      </c>
      <c r="F1340">
        <f>_xlfn.XLOOKUP(A1340,Energy!A:A,Energy!I:I,0)</f>
        <v>44104.887662813198</v>
      </c>
      <c r="G1340">
        <f t="shared" si="81"/>
        <v>85085.474586150187</v>
      </c>
      <c r="H1340">
        <f t="shared" si="82"/>
        <v>80441.113798485268</v>
      </c>
      <c r="I1340" t="b">
        <f t="shared" si="83"/>
        <v>1</v>
      </c>
    </row>
    <row r="1341" spans="1:9">
      <c r="A1341" s="1">
        <v>46056.605555555558</v>
      </c>
      <c r="B1341" s="5">
        <f>_xlfn.XLOOKUP(A1341,Banks!A:A,Banks!H:H,0,-1)</f>
        <v>1481.9308015874351</v>
      </c>
      <c r="C1341">
        <f>_xlfn.XLOOKUP(A1341,Energy!A:A,Energy!H:H,0,-1)</f>
        <v>4428.0682299017408</v>
      </c>
      <c r="D1341">
        <f t="shared" si="80"/>
        <v>5909.9990314891756</v>
      </c>
      <c r="E1341">
        <f>_xlfn.XLOOKUP(A1341,Banks!A:A,Banks!I:I,0)</f>
        <v>0</v>
      </c>
      <c r="F1341">
        <f>_xlfn.XLOOKUP(A1341,Energy!A:A,Energy!I:I,0)</f>
        <v>44140.99632938896</v>
      </c>
      <c r="G1341">
        <f t="shared" si="81"/>
        <v>44140.99632938896</v>
      </c>
      <c r="H1341">
        <f t="shared" si="82"/>
        <v>38230.997297899783</v>
      </c>
      <c r="I1341" t="b">
        <f t="shared" si="83"/>
        <v>0</v>
      </c>
    </row>
    <row r="1342" spans="1:9">
      <c r="A1342" s="1">
        <v>46056.606249999997</v>
      </c>
      <c r="B1342" s="5">
        <f>_xlfn.XLOOKUP(A1342,Banks!A:A,Banks!H:H,0,-1)</f>
        <v>1481.9308015874351</v>
      </c>
      <c r="C1342">
        <f>_xlfn.XLOOKUP(A1342,Energy!A:A,Energy!H:H,0,-1)</f>
        <v>3489.3631244346748</v>
      </c>
      <c r="D1342">
        <f t="shared" si="80"/>
        <v>4971.2939260221101</v>
      </c>
      <c r="E1342">
        <f>_xlfn.XLOOKUP(A1342,Banks!A:A,Banks!I:I,0)</f>
        <v>0</v>
      </c>
      <c r="F1342">
        <f>_xlfn.XLOOKUP(A1342,Energy!A:A,Energy!I:I,0)</f>
        <v>44201.139556179798</v>
      </c>
      <c r="G1342">
        <f t="shared" si="81"/>
        <v>44201.139556179798</v>
      </c>
      <c r="H1342">
        <f t="shared" si="82"/>
        <v>39229.845630157688</v>
      </c>
      <c r="I1342" t="b">
        <f t="shared" si="83"/>
        <v>0</v>
      </c>
    </row>
    <row r="1343" spans="1:9">
      <c r="A1343" s="1">
        <v>46056.606944444437</v>
      </c>
      <c r="B1343" s="5">
        <f>_xlfn.XLOOKUP(A1343,Banks!A:A,Banks!H:H,0,-1)</f>
        <v>1481.9308015874351</v>
      </c>
      <c r="C1343">
        <f>_xlfn.XLOOKUP(A1343,Energy!A:A,Energy!H:H,0,-1)</f>
        <v>3186.3328214043681</v>
      </c>
      <c r="D1343">
        <f t="shared" si="80"/>
        <v>4668.2636229918035</v>
      </c>
      <c r="E1343">
        <f>_xlfn.XLOOKUP(A1343,Banks!A:A,Banks!I:I,0)</f>
        <v>0</v>
      </c>
      <c r="F1343">
        <f>_xlfn.XLOOKUP(A1343,Energy!A:A,Energy!I:I,0)</f>
        <v>44261.745616785862</v>
      </c>
      <c r="G1343">
        <f t="shared" si="81"/>
        <v>44261.745616785862</v>
      </c>
      <c r="H1343">
        <f t="shared" si="82"/>
        <v>39593.481993794056</v>
      </c>
      <c r="I1343" t="b">
        <f t="shared" si="83"/>
        <v>0</v>
      </c>
    </row>
    <row r="1344" spans="1:9">
      <c r="A1344" s="1">
        <v>46056.607638888891</v>
      </c>
      <c r="B1344" s="5">
        <f>_xlfn.XLOOKUP(A1344,Banks!A:A,Banks!H:H,0,-1)</f>
        <v>1481.9308015874351</v>
      </c>
      <c r="C1344">
        <f>_xlfn.XLOOKUP(A1344,Energy!A:A,Energy!H:H,0,-1)</f>
        <v>3442.9530780246241</v>
      </c>
      <c r="D1344">
        <f t="shared" si="80"/>
        <v>4924.883879612059</v>
      </c>
      <c r="E1344">
        <f>_xlfn.XLOOKUP(A1344,Banks!A:A,Banks!I:I,0)</f>
        <v>0</v>
      </c>
      <c r="F1344">
        <f>_xlfn.XLOOKUP(A1344,Energy!A:A,Energy!I:I,0)</f>
        <v>44210.421565461809</v>
      </c>
      <c r="G1344">
        <f t="shared" si="81"/>
        <v>44210.421565461809</v>
      </c>
      <c r="H1344">
        <f t="shared" si="82"/>
        <v>39285.537685849748</v>
      </c>
      <c r="I1344" t="b">
        <f t="shared" si="83"/>
        <v>0</v>
      </c>
    </row>
    <row r="1345" spans="1:9">
      <c r="A1345" s="1">
        <v>46056.60833333333</v>
      </c>
      <c r="B1345" s="5">
        <f>_xlfn.XLOOKUP(A1345,Banks!A:A,Banks!H:H,0,-1)</f>
        <v>1481.9308015874351</v>
      </c>
      <c r="C1345">
        <f>_xlfn.XLOOKUP(A1345,Energy!A:A,Energy!H:H,0,-1)</f>
        <v>3586.2290908907239</v>
      </c>
      <c r="D1345">
        <f t="shared" si="80"/>
        <v>5068.1598924781592</v>
      </c>
      <c r="E1345">
        <f>_xlfn.XLOOKUP(A1345,Banks!A:A,Banks!I:I,0)</f>
        <v>0</v>
      </c>
      <c r="F1345">
        <f>_xlfn.XLOOKUP(A1345,Energy!A:A,Energy!I:I,0)</f>
        <v>44215.052744011002</v>
      </c>
      <c r="G1345">
        <f t="shared" si="81"/>
        <v>44215.052744011002</v>
      </c>
      <c r="H1345">
        <f t="shared" si="82"/>
        <v>39146.892851532844</v>
      </c>
      <c r="I1345" t="b">
        <f t="shared" si="83"/>
        <v>0</v>
      </c>
    </row>
    <row r="1346" spans="1:9">
      <c r="A1346" s="1">
        <v>46056.609027777777</v>
      </c>
      <c r="B1346" s="5">
        <f>_xlfn.XLOOKUP(A1346,Banks!A:A,Banks!H:H,0,-1)</f>
        <v>1481.9308015874351</v>
      </c>
      <c r="C1346">
        <f>_xlfn.XLOOKUP(A1346,Energy!A:A,Energy!H:H,0,-1)</f>
        <v>3945.2735803451351</v>
      </c>
      <c r="D1346">
        <f t="shared" si="80"/>
        <v>5427.20438193257</v>
      </c>
      <c r="E1346">
        <f>_xlfn.XLOOKUP(A1346,Banks!A:A,Banks!I:I,0)</f>
        <v>0</v>
      </c>
      <c r="F1346">
        <f>_xlfn.XLOOKUP(A1346,Energy!A:A,Energy!I:I,0)</f>
        <v>44109.957464997708</v>
      </c>
      <c r="G1346">
        <f t="shared" si="81"/>
        <v>44109.957464997708</v>
      </c>
      <c r="H1346">
        <f t="shared" si="82"/>
        <v>38682.753083065138</v>
      </c>
      <c r="I1346" t="b">
        <f t="shared" si="83"/>
        <v>0</v>
      </c>
    </row>
    <row r="1347" spans="1:9">
      <c r="A1347" s="1">
        <v>46056.609722222223</v>
      </c>
      <c r="B1347" s="5">
        <f>_xlfn.XLOOKUP(A1347,Banks!A:A,Banks!H:H,0,-1)</f>
        <v>1481.9308015874351</v>
      </c>
      <c r="C1347">
        <f>_xlfn.XLOOKUP(A1347,Energy!A:A,Energy!H:H,0,-1)</f>
        <v>4014.5447367468309</v>
      </c>
      <c r="D1347">
        <f t="shared" ref="D1347:D1410" si="84">B1347+C1347</f>
        <v>5496.4755383342663</v>
      </c>
      <c r="E1347">
        <f>_xlfn.XLOOKUP(A1347,Banks!A:A,Banks!I:I,0)</f>
        <v>0</v>
      </c>
      <c r="F1347">
        <f>_xlfn.XLOOKUP(A1347,Energy!A:A,Energy!I:I,0)</f>
        <v>44329.107901574251</v>
      </c>
      <c r="G1347">
        <f t="shared" ref="G1347:G1410" si="85">F1347+E1347</f>
        <v>44329.107901574251</v>
      </c>
      <c r="H1347">
        <f t="shared" ref="H1347:H1410" si="86">G1347-D1347</f>
        <v>38832.632363239987</v>
      </c>
      <c r="I1347" t="b">
        <f t="shared" ref="I1347:I1410" si="87">AND(E1347&gt;0,F1347&gt;0)</f>
        <v>0</v>
      </c>
    </row>
    <row r="1348" spans="1:9">
      <c r="A1348" s="1">
        <v>46056.61041666667</v>
      </c>
      <c r="B1348" s="5">
        <f>_xlfn.XLOOKUP(A1348,Banks!A:A,Banks!H:H,0,-1)</f>
        <v>1481.9308015874351</v>
      </c>
      <c r="C1348">
        <f>_xlfn.XLOOKUP(A1348,Energy!A:A,Energy!H:H,0,-1)</f>
        <v>3875.8514820701039</v>
      </c>
      <c r="D1348">
        <f t="shared" si="84"/>
        <v>5357.7822836575388</v>
      </c>
      <c r="E1348">
        <f>_xlfn.XLOOKUP(A1348,Banks!A:A,Banks!I:I,0)</f>
        <v>0</v>
      </c>
      <c r="F1348">
        <f>_xlfn.XLOOKUP(A1348,Energy!A:A,Energy!I:I,0)</f>
        <v>44301.369250638912</v>
      </c>
      <c r="G1348">
        <f t="shared" si="85"/>
        <v>44301.369250638912</v>
      </c>
      <c r="H1348">
        <f t="shared" si="86"/>
        <v>38943.586966981376</v>
      </c>
      <c r="I1348" t="b">
        <f t="shared" si="87"/>
        <v>0</v>
      </c>
    </row>
    <row r="1349" spans="1:9">
      <c r="A1349" s="1">
        <v>46056.611111111109</v>
      </c>
      <c r="B1349" s="5">
        <f>_xlfn.XLOOKUP(A1349,Banks!A:A,Banks!H:H,0,-1)</f>
        <v>1481.9308015874351</v>
      </c>
      <c r="C1349">
        <f>_xlfn.XLOOKUP(A1349,Energy!A:A,Energy!H:H,0,-1)</f>
        <v>4524.3973118043614</v>
      </c>
      <c r="D1349">
        <f t="shared" si="84"/>
        <v>6006.3281133917963</v>
      </c>
      <c r="E1349">
        <f>_xlfn.XLOOKUP(A1349,Banks!A:A,Banks!I:I,0)</f>
        <v>0</v>
      </c>
      <c r="F1349">
        <f>_xlfn.XLOOKUP(A1349,Energy!A:A,Energy!I:I,0)</f>
        <v>44210.494196001528</v>
      </c>
      <c r="G1349">
        <f t="shared" si="85"/>
        <v>44210.494196001528</v>
      </c>
      <c r="H1349">
        <f t="shared" si="86"/>
        <v>38204.166082609729</v>
      </c>
      <c r="I1349" t="b">
        <f t="shared" si="87"/>
        <v>0</v>
      </c>
    </row>
    <row r="1350" spans="1:9">
      <c r="A1350" s="1">
        <v>46056.611805555563</v>
      </c>
      <c r="B1350" s="5">
        <f>_xlfn.XLOOKUP(A1350,Banks!A:A,Banks!H:H,0,-1)</f>
        <v>1481.9308015874351</v>
      </c>
      <c r="C1350">
        <f>_xlfn.XLOOKUP(A1350,Energy!A:A,Energy!H:H,0,-1)</f>
        <v>4704.2599192487814</v>
      </c>
      <c r="D1350">
        <f t="shared" si="84"/>
        <v>6186.1907208362163</v>
      </c>
      <c r="E1350">
        <f>_xlfn.XLOOKUP(A1350,Banks!A:A,Banks!I:I,0)</f>
        <v>0</v>
      </c>
      <c r="F1350">
        <f>_xlfn.XLOOKUP(A1350,Energy!A:A,Energy!I:I,0)</f>
        <v>44235.546706570407</v>
      </c>
      <c r="G1350">
        <f t="shared" si="85"/>
        <v>44235.546706570407</v>
      </c>
      <c r="H1350">
        <f t="shared" si="86"/>
        <v>38049.35598573419</v>
      </c>
      <c r="I1350" t="b">
        <f t="shared" si="87"/>
        <v>0</v>
      </c>
    </row>
    <row r="1351" spans="1:9">
      <c r="A1351" s="1">
        <v>46056.612500000003</v>
      </c>
      <c r="B1351" s="5">
        <f>_xlfn.XLOOKUP(A1351,Banks!A:A,Banks!H:H,0,-1)</f>
        <v>1481.9308015874351</v>
      </c>
      <c r="C1351">
        <f>_xlfn.XLOOKUP(A1351,Energy!A:A,Energy!H:H,0,-1)</f>
        <v>4720.2013119934791</v>
      </c>
      <c r="D1351">
        <f t="shared" si="84"/>
        <v>6202.1321135809139</v>
      </c>
      <c r="E1351">
        <f>_xlfn.XLOOKUP(A1351,Banks!A:A,Banks!I:I,0)</f>
        <v>0</v>
      </c>
      <c r="F1351">
        <f>_xlfn.XLOOKUP(A1351,Energy!A:A,Energy!I:I,0)</f>
        <v>44221.262967647337</v>
      </c>
      <c r="G1351">
        <f t="shared" si="85"/>
        <v>44221.262967647337</v>
      </c>
      <c r="H1351">
        <f t="shared" si="86"/>
        <v>38019.130854066425</v>
      </c>
      <c r="I1351" t="b">
        <f t="shared" si="87"/>
        <v>0</v>
      </c>
    </row>
    <row r="1352" spans="1:9">
      <c r="A1352" s="1">
        <v>46056.613194444442</v>
      </c>
      <c r="B1352" s="5">
        <f>_xlfn.XLOOKUP(A1352,Banks!A:A,Banks!H:H,0,-1)</f>
        <v>1481.9308015874351</v>
      </c>
      <c r="C1352">
        <f>_xlfn.XLOOKUP(A1352,Energy!A:A,Energy!H:H,0,-1)</f>
        <v>4781.9520854016482</v>
      </c>
      <c r="D1352">
        <f t="shared" si="84"/>
        <v>6263.8828869890831</v>
      </c>
      <c r="E1352">
        <f>_xlfn.XLOOKUP(A1352,Banks!A:A,Banks!I:I,0)</f>
        <v>0</v>
      </c>
      <c r="F1352">
        <f>_xlfn.XLOOKUP(A1352,Energy!A:A,Energy!I:I,0)</f>
        <v>0</v>
      </c>
      <c r="G1352">
        <f t="shared" si="85"/>
        <v>0</v>
      </c>
      <c r="H1352">
        <f t="shared" si="86"/>
        <v>-6263.8828869890831</v>
      </c>
      <c r="I1352" t="b">
        <f t="shared" si="87"/>
        <v>0</v>
      </c>
    </row>
    <row r="1353" spans="1:9">
      <c r="A1353" s="1">
        <v>46057.604166666657</v>
      </c>
      <c r="B1353" s="5">
        <f>_xlfn.XLOOKUP(A1353,Banks!A:A,Banks!H:H,0,-1)</f>
        <v>1481.9308015874351</v>
      </c>
      <c r="C1353">
        <f>_xlfn.XLOOKUP(A1353,Energy!A:A,Energy!H:H,0,-1)</f>
        <v>4781.9520854016482</v>
      </c>
      <c r="D1353">
        <f t="shared" si="84"/>
        <v>6263.8828869890831</v>
      </c>
      <c r="E1353">
        <f>_xlfn.XLOOKUP(A1353,Banks!A:A,Banks!I:I,0)</f>
        <v>40980.586923336989</v>
      </c>
      <c r="F1353">
        <f>_xlfn.XLOOKUP(A1353,Energy!A:A,Energy!I:I,0)</f>
        <v>0</v>
      </c>
      <c r="G1353">
        <f t="shared" si="85"/>
        <v>40980.586923336989</v>
      </c>
      <c r="H1353">
        <f t="shared" si="86"/>
        <v>34716.704036347903</v>
      </c>
      <c r="I1353" t="b">
        <f t="shared" si="87"/>
        <v>0</v>
      </c>
    </row>
    <row r="1354" spans="1:9">
      <c r="A1354" s="1">
        <v>46057.604861111111</v>
      </c>
      <c r="B1354" s="5">
        <f>_xlfn.XLOOKUP(A1354,Banks!A:A,Banks!H:H,0,-1)</f>
        <v>1338.597043313918</v>
      </c>
      <c r="C1354">
        <f>_xlfn.XLOOKUP(A1354,Energy!A:A,Energy!H:H,0,-1)</f>
        <v>4781.9520854016482</v>
      </c>
      <c r="D1354">
        <f t="shared" si="84"/>
        <v>6120.5491287155664</v>
      </c>
      <c r="E1354">
        <f>_xlfn.XLOOKUP(A1354,Banks!A:A,Banks!I:I,0)</f>
        <v>41051.00204617266</v>
      </c>
      <c r="F1354">
        <f>_xlfn.XLOOKUP(A1354,Energy!A:A,Energy!I:I,0)</f>
        <v>0</v>
      </c>
      <c r="G1354">
        <f t="shared" si="85"/>
        <v>41051.00204617266</v>
      </c>
      <c r="H1354">
        <f t="shared" si="86"/>
        <v>34930.452917457093</v>
      </c>
      <c r="I1354" t="b">
        <f t="shared" si="87"/>
        <v>0</v>
      </c>
    </row>
    <row r="1355" spans="1:9">
      <c r="A1355" s="1">
        <v>46057.605555555558</v>
      </c>
      <c r="B1355" s="5">
        <f>_xlfn.XLOOKUP(A1355,Banks!A:A,Banks!H:H,0,-1)</f>
        <v>1450.29230266428</v>
      </c>
      <c r="C1355">
        <f>_xlfn.XLOOKUP(A1355,Energy!A:A,Energy!H:H,0,-1)</f>
        <v>4781.9520854016482</v>
      </c>
      <c r="D1355">
        <f t="shared" si="84"/>
        <v>6232.2443880659284</v>
      </c>
      <c r="E1355">
        <f>_xlfn.XLOOKUP(A1355,Banks!A:A,Banks!I:I,0)</f>
        <v>41130.503717941021</v>
      </c>
      <c r="F1355">
        <f>_xlfn.XLOOKUP(A1355,Energy!A:A,Energy!I:I,0)</f>
        <v>0</v>
      </c>
      <c r="G1355">
        <f t="shared" si="85"/>
        <v>41130.503717941021</v>
      </c>
      <c r="H1355">
        <f t="shared" si="86"/>
        <v>34898.259329875094</v>
      </c>
      <c r="I1355" t="b">
        <f t="shared" si="87"/>
        <v>0</v>
      </c>
    </row>
    <row r="1356" spans="1:9">
      <c r="A1356" s="1">
        <v>46057.606249999997</v>
      </c>
      <c r="B1356" s="5">
        <f>_xlfn.XLOOKUP(A1356,Banks!A:A,Banks!H:H,0,-1)</f>
        <v>1211.8428597824909</v>
      </c>
      <c r="C1356">
        <f>_xlfn.XLOOKUP(A1356,Energy!A:A,Energy!H:H,0,-1)</f>
        <v>4781.9520854016482</v>
      </c>
      <c r="D1356">
        <f t="shared" si="84"/>
        <v>5993.7949451841396</v>
      </c>
      <c r="E1356">
        <f>_xlfn.XLOOKUP(A1356,Banks!A:A,Banks!I:I,0)</f>
        <v>41204.760751814363</v>
      </c>
      <c r="F1356">
        <f>_xlfn.XLOOKUP(A1356,Energy!A:A,Energy!I:I,0)</f>
        <v>0</v>
      </c>
      <c r="G1356">
        <f t="shared" si="85"/>
        <v>41204.760751814363</v>
      </c>
      <c r="H1356">
        <f t="shared" si="86"/>
        <v>35210.965806630222</v>
      </c>
      <c r="I1356" t="b">
        <f t="shared" si="87"/>
        <v>0</v>
      </c>
    </row>
    <row r="1357" spans="1:9">
      <c r="A1357" s="1">
        <v>46057.606944444437</v>
      </c>
      <c r="B1357" s="5">
        <f>_xlfn.XLOOKUP(A1357,Banks!A:A,Banks!H:H,0,-1)</f>
        <v>1502.7884637516049</v>
      </c>
      <c r="C1357">
        <f>_xlfn.XLOOKUP(A1357,Energy!A:A,Energy!H:H,0,-1)</f>
        <v>4781.9520854016482</v>
      </c>
      <c r="D1357">
        <f t="shared" si="84"/>
        <v>6284.7405491532536</v>
      </c>
      <c r="E1357">
        <f>_xlfn.XLOOKUP(A1357,Banks!A:A,Banks!I:I,0)</f>
        <v>41110.516219546058</v>
      </c>
      <c r="F1357">
        <f>_xlfn.XLOOKUP(A1357,Energy!A:A,Energy!I:I,0)</f>
        <v>0</v>
      </c>
      <c r="G1357">
        <f t="shared" si="85"/>
        <v>41110.516219546058</v>
      </c>
      <c r="H1357">
        <f t="shared" si="86"/>
        <v>34825.775670392803</v>
      </c>
      <c r="I1357" t="b">
        <f t="shared" si="87"/>
        <v>0</v>
      </c>
    </row>
    <row r="1358" spans="1:9">
      <c r="A1358" s="1">
        <v>46057.607638888891</v>
      </c>
      <c r="B1358" s="5">
        <f>_xlfn.XLOOKUP(A1358,Banks!A:A,Banks!H:H,0,-1)</f>
        <v>1443.4340169330251</v>
      </c>
      <c r="C1358">
        <f>_xlfn.XLOOKUP(A1358,Energy!A:A,Energy!H:H,0,-1)</f>
        <v>4781.9520854016482</v>
      </c>
      <c r="D1358">
        <f t="shared" si="84"/>
        <v>6225.3861023346735</v>
      </c>
      <c r="E1358">
        <f>_xlfn.XLOOKUP(A1358,Banks!A:A,Banks!I:I,0)</f>
        <v>41026.239344977846</v>
      </c>
      <c r="F1358">
        <f>_xlfn.XLOOKUP(A1358,Energy!A:A,Energy!I:I,0)</f>
        <v>0</v>
      </c>
      <c r="G1358">
        <f t="shared" si="85"/>
        <v>41026.239344977846</v>
      </c>
      <c r="H1358">
        <f t="shared" si="86"/>
        <v>34800.85324264317</v>
      </c>
      <c r="I1358" t="b">
        <f t="shared" si="87"/>
        <v>0</v>
      </c>
    </row>
    <row r="1359" spans="1:9">
      <c r="A1359" s="1">
        <v>46057.60833333333</v>
      </c>
      <c r="B1359" s="5">
        <f>_xlfn.XLOOKUP(A1359,Banks!A:A,Banks!H:H,0,-1)</f>
        <v>1313.178488757266</v>
      </c>
      <c r="C1359">
        <f>_xlfn.XLOOKUP(A1359,Energy!A:A,Energy!H:H,0,-1)</f>
        <v>4781.9520854016482</v>
      </c>
      <c r="D1359">
        <f t="shared" si="84"/>
        <v>6095.130574158914</v>
      </c>
      <c r="E1359">
        <f>_xlfn.XLOOKUP(A1359,Banks!A:A,Banks!I:I,0)</f>
        <v>41057.350859240993</v>
      </c>
      <c r="F1359">
        <f>_xlfn.XLOOKUP(A1359,Energy!A:A,Energy!I:I,0)</f>
        <v>0</v>
      </c>
      <c r="G1359">
        <f t="shared" si="85"/>
        <v>41057.350859240993</v>
      </c>
      <c r="H1359">
        <f t="shared" si="86"/>
        <v>34962.220285082076</v>
      </c>
      <c r="I1359" t="b">
        <f t="shared" si="87"/>
        <v>0</v>
      </c>
    </row>
    <row r="1360" spans="1:9">
      <c r="A1360" s="1">
        <v>46057.609027777777</v>
      </c>
      <c r="B1360" s="5">
        <f>_xlfn.XLOOKUP(A1360,Banks!A:A,Banks!H:H,0,-1)</f>
        <v>1067.715411588691</v>
      </c>
      <c r="C1360">
        <f>_xlfn.XLOOKUP(A1360,Energy!A:A,Energy!H:H,0,-1)</f>
        <v>4781.9520854016482</v>
      </c>
      <c r="D1360">
        <f t="shared" si="84"/>
        <v>5849.6674969903397</v>
      </c>
      <c r="E1360">
        <f>_xlfn.XLOOKUP(A1360,Banks!A:A,Banks!I:I,0)</f>
        <v>41042.555815746236</v>
      </c>
      <c r="F1360">
        <f>_xlfn.XLOOKUP(A1360,Energy!A:A,Energy!I:I,0)</f>
        <v>0</v>
      </c>
      <c r="G1360">
        <f t="shared" si="85"/>
        <v>41042.555815746236</v>
      </c>
      <c r="H1360">
        <f t="shared" si="86"/>
        <v>35192.888318755897</v>
      </c>
      <c r="I1360" t="b">
        <f t="shared" si="87"/>
        <v>0</v>
      </c>
    </row>
    <row r="1361" spans="1:9">
      <c r="A1361" s="1">
        <v>46057.609722222223</v>
      </c>
      <c r="B1361" s="5">
        <f>_xlfn.XLOOKUP(A1361,Banks!A:A,Banks!H:H,0,-1)</f>
        <v>1408.2164990877659</v>
      </c>
      <c r="C1361">
        <f>_xlfn.XLOOKUP(A1361,Energy!A:A,Energy!H:H,0,-1)</f>
        <v>4781.9520854016482</v>
      </c>
      <c r="D1361">
        <f t="shared" si="84"/>
        <v>6190.1685844894146</v>
      </c>
      <c r="E1361">
        <f>_xlfn.XLOOKUP(A1361,Banks!A:A,Banks!I:I,0)</f>
        <v>41061.115096000867</v>
      </c>
      <c r="F1361">
        <f>_xlfn.XLOOKUP(A1361,Energy!A:A,Energy!I:I,0)</f>
        <v>0</v>
      </c>
      <c r="G1361">
        <f t="shared" si="85"/>
        <v>41061.115096000867</v>
      </c>
      <c r="H1361">
        <f t="shared" si="86"/>
        <v>34870.946511511451</v>
      </c>
      <c r="I1361" t="b">
        <f t="shared" si="87"/>
        <v>0</v>
      </c>
    </row>
    <row r="1362" spans="1:9">
      <c r="A1362" s="1">
        <v>46057.61041666667</v>
      </c>
      <c r="B1362" s="5">
        <f>_xlfn.XLOOKUP(A1362,Banks!A:A,Banks!H:H,0,-1)</f>
        <v>1142.3787525642019</v>
      </c>
      <c r="C1362">
        <f>_xlfn.XLOOKUP(A1362,Energy!A:A,Energy!H:H,0,-1)</f>
        <v>4781.9520854016482</v>
      </c>
      <c r="D1362">
        <f t="shared" si="84"/>
        <v>5924.3308379658502</v>
      </c>
      <c r="E1362">
        <f>_xlfn.XLOOKUP(A1362,Banks!A:A,Banks!I:I,0)</f>
        <v>41179.435406391043</v>
      </c>
      <c r="F1362">
        <f>_xlfn.XLOOKUP(A1362,Energy!A:A,Energy!I:I,0)</f>
        <v>0</v>
      </c>
      <c r="G1362">
        <f t="shared" si="85"/>
        <v>41179.435406391043</v>
      </c>
      <c r="H1362">
        <f t="shared" si="86"/>
        <v>35255.104568425195</v>
      </c>
      <c r="I1362" t="b">
        <f t="shared" si="87"/>
        <v>0</v>
      </c>
    </row>
    <row r="1363" spans="1:9">
      <c r="A1363" s="1">
        <v>46057.611111111109</v>
      </c>
      <c r="B1363" s="5">
        <f>_xlfn.XLOOKUP(A1363,Banks!A:A,Banks!H:H,0,-1)</f>
        <v>1017.294566004994</v>
      </c>
      <c r="C1363">
        <f>_xlfn.XLOOKUP(A1363,Energy!A:A,Energy!H:H,0,-1)</f>
        <v>4781.9520854016482</v>
      </c>
      <c r="D1363">
        <f t="shared" si="84"/>
        <v>5799.2466514066418</v>
      </c>
      <c r="E1363">
        <f>_xlfn.XLOOKUP(A1363,Banks!A:A,Banks!I:I,0)</f>
        <v>41169.661934385411</v>
      </c>
      <c r="F1363">
        <f>_xlfn.XLOOKUP(A1363,Energy!A:A,Energy!I:I,0)</f>
        <v>0</v>
      </c>
      <c r="G1363">
        <f t="shared" si="85"/>
        <v>41169.661934385411</v>
      </c>
      <c r="H1363">
        <f t="shared" si="86"/>
        <v>35370.415282978771</v>
      </c>
      <c r="I1363" t="b">
        <f t="shared" si="87"/>
        <v>0</v>
      </c>
    </row>
    <row r="1364" spans="1:9">
      <c r="A1364" s="1">
        <v>46057.611805555563</v>
      </c>
      <c r="B1364" s="5">
        <f>_xlfn.XLOOKUP(A1364,Banks!A:A,Banks!H:H,0,-1)</f>
        <v>1093.860926786042</v>
      </c>
      <c r="C1364">
        <f>_xlfn.XLOOKUP(A1364,Energy!A:A,Energy!H:H,0,-1)</f>
        <v>4781.9520854016482</v>
      </c>
      <c r="D1364">
        <f t="shared" si="84"/>
        <v>5875.8130121876902</v>
      </c>
      <c r="E1364">
        <f>_xlfn.XLOOKUP(A1364,Banks!A:A,Banks!I:I,0)</f>
        <v>41120.190903990217</v>
      </c>
      <c r="F1364">
        <f>_xlfn.XLOOKUP(A1364,Energy!A:A,Energy!I:I,0)</f>
        <v>0</v>
      </c>
      <c r="G1364">
        <f t="shared" si="85"/>
        <v>41120.190903990217</v>
      </c>
      <c r="H1364">
        <f t="shared" si="86"/>
        <v>35244.377891802527</v>
      </c>
      <c r="I1364" t="b">
        <f t="shared" si="87"/>
        <v>0</v>
      </c>
    </row>
    <row r="1365" spans="1:9">
      <c r="A1365" s="1">
        <v>46057.612500000003</v>
      </c>
      <c r="B1365" s="5">
        <f>_xlfn.XLOOKUP(A1365,Banks!A:A,Banks!H:H,0,-1)</f>
        <v>754.59168273320984</v>
      </c>
      <c r="C1365">
        <f>_xlfn.XLOOKUP(A1365,Energy!A:A,Energy!H:H,0,-1)</f>
        <v>4781.9520854016482</v>
      </c>
      <c r="D1365">
        <f t="shared" si="84"/>
        <v>5536.5437681348576</v>
      </c>
      <c r="E1365">
        <f>_xlfn.XLOOKUP(A1365,Banks!A:A,Banks!I:I,0)</f>
        <v>41136.175564363817</v>
      </c>
      <c r="F1365">
        <f>_xlfn.XLOOKUP(A1365,Energy!A:A,Energy!I:I,0)</f>
        <v>0</v>
      </c>
      <c r="G1365">
        <f t="shared" si="85"/>
        <v>41136.175564363817</v>
      </c>
      <c r="H1365">
        <f t="shared" si="86"/>
        <v>35599.631796228961</v>
      </c>
      <c r="I1365" t="b">
        <f t="shared" si="87"/>
        <v>0</v>
      </c>
    </row>
    <row r="1366" spans="1:9">
      <c r="A1366" s="1">
        <v>46057.613194444442</v>
      </c>
      <c r="B1366" s="5">
        <f>_xlfn.XLOOKUP(A1366,Banks!A:A,Banks!H:H,0,-1)</f>
        <v>906.71463868423325</v>
      </c>
      <c r="C1366">
        <f>_xlfn.XLOOKUP(A1366,Energy!A:A,Energy!H:H,0,-1)</f>
        <v>4781.9520854016482</v>
      </c>
      <c r="D1366">
        <f t="shared" si="84"/>
        <v>5688.6667240858815</v>
      </c>
      <c r="E1366">
        <f>_xlfn.XLOOKUP(A1366,Banks!A:A,Banks!I:I,0)</f>
        <v>41136.113424941599</v>
      </c>
      <c r="F1366">
        <f>_xlfn.XLOOKUP(A1366,Energy!A:A,Energy!I:I,0)</f>
        <v>0</v>
      </c>
      <c r="G1366">
        <f t="shared" si="85"/>
        <v>41136.113424941599</v>
      </c>
      <c r="H1366">
        <f t="shared" si="86"/>
        <v>35447.446700855719</v>
      </c>
      <c r="I1366" t="b">
        <f t="shared" si="87"/>
        <v>0</v>
      </c>
    </row>
    <row r="1367" spans="1:9">
      <c r="A1367" s="1">
        <v>46057.613888888889</v>
      </c>
      <c r="B1367" s="5">
        <f>_xlfn.XLOOKUP(A1367,Banks!A:A,Banks!H:H,0,-1)</f>
        <v>925.41931106698917</v>
      </c>
      <c r="C1367">
        <f>_xlfn.XLOOKUP(A1367,Energy!A:A,Energy!H:H,0,-1)</f>
        <v>4781.9520854016482</v>
      </c>
      <c r="D1367">
        <f t="shared" si="84"/>
        <v>5707.3713964686376</v>
      </c>
      <c r="E1367">
        <f>_xlfn.XLOOKUP(A1367,Banks!A:A,Banks!I:I,0)</f>
        <v>41166.530248704017</v>
      </c>
      <c r="F1367">
        <f>_xlfn.XLOOKUP(A1367,Energy!A:A,Energy!I:I,0)</f>
        <v>0</v>
      </c>
      <c r="G1367">
        <f t="shared" si="85"/>
        <v>41166.530248704017</v>
      </c>
      <c r="H1367">
        <f t="shared" si="86"/>
        <v>35459.158852235378</v>
      </c>
      <c r="I1367" t="b">
        <f t="shared" si="87"/>
        <v>0</v>
      </c>
    </row>
    <row r="1368" spans="1:9">
      <c r="A1368" s="1">
        <v>46057.614583333343</v>
      </c>
      <c r="B1368" s="5">
        <f>_xlfn.XLOOKUP(A1368,Banks!A:A,Banks!H:H,0,-1)</f>
        <v>998.20152223334946</v>
      </c>
      <c r="C1368">
        <f>_xlfn.XLOOKUP(A1368,Energy!A:A,Energy!H:H,0,-1)</f>
        <v>4781.9520854016482</v>
      </c>
      <c r="D1368">
        <f t="shared" si="84"/>
        <v>5780.1536076349976</v>
      </c>
      <c r="E1368">
        <f>_xlfn.XLOOKUP(A1368,Banks!A:A,Banks!I:I,0)</f>
        <v>41177.275849610742</v>
      </c>
      <c r="F1368">
        <f>_xlfn.XLOOKUP(A1368,Energy!A:A,Energy!I:I,0)</f>
        <v>0</v>
      </c>
      <c r="G1368">
        <f t="shared" si="85"/>
        <v>41177.275849610742</v>
      </c>
      <c r="H1368">
        <f t="shared" si="86"/>
        <v>35397.122241975747</v>
      </c>
      <c r="I1368" t="b">
        <f t="shared" si="87"/>
        <v>0</v>
      </c>
    </row>
    <row r="1369" spans="1:9">
      <c r="A1369" s="1">
        <v>46057.615277777782</v>
      </c>
      <c r="B1369" s="5">
        <f>_xlfn.XLOOKUP(A1369,Banks!A:A,Banks!H:H,0,-1)</f>
        <v>956.03709938086354</v>
      </c>
      <c r="C1369">
        <f>_xlfn.XLOOKUP(A1369,Energy!A:A,Energy!H:H,0,-1)</f>
        <v>4781.9520854016482</v>
      </c>
      <c r="D1369">
        <f t="shared" si="84"/>
        <v>5737.989184782512</v>
      </c>
      <c r="E1369">
        <f>_xlfn.XLOOKUP(A1369,Banks!A:A,Banks!I:I,0)</f>
        <v>41271.735680857179</v>
      </c>
      <c r="F1369">
        <f>_xlfn.XLOOKUP(A1369,Energy!A:A,Energy!I:I,0)</f>
        <v>0</v>
      </c>
      <c r="G1369">
        <f t="shared" si="85"/>
        <v>41271.735680857179</v>
      </c>
      <c r="H1369">
        <f t="shared" si="86"/>
        <v>35533.746496074666</v>
      </c>
      <c r="I1369" t="b">
        <f t="shared" si="87"/>
        <v>0</v>
      </c>
    </row>
    <row r="1370" spans="1:9">
      <c r="A1370" s="1">
        <v>46057.615972222222</v>
      </c>
      <c r="B1370" s="5">
        <f>_xlfn.XLOOKUP(A1370,Banks!A:A,Banks!H:H,0,-1)</f>
        <v>937.2547527203352</v>
      </c>
      <c r="C1370">
        <f>_xlfn.XLOOKUP(A1370,Energy!A:A,Energy!H:H,0,-1)</f>
        <v>4781.9520854016482</v>
      </c>
      <c r="D1370">
        <f t="shared" si="84"/>
        <v>5719.2068381219833</v>
      </c>
      <c r="E1370">
        <f>_xlfn.XLOOKUP(A1370,Banks!A:A,Banks!I:I,0)</f>
        <v>41248.925004892299</v>
      </c>
      <c r="F1370">
        <f>_xlfn.XLOOKUP(A1370,Energy!A:A,Energy!I:I,0)</f>
        <v>0</v>
      </c>
      <c r="G1370">
        <f t="shared" si="85"/>
        <v>41248.925004892299</v>
      </c>
      <c r="H1370">
        <f t="shared" si="86"/>
        <v>35529.718166770312</v>
      </c>
      <c r="I1370" t="b">
        <f t="shared" si="87"/>
        <v>0</v>
      </c>
    </row>
    <row r="1371" spans="1:9">
      <c r="A1371" s="1">
        <v>46057.616666666669</v>
      </c>
      <c r="B1371" s="5">
        <f>_xlfn.XLOOKUP(A1371,Banks!A:A,Banks!H:H,0,-1)</f>
        <v>965.83606266948311</v>
      </c>
      <c r="C1371">
        <f>_xlfn.XLOOKUP(A1371,Energy!A:A,Energy!H:H,0,-1)</f>
        <v>4781.9520854016482</v>
      </c>
      <c r="D1371">
        <f t="shared" si="84"/>
        <v>5747.7881480711312</v>
      </c>
      <c r="E1371">
        <f>_xlfn.XLOOKUP(A1371,Banks!A:A,Banks!I:I,0)</f>
        <v>41243.208742902469</v>
      </c>
      <c r="F1371">
        <f>_xlfn.XLOOKUP(A1371,Energy!A:A,Energy!I:I,0)</f>
        <v>0</v>
      </c>
      <c r="G1371">
        <f t="shared" si="85"/>
        <v>41243.208742902469</v>
      </c>
      <c r="H1371">
        <f t="shared" si="86"/>
        <v>35495.420594831339</v>
      </c>
      <c r="I1371" t="b">
        <f t="shared" si="87"/>
        <v>0</v>
      </c>
    </row>
    <row r="1372" spans="1:9">
      <c r="A1372" s="1">
        <v>46057.617361111108</v>
      </c>
      <c r="B1372" s="5">
        <f>_xlfn.XLOOKUP(A1372,Banks!A:A,Banks!H:H,0,-1)</f>
        <v>899.9619193714525</v>
      </c>
      <c r="C1372">
        <f>_xlfn.XLOOKUP(A1372,Energy!A:A,Energy!H:H,0,-1)</f>
        <v>4781.9520854016482</v>
      </c>
      <c r="D1372">
        <f t="shared" si="84"/>
        <v>5681.9140047731007</v>
      </c>
      <c r="E1372">
        <f>_xlfn.XLOOKUP(A1372,Banks!A:A,Banks!I:I,0)</f>
        <v>41176.682135671123</v>
      </c>
      <c r="F1372">
        <f>_xlfn.XLOOKUP(A1372,Energy!A:A,Energy!I:I,0)</f>
        <v>0</v>
      </c>
      <c r="G1372">
        <f t="shared" si="85"/>
        <v>41176.682135671123</v>
      </c>
      <c r="H1372">
        <f t="shared" si="86"/>
        <v>35494.768130898025</v>
      </c>
      <c r="I1372" t="b">
        <f t="shared" si="87"/>
        <v>0</v>
      </c>
    </row>
    <row r="1373" spans="1:9">
      <c r="A1373" s="1">
        <v>46057.618055555547</v>
      </c>
      <c r="B1373" s="5">
        <f>_xlfn.XLOOKUP(A1373,Banks!A:A,Banks!H:H,0,-1)</f>
        <v>821.0872202534639</v>
      </c>
      <c r="C1373">
        <f>_xlfn.XLOOKUP(A1373,Energy!A:A,Energy!H:H,0,-1)</f>
        <v>4781.9520854016482</v>
      </c>
      <c r="D1373">
        <f t="shared" si="84"/>
        <v>5603.039305655112</v>
      </c>
      <c r="E1373">
        <f>_xlfn.XLOOKUP(A1373,Banks!A:A,Banks!I:I,0)</f>
        <v>41141.852989214764</v>
      </c>
      <c r="F1373">
        <f>_xlfn.XLOOKUP(A1373,Energy!A:A,Energy!I:I,0)</f>
        <v>0</v>
      </c>
      <c r="G1373">
        <f t="shared" si="85"/>
        <v>41141.852989214764</v>
      </c>
      <c r="H1373">
        <f t="shared" si="86"/>
        <v>35538.813683559652</v>
      </c>
      <c r="I1373" t="b">
        <f t="shared" si="87"/>
        <v>0</v>
      </c>
    </row>
    <row r="1374" spans="1:9">
      <c r="A1374" s="1">
        <v>46057.618750000001</v>
      </c>
      <c r="B1374" s="5">
        <f>_xlfn.XLOOKUP(A1374,Banks!A:A,Banks!H:H,0,-1)</f>
        <v>802.53789642623462</v>
      </c>
      <c r="C1374">
        <f>_xlfn.XLOOKUP(A1374,Energy!A:A,Energy!H:H,0,-1)</f>
        <v>4781.9520854016482</v>
      </c>
      <c r="D1374">
        <f t="shared" si="84"/>
        <v>5584.4899818278827</v>
      </c>
      <c r="E1374">
        <f>_xlfn.XLOOKUP(A1374,Banks!A:A,Banks!I:I,0)</f>
        <v>41096.223869857233</v>
      </c>
      <c r="F1374">
        <f>_xlfn.XLOOKUP(A1374,Energy!A:A,Energy!I:I,0)</f>
        <v>0</v>
      </c>
      <c r="G1374">
        <f t="shared" si="85"/>
        <v>41096.223869857233</v>
      </c>
      <c r="H1374">
        <f t="shared" si="86"/>
        <v>35511.733888029354</v>
      </c>
      <c r="I1374" t="b">
        <f t="shared" si="87"/>
        <v>0</v>
      </c>
    </row>
    <row r="1375" spans="1:9">
      <c r="A1375" s="1">
        <v>46057.619444444441</v>
      </c>
      <c r="B1375" s="5">
        <f>_xlfn.XLOOKUP(A1375,Banks!A:A,Banks!H:H,0,-1)</f>
        <v>754.59168273320984</v>
      </c>
      <c r="C1375">
        <f>_xlfn.XLOOKUP(A1375,Energy!A:A,Energy!H:H,0,-1)</f>
        <v>4781.9520854016482</v>
      </c>
      <c r="D1375">
        <f t="shared" si="84"/>
        <v>5536.5437681348576</v>
      </c>
      <c r="E1375">
        <f>_xlfn.XLOOKUP(A1375,Banks!A:A,Banks!I:I,0)</f>
        <v>41136.175564363817</v>
      </c>
      <c r="F1375">
        <f>_xlfn.XLOOKUP(A1375,Energy!A:A,Energy!I:I,0)</f>
        <v>0</v>
      </c>
      <c r="G1375">
        <f t="shared" si="85"/>
        <v>41136.175564363817</v>
      </c>
      <c r="H1375">
        <f t="shared" si="86"/>
        <v>35599.631796228961</v>
      </c>
      <c r="I1375" t="b">
        <f t="shared" si="87"/>
        <v>0</v>
      </c>
    </row>
    <row r="1376" spans="1:9">
      <c r="A1376" s="1">
        <v>46057.620138888888</v>
      </c>
      <c r="B1376" s="5">
        <f>_xlfn.XLOOKUP(A1376,Banks!A:A,Banks!H:H,0,-1)</f>
        <v>703.6380622032616</v>
      </c>
      <c r="C1376">
        <f>_xlfn.XLOOKUP(A1376,Energy!A:A,Energy!H:H,0,-1)</f>
        <v>4781.9520854016482</v>
      </c>
      <c r="D1376">
        <f t="shared" si="84"/>
        <v>5485.5901476049094</v>
      </c>
      <c r="E1376">
        <f>_xlfn.XLOOKUP(A1376,Banks!A:A,Banks!I:I,0)</f>
        <v>41160.282412196801</v>
      </c>
      <c r="F1376">
        <f>_xlfn.XLOOKUP(A1376,Energy!A:A,Energy!I:I,0)</f>
        <v>0</v>
      </c>
      <c r="G1376">
        <f t="shared" si="85"/>
        <v>41160.282412196801</v>
      </c>
      <c r="H1376">
        <f t="shared" si="86"/>
        <v>35674.692264591889</v>
      </c>
      <c r="I1376" t="b">
        <f t="shared" si="87"/>
        <v>0</v>
      </c>
    </row>
    <row r="1377" spans="1:9">
      <c r="A1377" s="1">
        <v>46057.620833333327</v>
      </c>
      <c r="B1377" s="5">
        <f>_xlfn.XLOOKUP(A1377,Banks!A:A,Banks!H:H,0,-1)</f>
        <v>608.56121473387748</v>
      </c>
      <c r="C1377">
        <f>_xlfn.XLOOKUP(A1377,Energy!A:A,Energy!H:H,0,-1)</f>
        <v>4781.9520854016482</v>
      </c>
      <c r="D1377">
        <f t="shared" si="84"/>
        <v>5390.5133001355262</v>
      </c>
      <c r="E1377">
        <f>_xlfn.XLOOKUP(A1377,Banks!A:A,Banks!I:I,0)</f>
        <v>41160.321249335691</v>
      </c>
      <c r="F1377">
        <f>_xlfn.XLOOKUP(A1377,Energy!A:A,Energy!I:I,0)</f>
        <v>0</v>
      </c>
      <c r="G1377">
        <f t="shared" si="85"/>
        <v>41160.321249335691</v>
      </c>
      <c r="H1377">
        <f t="shared" si="86"/>
        <v>35769.807949200163</v>
      </c>
      <c r="I1377" t="b">
        <f t="shared" si="87"/>
        <v>0</v>
      </c>
    </row>
    <row r="1378" spans="1:9">
      <c r="A1378" s="1">
        <v>46057.621527777781</v>
      </c>
      <c r="B1378" s="5">
        <f>_xlfn.XLOOKUP(A1378,Banks!A:A,Banks!H:H,0,-1)</f>
        <v>604.28312731179597</v>
      </c>
      <c r="C1378">
        <f>_xlfn.XLOOKUP(A1378,Energy!A:A,Energy!H:H,0,-1)</f>
        <v>4781.9520854016482</v>
      </c>
      <c r="D1378">
        <f t="shared" si="84"/>
        <v>5386.2352127134445</v>
      </c>
      <c r="E1378">
        <f>_xlfn.XLOOKUP(A1378,Banks!A:A,Banks!I:I,0)</f>
        <v>41113.735535932639</v>
      </c>
      <c r="F1378">
        <f>_xlfn.XLOOKUP(A1378,Energy!A:A,Energy!I:I,0)</f>
        <v>0</v>
      </c>
      <c r="G1378">
        <f t="shared" si="85"/>
        <v>41113.735535932639</v>
      </c>
      <c r="H1378">
        <f t="shared" si="86"/>
        <v>35727.500323219196</v>
      </c>
      <c r="I1378" t="b">
        <f t="shared" si="87"/>
        <v>0</v>
      </c>
    </row>
    <row r="1379" spans="1:9">
      <c r="A1379" s="1">
        <v>46057.62222222222</v>
      </c>
      <c r="B1379" s="5">
        <f>_xlfn.XLOOKUP(A1379,Banks!A:A,Banks!H:H,0,-1)</f>
        <v>716.67745516213495</v>
      </c>
      <c r="C1379">
        <f>_xlfn.XLOOKUP(A1379,Energy!A:A,Energy!H:H,0,-1)</f>
        <v>4781.9520854016482</v>
      </c>
      <c r="D1379">
        <f t="shared" si="84"/>
        <v>5498.6295405637829</v>
      </c>
      <c r="E1379">
        <f>_xlfn.XLOOKUP(A1379,Banks!A:A,Banks!I:I,0)</f>
        <v>41124.781877523063</v>
      </c>
      <c r="F1379">
        <f>_xlfn.XLOOKUP(A1379,Energy!A:A,Energy!I:I,0)</f>
        <v>0</v>
      </c>
      <c r="G1379">
        <f t="shared" si="85"/>
        <v>41124.781877523063</v>
      </c>
      <c r="H1379">
        <f t="shared" si="86"/>
        <v>35626.152336959276</v>
      </c>
      <c r="I1379" t="b">
        <f t="shared" si="87"/>
        <v>0</v>
      </c>
    </row>
    <row r="1380" spans="1:9">
      <c r="A1380" s="1">
        <v>46057.622916666667</v>
      </c>
      <c r="B1380" s="5">
        <f>_xlfn.XLOOKUP(A1380,Banks!A:A,Banks!H:H,0,-1)</f>
        <v>748.3050090871036</v>
      </c>
      <c r="C1380">
        <f>_xlfn.XLOOKUP(A1380,Energy!A:A,Energy!H:H,0,-1)</f>
        <v>4781.9520854016482</v>
      </c>
      <c r="D1380">
        <f t="shared" si="84"/>
        <v>5530.257094488752</v>
      </c>
      <c r="E1380">
        <f>_xlfn.XLOOKUP(A1380,Banks!A:A,Banks!I:I,0)</f>
        <v>41131.107388308039</v>
      </c>
      <c r="F1380">
        <f>_xlfn.XLOOKUP(A1380,Energy!A:A,Energy!I:I,0)</f>
        <v>0</v>
      </c>
      <c r="G1380">
        <f t="shared" si="85"/>
        <v>41131.107388308039</v>
      </c>
      <c r="H1380">
        <f t="shared" si="86"/>
        <v>35600.850293819283</v>
      </c>
      <c r="I1380" t="b">
        <f t="shared" si="87"/>
        <v>0</v>
      </c>
    </row>
    <row r="1381" spans="1:9">
      <c r="A1381" s="1">
        <v>46057.623611111107</v>
      </c>
      <c r="B1381" s="5">
        <f>_xlfn.XLOOKUP(A1381,Banks!A:A,Banks!H:H,0,-1)</f>
        <v>747.07316564086079</v>
      </c>
      <c r="C1381">
        <f>_xlfn.XLOOKUP(A1381,Energy!A:A,Energy!H:H,0,-1)</f>
        <v>4781.9520854016482</v>
      </c>
      <c r="D1381">
        <f t="shared" si="84"/>
        <v>5529.0252510425089</v>
      </c>
      <c r="E1381">
        <f>_xlfn.XLOOKUP(A1381,Banks!A:A,Banks!I:I,0)</f>
        <v>41096.563447679808</v>
      </c>
      <c r="F1381">
        <f>_xlfn.XLOOKUP(A1381,Energy!A:A,Energy!I:I,0)</f>
        <v>0</v>
      </c>
      <c r="G1381">
        <f t="shared" si="85"/>
        <v>41096.563447679808</v>
      </c>
      <c r="H1381">
        <f t="shared" si="86"/>
        <v>35567.538196637295</v>
      </c>
      <c r="I1381" t="b">
        <f t="shared" si="87"/>
        <v>0</v>
      </c>
    </row>
    <row r="1382" spans="1:9">
      <c r="A1382" s="1">
        <v>46057.624305555553</v>
      </c>
      <c r="B1382" s="5">
        <f>_xlfn.XLOOKUP(A1382,Banks!A:A,Banks!H:H,0,-1)</f>
        <v>691.2200634665802</v>
      </c>
      <c r="C1382">
        <f>_xlfn.XLOOKUP(A1382,Energy!A:A,Energy!H:H,0,-1)</f>
        <v>4781.9520854016482</v>
      </c>
      <c r="D1382">
        <f t="shared" si="84"/>
        <v>5473.1721488682288</v>
      </c>
      <c r="E1382">
        <f>_xlfn.XLOOKUP(A1382,Banks!A:A,Banks!I:I,0)</f>
        <v>41134.933764490153</v>
      </c>
      <c r="F1382">
        <f>_xlfn.XLOOKUP(A1382,Energy!A:A,Energy!I:I,0)</f>
        <v>0</v>
      </c>
      <c r="G1382">
        <f t="shared" si="85"/>
        <v>41134.933764490153</v>
      </c>
      <c r="H1382">
        <f t="shared" si="86"/>
        <v>35661.761615621923</v>
      </c>
      <c r="I1382" t="b">
        <f t="shared" si="87"/>
        <v>0</v>
      </c>
    </row>
    <row r="1383" spans="1:9">
      <c r="A1383" s="1">
        <v>46057.625</v>
      </c>
      <c r="B1383" s="5">
        <f>_xlfn.XLOOKUP(A1383,Banks!A:A,Banks!H:H,0,-1)</f>
        <v>824.87136986816461</v>
      </c>
      <c r="C1383">
        <f>_xlfn.XLOOKUP(A1383,Energy!A:A,Energy!H:H,0,-1)</f>
        <v>4781.9520854016482</v>
      </c>
      <c r="D1383">
        <f t="shared" si="84"/>
        <v>5606.8234552698132</v>
      </c>
      <c r="E1383">
        <f>_xlfn.XLOOKUP(A1383,Banks!A:A,Banks!I:I,0)</f>
        <v>41081.636357912852</v>
      </c>
      <c r="F1383">
        <f>_xlfn.XLOOKUP(A1383,Energy!A:A,Energy!I:I,0)</f>
        <v>0</v>
      </c>
      <c r="G1383">
        <f t="shared" si="85"/>
        <v>41081.636357912852</v>
      </c>
      <c r="H1383">
        <f t="shared" si="86"/>
        <v>35474.81290264304</v>
      </c>
      <c r="I1383" t="b">
        <f t="shared" si="87"/>
        <v>0</v>
      </c>
    </row>
    <row r="1384" spans="1:9">
      <c r="A1384" s="1">
        <v>46057.625694444447</v>
      </c>
      <c r="B1384" s="5">
        <f>_xlfn.XLOOKUP(A1384,Banks!A:A,Banks!H:H,0,-1)</f>
        <v>854.39323616588229</v>
      </c>
      <c r="C1384">
        <f>_xlfn.XLOOKUP(A1384,Energy!A:A,Energy!H:H,0,-1)</f>
        <v>4781.9520854016482</v>
      </c>
      <c r="D1384">
        <f t="shared" si="84"/>
        <v>5636.3453215675308</v>
      </c>
      <c r="E1384">
        <f>_xlfn.XLOOKUP(A1384,Banks!A:A,Banks!I:I,0)</f>
        <v>0</v>
      </c>
      <c r="F1384">
        <f>_xlfn.XLOOKUP(A1384,Energy!A:A,Energy!I:I,0)</f>
        <v>0</v>
      </c>
      <c r="G1384">
        <f t="shared" si="85"/>
        <v>0</v>
      </c>
      <c r="H1384">
        <f t="shared" si="86"/>
        <v>-5636.3453215675308</v>
      </c>
      <c r="I1384" t="b">
        <f t="shared" si="87"/>
        <v>0</v>
      </c>
    </row>
    <row r="1385" spans="1:9">
      <c r="A1385" s="1">
        <v>46058.605555555558</v>
      </c>
      <c r="B1385" s="5">
        <f>_xlfn.XLOOKUP(A1385,Banks!A:A,Banks!H:H,0,-1)</f>
        <v>854.39323616588229</v>
      </c>
      <c r="C1385">
        <f>_xlfn.XLOOKUP(A1385,Energy!A:A,Energy!H:H,0,-1)</f>
        <v>4781.9520854016482</v>
      </c>
      <c r="D1385">
        <f t="shared" si="84"/>
        <v>5636.3453215675308</v>
      </c>
      <c r="E1385">
        <f>_xlfn.XLOOKUP(A1385,Banks!A:A,Banks!I:I,0)</f>
        <v>0</v>
      </c>
      <c r="F1385">
        <f>_xlfn.XLOOKUP(A1385,Energy!A:A,Energy!I:I,0)</f>
        <v>44104.887662813191</v>
      </c>
      <c r="G1385">
        <f t="shared" si="85"/>
        <v>44104.887662813191</v>
      </c>
      <c r="H1385">
        <f t="shared" si="86"/>
        <v>38468.542341245658</v>
      </c>
      <c r="I1385" t="b">
        <f t="shared" si="87"/>
        <v>0</v>
      </c>
    </row>
    <row r="1386" spans="1:9">
      <c r="A1386" s="1">
        <v>46058.606249999997</v>
      </c>
      <c r="B1386" s="5">
        <f>_xlfn.XLOOKUP(A1386,Banks!A:A,Banks!H:H,0,-1)</f>
        <v>854.39323616588229</v>
      </c>
      <c r="C1386">
        <f>_xlfn.XLOOKUP(A1386,Energy!A:A,Energy!H:H,0,-1)</f>
        <v>5530.7377061699281</v>
      </c>
      <c r="D1386">
        <f t="shared" si="84"/>
        <v>6385.1309423358107</v>
      </c>
      <c r="E1386">
        <f>_xlfn.XLOOKUP(A1386,Banks!A:A,Banks!I:I,0)</f>
        <v>40980.586923336989</v>
      </c>
      <c r="F1386">
        <f>_xlfn.XLOOKUP(A1386,Energy!A:A,Energy!I:I,0)</f>
        <v>0</v>
      </c>
      <c r="G1386">
        <f t="shared" si="85"/>
        <v>40980.586923336989</v>
      </c>
      <c r="H1386">
        <f t="shared" si="86"/>
        <v>34595.455981001178</v>
      </c>
      <c r="I1386" t="b">
        <f t="shared" si="87"/>
        <v>0</v>
      </c>
    </row>
    <row r="1387" spans="1:9">
      <c r="A1387" s="1">
        <v>46058.606944444437</v>
      </c>
      <c r="B1387" s="5">
        <f>_xlfn.XLOOKUP(A1387,Banks!A:A,Banks!H:H,0,-1)</f>
        <v>1017.225249687392</v>
      </c>
      <c r="C1387">
        <f>_xlfn.XLOOKUP(A1387,Energy!A:A,Energy!H:H,0,-1)</f>
        <v>5530.7377061699281</v>
      </c>
      <c r="D1387">
        <f t="shared" si="84"/>
        <v>6547.9629558573197</v>
      </c>
      <c r="E1387">
        <f>_xlfn.XLOOKUP(A1387,Banks!A:A,Banks!I:I,0)</f>
        <v>40806.297073738897</v>
      </c>
      <c r="F1387">
        <f>_xlfn.XLOOKUP(A1387,Energy!A:A,Energy!I:I,0)</f>
        <v>0</v>
      </c>
      <c r="G1387">
        <f t="shared" si="85"/>
        <v>40806.297073738897</v>
      </c>
      <c r="H1387">
        <f t="shared" si="86"/>
        <v>34258.334117881575</v>
      </c>
      <c r="I1387" t="b">
        <f t="shared" si="87"/>
        <v>0</v>
      </c>
    </row>
    <row r="1388" spans="1:9">
      <c r="A1388" s="1">
        <v>46058.607638888891</v>
      </c>
      <c r="B1388" s="5">
        <f>_xlfn.XLOOKUP(A1388,Banks!A:A,Banks!H:H,0,-1)</f>
        <v>1181.157537341405</v>
      </c>
      <c r="C1388">
        <f>_xlfn.XLOOKUP(A1388,Energy!A:A,Energy!H:H,0,-1)</f>
        <v>5530.7377061699281</v>
      </c>
      <c r="D1388">
        <f t="shared" si="84"/>
        <v>6711.8952435113333</v>
      </c>
      <c r="E1388">
        <f>_xlfn.XLOOKUP(A1388,Banks!A:A,Banks!I:I,0)</f>
        <v>0</v>
      </c>
      <c r="F1388">
        <f>_xlfn.XLOOKUP(A1388,Energy!A:A,Energy!I:I,0)</f>
        <v>0</v>
      </c>
      <c r="G1388">
        <f t="shared" si="85"/>
        <v>0</v>
      </c>
      <c r="H1388">
        <f t="shared" si="86"/>
        <v>-6711.8952435113333</v>
      </c>
      <c r="I1388" t="b">
        <f t="shared" si="87"/>
        <v>0</v>
      </c>
    </row>
    <row r="1389" spans="1:9">
      <c r="A1389" s="1">
        <v>46059.604166666657</v>
      </c>
      <c r="B1389" s="5">
        <f>_xlfn.XLOOKUP(A1389,Banks!A:A,Banks!H:H,0,-1)</f>
        <v>1181.157537341405</v>
      </c>
      <c r="C1389">
        <f>_xlfn.XLOOKUP(A1389,Energy!A:A,Energy!H:H,0,-1)</f>
        <v>5530.7377061699281</v>
      </c>
      <c r="D1389">
        <f t="shared" si="84"/>
        <v>6711.8952435113333</v>
      </c>
      <c r="E1389">
        <f>_xlfn.XLOOKUP(A1389,Banks!A:A,Banks!I:I,0)</f>
        <v>40980.586923336989</v>
      </c>
      <c r="F1389">
        <f>_xlfn.XLOOKUP(A1389,Energy!A:A,Energy!I:I,0)</f>
        <v>0</v>
      </c>
      <c r="G1389">
        <f t="shared" si="85"/>
        <v>40980.586923336989</v>
      </c>
      <c r="H1389">
        <f t="shared" si="86"/>
        <v>34268.691679825657</v>
      </c>
      <c r="I1389" t="b">
        <f t="shared" si="87"/>
        <v>0</v>
      </c>
    </row>
    <row r="1390" spans="1:9">
      <c r="A1390" s="1">
        <v>46059.604861111111</v>
      </c>
      <c r="B1390" s="5">
        <f>_xlfn.XLOOKUP(A1390,Banks!A:A,Banks!H:H,0,-1)</f>
        <v>1101.67117745571</v>
      </c>
      <c r="C1390">
        <f>_xlfn.XLOOKUP(A1390,Energy!A:A,Energy!H:H,0,-1)</f>
        <v>5530.7377061699281</v>
      </c>
      <c r="D1390">
        <f t="shared" si="84"/>
        <v>6632.4088836256378</v>
      </c>
      <c r="E1390">
        <f>_xlfn.XLOOKUP(A1390,Banks!A:A,Banks!I:I,0)</f>
        <v>41015.317756286597</v>
      </c>
      <c r="F1390">
        <f>_xlfn.XLOOKUP(A1390,Energy!A:A,Energy!I:I,0)</f>
        <v>0</v>
      </c>
      <c r="G1390">
        <f t="shared" si="85"/>
        <v>41015.317756286597</v>
      </c>
      <c r="H1390">
        <f t="shared" si="86"/>
        <v>34382.908872660963</v>
      </c>
      <c r="I1390" t="b">
        <f t="shared" si="87"/>
        <v>0</v>
      </c>
    </row>
    <row r="1391" spans="1:9">
      <c r="A1391" s="1">
        <v>46059.605555555558</v>
      </c>
      <c r="B1391" s="5">
        <f>_xlfn.XLOOKUP(A1391,Banks!A:A,Banks!H:H,0,-1)</f>
        <v>919.13215653410225</v>
      </c>
      <c r="C1391">
        <f>_xlfn.XLOOKUP(A1391,Energy!A:A,Energy!H:H,0,-1)</f>
        <v>5530.7377061699281</v>
      </c>
      <c r="D1391">
        <f t="shared" si="84"/>
        <v>6449.8698627040303</v>
      </c>
      <c r="E1391">
        <f>_xlfn.XLOOKUP(A1391,Banks!A:A,Banks!I:I,0)</f>
        <v>41002.858301942477</v>
      </c>
      <c r="F1391">
        <f>_xlfn.XLOOKUP(A1391,Energy!A:A,Energy!I:I,0)</f>
        <v>0</v>
      </c>
      <c r="G1391">
        <f t="shared" si="85"/>
        <v>41002.858301942477</v>
      </c>
      <c r="H1391">
        <f t="shared" si="86"/>
        <v>34552.988439238448</v>
      </c>
      <c r="I1391" t="b">
        <f t="shared" si="87"/>
        <v>0</v>
      </c>
    </row>
    <row r="1392" spans="1:9">
      <c r="A1392" s="1">
        <v>46059.606249999997</v>
      </c>
      <c r="B1392" s="5">
        <f>_xlfn.XLOOKUP(A1392,Banks!A:A,Banks!H:H,0,-1)</f>
        <v>724.13678762516588</v>
      </c>
      <c r="C1392">
        <f>_xlfn.XLOOKUP(A1392,Energy!A:A,Energy!H:H,0,-1)</f>
        <v>5530.7377061699281</v>
      </c>
      <c r="D1392">
        <f t="shared" si="84"/>
        <v>6254.8744937950942</v>
      </c>
      <c r="E1392">
        <f>_xlfn.XLOOKUP(A1392,Banks!A:A,Banks!I:I,0)</f>
        <v>41139.791892781141</v>
      </c>
      <c r="F1392">
        <f>_xlfn.XLOOKUP(A1392,Energy!A:A,Energy!I:I,0)</f>
        <v>0</v>
      </c>
      <c r="G1392">
        <f t="shared" si="85"/>
        <v>41139.791892781141</v>
      </c>
      <c r="H1392">
        <f t="shared" si="86"/>
        <v>34884.917398986043</v>
      </c>
      <c r="I1392" t="b">
        <f t="shared" si="87"/>
        <v>0</v>
      </c>
    </row>
    <row r="1393" spans="1:9">
      <c r="A1393" s="1">
        <v>46059.606944444437</v>
      </c>
      <c r="B1393" s="5">
        <f>_xlfn.XLOOKUP(A1393,Banks!A:A,Banks!H:H,0,-1)</f>
        <v>226.3742932527075</v>
      </c>
      <c r="C1393">
        <f>_xlfn.XLOOKUP(A1393,Energy!A:A,Energy!H:H,0,-1)</f>
        <v>5530.7377061699281</v>
      </c>
      <c r="D1393">
        <f t="shared" si="84"/>
        <v>5757.1119994226356</v>
      </c>
      <c r="E1393">
        <f>_xlfn.XLOOKUP(A1393,Banks!A:A,Banks!I:I,0)</f>
        <v>41209.210694099667</v>
      </c>
      <c r="F1393">
        <f>_xlfn.XLOOKUP(A1393,Energy!A:A,Energy!I:I,0)</f>
        <v>0</v>
      </c>
      <c r="G1393">
        <f t="shared" si="85"/>
        <v>41209.210694099667</v>
      </c>
      <c r="H1393">
        <f t="shared" si="86"/>
        <v>35452.098694677028</v>
      </c>
      <c r="I1393" t="b">
        <f t="shared" si="87"/>
        <v>0</v>
      </c>
    </row>
    <row r="1394" spans="1:9">
      <c r="A1394" s="1">
        <v>46059.607638888891</v>
      </c>
      <c r="B1394" s="5">
        <f>_xlfn.XLOOKUP(A1394,Banks!A:A,Banks!H:H,0,-1)</f>
        <v>202.7047135967164</v>
      </c>
      <c r="C1394">
        <f>_xlfn.XLOOKUP(A1394,Energy!A:A,Energy!H:H,0,-1)</f>
        <v>5530.7377061699281</v>
      </c>
      <c r="D1394">
        <f t="shared" si="84"/>
        <v>5733.4424197666449</v>
      </c>
      <c r="E1394">
        <f>_xlfn.XLOOKUP(A1394,Banks!A:A,Banks!I:I,0)</f>
        <v>41289.278853920769</v>
      </c>
      <c r="F1394">
        <f>_xlfn.XLOOKUP(A1394,Energy!A:A,Energy!I:I,0)</f>
        <v>0</v>
      </c>
      <c r="G1394">
        <f t="shared" si="85"/>
        <v>41289.278853920769</v>
      </c>
      <c r="H1394">
        <f t="shared" si="86"/>
        <v>35555.836434154124</v>
      </c>
      <c r="I1394" t="b">
        <f t="shared" si="87"/>
        <v>0</v>
      </c>
    </row>
    <row r="1395" spans="1:9">
      <c r="A1395" s="1">
        <v>46059.60833333333</v>
      </c>
      <c r="B1395" s="5">
        <f>_xlfn.XLOOKUP(A1395,Banks!A:A,Banks!H:H,0,-1)</f>
        <v>221.75259747264789</v>
      </c>
      <c r="C1395">
        <f>_xlfn.XLOOKUP(A1395,Energy!A:A,Energy!H:H,0,-1)</f>
        <v>5530.7377061699281</v>
      </c>
      <c r="D1395">
        <f t="shared" si="84"/>
        <v>5752.4903036425758</v>
      </c>
      <c r="E1395">
        <f>_xlfn.XLOOKUP(A1395,Banks!A:A,Banks!I:I,0)</f>
        <v>41360.803521035486</v>
      </c>
      <c r="F1395">
        <f>_xlfn.XLOOKUP(A1395,Energy!A:A,Energy!I:I,0)</f>
        <v>0</v>
      </c>
      <c r="G1395">
        <f t="shared" si="85"/>
        <v>41360.803521035486</v>
      </c>
      <c r="H1395">
        <f t="shared" si="86"/>
        <v>35608.313217392912</v>
      </c>
      <c r="I1395" t="b">
        <f t="shared" si="87"/>
        <v>0</v>
      </c>
    </row>
    <row r="1396" spans="1:9">
      <c r="A1396" s="1">
        <v>46059.609027777777</v>
      </c>
      <c r="B1396" s="5">
        <f>_xlfn.XLOOKUP(A1396,Banks!A:A,Banks!H:H,0,-1)</f>
        <v>401.65928614900378</v>
      </c>
      <c r="C1396">
        <f>_xlfn.XLOOKUP(A1396,Energy!A:A,Energy!H:H,0,-1)</f>
        <v>5530.7377061699281</v>
      </c>
      <c r="D1396">
        <f t="shared" si="84"/>
        <v>5932.3969923189316</v>
      </c>
      <c r="E1396">
        <f>_xlfn.XLOOKUP(A1396,Banks!A:A,Banks!I:I,0)</f>
        <v>41347.422456467168</v>
      </c>
      <c r="F1396">
        <f>_xlfn.XLOOKUP(A1396,Energy!A:A,Energy!I:I,0)</f>
        <v>0</v>
      </c>
      <c r="G1396">
        <f t="shared" si="85"/>
        <v>41347.422456467168</v>
      </c>
      <c r="H1396">
        <f t="shared" si="86"/>
        <v>35415.025464148239</v>
      </c>
      <c r="I1396" t="b">
        <f t="shared" si="87"/>
        <v>0</v>
      </c>
    </row>
    <row r="1397" spans="1:9">
      <c r="A1397" s="1">
        <v>46059.609722222223</v>
      </c>
      <c r="B1397" s="5">
        <f>_xlfn.XLOOKUP(A1397,Banks!A:A,Banks!H:H,0,-1)</f>
        <v>193.88220195157331</v>
      </c>
      <c r="C1397">
        <f>_xlfn.XLOOKUP(A1397,Energy!A:A,Energy!H:H,0,-1)</f>
        <v>5530.7377061699281</v>
      </c>
      <c r="D1397">
        <f t="shared" si="84"/>
        <v>5724.6199081215018</v>
      </c>
      <c r="E1397">
        <f>_xlfn.XLOOKUP(A1397,Banks!A:A,Banks!I:I,0)</f>
        <v>41336.243902583738</v>
      </c>
      <c r="F1397">
        <f>_xlfn.XLOOKUP(A1397,Energy!A:A,Energy!I:I,0)</f>
        <v>0</v>
      </c>
      <c r="G1397">
        <f t="shared" si="85"/>
        <v>41336.243902583738</v>
      </c>
      <c r="H1397">
        <f t="shared" si="86"/>
        <v>35611.623994462236</v>
      </c>
      <c r="I1397" t="b">
        <f t="shared" si="87"/>
        <v>0</v>
      </c>
    </row>
    <row r="1398" spans="1:9">
      <c r="A1398" s="1">
        <v>46059.61041666667</v>
      </c>
      <c r="B1398" s="5">
        <f>_xlfn.XLOOKUP(A1398,Banks!A:A,Banks!H:H,0,-1)</f>
        <v>158.32913259827109</v>
      </c>
      <c r="C1398">
        <f>_xlfn.XLOOKUP(A1398,Energy!A:A,Energy!H:H,0,-1)</f>
        <v>5530.7377061699281</v>
      </c>
      <c r="D1398">
        <f t="shared" si="84"/>
        <v>5689.066838768199</v>
      </c>
      <c r="E1398">
        <f>_xlfn.XLOOKUP(A1398,Banks!A:A,Banks!I:I,0)</f>
        <v>41301.920682314951</v>
      </c>
      <c r="F1398">
        <f>_xlfn.XLOOKUP(A1398,Energy!A:A,Energy!I:I,0)</f>
        <v>0</v>
      </c>
      <c r="G1398">
        <f t="shared" si="85"/>
        <v>41301.920682314951</v>
      </c>
      <c r="H1398">
        <f t="shared" si="86"/>
        <v>35612.853843546749</v>
      </c>
      <c r="I1398" t="b">
        <f t="shared" si="87"/>
        <v>0</v>
      </c>
    </row>
    <row r="1399" spans="1:9">
      <c r="A1399" s="1">
        <v>46059.611111111109</v>
      </c>
      <c r="B1399" s="5">
        <f>_xlfn.XLOOKUP(A1399,Banks!A:A,Banks!H:H,0,-1)</f>
        <v>220.33609222786239</v>
      </c>
      <c r="C1399">
        <f>_xlfn.XLOOKUP(A1399,Energy!A:A,Energy!H:H,0,-1)</f>
        <v>5530.7377061699281</v>
      </c>
      <c r="D1399">
        <f t="shared" si="84"/>
        <v>5751.0737983977906</v>
      </c>
      <c r="E1399">
        <f>_xlfn.XLOOKUP(A1399,Banks!A:A,Banks!I:I,0)</f>
        <v>41274.452441611058</v>
      </c>
      <c r="F1399">
        <f>_xlfn.XLOOKUP(A1399,Energy!A:A,Energy!I:I,0)</f>
        <v>0</v>
      </c>
      <c r="G1399">
        <f t="shared" si="85"/>
        <v>41274.452441611058</v>
      </c>
      <c r="H1399">
        <f t="shared" si="86"/>
        <v>35523.378643213269</v>
      </c>
      <c r="I1399" t="b">
        <f t="shared" si="87"/>
        <v>0</v>
      </c>
    </row>
    <row r="1400" spans="1:9">
      <c r="A1400" s="1">
        <v>46059.611805555563</v>
      </c>
      <c r="B1400" s="5">
        <f>_xlfn.XLOOKUP(A1400,Banks!A:A,Banks!H:H,0,-1)</f>
        <v>260.19325595199018</v>
      </c>
      <c r="C1400">
        <f>_xlfn.XLOOKUP(A1400,Energy!A:A,Energy!H:H,0,-1)</f>
        <v>5530.7377061699281</v>
      </c>
      <c r="D1400">
        <f t="shared" si="84"/>
        <v>5790.9309621219181</v>
      </c>
      <c r="E1400">
        <f>_xlfn.XLOOKUP(A1400,Banks!A:A,Banks!I:I,0)</f>
        <v>41251.41416008825</v>
      </c>
      <c r="F1400">
        <f>_xlfn.XLOOKUP(A1400,Energy!A:A,Energy!I:I,0)</f>
        <v>0</v>
      </c>
      <c r="G1400">
        <f t="shared" si="85"/>
        <v>41251.41416008825</v>
      </c>
      <c r="H1400">
        <f t="shared" si="86"/>
        <v>35460.483197966329</v>
      </c>
      <c r="I1400" t="b">
        <f t="shared" si="87"/>
        <v>0</v>
      </c>
    </row>
    <row r="1401" spans="1:9">
      <c r="A1401" s="1">
        <v>46059.612500000003</v>
      </c>
      <c r="B1401" s="5">
        <f>_xlfn.XLOOKUP(A1401,Banks!A:A,Banks!H:H,0,-1)</f>
        <v>359.54973611729002</v>
      </c>
      <c r="C1401">
        <f>_xlfn.XLOOKUP(A1401,Energy!A:A,Energy!H:H,0,-1)</f>
        <v>5530.7377061699281</v>
      </c>
      <c r="D1401">
        <f t="shared" si="84"/>
        <v>5890.2874422872183</v>
      </c>
      <c r="E1401">
        <f>_xlfn.XLOOKUP(A1401,Banks!A:A,Banks!I:I,0)</f>
        <v>41325.710668917563</v>
      </c>
      <c r="F1401">
        <f>_xlfn.XLOOKUP(A1401,Energy!A:A,Energy!I:I,0)</f>
        <v>0</v>
      </c>
      <c r="G1401">
        <f t="shared" si="85"/>
        <v>41325.710668917563</v>
      </c>
      <c r="H1401">
        <f t="shared" si="86"/>
        <v>35435.423226630344</v>
      </c>
      <c r="I1401" t="b">
        <f t="shared" si="87"/>
        <v>0</v>
      </c>
    </row>
    <row r="1402" spans="1:9">
      <c r="A1402" s="1">
        <v>46059.613194444442</v>
      </c>
      <c r="B1402" s="5">
        <f>_xlfn.XLOOKUP(A1402,Banks!A:A,Banks!H:H,0,-1)</f>
        <v>404.30526305335587</v>
      </c>
      <c r="C1402">
        <f>_xlfn.XLOOKUP(A1402,Energy!A:A,Energy!H:H,0,-1)</f>
        <v>5530.7377061699281</v>
      </c>
      <c r="D1402">
        <f t="shared" si="84"/>
        <v>5935.0429692232838</v>
      </c>
      <c r="E1402">
        <f>_xlfn.XLOOKUP(A1402,Banks!A:A,Banks!I:I,0)</f>
        <v>41294.159290363379</v>
      </c>
      <c r="F1402">
        <f>_xlfn.XLOOKUP(A1402,Energy!A:A,Energy!I:I,0)</f>
        <v>0</v>
      </c>
      <c r="G1402">
        <f t="shared" si="85"/>
        <v>41294.159290363379</v>
      </c>
      <c r="H1402">
        <f t="shared" si="86"/>
        <v>35359.116321140093</v>
      </c>
      <c r="I1402" t="b">
        <f t="shared" si="87"/>
        <v>0</v>
      </c>
    </row>
    <row r="1403" spans="1:9">
      <c r="A1403" s="1">
        <v>46059.613888888889</v>
      </c>
      <c r="B1403" s="5">
        <f>_xlfn.XLOOKUP(A1403,Banks!A:A,Banks!H:H,0,-1)</f>
        <v>382.52176842644428</v>
      </c>
      <c r="C1403">
        <f>_xlfn.XLOOKUP(A1403,Energy!A:A,Energy!H:H,0,-1)</f>
        <v>5530.7377061699281</v>
      </c>
      <c r="D1403">
        <f t="shared" si="84"/>
        <v>5913.2594745963725</v>
      </c>
      <c r="E1403">
        <f>_xlfn.XLOOKUP(A1403,Banks!A:A,Banks!I:I,0)</f>
        <v>41358.783384400689</v>
      </c>
      <c r="F1403">
        <f>_xlfn.XLOOKUP(A1403,Energy!A:A,Energy!I:I,0)</f>
        <v>0</v>
      </c>
      <c r="G1403">
        <f t="shared" si="85"/>
        <v>41358.783384400689</v>
      </c>
      <c r="H1403">
        <f t="shared" si="86"/>
        <v>35445.523909804317</v>
      </c>
      <c r="I1403" t="b">
        <f t="shared" si="87"/>
        <v>0</v>
      </c>
    </row>
    <row r="1404" spans="1:9">
      <c r="A1404" s="1">
        <v>46059.614583333343</v>
      </c>
      <c r="B1404" s="5">
        <f>_xlfn.XLOOKUP(A1404,Banks!A:A,Banks!H:H,0,-1)</f>
        <v>313.79270508424952</v>
      </c>
      <c r="C1404">
        <f>_xlfn.XLOOKUP(A1404,Energy!A:A,Energy!H:H,0,-1)</f>
        <v>5530.7377061699281</v>
      </c>
      <c r="D1404">
        <f t="shared" si="84"/>
        <v>5844.530411254178</v>
      </c>
      <c r="E1404">
        <f>_xlfn.XLOOKUP(A1404,Banks!A:A,Banks!I:I,0)</f>
        <v>41485.530562903972</v>
      </c>
      <c r="F1404">
        <f>_xlfn.XLOOKUP(A1404,Energy!A:A,Energy!I:I,0)</f>
        <v>0</v>
      </c>
      <c r="G1404">
        <f t="shared" si="85"/>
        <v>41485.530562903972</v>
      </c>
      <c r="H1404">
        <f t="shared" si="86"/>
        <v>35641.000151649794</v>
      </c>
      <c r="I1404" t="b">
        <f t="shared" si="87"/>
        <v>0</v>
      </c>
    </row>
    <row r="1405" spans="1:9">
      <c r="A1405" s="1">
        <v>46059.615277777782</v>
      </c>
      <c r="B1405" s="5">
        <f>_xlfn.XLOOKUP(A1405,Banks!A:A,Banks!H:H,0,-1)</f>
        <v>179.8437256852535</v>
      </c>
      <c r="C1405">
        <f>_xlfn.XLOOKUP(A1405,Energy!A:A,Energy!H:H,0,-1)</f>
        <v>5530.7377061699281</v>
      </c>
      <c r="D1405">
        <f t="shared" si="84"/>
        <v>5710.581431855182</v>
      </c>
      <c r="E1405">
        <f>_xlfn.XLOOKUP(A1405,Banks!A:A,Banks!I:I,0)</f>
        <v>41485.953373422301</v>
      </c>
      <c r="F1405">
        <f>_xlfn.XLOOKUP(A1405,Energy!A:A,Energy!I:I,0)</f>
        <v>0</v>
      </c>
      <c r="G1405">
        <f t="shared" si="85"/>
        <v>41485.953373422301</v>
      </c>
      <c r="H1405">
        <f t="shared" si="86"/>
        <v>35775.371941567122</v>
      </c>
      <c r="I1405" t="b">
        <f t="shared" si="87"/>
        <v>0</v>
      </c>
    </row>
    <row r="1406" spans="1:9">
      <c r="A1406" s="1">
        <v>46059.615972222222</v>
      </c>
      <c r="B1406" s="5">
        <f>_xlfn.XLOOKUP(A1406,Banks!A:A,Banks!H:H,0,-1)</f>
        <v>101.5731928000291</v>
      </c>
      <c r="C1406">
        <f>_xlfn.XLOOKUP(A1406,Energy!A:A,Energy!H:H,0,-1)</f>
        <v>5530.7377061699281</v>
      </c>
      <c r="D1406">
        <f t="shared" si="84"/>
        <v>5632.3108989699567</v>
      </c>
      <c r="E1406">
        <f>_xlfn.XLOOKUP(A1406,Banks!A:A,Banks!I:I,0)</f>
        <v>41460.173645859897</v>
      </c>
      <c r="F1406">
        <f>_xlfn.XLOOKUP(A1406,Energy!A:A,Energy!I:I,0)</f>
        <v>0</v>
      </c>
      <c r="G1406">
        <f t="shared" si="85"/>
        <v>41460.173645859897</v>
      </c>
      <c r="H1406">
        <f t="shared" si="86"/>
        <v>35827.862746889943</v>
      </c>
      <c r="I1406" t="b">
        <f t="shared" si="87"/>
        <v>0</v>
      </c>
    </row>
    <row r="1407" spans="1:9">
      <c r="A1407" s="1">
        <v>46059.616666666669</v>
      </c>
      <c r="B1407" s="5">
        <f>_xlfn.XLOOKUP(A1407,Banks!A:A,Banks!H:H,0,-1)</f>
        <v>8.5315810914535177</v>
      </c>
      <c r="C1407">
        <f>_xlfn.XLOOKUP(A1407,Energy!A:A,Energy!H:H,0,-1)</f>
        <v>5530.7377061699281</v>
      </c>
      <c r="D1407">
        <f t="shared" si="84"/>
        <v>5539.2692872613816</v>
      </c>
      <c r="E1407">
        <f>_xlfn.XLOOKUP(A1407,Banks!A:A,Banks!I:I,0)</f>
        <v>41463.715119423643</v>
      </c>
      <c r="F1407">
        <f>_xlfn.XLOOKUP(A1407,Energy!A:A,Energy!I:I,0)</f>
        <v>0</v>
      </c>
      <c r="G1407">
        <f t="shared" si="85"/>
        <v>41463.715119423643</v>
      </c>
      <c r="H1407">
        <f t="shared" si="86"/>
        <v>35924.445832162259</v>
      </c>
      <c r="I1407" t="b">
        <f t="shared" si="87"/>
        <v>0</v>
      </c>
    </row>
    <row r="1408" spans="1:9">
      <c r="A1408" s="1">
        <v>46059.617361111108</v>
      </c>
      <c r="B1408" s="5">
        <f>_xlfn.XLOOKUP(A1408,Banks!A:A,Banks!H:H,0,-1)</f>
        <v>-19.262825242093641</v>
      </c>
      <c r="C1408">
        <f>_xlfn.XLOOKUP(A1408,Energy!A:A,Energy!H:H,0,-1)</f>
        <v>5530.7377061699281</v>
      </c>
      <c r="D1408">
        <f t="shared" si="84"/>
        <v>5511.4748809278344</v>
      </c>
      <c r="E1408">
        <f>_xlfn.XLOOKUP(A1408,Banks!A:A,Banks!I:I,0)</f>
        <v>41435.373590939897</v>
      </c>
      <c r="F1408">
        <f>_xlfn.XLOOKUP(A1408,Energy!A:A,Energy!I:I,0)</f>
        <v>0</v>
      </c>
      <c r="G1408">
        <f t="shared" si="85"/>
        <v>41435.373590939897</v>
      </c>
      <c r="H1408">
        <f t="shared" si="86"/>
        <v>35923.898710012065</v>
      </c>
      <c r="I1408" t="b">
        <f t="shared" si="87"/>
        <v>0</v>
      </c>
    </row>
    <row r="1409" spans="1:9">
      <c r="A1409" s="1">
        <v>46059.618055555547</v>
      </c>
      <c r="B1409" s="5">
        <f>_xlfn.XLOOKUP(A1409,Banks!A:A,Banks!H:H,0,-1)</f>
        <v>18.328307515316279</v>
      </c>
      <c r="C1409">
        <f>_xlfn.XLOOKUP(A1409,Energy!A:A,Energy!H:H,0,-1)</f>
        <v>5530.7377061699281</v>
      </c>
      <c r="D1409">
        <f t="shared" si="84"/>
        <v>5549.0660136852439</v>
      </c>
      <c r="E1409">
        <f>_xlfn.XLOOKUP(A1409,Banks!A:A,Banks!I:I,0)</f>
        <v>41446.68892536089</v>
      </c>
      <c r="F1409">
        <f>_xlfn.XLOOKUP(A1409,Energy!A:A,Energy!I:I,0)</f>
        <v>0</v>
      </c>
      <c r="G1409">
        <f t="shared" si="85"/>
        <v>41446.68892536089</v>
      </c>
      <c r="H1409">
        <f t="shared" si="86"/>
        <v>35897.622911675644</v>
      </c>
      <c r="I1409" t="b">
        <f t="shared" si="87"/>
        <v>0</v>
      </c>
    </row>
    <row r="1410" spans="1:9">
      <c r="A1410" s="1">
        <v>46059.618750000001</v>
      </c>
      <c r="B1410" s="5">
        <f>_xlfn.XLOOKUP(A1410,Banks!A:A,Banks!H:H,0,-1)</f>
        <v>39.566233170451369</v>
      </c>
      <c r="C1410">
        <f>_xlfn.XLOOKUP(A1410,Energy!A:A,Energy!H:H,0,-1)</f>
        <v>5530.7377061699281</v>
      </c>
      <c r="D1410">
        <f t="shared" si="84"/>
        <v>5570.3039393403797</v>
      </c>
      <c r="E1410">
        <f>_xlfn.XLOOKUP(A1410,Banks!A:A,Banks!I:I,0)</f>
        <v>41487.641886563797</v>
      </c>
      <c r="F1410">
        <f>_xlfn.XLOOKUP(A1410,Energy!A:A,Energy!I:I,0)</f>
        <v>0</v>
      </c>
      <c r="G1410">
        <f t="shared" si="85"/>
        <v>41487.641886563797</v>
      </c>
      <c r="H1410">
        <f t="shared" si="86"/>
        <v>35917.337947223416</v>
      </c>
      <c r="I1410" t="b">
        <f t="shared" si="87"/>
        <v>0</v>
      </c>
    </row>
    <row r="1411" spans="1:9">
      <c r="A1411" s="1">
        <v>46059.619444444441</v>
      </c>
      <c r="B1411" s="5">
        <f>_xlfn.XLOOKUP(A1411,Banks!A:A,Banks!H:H,0,-1)</f>
        <v>135.7721014369595</v>
      </c>
      <c r="C1411">
        <f>_xlfn.XLOOKUP(A1411,Energy!A:A,Energy!H:H,0,-1)</f>
        <v>5530.7377061699281</v>
      </c>
      <c r="D1411">
        <f t="shared" ref="D1411:D1474" si="88">B1411+C1411</f>
        <v>5666.509807606888</v>
      </c>
      <c r="E1411">
        <f>_xlfn.XLOOKUP(A1411,Banks!A:A,Banks!I:I,0)</f>
        <v>41483.467561688492</v>
      </c>
      <c r="F1411">
        <f>_xlfn.XLOOKUP(A1411,Energy!A:A,Energy!I:I,0)</f>
        <v>0</v>
      </c>
      <c r="G1411">
        <f t="shared" ref="G1411:G1474" si="89">F1411+E1411</f>
        <v>41483.467561688492</v>
      </c>
      <c r="H1411">
        <f t="shared" ref="H1411:H1474" si="90">G1411-D1411</f>
        <v>35816.957754081603</v>
      </c>
      <c r="I1411" t="b">
        <f t="shared" ref="I1411:I1474" si="91">AND(E1411&gt;0,F1411&gt;0)</f>
        <v>0</v>
      </c>
    </row>
    <row r="1412" spans="1:9">
      <c r="A1412" s="1">
        <v>46059.620138888888</v>
      </c>
      <c r="B1412" s="5">
        <f>_xlfn.XLOOKUP(A1412,Banks!A:A,Banks!H:H,0,-1)</f>
        <v>121.0010226135946</v>
      </c>
      <c r="C1412">
        <f>_xlfn.XLOOKUP(A1412,Energy!A:A,Energy!H:H,0,-1)</f>
        <v>5530.7377061699281</v>
      </c>
      <c r="D1412">
        <f t="shared" si="88"/>
        <v>5651.7387287835227</v>
      </c>
      <c r="E1412">
        <f>_xlfn.XLOOKUP(A1412,Banks!A:A,Banks!I:I,0)</f>
        <v>41512.78876281462</v>
      </c>
      <c r="F1412">
        <f>_xlfn.XLOOKUP(A1412,Energy!A:A,Energy!I:I,0)</f>
        <v>0</v>
      </c>
      <c r="G1412">
        <f t="shared" si="89"/>
        <v>41512.78876281462</v>
      </c>
      <c r="H1412">
        <f t="shared" si="90"/>
        <v>35861.050034031097</v>
      </c>
      <c r="I1412" t="b">
        <f t="shared" si="91"/>
        <v>0</v>
      </c>
    </row>
    <row r="1413" spans="1:9">
      <c r="A1413" s="1">
        <v>46059.620833333327</v>
      </c>
      <c r="B1413" s="5">
        <f>_xlfn.XLOOKUP(A1413,Banks!A:A,Banks!H:H,0,-1)</f>
        <v>157.69392977980371</v>
      </c>
      <c r="C1413">
        <f>_xlfn.XLOOKUP(A1413,Energy!A:A,Energy!H:H,0,-1)</f>
        <v>5530.7377061699281</v>
      </c>
      <c r="D1413">
        <f t="shared" si="88"/>
        <v>5688.4316359497316</v>
      </c>
      <c r="E1413">
        <f>_xlfn.XLOOKUP(A1413,Banks!A:A,Banks!I:I,0)</f>
        <v>41490.383332603393</v>
      </c>
      <c r="F1413">
        <f>_xlfn.XLOOKUP(A1413,Energy!A:A,Energy!I:I,0)</f>
        <v>0</v>
      </c>
      <c r="G1413">
        <f t="shared" si="89"/>
        <v>41490.383332603393</v>
      </c>
      <c r="H1413">
        <f t="shared" si="90"/>
        <v>35801.951696653661</v>
      </c>
      <c r="I1413" t="b">
        <f t="shared" si="91"/>
        <v>0</v>
      </c>
    </row>
    <row r="1414" spans="1:9">
      <c r="A1414" s="1">
        <v>46059.621527777781</v>
      </c>
      <c r="B1414" s="5">
        <f>_xlfn.XLOOKUP(A1414,Banks!A:A,Banks!H:H,0,-1)</f>
        <v>165.68056036214651</v>
      </c>
      <c r="C1414">
        <f>_xlfn.XLOOKUP(A1414,Energy!A:A,Energy!H:H,0,-1)</f>
        <v>5530.7377061699281</v>
      </c>
      <c r="D1414">
        <f t="shared" si="88"/>
        <v>5696.418266532075</v>
      </c>
      <c r="E1414">
        <f>_xlfn.XLOOKUP(A1414,Banks!A:A,Banks!I:I,0)</f>
        <v>41485.019294292433</v>
      </c>
      <c r="F1414">
        <f>_xlfn.XLOOKUP(A1414,Energy!A:A,Energy!I:I,0)</f>
        <v>0</v>
      </c>
      <c r="G1414">
        <f t="shared" si="89"/>
        <v>41485.019294292433</v>
      </c>
      <c r="H1414">
        <f t="shared" si="90"/>
        <v>35788.601027760356</v>
      </c>
      <c r="I1414" t="b">
        <f t="shared" si="91"/>
        <v>0</v>
      </c>
    </row>
    <row r="1415" spans="1:9">
      <c r="A1415" s="1">
        <v>46059.62222222222</v>
      </c>
      <c r="B1415" s="5">
        <f>_xlfn.XLOOKUP(A1415,Banks!A:A,Banks!H:H,0,-1)</f>
        <v>137.5062080909654</v>
      </c>
      <c r="C1415">
        <f>_xlfn.XLOOKUP(A1415,Energy!A:A,Energy!H:H,0,-1)</f>
        <v>5530.7377061699281</v>
      </c>
      <c r="D1415">
        <f t="shared" si="88"/>
        <v>5668.2439142608937</v>
      </c>
      <c r="E1415">
        <f>_xlfn.XLOOKUP(A1415,Banks!A:A,Banks!I:I,0)</f>
        <v>41475.587315968689</v>
      </c>
      <c r="F1415">
        <f>_xlfn.XLOOKUP(A1415,Energy!A:A,Energy!I:I,0)</f>
        <v>0</v>
      </c>
      <c r="G1415">
        <f t="shared" si="89"/>
        <v>41475.587315968689</v>
      </c>
      <c r="H1415">
        <f t="shared" si="90"/>
        <v>35807.343401707796</v>
      </c>
      <c r="I1415" t="b">
        <f t="shared" si="91"/>
        <v>0</v>
      </c>
    </row>
    <row r="1416" spans="1:9">
      <c r="A1416" s="1">
        <v>46059.622916666667</v>
      </c>
      <c r="B1416" s="5">
        <f>_xlfn.XLOOKUP(A1416,Banks!A:A,Banks!H:H,0,-1)</f>
        <v>247.24149554206099</v>
      </c>
      <c r="C1416">
        <f>_xlfn.XLOOKUP(A1416,Energy!A:A,Energy!H:H,0,-1)</f>
        <v>5530.7377061699281</v>
      </c>
      <c r="D1416">
        <f t="shared" si="88"/>
        <v>5777.9792017119889</v>
      </c>
      <c r="E1416">
        <f>_xlfn.XLOOKUP(A1416,Banks!A:A,Banks!I:I,0)</f>
        <v>0</v>
      </c>
      <c r="F1416">
        <f>_xlfn.XLOOKUP(A1416,Energy!A:A,Energy!I:I,0)</f>
        <v>0</v>
      </c>
      <c r="G1416">
        <f t="shared" si="89"/>
        <v>0</v>
      </c>
      <c r="H1416">
        <f t="shared" si="90"/>
        <v>-5777.9792017119889</v>
      </c>
      <c r="I1416" t="b">
        <f t="shared" si="91"/>
        <v>0</v>
      </c>
    </row>
    <row r="1417" spans="1:9">
      <c r="A1417" s="1">
        <v>46062.604166666657</v>
      </c>
      <c r="B1417" s="5">
        <f>_xlfn.XLOOKUP(A1417,Banks!A:A,Banks!H:H,0,-1)</f>
        <v>247.24149554206099</v>
      </c>
      <c r="C1417">
        <f>_xlfn.XLOOKUP(A1417,Energy!A:A,Energy!H:H,0,-1)</f>
        <v>5530.7377061699281</v>
      </c>
      <c r="D1417">
        <f t="shared" si="88"/>
        <v>5777.9792017119889</v>
      </c>
      <c r="E1417">
        <f>_xlfn.XLOOKUP(A1417,Banks!A:A,Banks!I:I,0)</f>
        <v>40980.586923336989</v>
      </c>
      <c r="F1417">
        <f>_xlfn.XLOOKUP(A1417,Energy!A:A,Energy!I:I,0)</f>
        <v>0</v>
      </c>
      <c r="G1417">
        <f t="shared" si="89"/>
        <v>40980.586923336989</v>
      </c>
      <c r="H1417">
        <f t="shared" si="90"/>
        <v>35202.607721624998</v>
      </c>
      <c r="I1417" t="b">
        <f t="shared" si="91"/>
        <v>0</v>
      </c>
    </row>
    <row r="1418" spans="1:9">
      <c r="A1418" s="1">
        <v>46062.604861111111</v>
      </c>
      <c r="B1418" s="5">
        <f>_xlfn.XLOOKUP(A1418,Banks!A:A,Banks!H:H,0,-1)</f>
        <v>548.01360637462176</v>
      </c>
      <c r="C1418">
        <f>_xlfn.XLOOKUP(A1418,Energy!A:A,Energy!H:H,0,-1)</f>
        <v>5530.7377061699281</v>
      </c>
      <c r="D1418">
        <f t="shared" si="88"/>
        <v>6078.7513125445494</v>
      </c>
      <c r="E1418">
        <f>_xlfn.XLOOKUP(A1418,Banks!A:A,Banks!I:I,0)</f>
        <v>0</v>
      </c>
      <c r="F1418">
        <f>_xlfn.XLOOKUP(A1418,Energy!A:A,Energy!I:I,0)</f>
        <v>0</v>
      </c>
      <c r="G1418">
        <f t="shared" si="89"/>
        <v>0</v>
      </c>
      <c r="H1418">
        <f t="shared" si="90"/>
        <v>-6078.7513125445494</v>
      </c>
      <c r="I1418" t="b">
        <f t="shared" si="91"/>
        <v>0</v>
      </c>
    </row>
    <row r="1419" spans="1:9">
      <c r="A1419" s="1">
        <v>46063.604861111111</v>
      </c>
      <c r="B1419" s="5">
        <f>_xlfn.XLOOKUP(A1419,Banks!A:A,Banks!H:H,0,-1)</f>
        <v>548.01360637462176</v>
      </c>
      <c r="C1419">
        <f>_xlfn.XLOOKUP(A1419,Energy!A:A,Energy!H:H,0,-1)</f>
        <v>5530.7377061699281</v>
      </c>
      <c r="D1419">
        <f t="shared" si="88"/>
        <v>6078.7513125445494</v>
      </c>
      <c r="E1419">
        <f>_xlfn.XLOOKUP(A1419,Banks!A:A,Banks!I:I,0)</f>
        <v>40980.586923336989</v>
      </c>
      <c r="F1419">
        <f>_xlfn.XLOOKUP(A1419,Energy!A:A,Energy!I:I,0)</f>
        <v>0</v>
      </c>
      <c r="G1419">
        <f t="shared" si="89"/>
        <v>40980.586923336989</v>
      </c>
      <c r="H1419">
        <f t="shared" si="90"/>
        <v>34901.835610792441</v>
      </c>
      <c r="I1419" t="b">
        <f t="shared" si="91"/>
        <v>0</v>
      </c>
    </row>
    <row r="1420" spans="1:9">
      <c r="A1420" s="1">
        <v>46063.605555555558</v>
      </c>
      <c r="B1420" s="5">
        <f>_xlfn.XLOOKUP(A1420,Banks!A:A,Banks!H:H,0,-1)</f>
        <v>476.75485436710949</v>
      </c>
      <c r="C1420">
        <f>_xlfn.XLOOKUP(A1420,Energy!A:A,Energy!H:H,0,-1)</f>
        <v>5530.7377061699281</v>
      </c>
      <c r="D1420">
        <f t="shared" si="88"/>
        <v>6007.4925605370372</v>
      </c>
      <c r="E1420">
        <f>_xlfn.XLOOKUP(A1420,Banks!A:A,Banks!I:I,0)</f>
        <v>40917.187576560107</v>
      </c>
      <c r="F1420">
        <f>_xlfn.XLOOKUP(A1420,Energy!A:A,Energy!I:I,0)</f>
        <v>0</v>
      </c>
      <c r="G1420">
        <f t="shared" si="89"/>
        <v>40917.187576560107</v>
      </c>
      <c r="H1420">
        <f t="shared" si="90"/>
        <v>34909.69501602307</v>
      </c>
      <c r="I1420" t="b">
        <f t="shared" si="91"/>
        <v>0</v>
      </c>
    </row>
    <row r="1421" spans="1:9">
      <c r="A1421" s="1">
        <v>46063.606249999997</v>
      </c>
      <c r="B1421" s="5">
        <f>_xlfn.XLOOKUP(A1421,Banks!A:A,Banks!H:H,0,-1)</f>
        <v>626.97932911526368</v>
      </c>
      <c r="C1421">
        <f>_xlfn.XLOOKUP(A1421,Energy!A:A,Energy!H:H,0,-1)</f>
        <v>5530.7377061699281</v>
      </c>
      <c r="D1421">
        <f t="shared" si="88"/>
        <v>6157.7170352851917</v>
      </c>
      <c r="E1421">
        <f>_xlfn.XLOOKUP(A1421,Banks!A:A,Banks!I:I,0)</f>
        <v>40850.165968668407</v>
      </c>
      <c r="F1421">
        <f>_xlfn.XLOOKUP(A1421,Energy!A:A,Energy!I:I,0)</f>
        <v>0</v>
      </c>
      <c r="G1421">
        <f t="shared" si="89"/>
        <v>40850.165968668407</v>
      </c>
      <c r="H1421">
        <f t="shared" si="90"/>
        <v>34692.448933383217</v>
      </c>
      <c r="I1421" t="b">
        <f t="shared" si="91"/>
        <v>0</v>
      </c>
    </row>
    <row r="1422" spans="1:9">
      <c r="A1422" s="1">
        <v>46063.606944444437</v>
      </c>
      <c r="B1422" s="5">
        <f>_xlfn.XLOOKUP(A1422,Banks!A:A,Banks!H:H,0,-1)</f>
        <v>531.75586113799363</v>
      </c>
      <c r="C1422">
        <f>_xlfn.XLOOKUP(A1422,Energy!A:A,Energy!H:H,0,-1)</f>
        <v>5530.7377061699281</v>
      </c>
      <c r="D1422">
        <f t="shared" si="88"/>
        <v>6062.4935673079217</v>
      </c>
      <c r="E1422">
        <f>_xlfn.XLOOKUP(A1422,Banks!A:A,Banks!I:I,0)</f>
        <v>40869.210662263853</v>
      </c>
      <c r="F1422">
        <f>_xlfn.XLOOKUP(A1422,Energy!A:A,Energy!I:I,0)</f>
        <v>0</v>
      </c>
      <c r="G1422">
        <f t="shared" si="89"/>
        <v>40869.210662263853</v>
      </c>
      <c r="H1422">
        <f t="shared" si="90"/>
        <v>34806.717094955929</v>
      </c>
      <c r="I1422" t="b">
        <f t="shared" si="91"/>
        <v>0</v>
      </c>
    </row>
    <row r="1423" spans="1:9">
      <c r="A1423" s="1">
        <v>46063.607638888891</v>
      </c>
      <c r="B1423" s="5">
        <f>_xlfn.XLOOKUP(A1423,Banks!A:A,Banks!H:H,0,-1)</f>
        <v>307.1138978634383</v>
      </c>
      <c r="C1423">
        <f>_xlfn.XLOOKUP(A1423,Energy!A:A,Energy!H:H,0,-1)</f>
        <v>5530.7377061699281</v>
      </c>
      <c r="D1423">
        <f t="shared" si="88"/>
        <v>5837.8516040333661</v>
      </c>
      <c r="E1423">
        <f>_xlfn.XLOOKUP(A1423,Banks!A:A,Banks!I:I,0)</f>
        <v>40862.371656799864</v>
      </c>
      <c r="F1423">
        <f>_xlfn.XLOOKUP(A1423,Energy!A:A,Energy!I:I,0)</f>
        <v>0</v>
      </c>
      <c r="G1423">
        <f t="shared" si="89"/>
        <v>40862.371656799864</v>
      </c>
      <c r="H1423">
        <f t="shared" si="90"/>
        <v>35024.5200527665</v>
      </c>
      <c r="I1423" t="b">
        <f t="shared" si="91"/>
        <v>0</v>
      </c>
    </row>
    <row r="1424" spans="1:9">
      <c r="A1424" s="1">
        <v>46063.60833333333</v>
      </c>
      <c r="B1424" s="5">
        <f>_xlfn.XLOOKUP(A1424,Banks!A:A,Banks!H:H,0,-1)</f>
        <v>421.31878886912028</v>
      </c>
      <c r="C1424">
        <f>_xlfn.XLOOKUP(A1424,Energy!A:A,Energy!H:H,0,-1)</f>
        <v>5530.7377061699281</v>
      </c>
      <c r="D1424">
        <f t="shared" si="88"/>
        <v>5952.0564950390481</v>
      </c>
      <c r="E1424">
        <f>_xlfn.XLOOKUP(A1424,Banks!A:A,Banks!I:I,0)</f>
        <v>40909.786433188667</v>
      </c>
      <c r="F1424">
        <f>_xlfn.XLOOKUP(A1424,Energy!A:A,Energy!I:I,0)</f>
        <v>0</v>
      </c>
      <c r="G1424">
        <f t="shared" si="89"/>
        <v>40909.786433188667</v>
      </c>
      <c r="H1424">
        <f t="shared" si="90"/>
        <v>34957.72993814962</v>
      </c>
      <c r="I1424" t="b">
        <f t="shared" si="91"/>
        <v>0</v>
      </c>
    </row>
    <row r="1425" spans="1:9">
      <c r="A1425" s="1">
        <v>46063.609027777777</v>
      </c>
      <c r="B1425" s="5">
        <f>_xlfn.XLOOKUP(A1425,Banks!A:A,Banks!H:H,0,-1)</f>
        <v>559.77843499594155</v>
      </c>
      <c r="C1425">
        <f>_xlfn.XLOOKUP(A1425,Energy!A:A,Energy!H:H,0,-1)</f>
        <v>5530.7377061699281</v>
      </c>
      <c r="D1425">
        <f t="shared" si="88"/>
        <v>6090.5161411658701</v>
      </c>
      <c r="E1425">
        <f>_xlfn.XLOOKUP(A1425,Banks!A:A,Banks!I:I,0)</f>
        <v>40911.675874316978</v>
      </c>
      <c r="F1425">
        <f>_xlfn.XLOOKUP(A1425,Energy!A:A,Energy!I:I,0)</f>
        <v>0</v>
      </c>
      <c r="G1425">
        <f t="shared" si="89"/>
        <v>40911.675874316978</v>
      </c>
      <c r="H1425">
        <f t="shared" si="90"/>
        <v>34821.159733151108</v>
      </c>
      <c r="I1425" t="b">
        <f t="shared" si="91"/>
        <v>0</v>
      </c>
    </row>
    <row r="1426" spans="1:9">
      <c r="A1426" s="1">
        <v>46063.609722222223</v>
      </c>
      <c r="B1426" s="5">
        <f>_xlfn.XLOOKUP(A1426,Banks!A:A,Banks!H:H,0,-1)</f>
        <v>599.21779049356633</v>
      </c>
      <c r="C1426">
        <f>_xlfn.XLOOKUP(A1426,Energy!A:A,Energy!H:H,0,-1)</f>
        <v>5530.7377061699281</v>
      </c>
      <c r="D1426">
        <f t="shared" si="88"/>
        <v>6129.9554966634942</v>
      </c>
      <c r="E1426">
        <f>_xlfn.XLOOKUP(A1426,Banks!A:A,Banks!I:I,0)</f>
        <v>40840.927591215906</v>
      </c>
      <c r="F1426">
        <f>_xlfn.XLOOKUP(A1426,Energy!A:A,Energy!I:I,0)</f>
        <v>0</v>
      </c>
      <c r="G1426">
        <f t="shared" si="89"/>
        <v>40840.927591215906</v>
      </c>
      <c r="H1426">
        <f t="shared" si="90"/>
        <v>34710.97209455241</v>
      </c>
      <c r="I1426" t="b">
        <f t="shared" si="91"/>
        <v>0</v>
      </c>
    </row>
    <row r="1427" spans="1:9">
      <c r="A1427" s="1">
        <v>46063.61041666667</v>
      </c>
      <c r="B1427" s="5">
        <f>_xlfn.XLOOKUP(A1427,Banks!A:A,Banks!H:H,0,-1)</f>
        <v>500.89359382769948</v>
      </c>
      <c r="C1427">
        <f>_xlfn.XLOOKUP(A1427,Energy!A:A,Energy!H:H,0,-1)</f>
        <v>5530.7377061699281</v>
      </c>
      <c r="D1427">
        <f t="shared" si="88"/>
        <v>6031.6312999976271</v>
      </c>
      <c r="E1427">
        <f>_xlfn.XLOOKUP(A1427,Banks!A:A,Banks!I:I,0)</f>
        <v>40856.894759254879</v>
      </c>
      <c r="F1427">
        <f>_xlfn.XLOOKUP(A1427,Energy!A:A,Energy!I:I,0)</f>
        <v>0</v>
      </c>
      <c r="G1427">
        <f t="shared" si="89"/>
        <v>40856.894759254879</v>
      </c>
      <c r="H1427">
        <f t="shared" si="90"/>
        <v>34825.26345925725</v>
      </c>
      <c r="I1427" t="b">
        <f t="shared" si="91"/>
        <v>0</v>
      </c>
    </row>
    <row r="1428" spans="1:9">
      <c r="A1428" s="1">
        <v>46063.611111111109</v>
      </c>
      <c r="B1428" s="5">
        <f>_xlfn.XLOOKUP(A1428,Banks!A:A,Banks!H:H,0,-1)</f>
        <v>491.91045082843829</v>
      </c>
      <c r="C1428">
        <f>_xlfn.XLOOKUP(A1428,Energy!A:A,Energy!H:H,0,-1)</f>
        <v>5530.7377061699281</v>
      </c>
      <c r="D1428">
        <f t="shared" si="88"/>
        <v>6022.6481569983662</v>
      </c>
      <c r="E1428">
        <f>_xlfn.XLOOKUP(A1428,Banks!A:A,Banks!I:I,0)</f>
        <v>40888.27275820839</v>
      </c>
      <c r="F1428">
        <f>_xlfn.XLOOKUP(A1428,Energy!A:A,Energy!I:I,0)</f>
        <v>0</v>
      </c>
      <c r="G1428">
        <f t="shared" si="89"/>
        <v>40888.27275820839</v>
      </c>
      <c r="H1428">
        <f t="shared" si="90"/>
        <v>34865.624601210024</v>
      </c>
      <c r="I1428" t="b">
        <f t="shared" si="91"/>
        <v>0</v>
      </c>
    </row>
    <row r="1429" spans="1:9">
      <c r="A1429" s="1">
        <v>46063.611805555563</v>
      </c>
      <c r="B1429" s="5">
        <f>_xlfn.XLOOKUP(A1429,Banks!A:A,Banks!H:H,0,-1)</f>
        <v>541.37709027033168</v>
      </c>
      <c r="C1429">
        <f>_xlfn.XLOOKUP(A1429,Energy!A:A,Energy!H:H,0,-1)</f>
        <v>5530.7377061699281</v>
      </c>
      <c r="D1429">
        <f t="shared" si="88"/>
        <v>6072.1147964402599</v>
      </c>
      <c r="E1429">
        <f>_xlfn.XLOOKUP(A1429,Banks!A:A,Banks!I:I,0)</f>
        <v>40919.053814556297</v>
      </c>
      <c r="F1429">
        <f>_xlfn.XLOOKUP(A1429,Energy!A:A,Energy!I:I,0)</f>
        <v>0</v>
      </c>
      <c r="G1429">
        <f t="shared" si="89"/>
        <v>40919.053814556297</v>
      </c>
      <c r="H1429">
        <f t="shared" si="90"/>
        <v>34846.939018116034</v>
      </c>
      <c r="I1429" t="b">
        <f t="shared" si="91"/>
        <v>0</v>
      </c>
    </row>
    <row r="1430" spans="1:9">
      <c r="A1430" s="1">
        <v>46063.612500000003</v>
      </c>
      <c r="B1430" s="5">
        <f>_xlfn.XLOOKUP(A1430,Banks!A:A,Banks!H:H,0,-1)</f>
        <v>560.73421907988563</v>
      </c>
      <c r="C1430">
        <f>_xlfn.XLOOKUP(A1430,Energy!A:A,Energy!H:H,0,-1)</f>
        <v>5530.7377061699281</v>
      </c>
      <c r="D1430">
        <f t="shared" si="88"/>
        <v>6091.4719252498135</v>
      </c>
      <c r="E1430">
        <f>_xlfn.XLOOKUP(A1430,Banks!A:A,Banks!I:I,0)</f>
        <v>40837.531291616033</v>
      </c>
      <c r="F1430">
        <f>_xlfn.XLOOKUP(A1430,Energy!A:A,Energy!I:I,0)</f>
        <v>0</v>
      </c>
      <c r="G1430">
        <f t="shared" si="89"/>
        <v>40837.531291616033</v>
      </c>
      <c r="H1430">
        <f t="shared" si="90"/>
        <v>34746.059366366222</v>
      </c>
      <c r="I1430" t="b">
        <f t="shared" si="91"/>
        <v>0</v>
      </c>
    </row>
    <row r="1431" spans="1:9">
      <c r="A1431" s="1">
        <v>46063.613194444442</v>
      </c>
      <c r="B1431" s="5">
        <f>_xlfn.XLOOKUP(A1431,Banks!A:A,Banks!H:H,0,-1)</f>
        <v>257.56024667611791</v>
      </c>
      <c r="C1431">
        <f>_xlfn.XLOOKUP(A1431,Energy!A:A,Energy!H:H,0,-1)</f>
        <v>5530.7377061699281</v>
      </c>
      <c r="D1431">
        <f t="shared" si="88"/>
        <v>5788.2979528460455</v>
      </c>
      <c r="E1431">
        <f>_xlfn.XLOOKUP(A1431,Banks!A:A,Banks!I:I,0)</f>
        <v>40820.51498891841</v>
      </c>
      <c r="F1431">
        <f>_xlfn.XLOOKUP(A1431,Energy!A:A,Energy!I:I,0)</f>
        <v>0</v>
      </c>
      <c r="G1431">
        <f t="shared" si="89"/>
        <v>40820.51498891841</v>
      </c>
      <c r="H1431">
        <f t="shared" si="90"/>
        <v>35032.217036072369</v>
      </c>
      <c r="I1431" t="b">
        <f t="shared" si="91"/>
        <v>0</v>
      </c>
    </row>
    <row r="1432" spans="1:9">
      <c r="A1432" s="1">
        <v>46063.613888888889</v>
      </c>
      <c r="B1432" s="5">
        <f>_xlfn.XLOOKUP(A1432,Banks!A:A,Banks!H:H,0,-1)</f>
        <v>205.39893335757989</v>
      </c>
      <c r="C1432">
        <f>_xlfn.XLOOKUP(A1432,Energy!A:A,Energy!H:H,0,-1)</f>
        <v>5530.7377061699281</v>
      </c>
      <c r="D1432">
        <f t="shared" si="88"/>
        <v>5736.1366395275081</v>
      </c>
      <c r="E1432">
        <f>_xlfn.XLOOKUP(A1432,Banks!A:A,Banks!I:I,0)</f>
        <v>40838.342594170528</v>
      </c>
      <c r="F1432">
        <f>_xlfn.XLOOKUP(A1432,Energy!A:A,Energy!I:I,0)</f>
        <v>0</v>
      </c>
      <c r="G1432">
        <f t="shared" si="89"/>
        <v>40838.342594170528</v>
      </c>
      <c r="H1432">
        <f t="shared" si="90"/>
        <v>35102.205954643017</v>
      </c>
      <c r="I1432" t="b">
        <f t="shared" si="91"/>
        <v>0</v>
      </c>
    </row>
    <row r="1433" spans="1:9">
      <c r="A1433" s="1">
        <v>46063.614583333343</v>
      </c>
      <c r="B1433" s="5">
        <f>_xlfn.XLOOKUP(A1433,Banks!A:A,Banks!H:H,0,-1)</f>
        <v>245.53438281855159</v>
      </c>
      <c r="C1433">
        <f>_xlfn.XLOOKUP(A1433,Energy!A:A,Energy!H:H,0,-1)</f>
        <v>5530.7377061699281</v>
      </c>
      <c r="D1433">
        <f t="shared" si="88"/>
        <v>5776.2720889884795</v>
      </c>
      <c r="E1433">
        <f>_xlfn.XLOOKUP(A1433,Banks!A:A,Banks!I:I,0)</f>
        <v>40856.199203337797</v>
      </c>
      <c r="F1433">
        <f>_xlfn.XLOOKUP(A1433,Energy!A:A,Energy!I:I,0)</f>
        <v>0</v>
      </c>
      <c r="G1433">
        <f t="shared" si="89"/>
        <v>40856.199203337797</v>
      </c>
      <c r="H1433">
        <f t="shared" si="90"/>
        <v>35079.927114349317</v>
      </c>
      <c r="I1433" t="b">
        <f t="shared" si="91"/>
        <v>0</v>
      </c>
    </row>
    <row r="1434" spans="1:9">
      <c r="A1434" s="1">
        <v>46063.615277777782</v>
      </c>
      <c r="B1434" s="5">
        <f>_xlfn.XLOOKUP(A1434,Banks!A:A,Banks!H:H,0,-1)</f>
        <v>351.85693448458318</v>
      </c>
      <c r="C1434">
        <f>_xlfn.XLOOKUP(A1434,Energy!A:A,Energy!H:H,0,-1)</f>
        <v>5530.7377061699281</v>
      </c>
      <c r="D1434">
        <f t="shared" si="88"/>
        <v>5882.5946406545108</v>
      </c>
      <c r="E1434">
        <f>_xlfn.XLOOKUP(A1434,Banks!A:A,Banks!I:I,0)</f>
        <v>40879.306748535077</v>
      </c>
      <c r="F1434">
        <f>_xlfn.XLOOKUP(A1434,Energy!A:A,Energy!I:I,0)</f>
        <v>0</v>
      </c>
      <c r="G1434">
        <f t="shared" si="89"/>
        <v>40879.306748535077</v>
      </c>
      <c r="H1434">
        <f t="shared" si="90"/>
        <v>34996.712107880565</v>
      </c>
      <c r="I1434" t="b">
        <f t="shared" si="91"/>
        <v>0</v>
      </c>
    </row>
    <row r="1435" spans="1:9">
      <c r="A1435" s="1">
        <v>46063.615972222222</v>
      </c>
      <c r="B1435" s="5">
        <f>_xlfn.XLOOKUP(A1435,Banks!A:A,Banks!H:H,0,-1)</f>
        <v>273.58596059163472</v>
      </c>
      <c r="C1435">
        <f>_xlfn.XLOOKUP(A1435,Energy!A:A,Energy!H:H,0,-1)</f>
        <v>5530.7377061699281</v>
      </c>
      <c r="D1435">
        <f t="shared" si="88"/>
        <v>5804.3236667615629</v>
      </c>
      <c r="E1435">
        <f>_xlfn.XLOOKUP(A1435,Banks!A:A,Banks!I:I,0)</f>
        <v>40902.356285902089</v>
      </c>
      <c r="F1435">
        <f>_xlfn.XLOOKUP(A1435,Energy!A:A,Energy!I:I,0)</f>
        <v>0</v>
      </c>
      <c r="G1435">
        <f t="shared" si="89"/>
        <v>40902.356285902089</v>
      </c>
      <c r="H1435">
        <f t="shared" si="90"/>
        <v>35098.032619140526</v>
      </c>
      <c r="I1435" t="b">
        <f t="shared" si="91"/>
        <v>0</v>
      </c>
    </row>
    <row r="1436" spans="1:9">
      <c r="A1436" s="1">
        <v>46063.616666666669</v>
      </c>
      <c r="B1436" s="5">
        <f>_xlfn.XLOOKUP(A1436,Banks!A:A,Banks!H:H,0,-1)</f>
        <v>162.94586091677209</v>
      </c>
      <c r="C1436">
        <f>_xlfn.XLOOKUP(A1436,Energy!A:A,Energy!H:H,0,-1)</f>
        <v>5530.7377061699281</v>
      </c>
      <c r="D1436">
        <f t="shared" si="88"/>
        <v>5693.6835670867004</v>
      </c>
      <c r="E1436">
        <f>_xlfn.XLOOKUP(A1436,Banks!A:A,Banks!I:I,0)</f>
        <v>40917.088963248643</v>
      </c>
      <c r="F1436">
        <f>_xlfn.XLOOKUP(A1436,Energy!A:A,Energy!I:I,0)</f>
        <v>0</v>
      </c>
      <c r="G1436">
        <f t="shared" si="89"/>
        <v>40917.088963248643</v>
      </c>
      <c r="H1436">
        <f t="shared" si="90"/>
        <v>35223.405396161943</v>
      </c>
      <c r="I1436" t="b">
        <f t="shared" si="91"/>
        <v>0</v>
      </c>
    </row>
    <row r="1437" spans="1:9">
      <c r="A1437" s="1">
        <v>46063.617361111108</v>
      </c>
      <c r="B1437" s="5">
        <f>_xlfn.XLOOKUP(A1437,Banks!A:A,Banks!H:H,0,-1)</f>
        <v>212.2384768678593</v>
      </c>
      <c r="C1437">
        <f>_xlfn.XLOOKUP(A1437,Energy!A:A,Energy!H:H,0,-1)</f>
        <v>5530.7377061699281</v>
      </c>
      <c r="D1437">
        <f t="shared" si="88"/>
        <v>5742.9761830377875</v>
      </c>
      <c r="E1437">
        <f>_xlfn.XLOOKUP(A1437,Banks!A:A,Banks!I:I,0)</f>
        <v>40925.718796529472</v>
      </c>
      <c r="F1437">
        <f>_xlfn.XLOOKUP(A1437,Energy!A:A,Energy!I:I,0)</f>
        <v>0</v>
      </c>
      <c r="G1437">
        <f t="shared" si="89"/>
        <v>40925.718796529472</v>
      </c>
      <c r="H1437">
        <f t="shared" si="90"/>
        <v>35182.742613491682</v>
      </c>
      <c r="I1437" t="b">
        <f t="shared" si="91"/>
        <v>0</v>
      </c>
    </row>
    <row r="1438" spans="1:9">
      <c r="A1438" s="1">
        <v>46063.618055555547</v>
      </c>
      <c r="B1438" s="5">
        <f>_xlfn.XLOOKUP(A1438,Banks!A:A,Banks!H:H,0,-1)</f>
        <v>368.69341290834251</v>
      </c>
      <c r="C1438">
        <f>_xlfn.XLOOKUP(A1438,Energy!A:A,Energy!H:H,0,-1)</f>
        <v>5530.7377061699281</v>
      </c>
      <c r="D1438">
        <f t="shared" si="88"/>
        <v>5899.431119078271</v>
      </c>
      <c r="E1438">
        <f>_xlfn.XLOOKUP(A1438,Banks!A:A,Banks!I:I,0)</f>
        <v>40868.544110261922</v>
      </c>
      <c r="F1438">
        <f>_xlfn.XLOOKUP(A1438,Energy!A:A,Energy!I:I,0)</f>
        <v>0</v>
      </c>
      <c r="G1438">
        <f t="shared" si="89"/>
        <v>40868.544110261922</v>
      </c>
      <c r="H1438">
        <f t="shared" si="90"/>
        <v>34969.112991183654</v>
      </c>
      <c r="I1438" t="b">
        <f t="shared" si="91"/>
        <v>0</v>
      </c>
    </row>
    <row r="1439" spans="1:9">
      <c r="A1439" s="1">
        <v>46063.618750000001</v>
      </c>
      <c r="B1439" s="5">
        <f>_xlfn.XLOOKUP(A1439,Banks!A:A,Banks!H:H,0,-1)</f>
        <v>288.94458445893969</v>
      </c>
      <c r="C1439">
        <f>_xlfn.XLOOKUP(A1439,Energy!A:A,Energy!H:H,0,-1)</f>
        <v>5530.7377061699281</v>
      </c>
      <c r="D1439">
        <f t="shared" si="88"/>
        <v>5819.682290628868</v>
      </c>
      <c r="E1439">
        <f>_xlfn.XLOOKUP(A1439,Banks!A:A,Banks!I:I,0)</f>
        <v>40899.284561128617</v>
      </c>
      <c r="F1439">
        <f>_xlfn.XLOOKUP(A1439,Energy!A:A,Energy!I:I,0)</f>
        <v>0</v>
      </c>
      <c r="G1439">
        <f t="shared" si="89"/>
        <v>40899.284561128617</v>
      </c>
      <c r="H1439">
        <f t="shared" si="90"/>
        <v>35079.602270499752</v>
      </c>
      <c r="I1439" t="b">
        <f t="shared" si="91"/>
        <v>0</v>
      </c>
    </row>
    <row r="1440" spans="1:9">
      <c r="A1440" s="1">
        <v>46063.619444444441</v>
      </c>
      <c r="B1440" s="5">
        <f>_xlfn.XLOOKUP(A1440,Banks!A:A,Banks!H:H,0,-1)</f>
        <v>113.8562723717048</v>
      </c>
      <c r="C1440">
        <f>_xlfn.XLOOKUP(A1440,Energy!A:A,Energy!H:H,0,-1)</f>
        <v>5530.7377061699281</v>
      </c>
      <c r="D1440">
        <f t="shared" si="88"/>
        <v>5644.5939785416331</v>
      </c>
      <c r="E1440">
        <f>_xlfn.XLOOKUP(A1440,Banks!A:A,Banks!I:I,0)</f>
        <v>40934.302223546067</v>
      </c>
      <c r="F1440">
        <f>_xlfn.XLOOKUP(A1440,Energy!A:A,Energy!I:I,0)</f>
        <v>0</v>
      </c>
      <c r="G1440">
        <f t="shared" si="89"/>
        <v>40934.302223546067</v>
      </c>
      <c r="H1440">
        <f t="shared" si="90"/>
        <v>35289.708245004433</v>
      </c>
      <c r="I1440" t="b">
        <f t="shared" si="91"/>
        <v>0</v>
      </c>
    </row>
    <row r="1441" spans="1:9">
      <c r="A1441" s="1">
        <v>46063.620138888888</v>
      </c>
      <c r="B1441" s="5">
        <f>_xlfn.XLOOKUP(A1441,Banks!A:A,Banks!H:H,0,-1)</f>
        <v>312.21455158099968</v>
      </c>
      <c r="C1441">
        <f>_xlfn.XLOOKUP(A1441,Energy!A:A,Energy!H:H,0,-1)</f>
        <v>5530.7377061699281</v>
      </c>
      <c r="D1441">
        <f t="shared" si="88"/>
        <v>5842.9522577509279</v>
      </c>
      <c r="E1441">
        <f>_xlfn.XLOOKUP(A1441,Banks!A:A,Banks!I:I,0)</f>
        <v>40924.211938057881</v>
      </c>
      <c r="F1441">
        <f>_xlfn.XLOOKUP(A1441,Energy!A:A,Energy!I:I,0)</f>
        <v>0</v>
      </c>
      <c r="G1441">
        <f t="shared" si="89"/>
        <v>40924.211938057881</v>
      </c>
      <c r="H1441">
        <f t="shared" si="90"/>
        <v>35081.259680306954</v>
      </c>
      <c r="I1441" t="b">
        <f t="shared" si="91"/>
        <v>0</v>
      </c>
    </row>
    <row r="1442" spans="1:9">
      <c r="A1442" s="1">
        <v>46063.620833333327</v>
      </c>
      <c r="B1442" s="5">
        <f>_xlfn.XLOOKUP(A1442,Banks!A:A,Banks!H:H,0,-1)</f>
        <v>339.74405888158992</v>
      </c>
      <c r="C1442">
        <f>_xlfn.XLOOKUP(A1442,Energy!A:A,Energy!H:H,0,-1)</f>
        <v>5530.7377061699281</v>
      </c>
      <c r="D1442">
        <f t="shared" si="88"/>
        <v>5870.4817650515179</v>
      </c>
      <c r="E1442">
        <f>_xlfn.XLOOKUP(A1442,Banks!A:A,Banks!I:I,0)</f>
        <v>40903.915351420932</v>
      </c>
      <c r="F1442">
        <f>_xlfn.XLOOKUP(A1442,Energy!A:A,Energy!I:I,0)</f>
        <v>0</v>
      </c>
      <c r="G1442">
        <f t="shared" si="89"/>
        <v>40903.915351420932</v>
      </c>
      <c r="H1442">
        <f t="shared" si="90"/>
        <v>35033.433586369414</v>
      </c>
      <c r="I1442" t="b">
        <f t="shared" si="91"/>
        <v>0</v>
      </c>
    </row>
    <row r="1443" spans="1:9">
      <c r="A1443" s="1">
        <v>46063.621527777781</v>
      </c>
      <c r="B1443" s="5">
        <f>_xlfn.XLOOKUP(A1443,Banks!A:A,Banks!H:H,0,-1)</f>
        <v>255.21361978114669</v>
      </c>
      <c r="C1443">
        <f>_xlfn.XLOOKUP(A1443,Energy!A:A,Energy!H:H,0,-1)</f>
        <v>5530.7377061699281</v>
      </c>
      <c r="D1443">
        <f t="shared" si="88"/>
        <v>5785.951325951075</v>
      </c>
      <c r="E1443">
        <f>_xlfn.XLOOKUP(A1443,Banks!A:A,Banks!I:I,0)</f>
        <v>40913.426096652613</v>
      </c>
      <c r="F1443">
        <f>_xlfn.XLOOKUP(A1443,Energy!A:A,Energy!I:I,0)</f>
        <v>0</v>
      </c>
      <c r="G1443">
        <f t="shared" si="89"/>
        <v>40913.426096652613</v>
      </c>
      <c r="H1443">
        <f t="shared" si="90"/>
        <v>35127.474770701534</v>
      </c>
      <c r="I1443" t="b">
        <f t="shared" si="91"/>
        <v>0</v>
      </c>
    </row>
    <row r="1444" spans="1:9">
      <c r="A1444" s="1">
        <v>46063.62222222222</v>
      </c>
      <c r="B1444" s="5">
        <f>_xlfn.XLOOKUP(A1444,Banks!A:A,Banks!H:H,0,-1)</f>
        <v>318.68699978998552</v>
      </c>
      <c r="C1444">
        <f>_xlfn.XLOOKUP(A1444,Energy!A:A,Energy!H:H,0,-1)</f>
        <v>5530.7377061699281</v>
      </c>
      <c r="D1444">
        <f t="shared" si="88"/>
        <v>5849.4247059599138</v>
      </c>
      <c r="E1444">
        <f>_xlfn.XLOOKUP(A1444,Banks!A:A,Banks!I:I,0)</f>
        <v>0</v>
      </c>
      <c r="F1444">
        <f>_xlfn.XLOOKUP(A1444,Energy!A:A,Energy!I:I,0)</f>
        <v>0</v>
      </c>
      <c r="G1444">
        <f t="shared" si="89"/>
        <v>0</v>
      </c>
      <c r="H1444">
        <f t="shared" si="90"/>
        <v>-5849.4247059599138</v>
      </c>
      <c r="I1444" t="b">
        <f t="shared" si="91"/>
        <v>0</v>
      </c>
    </row>
    <row r="1445" spans="1:9">
      <c r="A1445" s="1">
        <v>46063.753472222219</v>
      </c>
      <c r="B1445" s="5">
        <f>_xlfn.XLOOKUP(A1445,Banks!A:A,Banks!H:H,0,-1)</f>
        <v>318.68699978998552</v>
      </c>
      <c r="C1445">
        <f>_xlfn.XLOOKUP(A1445,Energy!A:A,Energy!H:H,0,-1)</f>
        <v>5530.7377061699281</v>
      </c>
      <c r="D1445">
        <f t="shared" si="88"/>
        <v>5849.4247059599138</v>
      </c>
      <c r="E1445">
        <f>_xlfn.XLOOKUP(A1445,Banks!A:A,Banks!I:I,0)</f>
        <v>0</v>
      </c>
      <c r="F1445">
        <f>_xlfn.XLOOKUP(A1445,Energy!A:A,Energy!I:I,0)</f>
        <v>44104.887662813198</v>
      </c>
      <c r="G1445">
        <f t="shared" si="89"/>
        <v>44104.887662813198</v>
      </c>
      <c r="H1445">
        <f t="shared" si="90"/>
        <v>38255.462956853284</v>
      </c>
      <c r="I1445" t="b">
        <f t="shared" si="91"/>
        <v>0</v>
      </c>
    </row>
    <row r="1446" spans="1:9">
      <c r="A1446" s="1">
        <v>46063.754166666673</v>
      </c>
      <c r="B1446" s="5">
        <f>_xlfn.XLOOKUP(A1446,Banks!A:A,Banks!H:H,0,-1)</f>
        <v>318.68699978998552</v>
      </c>
      <c r="C1446">
        <f>_xlfn.XLOOKUP(A1446,Energy!A:A,Energy!H:H,0,-1)</f>
        <v>5491.6529245309484</v>
      </c>
      <c r="D1446">
        <f t="shared" si="88"/>
        <v>5810.3399243209342</v>
      </c>
      <c r="E1446">
        <f>_xlfn.XLOOKUP(A1446,Banks!A:A,Banks!I:I,0)</f>
        <v>0</v>
      </c>
      <c r="F1446">
        <f>_xlfn.XLOOKUP(A1446,Energy!A:A,Energy!I:I,0)</f>
        <v>44097.0707064854</v>
      </c>
      <c r="G1446">
        <f t="shared" si="89"/>
        <v>44097.0707064854</v>
      </c>
      <c r="H1446">
        <f t="shared" si="90"/>
        <v>38286.730782164464</v>
      </c>
      <c r="I1446" t="b">
        <f t="shared" si="91"/>
        <v>0</v>
      </c>
    </row>
    <row r="1447" spans="1:9">
      <c r="A1447" s="1">
        <v>46063.754861111112</v>
      </c>
      <c r="B1447" s="5">
        <f>_xlfn.XLOOKUP(A1447,Banks!A:A,Banks!H:H,0,-1)</f>
        <v>318.68699978998552</v>
      </c>
      <c r="C1447">
        <f>_xlfn.XLOOKUP(A1447,Energy!A:A,Energy!H:H,0,-1)</f>
        <v>5531.8680755891146</v>
      </c>
      <c r="D1447">
        <f t="shared" si="88"/>
        <v>5850.5550753791003</v>
      </c>
      <c r="E1447">
        <f>_xlfn.XLOOKUP(A1447,Banks!A:A,Banks!I:I,0)</f>
        <v>0</v>
      </c>
      <c r="F1447">
        <f>_xlfn.XLOOKUP(A1447,Energy!A:A,Energy!I:I,0)</f>
        <v>44089.027676273763</v>
      </c>
      <c r="G1447">
        <f t="shared" si="89"/>
        <v>44089.027676273763</v>
      </c>
      <c r="H1447">
        <f t="shared" si="90"/>
        <v>38238.47260089466</v>
      </c>
      <c r="I1447" t="b">
        <f t="shared" si="91"/>
        <v>0</v>
      </c>
    </row>
    <row r="1448" spans="1:9">
      <c r="A1448" s="1">
        <v>46063.755555555559</v>
      </c>
      <c r="B1448" s="5">
        <f>_xlfn.XLOOKUP(A1448,Banks!A:A,Banks!H:H,0,-1)</f>
        <v>318.68699978998552</v>
      </c>
      <c r="C1448">
        <f>_xlfn.XLOOKUP(A1448,Energy!A:A,Energy!H:H,0,-1)</f>
        <v>5503.9674511338517</v>
      </c>
      <c r="D1448">
        <f t="shared" si="88"/>
        <v>5822.6544509238374</v>
      </c>
      <c r="E1448">
        <f>_xlfn.XLOOKUP(A1448,Banks!A:A,Banks!I:I,0)</f>
        <v>0</v>
      </c>
      <c r="F1448">
        <f>_xlfn.XLOOKUP(A1448,Energy!A:A,Energy!I:I,0)</f>
        <v>44063.339975853632</v>
      </c>
      <c r="G1448">
        <f t="shared" si="89"/>
        <v>44063.339975853632</v>
      </c>
      <c r="H1448">
        <f t="shared" si="90"/>
        <v>38240.685524929795</v>
      </c>
      <c r="I1448" t="b">
        <f t="shared" si="91"/>
        <v>0</v>
      </c>
    </row>
    <row r="1449" spans="1:9">
      <c r="A1449" s="1">
        <v>46063.756249999999</v>
      </c>
      <c r="B1449" s="5">
        <f>_xlfn.XLOOKUP(A1449,Banks!A:A,Banks!H:H,0,-1)</f>
        <v>318.68699978998552</v>
      </c>
      <c r="C1449">
        <f>_xlfn.XLOOKUP(A1449,Energy!A:A,Energy!H:H,0,-1)</f>
        <v>5490.9391905875182</v>
      </c>
      <c r="D1449">
        <f t="shared" si="88"/>
        <v>5809.6261903775039</v>
      </c>
      <c r="E1449">
        <f>_xlfn.XLOOKUP(A1449,Banks!A:A,Banks!I:I,0)</f>
        <v>0</v>
      </c>
      <c r="F1449">
        <f>_xlfn.XLOOKUP(A1449,Energy!A:A,Energy!I:I,0)</f>
        <v>44060.734323744357</v>
      </c>
      <c r="G1449">
        <f t="shared" si="89"/>
        <v>44060.734323744357</v>
      </c>
      <c r="H1449">
        <f t="shared" si="90"/>
        <v>38251.108133366855</v>
      </c>
      <c r="I1449" t="b">
        <f t="shared" si="91"/>
        <v>0</v>
      </c>
    </row>
    <row r="1450" spans="1:9">
      <c r="A1450" s="1">
        <v>46063.756944444453</v>
      </c>
      <c r="B1450" s="5">
        <f>_xlfn.XLOOKUP(A1450,Banks!A:A,Banks!H:H,0,-1)</f>
        <v>318.68699978998552</v>
      </c>
      <c r="C1450">
        <f>_xlfn.XLOOKUP(A1450,Energy!A:A,Energy!H:H,0,-1)</f>
        <v>5458.7254061934182</v>
      </c>
      <c r="D1450">
        <f t="shared" si="88"/>
        <v>5777.4124059834039</v>
      </c>
      <c r="E1450">
        <f>_xlfn.XLOOKUP(A1450,Banks!A:A,Banks!I:I,0)</f>
        <v>0</v>
      </c>
      <c r="F1450">
        <f>_xlfn.XLOOKUP(A1450,Energy!A:A,Energy!I:I,0)</f>
        <v>44072.388384841717</v>
      </c>
      <c r="G1450">
        <f t="shared" si="89"/>
        <v>44072.388384841717</v>
      </c>
      <c r="H1450">
        <f t="shared" si="90"/>
        <v>38294.975978858311</v>
      </c>
      <c r="I1450" t="b">
        <f t="shared" si="91"/>
        <v>0</v>
      </c>
    </row>
    <row r="1451" spans="1:9">
      <c r="A1451" s="1">
        <v>46063.757638888892</v>
      </c>
      <c r="B1451" s="5">
        <f>_xlfn.XLOOKUP(A1451,Banks!A:A,Banks!H:H,0,-1)</f>
        <v>318.68699978998552</v>
      </c>
      <c r="C1451">
        <f>_xlfn.XLOOKUP(A1451,Energy!A:A,Energy!H:H,0,-1)</f>
        <v>5393.5841034617897</v>
      </c>
      <c r="D1451">
        <f t="shared" si="88"/>
        <v>5712.2711032517755</v>
      </c>
      <c r="E1451">
        <f>_xlfn.XLOOKUP(A1451,Banks!A:A,Banks!I:I,0)</f>
        <v>0</v>
      </c>
      <c r="F1451">
        <f>_xlfn.XLOOKUP(A1451,Energy!A:A,Energy!I:I,0)</f>
        <v>44059.360124295403</v>
      </c>
      <c r="G1451">
        <f t="shared" si="89"/>
        <v>44059.360124295403</v>
      </c>
      <c r="H1451">
        <f t="shared" si="90"/>
        <v>38347.089021043626</v>
      </c>
      <c r="I1451" t="b">
        <f t="shared" si="91"/>
        <v>0</v>
      </c>
    </row>
    <row r="1452" spans="1:9">
      <c r="A1452" s="1">
        <v>46063.758333333331</v>
      </c>
      <c r="B1452" s="5">
        <f>_xlfn.XLOOKUP(A1452,Banks!A:A,Banks!H:H,0,-1)</f>
        <v>318.68699978998552</v>
      </c>
      <c r="C1452">
        <f>_xlfn.XLOOKUP(A1452,Energy!A:A,Energy!H:H,0,-1)</f>
        <v>5354.9603476634456</v>
      </c>
      <c r="D1452">
        <f t="shared" si="88"/>
        <v>5673.6473474534314</v>
      </c>
      <c r="E1452">
        <f>_xlfn.XLOOKUP(A1452,Banks!A:A,Banks!I:I,0)</f>
        <v>0</v>
      </c>
      <c r="F1452">
        <f>_xlfn.XLOOKUP(A1452,Energy!A:A,Energy!I:I,0)</f>
        <v>44056.662267017993</v>
      </c>
      <c r="G1452">
        <f t="shared" si="89"/>
        <v>44056.662267017993</v>
      </c>
      <c r="H1452">
        <f t="shared" si="90"/>
        <v>38383.014919564564</v>
      </c>
      <c r="I1452" t="b">
        <f t="shared" si="91"/>
        <v>0</v>
      </c>
    </row>
    <row r="1453" spans="1:9">
      <c r="A1453" s="1">
        <v>46063.759027777778</v>
      </c>
      <c r="B1453" s="5">
        <f>_xlfn.XLOOKUP(A1453,Banks!A:A,Banks!H:H,0,-1)</f>
        <v>318.68699978998552</v>
      </c>
      <c r="C1453">
        <f>_xlfn.XLOOKUP(A1453,Energy!A:A,Energy!H:H,0,-1)</f>
        <v>5332.3393251932366</v>
      </c>
      <c r="D1453">
        <f t="shared" si="88"/>
        <v>5651.0263249832224</v>
      </c>
      <c r="E1453">
        <f>_xlfn.XLOOKUP(A1453,Banks!A:A,Banks!I:I,0)</f>
        <v>0</v>
      </c>
      <c r="F1453">
        <f>_xlfn.XLOOKUP(A1453,Energy!A:A,Energy!I:I,0)</f>
        <v>44061.186471512039</v>
      </c>
      <c r="G1453">
        <f t="shared" si="89"/>
        <v>44061.186471512039</v>
      </c>
      <c r="H1453">
        <f t="shared" si="90"/>
        <v>38410.160146528819</v>
      </c>
      <c r="I1453" t="b">
        <f t="shared" si="91"/>
        <v>0</v>
      </c>
    </row>
    <row r="1454" spans="1:9">
      <c r="A1454" s="1">
        <v>46063.759722222218</v>
      </c>
      <c r="B1454" s="5">
        <f>_xlfn.XLOOKUP(A1454,Banks!A:A,Banks!H:H,0,-1)</f>
        <v>318.68699978998552</v>
      </c>
      <c r="C1454">
        <f>_xlfn.XLOOKUP(A1454,Energy!A:A,Energy!H:H,0,-1)</f>
        <v>5292.1241741350686</v>
      </c>
      <c r="D1454">
        <f t="shared" si="88"/>
        <v>5610.8111739250544</v>
      </c>
      <c r="E1454">
        <f>_xlfn.XLOOKUP(A1454,Banks!A:A,Banks!I:I,0)</f>
        <v>0</v>
      </c>
      <c r="F1454">
        <f>_xlfn.XLOOKUP(A1454,Energy!A:A,Energy!I:I,0)</f>
        <v>44069.229501723683</v>
      </c>
      <c r="G1454">
        <f t="shared" si="89"/>
        <v>44069.229501723683</v>
      </c>
      <c r="H1454">
        <f t="shared" si="90"/>
        <v>38458.41832779863</v>
      </c>
      <c r="I1454" t="b">
        <f t="shared" si="91"/>
        <v>0</v>
      </c>
    </row>
    <row r="1455" spans="1:9">
      <c r="A1455" s="1">
        <v>46063.760416666657</v>
      </c>
      <c r="B1455" s="5">
        <f>_xlfn.XLOOKUP(A1455,Banks!A:A,Banks!H:H,0,-1)</f>
        <v>318.68699978998552</v>
      </c>
      <c r="C1455">
        <f>_xlfn.XLOOKUP(A1455,Energy!A:A,Energy!H:H,0,-1)</f>
        <v>5347.2116891021851</v>
      </c>
      <c r="D1455">
        <f t="shared" si="88"/>
        <v>5665.8986888921709</v>
      </c>
      <c r="E1455">
        <f>_xlfn.XLOOKUP(A1455,Banks!A:A,Banks!I:I,0)</f>
        <v>0</v>
      </c>
      <c r="F1455">
        <f>_xlfn.XLOOKUP(A1455,Energy!A:A,Energy!I:I,0)</f>
        <v>44084.268519822908</v>
      </c>
      <c r="G1455">
        <f t="shared" si="89"/>
        <v>44084.268519822908</v>
      </c>
      <c r="H1455">
        <f t="shared" si="90"/>
        <v>38418.369830930736</v>
      </c>
      <c r="I1455" t="b">
        <f t="shared" si="91"/>
        <v>0</v>
      </c>
    </row>
    <row r="1456" spans="1:9">
      <c r="A1456" s="1">
        <v>46063.761111111111</v>
      </c>
      <c r="B1456" s="5">
        <f>_xlfn.XLOOKUP(A1456,Banks!A:A,Banks!H:H,0,-1)</f>
        <v>318.68699978998552</v>
      </c>
      <c r="C1456">
        <f>_xlfn.XLOOKUP(A1456,Energy!A:A,Energy!H:H,0,-1)</f>
        <v>5332.1310074553739</v>
      </c>
      <c r="D1456">
        <f t="shared" si="88"/>
        <v>5650.8180072453597</v>
      </c>
      <c r="E1456">
        <f>_xlfn.XLOOKUP(A1456,Banks!A:A,Banks!I:I,0)</f>
        <v>0</v>
      </c>
      <c r="F1456">
        <f>_xlfn.XLOOKUP(A1456,Energy!A:A,Energy!I:I,0)</f>
        <v>44087.284656152267</v>
      </c>
      <c r="G1456">
        <f t="shared" si="89"/>
        <v>44087.284656152267</v>
      </c>
      <c r="H1456">
        <f t="shared" si="90"/>
        <v>38436.466648906906</v>
      </c>
      <c r="I1456" t="b">
        <f t="shared" si="91"/>
        <v>0</v>
      </c>
    </row>
    <row r="1457" spans="1:9">
      <c r="A1457" s="1">
        <v>46063.761805555558</v>
      </c>
      <c r="B1457" s="5">
        <f>_xlfn.XLOOKUP(A1457,Banks!A:A,Banks!H:H,0,-1)</f>
        <v>318.68699978998552</v>
      </c>
      <c r="C1457">
        <f>_xlfn.XLOOKUP(A1457,Energy!A:A,Energy!H:H,0,-1)</f>
        <v>5281.8620686326749</v>
      </c>
      <c r="D1457">
        <f t="shared" si="88"/>
        <v>5600.5490684226606</v>
      </c>
      <c r="E1457">
        <f>_xlfn.XLOOKUP(A1457,Banks!A:A,Banks!I:I,0)</f>
        <v>0</v>
      </c>
      <c r="F1457">
        <f>_xlfn.XLOOKUP(A1457,Energy!A:A,Energy!I:I,0)</f>
        <v>44097.338443916808</v>
      </c>
      <c r="G1457">
        <f t="shared" si="89"/>
        <v>44097.338443916808</v>
      </c>
      <c r="H1457">
        <f t="shared" si="90"/>
        <v>38496.789375494147</v>
      </c>
      <c r="I1457" t="b">
        <f t="shared" si="91"/>
        <v>0</v>
      </c>
    </row>
    <row r="1458" spans="1:9">
      <c r="A1458" s="1">
        <v>46063.762499999997</v>
      </c>
      <c r="B1458" s="5">
        <f>_xlfn.XLOOKUP(A1458,Banks!A:A,Banks!H:H,0,-1)</f>
        <v>318.68699978998552</v>
      </c>
      <c r="C1458">
        <f>_xlfn.XLOOKUP(A1458,Energy!A:A,Energy!H:H,0,-1)</f>
        <v>5253.2921005988619</v>
      </c>
      <c r="D1458">
        <f t="shared" si="88"/>
        <v>5571.9791003888477</v>
      </c>
      <c r="E1458">
        <f>_xlfn.XLOOKUP(A1458,Banks!A:A,Banks!I:I,0)</f>
        <v>0</v>
      </c>
      <c r="F1458">
        <f>_xlfn.XLOOKUP(A1458,Energy!A:A,Energy!I:I,0)</f>
        <v>44092.629829086509</v>
      </c>
      <c r="G1458">
        <f t="shared" si="89"/>
        <v>44092.629829086509</v>
      </c>
      <c r="H1458">
        <f t="shared" si="90"/>
        <v>38520.650728697663</v>
      </c>
      <c r="I1458" t="b">
        <f t="shared" si="91"/>
        <v>0</v>
      </c>
    </row>
    <row r="1459" spans="1:9">
      <c r="A1459" s="1">
        <v>46063.763194444437</v>
      </c>
      <c r="B1459" s="5">
        <f>_xlfn.XLOOKUP(A1459,Banks!A:A,Banks!H:H,0,-1)</f>
        <v>318.68699978998552</v>
      </c>
      <c r="C1459">
        <f>_xlfn.XLOOKUP(A1459,Energy!A:A,Energy!H:H,0,-1)</f>
        <v>5309.0489591444948</v>
      </c>
      <c r="D1459">
        <f t="shared" si="88"/>
        <v>5627.7359589344805</v>
      </c>
      <c r="E1459">
        <f>_xlfn.XLOOKUP(A1459,Banks!A:A,Banks!I:I,0)</f>
        <v>0</v>
      </c>
      <c r="F1459">
        <f>_xlfn.XLOOKUP(A1459,Energy!A:A,Energy!I:I,0)</f>
        <v>44086.689761595917</v>
      </c>
      <c r="G1459">
        <f t="shared" si="89"/>
        <v>44086.689761595917</v>
      </c>
      <c r="H1459">
        <f t="shared" si="90"/>
        <v>38458.953802661439</v>
      </c>
      <c r="I1459" t="b">
        <f t="shared" si="91"/>
        <v>0</v>
      </c>
    </row>
    <row r="1460" spans="1:9">
      <c r="A1460" s="1">
        <v>46063.763888888891</v>
      </c>
      <c r="B1460" s="5">
        <f>_xlfn.XLOOKUP(A1460,Banks!A:A,Banks!H:H,0,-1)</f>
        <v>318.68699978998552</v>
      </c>
      <c r="C1460">
        <f>_xlfn.XLOOKUP(A1460,Energy!A:A,Energy!H:H,0,-1)</f>
        <v>5309.0489591444948</v>
      </c>
      <c r="D1460">
        <f t="shared" si="88"/>
        <v>5627.7359589344805</v>
      </c>
      <c r="E1460">
        <f>_xlfn.XLOOKUP(A1460,Banks!A:A,Banks!I:I,0)</f>
        <v>0</v>
      </c>
      <c r="F1460">
        <f>_xlfn.XLOOKUP(A1460,Energy!A:A,Energy!I:I,0)</f>
        <v>44086.689761595917</v>
      </c>
      <c r="G1460">
        <f t="shared" si="89"/>
        <v>44086.689761595917</v>
      </c>
      <c r="H1460">
        <f t="shared" si="90"/>
        <v>38458.953802661439</v>
      </c>
      <c r="I1460" t="b">
        <f t="shared" si="91"/>
        <v>0</v>
      </c>
    </row>
    <row r="1461" spans="1:9">
      <c r="A1461" s="1">
        <v>46063.76458333333</v>
      </c>
      <c r="B1461" s="5">
        <f>_xlfn.XLOOKUP(A1461,Banks!A:A,Banks!H:H,0,-1)</f>
        <v>318.68699978998552</v>
      </c>
      <c r="C1461">
        <f>_xlfn.XLOOKUP(A1461,Energy!A:A,Energy!H:H,0,-1)</f>
        <v>5364.5974999522477</v>
      </c>
      <c r="D1461">
        <f t="shared" si="88"/>
        <v>5683.2844997422335</v>
      </c>
      <c r="E1461">
        <f>_xlfn.XLOOKUP(A1461,Banks!A:A,Banks!I:I,0)</f>
        <v>0</v>
      </c>
      <c r="F1461">
        <f>_xlfn.XLOOKUP(A1461,Energy!A:A,Energy!I:I,0)</f>
        <v>44106.847878745553</v>
      </c>
      <c r="G1461">
        <f t="shared" si="89"/>
        <v>44106.847878745553</v>
      </c>
      <c r="H1461">
        <f t="shared" si="90"/>
        <v>38423.563379003317</v>
      </c>
      <c r="I1461" t="b">
        <f t="shared" si="91"/>
        <v>0</v>
      </c>
    </row>
    <row r="1462" spans="1:9">
      <c r="A1462" s="1">
        <v>46063.765277777777</v>
      </c>
      <c r="B1462" s="5">
        <f>_xlfn.XLOOKUP(A1462,Banks!A:A,Banks!H:H,0,-1)</f>
        <v>318.68699978998552</v>
      </c>
      <c r="C1462">
        <f>_xlfn.XLOOKUP(A1462,Energy!A:A,Energy!H:H,0,-1)</f>
        <v>5396.5960435456864</v>
      </c>
      <c r="D1462">
        <f t="shared" si="88"/>
        <v>5715.2830433356721</v>
      </c>
      <c r="E1462">
        <f>_xlfn.XLOOKUP(A1462,Banks!A:A,Banks!I:I,0)</f>
        <v>0</v>
      </c>
      <c r="F1462">
        <f>_xlfn.XLOOKUP(A1462,Energy!A:A,Energy!I:I,0)</f>
        <v>0</v>
      </c>
      <c r="G1462">
        <f t="shared" si="89"/>
        <v>0</v>
      </c>
      <c r="H1462">
        <f t="shared" si="90"/>
        <v>-5715.2830433356721</v>
      </c>
      <c r="I1462" t="b">
        <f t="shared" si="91"/>
        <v>0</v>
      </c>
    </row>
    <row r="1463" spans="1:9">
      <c r="A1463" s="1">
        <v>46064.604166666657</v>
      </c>
      <c r="B1463" s="5">
        <f>_xlfn.XLOOKUP(A1463,Banks!A:A,Banks!H:H,0,-1)</f>
        <v>318.68699978998552</v>
      </c>
      <c r="C1463">
        <f>_xlfn.XLOOKUP(A1463,Energy!A:A,Energy!H:H,0,-1)</f>
        <v>5396.5960435456864</v>
      </c>
      <c r="D1463">
        <f t="shared" si="88"/>
        <v>5715.2830433356721</v>
      </c>
      <c r="E1463">
        <f>_xlfn.XLOOKUP(A1463,Banks!A:A,Banks!I:I,0)</f>
        <v>40980.586923336989</v>
      </c>
      <c r="F1463">
        <f>_xlfn.XLOOKUP(A1463,Energy!A:A,Energy!I:I,0)</f>
        <v>0</v>
      </c>
      <c r="G1463">
        <f t="shared" si="89"/>
        <v>40980.586923336989</v>
      </c>
      <c r="H1463">
        <f t="shared" si="90"/>
        <v>35265.303880001316</v>
      </c>
      <c r="I1463" t="b">
        <f t="shared" si="91"/>
        <v>0</v>
      </c>
    </row>
    <row r="1464" spans="1:9">
      <c r="A1464" s="1">
        <v>46064.604861111111</v>
      </c>
      <c r="B1464" s="5">
        <f>_xlfn.XLOOKUP(A1464,Banks!A:A,Banks!H:H,0,-1)</f>
        <v>72.65875197078816</v>
      </c>
      <c r="C1464">
        <f>_xlfn.XLOOKUP(A1464,Energy!A:A,Energy!H:H,0,-1)</f>
        <v>5396.5960435456864</v>
      </c>
      <c r="D1464">
        <f t="shared" si="88"/>
        <v>5469.2547955164746</v>
      </c>
      <c r="E1464">
        <f>_xlfn.XLOOKUP(A1464,Banks!A:A,Banks!I:I,0)</f>
        <v>41074.799194831467</v>
      </c>
      <c r="F1464">
        <f>_xlfn.XLOOKUP(A1464,Energy!A:A,Energy!I:I,0)</f>
        <v>0</v>
      </c>
      <c r="G1464">
        <f t="shared" si="89"/>
        <v>41074.799194831467</v>
      </c>
      <c r="H1464">
        <f t="shared" si="90"/>
        <v>35605.544399314989</v>
      </c>
      <c r="I1464" t="b">
        <f t="shared" si="91"/>
        <v>0</v>
      </c>
    </row>
    <row r="1465" spans="1:9">
      <c r="A1465" s="1">
        <v>46064.605555555558</v>
      </c>
      <c r="B1465" s="5">
        <f>_xlfn.XLOOKUP(A1465,Banks!A:A,Banks!H:H,0,-1)</f>
        <v>290.26602481428051</v>
      </c>
      <c r="C1465">
        <f>_xlfn.XLOOKUP(A1465,Energy!A:A,Energy!H:H,0,-1)</f>
        <v>5396.5960435456864</v>
      </c>
      <c r="D1465">
        <f t="shared" si="88"/>
        <v>5686.8620683599665</v>
      </c>
      <c r="E1465">
        <f>_xlfn.XLOOKUP(A1465,Banks!A:A,Banks!I:I,0)</f>
        <v>41076.284362193423</v>
      </c>
      <c r="F1465">
        <f>_xlfn.XLOOKUP(A1465,Energy!A:A,Energy!I:I,0)</f>
        <v>0</v>
      </c>
      <c r="G1465">
        <f t="shared" si="89"/>
        <v>41076.284362193423</v>
      </c>
      <c r="H1465">
        <f t="shared" si="90"/>
        <v>35389.422293833457</v>
      </c>
      <c r="I1465" t="b">
        <f t="shared" si="91"/>
        <v>0</v>
      </c>
    </row>
    <row r="1466" spans="1:9">
      <c r="A1466" s="1">
        <v>46064.606249999997</v>
      </c>
      <c r="B1466" s="5">
        <f>_xlfn.XLOOKUP(A1466,Banks!A:A,Banks!H:H,0,-1)</f>
        <v>108.9202403787598</v>
      </c>
      <c r="C1466">
        <f>_xlfn.XLOOKUP(A1466,Energy!A:A,Energy!H:H,0,-1)</f>
        <v>5396.5960435456864</v>
      </c>
      <c r="D1466">
        <f t="shared" si="88"/>
        <v>5505.5162839244458</v>
      </c>
      <c r="E1466">
        <f>_xlfn.XLOOKUP(A1466,Banks!A:A,Banks!I:I,0)</f>
        <v>41037.542482529447</v>
      </c>
      <c r="F1466">
        <f>_xlfn.XLOOKUP(A1466,Energy!A:A,Energy!I:I,0)</f>
        <v>0</v>
      </c>
      <c r="G1466">
        <f t="shared" si="89"/>
        <v>41037.542482529447</v>
      </c>
      <c r="H1466">
        <f t="shared" si="90"/>
        <v>35532.026198605003</v>
      </c>
      <c r="I1466" t="b">
        <f t="shared" si="91"/>
        <v>0</v>
      </c>
    </row>
    <row r="1467" spans="1:9">
      <c r="A1467" s="1">
        <v>46064.606944444437</v>
      </c>
      <c r="B1467" s="5">
        <f>_xlfn.XLOOKUP(A1467,Banks!A:A,Banks!H:H,0,-1)</f>
        <v>17.02248949126329</v>
      </c>
      <c r="C1467">
        <f>_xlfn.XLOOKUP(A1467,Energy!A:A,Energy!H:H,0,-1)</f>
        <v>5396.5960435456864</v>
      </c>
      <c r="D1467">
        <f t="shared" si="88"/>
        <v>5413.6185330369499</v>
      </c>
      <c r="E1467">
        <f>_xlfn.XLOOKUP(A1467,Banks!A:A,Banks!I:I,0)</f>
        <v>41085.92644732738</v>
      </c>
      <c r="F1467">
        <f>_xlfn.XLOOKUP(A1467,Energy!A:A,Energy!I:I,0)</f>
        <v>0</v>
      </c>
      <c r="G1467">
        <f t="shared" si="89"/>
        <v>41085.92644732738</v>
      </c>
      <c r="H1467">
        <f t="shared" si="90"/>
        <v>35672.307914290432</v>
      </c>
      <c r="I1467" t="b">
        <f t="shared" si="91"/>
        <v>0</v>
      </c>
    </row>
    <row r="1468" spans="1:9">
      <c r="A1468" s="1">
        <v>46064.607638888891</v>
      </c>
      <c r="B1468" s="5">
        <f>_xlfn.XLOOKUP(A1468,Banks!A:A,Banks!H:H,0,-1)</f>
        <v>-120.53230057093459</v>
      </c>
      <c r="C1468">
        <f>_xlfn.XLOOKUP(A1468,Energy!A:A,Energy!H:H,0,-1)</f>
        <v>5396.5960435456864</v>
      </c>
      <c r="D1468">
        <f t="shared" si="88"/>
        <v>5276.0637429747521</v>
      </c>
      <c r="E1468">
        <f>_xlfn.XLOOKUP(A1468,Banks!A:A,Banks!I:I,0)</f>
        <v>41057.179127926502</v>
      </c>
      <c r="F1468">
        <f>_xlfn.XLOOKUP(A1468,Energy!A:A,Energy!I:I,0)</f>
        <v>0</v>
      </c>
      <c r="G1468">
        <f t="shared" si="89"/>
        <v>41057.179127926502</v>
      </c>
      <c r="H1468">
        <f t="shared" si="90"/>
        <v>35781.11538495175</v>
      </c>
      <c r="I1468" t="b">
        <f t="shared" si="91"/>
        <v>0</v>
      </c>
    </row>
    <row r="1469" spans="1:9">
      <c r="A1469" s="1">
        <v>46064.60833333333</v>
      </c>
      <c r="B1469" s="5">
        <f>_xlfn.XLOOKUP(A1469,Banks!A:A,Banks!H:H,0,-1)</f>
        <v>-320.54634618643468</v>
      </c>
      <c r="C1469">
        <f>_xlfn.XLOOKUP(A1469,Energy!A:A,Energy!H:H,0,-1)</f>
        <v>5396.5960435456864</v>
      </c>
      <c r="D1469">
        <f t="shared" si="88"/>
        <v>5076.0496973592517</v>
      </c>
      <c r="E1469">
        <f>_xlfn.XLOOKUP(A1469,Banks!A:A,Banks!I:I,0)</f>
        <v>40905.903793844358</v>
      </c>
      <c r="F1469">
        <f>_xlfn.XLOOKUP(A1469,Energy!A:A,Energy!I:I,0)</f>
        <v>0</v>
      </c>
      <c r="G1469">
        <f t="shared" si="89"/>
        <v>40905.903793844358</v>
      </c>
      <c r="H1469">
        <f t="shared" si="90"/>
        <v>35829.854096485105</v>
      </c>
      <c r="I1469" t="b">
        <f t="shared" si="91"/>
        <v>0</v>
      </c>
    </row>
    <row r="1470" spans="1:9">
      <c r="A1470" s="1">
        <v>46064.609027777777</v>
      </c>
      <c r="B1470" s="5">
        <f>_xlfn.XLOOKUP(A1470,Banks!A:A,Banks!H:H,0,-1)</f>
        <v>-226.07603760602979</v>
      </c>
      <c r="C1470">
        <f>_xlfn.XLOOKUP(A1470,Energy!A:A,Energy!H:H,0,-1)</f>
        <v>5396.5960435456864</v>
      </c>
      <c r="D1470">
        <f t="shared" si="88"/>
        <v>5170.5200059396566</v>
      </c>
      <c r="E1470">
        <f>_xlfn.XLOOKUP(A1470,Banks!A:A,Banks!I:I,0)</f>
        <v>40838.25255837007</v>
      </c>
      <c r="F1470">
        <f>_xlfn.XLOOKUP(A1470,Energy!A:A,Energy!I:I,0)</f>
        <v>0</v>
      </c>
      <c r="G1470">
        <f t="shared" si="89"/>
        <v>40838.25255837007</v>
      </c>
      <c r="H1470">
        <f t="shared" si="90"/>
        <v>35667.732552430411</v>
      </c>
      <c r="I1470" t="b">
        <f t="shared" si="91"/>
        <v>0</v>
      </c>
    </row>
    <row r="1471" spans="1:9">
      <c r="A1471" s="1">
        <v>46064.609722222223</v>
      </c>
      <c r="B1471" s="5">
        <f>_xlfn.XLOOKUP(A1471,Banks!A:A,Banks!H:H,0,-1)</f>
        <v>-313.75210990941952</v>
      </c>
      <c r="C1471">
        <f>_xlfn.XLOOKUP(A1471,Energy!A:A,Energy!H:H,0,-1)</f>
        <v>5396.5960435456864</v>
      </c>
      <c r="D1471">
        <f t="shared" si="88"/>
        <v>5082.8439336362671</v>
      </c>
      <c r="E1471">
        <f>_xlfn.XLOOKUP(A1471,Banks!A:A,Banks!I:I,0)</f>
        <v>40870.789980140973</v>
      </c>
      <c r="F1471">
        <f>_xlfn.XLOOKUP(A1471,Energy!A:A,Energy!I:I,0)</f>
        <v>0</v>
      </c>
      <c r="G1471">
        <f t="shared" si="89"/>
        <v>40870.789980140973</v>
      </c>
      <c r="H1471">
        <f t="shared" si="90"/>
        <v>35787.946046504709</v>
      </c>
      <c r="I1471" t="b">
        <f t="shared" si="91"/>
        <v>0</v>
      </c>
    </row>
    <row r="1472" spans="1:9">
      <c r="A1472" s="1">
        <v>46064.61041666667</v>
      </c>
      <c r="B1472" s="5">
        <f>_xlfn.XLOOKUP(A1472,Banks!A:A,Banks!H:H,0,-1)</f>
        <v>-534.47904302075574</v>
      </c>
      <c r="C1472">
        <f>_xlfn.XLOOKUP(A1472,Energy!A:A,Energy!H:H,0,-1)</f>
        <v>5396.5960435456864</v>
      </c>
      <c r="D1472">
        <f t="shared" si="88"/>
        <v>4862.1170005249305</v>
      </c>
      <c r="E1472">
        <f>_xlfn.XLOOKUP(A1472,Banks!A:A,Banks!I:I,0)</f>
        <v>40701.153912592657</v>
      </c>
      <c r="F1472">
        <f>_xlfn.XLOOKUP(A1472,Energy!A:A,Energy!I:I,0)</f>
        <v>0</v>
      </c>
      <c r="G1472">
        <f t="shared" si="89"/>
        <v>40701.153912592657</v>
      </c>
      <c r="H1472">
        <f t="shared" si="90"/>
        <v>35839.036912067728</v>
      </c>
      <c r="I1472" t="b">
        <f t="shared" si="91"/>
        <v>0</v>
      </c>
    </row>
    <row r="1473" spans="1:9">
      <c r="A1473" s="1">
        <v>46064.611111111109</v>
      </c>
      <c r="B1473" s="5">
        <f>_xlfn.XLOOKUP(A1473,Banks!A:A,Banks!H:H,0,-1)</f>
        <v>-649.56815554031846</v>
      </c>
      <c r="C1473">
        <f>_xlfn.XLOOKUP(A1473,Energy!A:A,Energy!H:H,0,-1)</f>
        <v>5396.5960435456864</v>
      </c>
      <c r="D1473">
        <f t="shared" si="88"/>
        <v>4747.0278880053684</v>
      </c>
      <c r="E1473">
        <f>_xlfn.XLOOKUP(A1473,Banks!A:A,Banks!I:I,0)</f>
        <v>40697.917872303689</v>
      </c>
      <c r="F1473">
        <f>_xlfn.XLOOKUP(A1473,Energy!A:A,Energy!I:I,0)</f>
        <v>0</v>
      </c>
      <c r="G1473">
        <f t="shared" si="89"/>
        <v>40697.917872303689</v>
      </c>
      <c r="H1473">
        <f t="shared" si="90"/>
        <v>35950.889984298323</v>
      </c>
      <c r="I1473" t="b">
        <f t="shared" si="91"/>
        <v>0</v>
      </c>
    </row>
    <row r="1474" spans="1:9">
      <c r="A1474" s="1">
        <v>46064.611805555563</v>
      </c>
      <c r="B1474" s="5">
        <f>_xlfn.XLOOKUP(A1474,Banks!A:A,Banks!H:H,0,-1)</f>
        <v>-519.4392022878759</v>
      </c>
      <c r="C1474">
        <f>_xlfn.XLOOKUP(A1474,Energy!A:A,Energy!H:H,0,-1)</f>
        <v>5396.5960435456864</v>
      </c>
      <c r="D1474">
        <f t="shared" si="88"/>
        <v>4877.1568412578108</v>
      </c>
      <c r="E1474">
        <f>_xlfn.XLOOKUP(A1474,Banks!A:A,Banks!I:I,0)</f>
        <v>40683.143737135862</v>
      </c>
      <c r="F1474">
        <f>_xlfn.XLOOKUP(A1474,Energy!A:A,Energy!I:I,0)</f>
        <v>0</v>
      </c>
      <c r="G1474">
        <f t="shared" si="89"/>
        <v>40683.143737135862</v>
      </c>
      <c r="H1474">
        <f t="shared" si="90"/>
        <v>35805.98689587805</v>
      </c>
      <c r="I1474" t="b">
        <f t="shared" si="91"/>
        <v>0</v>
      </c>
    </row>
    <row r="1475" spans="1:9">
      <c r="A1475" s="1">
        <v>46064.612500000003</v>
      </c>
      <c r="B1475" s="5">
        <f>_xlfn.XLOOKUP(A1475,Banks!A:A,Banks!H:H,0,-1)</f>
        <v>-306.47787024992402</v>
      </c>
      <c r="C1475">
        <f>_xlfn.XLOOKUP(A1475,Energy!A:A,Energy!H:H,0,-1)</f>
        <v>5396.5960435456864</v>
      </c>
      <c r="D1475">
        <f t="shared" ref="D1475:D1538" si="92">B1475+C1475</f>
        <v>5090.1181732957621</v>
      </c>
      <c r="E1475">
        <f>_xlfn.XLOOKUP(A1475,Banks!A:A,Banks!I:I,0)</f>
        <v>40629.299815245613</v>
      </c>
      <c r="F1475">
        <f>_xlfn.XLOOKUP(A1475,Energy!A:A,Energy!I:I,0)</f>
        <v>0</v>
      </c>
      <c r="G1475">
        <f t="shared" ref="G1475:G1538" si="93">F1475+E1475</f>
        <v>40629.299815245613</v>
      </c>
      <c r="H1475">
        <f t="shared" ref="H1475:H1538" si="94">G1475-D1475</f>
        <v>35539.18164194985</v>
      </c>
      <c r="I1475" t="b">
        <f t="shared" ref="I1475:I1538" si="95">AND(E1475&gt;0,F1475&gt;0)</f>
        <v>0</v>
      </c>
    </row>
    <row r="1476" spans="1:9">
      <c r="A1476" s="1">
        <v>46064.613194444442</v>
      </c>
      <c r="B1476" s="5">
        <f>_xlfn.XLOOKUP(A1476,Banks!A:A,Banks!H:H,0,-1)</f>
        <v>-343.67238105858507</v>
      </c>
      <c r="C1476">
        <f>_xlfn.XLOOKUP(A1476,Energy!A:A,Energy!H:H,0,-1)</f>
        <v>5396.5960435456864</v>
      </c>
      <c r="D1476">
        <f t="shared" si="92"/>
        <v>5052.923662487101</v>
      </c>
      <c r="E1476">
        <f>_xlfn.XLOOKUP(A1476,Banks!A:A,Banks!I:I,0)</f>
        <v>40632.988165579787</v>
      </c>
      <c r="F1476">
        <f>_xlfn.XLOOKUP(A1476,Energy!A:A,Energy!I:I,0)</f>
        <v>0</v>
      </c>
      <c r="G1476">
        <f t="shared" si="93"/>
        <v>40632.988165579787</v>
      </c>
      <c r="H1476">
        <f t="shared" si="94"/>
        <v>35580.064503092683</v>
      </c>
      <c r="I1476" t="b">
        <f t="shared" si="95"/>
        <v>0</v>
      </c>
    </row>
    <row r="1477" spans="1:9">
      <c r="A1477" s="1">
        <v>46064.613888888889</v>
      </c>
      <c r="B1477" s="5">
        <f>_xlfn.XLOOKUP(A1477,Banks!A:A,Banks!H:H,0,-1)</f>
        <v>-299.67404837397339</v>
      </c>
      <c r="C1477">
        <f>_xlfn.XLOOKUP(A1477,Energy!A:A,Energy!H:H,0,-1)</f>
        <v>5396.5960435456864</v>
      </c>
      <c r="D1477">
        <f t="shared" si="92"/>
        <v>5096.9219951717132</v>
      </c>
      <c r="E1477">
        <f>_xlfn.XLOOKUP(A1477,Banks!A:A,Banks!I:I,0)</f>
        <v>40650.44236183574</v>
      </c>
      <c r="F1477">
        <f>_xlfn.XLOOKUP(A1477,Energy!A:A,Energy!I:I,0)</f>
        <v>0</v>
      </c>
      <c r="G1477">
        <f t="shared" si="93"/>
        <v>40650.44236183574</v>
      </c>
      <c r="H1477">
        <f t="shared" si="94"/>
        <v>35553.52036666403</v>
      </c>
      <c r="I1477" t="b">
        <f t="shared" si="95"/>
        <v>0</v>
      </c>
    </row>
    <row r="1478" spans="1:9">
      <c r="A1478" s="1">
        <v>46064.614583333343</v>
      </c>
      <c r="B1478" s="5">
        <f>_xlfn.XLOOKUP(A1478,Banks!A:A,Banks!H:H,0,-1)</f>
        <v>-397.95135891596931</v>
      </c>
      <c r="C1478">
        <f>_xlfn.XLOOKUP(A1478,Energy!A:A,Energy!H:H,0,-1)</f>
        <v>5396.5960435456864</v>
      </c>
      <c r="D1478">
        <f t="shared" si="92"/>
        <v>4998.6446846297167</v>
      </c>
      <c r="E1478">
        <f>_xlfn.XLOOKUP(A1478,Banks!A:A,Banks!I:I,0)</f>
        <v>40748.859412322781</v>
      </c>
      <c r="F1478">
        <f>_xlfn.XLOOKUP(A1478,Energy!A:A,Energy!I:I,0)</f>
        <v>0</v>
      </c>
      <c r="G1478">
        <f t="shared" si="93"/>
        <v>40748.859412322781</v>
      </c>
      <c r="H1478">
        <f t="shared" si="94"/>
        <v>35750.214727693063</v>
      </c>
      <c r="I1478" t="b">
        <f t="shared" si="95"/>
        <v>0</v>
      </c>
    </row>
    <row r="1479" spans="1:9">
      <c r="A1479" s="1">
        <v>46064.615277777782</v>
      </c>
      <c r="B1479" s="5">
        <f>_xlfn.XLOOKUP(A1479,Banks!A:A,Banks!H:H,0,-1)</f>
        <v>-277.08553047785398</v>
      </c>
      <c r="C1479">
        <f>_xlfn.XLOOKUP(A1479,Energy!A:A,Energy!H:H,0,-1)</f>
        <v>5396.5960435456864</v>
      </c>
      <c r="D1479">
        <f t="shared" si="92"/>
        <v>5119.5105130678321</v>
      </c>
      <c r="E1479">
        <f>_xlfn.XLOOKUP(A1479,Banks!A:A,Banks!I:I,0)</f>
        <v>40792.196179531129</v>
      </c>
      <c r="F1479">
        <f>_xlfn.XLOOKUP(A1479,Energy!A:A,Energy!I:I,0)</f>
        <v>0</v>
      </c>
      <c r="G1479">
        <f t="shared" si="93"/>
        <v>40792.196179531129</v>
      </c>
      <c r="H1479">
        <f t="shared" si="94"/>
        <v>35672.685666463294</v>
      </c>
      <c r="I1479" t="b">
        <f t="shared" si="95"/>
        <v>0</v>
      </c>
    </row>
    <row r="1480" spans="1:9">
      <c r="A1480" s="1">
        <v>46064.615972222222</v>
      </c>
      <c r="B1480" s="5">
        <f>_xlfn.XLOOKUP(A1480,Banks!A:A,Banks!H:H,0,-1)</f>
        <v>-256.6932360478379</v>
      </c>
      <c r="C1480">
        <f>_xlfn.XLOOKUP(A1480,Energy!A:A,Energy!H:H,0,-1)</f>
        <v>5396.5960435456864</v>
      </c>
      <c r="D1480">
        <f t="shared" si="92"/>
        <v>5139.9028074978487</v>
      </c>
      <c r="E1480">
        <f>_xlfn.XLOOKUP(A1480,Banks!A:A,Banks!I:I,0)</f>
        <v>40743.111098714478</v>
      </c>
      <c r="F1480">
        <f>_xlfn.XLOOKUP(A1480,Energy!A:A,Energy!I:I,0)</f>
        <v>0</v>
      </c>
      <c r="G1480">
        <f t="shared" si="93"/>
        <v>40743.111098714478</v>
      </c>
      <c r="H1480">
        <f t="shared" si="94"/>
        <v>35603.20829121663</v>
      </c>
      <c r="I1480" t="b">
        <f t="shared" si="95"/>
        <v>0</v>
      </c>
    </row>
    <row r="1481" spans="1:9">
      <c r="A1481" s="1">
        <v>46064.616666666669</v>
      </c>
      <c r="B1481" s="5">
        <f>_xlfn.XLOOKUP(A1481,Banks!A:A,Banks!H:H,0,-1)</f>
        <v>-280.50661261367821</v>
      </c>
      <c r="C1481">
        <f>_xlfn.XLOOKUP(A1481,Energy!A:A,Energy!H:H,0,-1)</f>
        <v>5396.5960435456864</v>
      </c>
      <c r="D1481">
        <f t="shared" si="92"/>
        <v>5116.0894309320083</v>
      </c>
      <c r="E1481">
        <f>_xlfn.XLOOKUP(A1481,Banks!A:A,Banks!I:I,0)</f>
        <v>40669.112185649014</v>
      </c>
      <c r="F1481">
        <f>_xlfn.XLOOKUP(A1481,Energy!A:A,Energy!I:I,0)</f>
        <v>0</v>
      </c>
      <c r="G1481">
        <f t="shared" si="93"/>
        <v>40669.112185649014</v>
      </c>
      <c r="H1481">
        <f t="shared" si="94"/>
        <v>35553.022754717007</v>
      </c>
      <c r="I1481" t="b">
        <f t="shared" si="95"/>
        <v>0</v>
      </c>
    </row>
    <row r="1482" spans="1:9">
      <c r="A1482" s="1">
        <v>46064.617361111108</v>
      </c>
      <c r="B1482" s="5">
        <f>_xlfn.XLOOKUP(A1482,Banks!A:A,Banks!H:H,0,-1)</f>
        <v>-316.68360306385858</v>
      </c>
      <c r="C1482">
        <f>_xlfn.XLOOKUP(A1482,Energy!A:A,Energy!H:H,0,-1)</f>
        <v>5396.5960435456864</v>
      </c>
      <c r="D1482">
        <f t="shared" si="92"/>
        <v>5079.9124404818276</v>
      </c>
      <c r="E1482">
        <f>_xlfn.XLOOKUP(A1482,Banks!A:A,Banks!I:I,0)</f>
        <v>40597.585995360409</v>
      </c>
      <c r="F1482">
        <f>_xlfn.XLOOKUP(A1482,Energy!A:A,Energy!I:I,0)</f>
        <v>0</v>
      </c>
      <c r="G1482">
        <f t="shared" si="93"/>
        <v>40597.585995360409</v>
      </c>
      <c r="H1482">
        <f t="shared" si="94"/>
        <v>35517.67355487858</v>
      </c>
      <c r="I1482" t="b">
        <f t="shared" si="95"/>
        <v>0</v>
      </c>
    </row>
    <row r="1483" spans="1:9">
      <c r="A1483" s="1">
        <v>46064.618055555547</v>
      </c>
      <c r="B1483" s="5">
        <f>_xlfn.XLOOKUP(A1483,Banks!A:A,Banks!H:H,0,-1)</f>
        <v>-260.42532565054682</v>
      </c>
      <c r="C1483">
        <f>_xlfn.XLOOKUP(A1483,Energy!A:A,Energy!H:H,0,-1)</f>
        <v>5396.5960435456864</v>
      </c>
      <c r="D1483">
        <f t="shared" si="92"/>
        <v>5136.1707178951392</v>
      </c>
      <c r="E1483">
        <f>_xlfn.XLOOKUP(A1483,Banks!A:A,Banks!I:I,0)</f>
        <v>40608.837650843067</v>
      </c>
      <c r="F1483">
        <f>_xlfn.XLOOKUP(A1483,Energy!A:A,Energy!I:I,0)</f>
        <v>0</v>
      </c>
      <c r="G1483">
        <f t="shared" si="93"/>
        <v>40608.837650843067</v>
      </c>
      <c r="H1483">
        <f t="shared" si="94"/>
        <v>35472.666932947926</v>
      </c>
      <c r="I1483" t="b">
        <f t="shared" si="95"/>
        <v>0</v>
      </c>
    </row>
    <row r="1484" spans="1:9">
      <c r="A1484" s="1">
        <v>46064.618750000001</v>
      </c>
      <c r="B1484" s="5">
        <f>_xlfn.XLOOKUP(A1484,Banks!A:A,Banks!H:H,0,-1)</f>
        <v>-110.29759762208209</v>
      </c>
      <c r="C1484">
        <f>_xlfn.XLOOKUP(A1484,Energy!A:A,Energy!H:H,0,-1)</f>
        <v>5396.5960435456864</v>
      </c>
      <c r="D1484">
        <f t="shared" si="92"/>
        <v>5286.298445923604</v>
      </c>
      <c r="E1484">
        <f>_xlfn.XLOOKUP(A1484,Banks!A:A,Banks!I:I,0)</f>
        <v>0</v>
      </c>
      <c r="F1484">
        <f>_xlfn.XLOOKUP(A1484,Energy!A:A,Energy!I:I,0)</f>
        <v>0</v>
      </c>
      <c r="G1484">
        <f t="shared" si="93"/>
        <v>0</v>
      </c>
      <c r="H1484">
        <f t="shared" si="94"/>
        <v>-5286.298445923604</v>
      </c>
      <c r="I1484" t="b">
        <f t="shared" si="95"/>
        <v>0</v>
      </c>
    </row>
    <row r="1485" spans="1:9">
      <c r="A1485" s="1">
        <v>46065.604861111111</v>
      </c>
      <c r="B1485" s="5">
        <f>_xlfn.XLOOKUP(A1485,Banks!A:A,Banks!H:H,0,-1)</f>
        <v>-110.29759762208209</v>
      </c>
      <c r="C1485">
        <f>_xlfn.XLOOKUP(A1485,Energy!A:A,Energy!H:H,0,-1)</f>
        <v>5396.5960435456864</v>
      </c>
      <c r="D1485">
        <f t="shared" si="92"/>
        <v>5286.298445923604</v>
      </c>
      <c r="E1485">
        <f>_xlfn.XLOOKUP(A1485,Banks!A:A,Banks!I:I,0)</f>
        <v>40202.939658319432</v>
      </c>
      <c r="F1485">
        <f>_xlfn.XLOOKUP(A1485,Energy!A:A,Energy!I:I,0)</f>
        <v>43168.841978033888</v>
      </c>
      <c r="G1485">
        <f t="shared" si="93"/>
        <v>83371.78163635332</v>
      </c>
      <c r="H1485">
        <f t="shared" si="94"/>
        <v>78085.483190429717</v>
      </c>
      <c r="I1485" t="b">
        <f t="shared" si="95"/>
        <v>1</v>
      </c>
    </row>
    <row r="1486" spans="1:9">
      <c r="A1486" s="1">
        <v>46065.605555555558</v>
      </c>
      <c r="B1486" s="5">
        <f>_xlfn.XLOOKUP(A1486,Banks!A:A,Banks!H:H,0,-1)</f>
        <v>-107.44107249596929</v>
      </c>
      <c r="C1486">
        <f>_xlfn.XLOOKUP(A1486,Energy!A:A,Energy!H:H,0,-1)</f>
        <v>5807.4340570364639</v>
      </c>
      <c r="D1486">
        <f t="shared" si="92"/>
        <v>5699.9929845404949</v>
      </c>
      <c r="E1486">
        <f>_xlfn.XLOOKUP(A1486,Banks!A:A,Banks!I:I,0)</f>
        <v>40315.613530751158</v>
      </c>
      <c r="F1486">
        <f>_xlfn.XLOOKUP(A1486,Energy!A:A,Energy!I:I,0)</f>
        <v>43076.781616164917</v>
      </c>
      <c r="G1486">
        <f t="shared" si="93"/>
        <v>83392.395146916067</v>
      </c>
      <c r="H1486">
        <f t="shared" si="94"/>
        <v>77692.402162375569</v>
      </c>
      <c r="I1486" t="b">
        <f t="shared" si="95"/>
        <v>1</v>
      </c>
    </row>
    <row r="1487" spans="1:9">
      <c r="A1487" s="1">
        <v>46065.606249999997</v>
      </c>
      <c r="B1487" s="5">
        <f>_xlfn.XLOOKUP(A1487,Banks!A:A,Banks!H:H,0,-1)</f>
        <v>-158.71105668631009</v>
      </c>
      <c r="C1487">
        <f>_xlfn.XLOOKUP(A1487,Energy!A:A,Energy!H:H,0,-1)</f>
        <v>5051.3961853051787</v>
      </c>
      <c r="D1487">
        <f t="shared" si="92"/>
        <v>4892.6851286188685</v>
      </c>
      <c r="E1487">
        <f>_xlfn.XLOOKUP(A1487,Banks!A:A,Banks!I:I,0)</f>
        <v>40374.940437820573</v>
      </c>
      <c r="F1487">
        <f>_xlfn.XLOOKUP(A1487,Energy!A:A,Energy!I:I,0)</f>
        <v>43138.954357973911</v>
      </c>
      <c r="G1487">
        <f t="shared" si="93"/>
        <v>83513.894795794477</v>
      </c>
      <c r="H1487">
        <f t="shared" si="94"/>
        <v>78621.209667175601</v>
      </c>
      <c r="I1487" t="b">
        <f t="shared" si="95"/>
        <v>1</v>
      </c>
    </row>
    <row r="1488" spans="1:9">
      <c r="A1488" s="1">
        <v>46065.606944444437</v>
      </c>
      <c r="B1488" s="5">
        <f>_xlfn.XLOOKUP(A1488,Banks!A:A,Banks!H:H,0,-1)</f>
        <v>-449.08532225453718</v>
      </c>
      <c r="C1488">
        <f>_xlfn.XLOOKUP(A1488,Energy!A:A,Energy!H:H,0,-1)</f>
        <v>5422.3746542105</v>
      </c>
      <c r="D1488">
        <f t="shared" si="92"/>
        <v>4973.2893319559626</v>
      </c>
      <c r="E1488">
        <f>_xlfn.XLOOKUP(A1488,Banks!A:A,Banks!I:I,0)</f>
        <v>40440.564969431347</v>
      </c>
      <c r="F1488">
        <f>_xlfn.XLOOKUP(A1488,Energy!A:A,Energy!I:I,0)</f>
        <v>43213.150051754972</v>
      </c>
      <c r="G1488">
        <f t="shared" si="93"/>
        <v>83653.715021186319</v>
      </c>
      <c r="H1488">
        <f t="shared" si="94"/>
        <v>78680.425689230353</v>
      </c>
      <c r="I1488" t="b">
        <f t="shared" si="95"/>
        <v>1</v>
      </c>
    </row>
    <row r="1489" spans="1:9">
      <c r="A1489" s="1">
        <v>46065.607638888891</v>
      </c>
      <c r="B1489" s="5">
        <f>_xlfn.XLOOKUP(A1489,Banks!A:A,Banks!H:H,0,-1)</f>
        <v>-476.89827419708621</v>
      </c>
      <c r="C1489">
        <f>_xlfn.XLOOKUP(A1489,Energy!A:A,Energy!H:H,0,-1)</f>
        <v>4727.1976561149777</v>
      </c>
      <c r="D1489">
        <f t="shared" si="92"/>
        <v>4250.2993819178919</v>
      </c>
      <c r="E1489">
        <f>_xlfn.XLOOKUP(A1489,Banks!A:A,Banks!I:I,0)</f>
        <v>40480.101113056939</v>
      </c>
      <c r="F1489">
        <f>_xlfn.XLOOKUP(A1489,Energy!A:A,Energy!I:I,0)</f>
        <v>43436.273904325957</v>
      </c>
      <c r="G1489">
        <f t="shared" si="93"/>
        <v>83916.375017382903</v>
      </c>
      <c r="H1489">
        <f t="shared" si="94"/>
        <v>79666.075635465008</v>
      </c>
      <c r="I1489" t="b">
        <f t="shared" si="95"/>
        <v>1</v>
      </c>
    </row>
    <row r="1490" spans="1:9">
      <c r="A1490" s="1">
        <v>46065.60833333333</v>
      </c>
      <c r="B1490" s="5">
        <f>_xlfn.XLOOKUP(A1490,Banks!A:A,Banks!H:H,0,-1)</f>
        <v>-420.81853769160051</v>
      </c>
      <c r="C1490">
        <f>_xlfn.XLOOKUP(A1490,Energy!A:A,Energy!H:H,0,-1)</f>
        <v>4563.5618595603864</v>
      </c>
      <c r="D1490">
        <f t="shared" si="92"/>
        <v>4142.7433218687856</v>
      </c>
      <c r="E1490">
        <f>_xlfn.XLOOKUP(A1490,Banks!A:A,Banks!I:I,0)</f>
        <v>40393.388380784541</v>
      </c>
      <c r="F1490">
        <f>_xlfn.XLOOKUP(A1490,Energy!A:A,Energy!I:I,0)</f>
        <v>43295.877778147711</v>
      </c>
      <c r="G1490">
        <f t="shared" si="93"/>
        <v>83689.266158932252</v>
      </c>
      <c r="H1490">
        <f t="shared" si="94"/>
        <v>79546.522837063472</v>
      </c>
      <c r="I1490" t="b">
        <f t="shared" si="95"/>
        <v>1</v>
      </c>
    </row>
    <row r="1491" spans="1:9">
      <c r="A1491" s="1">
        <v>46065.609027777777</v>
      </c>
      <c r="B1491" s="5">
        <f>_xlfn.XLOOKUP(A1491,Banks!A:A,Banks!H:H,0,-1)</f>
        <v>-349.60654040946622</v>
      </c>
      <c r="C1491">
        <f>_xlfn.XLOOKUP(A1491,Energy!A:A,Energy!H:H,0,-1)</f>
        <v>4847.9786857211393</v>
      </c>
      <c r="D1491">
        <f t="shared" si="92"/>
        <v>4498.3721453116732</v>
      </c>
      <c r="E1491">
        <f>_xlfn.XLOOKUP(A1491,Banks!A:A,Banks!I:I,0)</f>
        <v>40239.476929131211</v>
      </c>
      <c r="F1491">
        <f>_xlfn.XLOOKUP(A1491,Energy!A:A,Energy!I:I,0)</f>
        <v>43352.761143379867</v>
      </c>
      <c r="G1491">
        <f t="shared" si="93"/>
        <v>83592.238072511071</v>
      </c>
      <c r="H1491">
        <f t="shared" si="94"/>
        <v>79093.865927199397</v>
      </c>
      <c r="I1491" t="b">
        <f t="shared" si="95"/>
        <v>1</v>
      </c>
    </row>
    <row r="1492" spans="1:9">
      <c r="A1492" s="1">
        <v>46065.609722222223</v>
      </c>
      <c r="B1492" s="5">
        <f>_xlfn.XLOOKUP(A1492,Banks!A:A,Banks!H:H,0,-1)</f>
        <v>-388.2848530365136</v>
      </c>
      <c r="C1492">
        <f>_xlfn.XLOOKUP(A1492,Energy!A:A,Energy!H:H,0,-1)</f>
        <v>4835.6127367576228</v>
      </c>
      <c r="D1492">
        <f t="shared" si="92"/>
        <v>4447.3278837211092</v>
      </c>
      <c r="E1492">
        <f>_xlfn.XLOOKUP(A1492,Banks!A:A,Banks!I:I,0)</f>
        <v>40220.788716916657</v>
      </c>
      <c r="F1492">
        <f>_xlfn.XLOOKUP(A1492,Energy!A:A,Energy!I:I,0)</f>
        <v>43350.287953587162</v>
      </c>
      <c r="G1492">
        <f t="shared" si="93"/>
        <v>83571.076670503826</v>
      </c>
      <c r="H1492">
        <f t="shared" si="94"/>
        <v>79123.748786782715</v>
      </c>
      <c r="I1492" t="b">
        <f t="shared" si="95"/>
        <v>1</v>
      </c>
    </row>
    <row r="1493" spans="1:9">
      <c r="A1493" s="1">
        <v>46065.61041666667</v>
      </c>
      <c r="B1493" s="5">
        <f>_xlfn.XLOOKUP(A1493,Banks!A:A,Banks!H:H,0,-1)</f>
        <v>-126.58669485029191</v>
      </c>
      <c r="C1493">
        <f>_xlfn.XLOOKUP(A1493,Energy!A:A,Energy!H:H,0,-1)</f>
        <v>4430.4148809907056</v>
      </c>
      <c r="D1493">
        <f t="shared" si="92"/>
        <v>4303.8281861404139</v>
      </c>
      <c r="E1493">
        <f>_xlfn.XLOOKUP(A1493,Banks!A:A,Banks!I:I,0)</f>
        <v>40262.820066493543</v>
      </c>
      <c r="F1493">
        <f>_xlfn.XLOOKUP(A1493,Energy!A:A,Energy!I:I,0)</f>
        <v>43376.917349301097</v>
      </c>
      <c r="G1493">
        <f t="shared" si="93"/>
        <v>83639.737415794632</v>
      </c>
      <c r="H1493">
        <f t="shared" si="94"/>
        <v>79335.909229654222</v>
      </c>
      <c r="I1493" t="b">
        <f t="shared" si="95"/>
        <v>1</v>
      </c>
    </row>
    <row r="1494" spans="1:9">
      <c r="A1494" s="1">
        <v>46065.611111111109</v>
      </c>
      <c r="B1494" s="5">
        <f>_xlfn.XLOOKUP(A1494,Banks!A:A,Banks!H:H,0,-1)</f>
        <v>-244.0987723993801</v>
      </c>
      <c r="C1494">
        <f>_xlfn.XLOOKUP(A1494,Energy!A:A,Energy!H:H,0,-1)</f>
        <v>4220.1937486110373</v>
      </c>
      <c r="D1494">
        <f t="shared" si="92"/>
        <v>3976.094976211657</v>
      </c>
      <c r="E1494">
        <f>_xlfn.XLOOKUP(A1494,Banks!A:A,Banks!I:I,0)</f>
        <v>40365.59410622323</v>
      </c>
      <c r="F1494">
        <f>_xlfn.XLOOKUP(A1494,Energy!A:A,Energy!I:I,0)</f>
        <v>43334.873122825164</v>
      </c>
      <c r="G1494">
        <f t="shared" si="93"/>
        <v>83700.467229048401</v>
      </c>
      <c r="H1494">
        <f t="shared" si="94"/>
        <v>79724.372252836751</v>
      </c>
      <c r="I1494" t="b">
        <f t="shared" si="95"/>
        <v>1</v>
      </c>
    </row>
    <row r="1495" spans="1:9">
      <c r="A1495" s="1">
        <v>46065.611805555563</v>
      </c>
      <c r="B1495" s="5">
        <f>_xlfn.XLOOKUP(A1495,Banks!A:A,Banks!H:H,0,-1)</f>
        <v>-51.47697779739741</v>
      </c>
      <c r="C1495">
        <f>_xlfn.XLOOKUP(A1495,Energy!A:A,Energy!H:H,0,-1)</f>
        <v>4384.5367381629303</v>
      </c>
      <c r="D1495">
        <f t="shared" si="92"/>
        <v>4333.0597603655333</v>
      </c>
      <c r="E1495">
        <f>_xlfn.XLOOKUP(A1495,Banks!A:A,Banks!I:I,0)</f>
        <v>40364.818139788476</v>
      </c>
      <c r="F1495">
        <f>_xlfn.XLOOKUP(A1495,Energy!A:A,Energy!I:I,0)</f>
        <v>43316.843663670988</v>
      </c>
      <c r="G1495">
        <f t="shared" si="93"/>
        <v>83681.661803459458</v>
      </c>
      <c r="H1495">
        <f t="shared" si="94"/>
        <v>79348.602043093924</v>
      </c>
      <c r="I1495" t="b">
        <f t="shared" si="95"/>
        <v>1</v>
      </c>
    </row>
    <row r="1496" spans="1:9">
      <c r="A1496" s="1">
        <v>46065.612500000003</v>
      </c>
      <c r="B1496" s="5">
        <f>_xlfn.XLOOKUP(A1496,Banks!A:A,Banks!H:H,0,-1)</f>
        <v>-159.6854866290218</v>
      </c>
      <c r="C1496">
        <f>_xlfn.XLOOKUP(A1496,Energy!A:A,Energy!H:H,0,-1)</f>
        <v>4329.6555419914794</v>
      </c>
      <c r="D1496">
        <f t="shared" si="92"/>
        <v>4169.970055362458</v>
      </c>
      <c r="E1496">
        <f>_xlfn.XLOOKUP(A1496,Banks!A:A,Banks!I:I,0)</f>
        <v>40310.96305658351</v>
      </c>
      <c r="F1496">
        <f>_xlfn.XLOOKUP(A1496,Energy!A:A,Energy!I:I,0)</f>
        <v>43288.248866222042</v>
      </c>
      <c r="G1496">
        <f t="shared" si="93"/>
        <v>83599.211922805553</v>
      </c>
      <c r="H1496">
        <f t="shared" si="94"/>
        <v>79429.241867443096</v>
      </c>
      <c r="I1496" t="b">
        <f t="shared" si="95"/>
        <v>1</v>
      </c>
    </row>
    <row r="1497" spans="1:9">
      <c r="A1497" s="1">
        <v>46065.613194444442</v>
      </c>
      <c r="B1497" s="5">
        <f>_xlfn.XLOOKUP(A1497,Banks!A:A,Banks!H:H,0,-1)</f>
        <v>-193.9633697599611</v>
      </c>
      <c r="C1497">
        <f>_xlfn.XLOOKUP(A1497,Energy!A:A,Energy!H:H,0,-1)</f>
        <v>4270.3647374624225</v>
      </c>
      <c r="D1497">
        <f t="shared" si="92"/>
        <v>4076.4013677024614</v>
      </c>
      <c r="E1497">
        <f>_xlfn.XLOOKUP(A1497,Banks!A:A,Banks!I:I,0)</f>
        <v>40325.368311706807</v>
      </c>
      <c r="F1497">
        <f>_xlfn.XLOOKUP(A1497,Energy!A:A,Energy!I:I,0)</f>
        <v>43186.340296663569</v>
      </c>
      <c r="G1497">
        <f t="shared" si="93"/>
        <v>83511.708608370376</v>
      </c>
      <c r="H1497">
        <f t="shared" si="94"/>
        <v>79435.307240667913</v>
      </c>
      <c r="I1497" t="b">
        <f t="shared" si="95"/>
        <v>1</v>
      </c>
    </row>
    <row r="1498" spans="1:9">
      <c r="A1498" s="1">
        <v>46065.613888888889</v>
      </c>
      <c r="B1498" s="5">
        <f>_xlfn.XLOOKUP(A1498,Banks!A:A,Banks!H:H,0,-1)</f>
        <v>-80.53578579412806</v>
      </c>
      <c r="C1498">
        <f>_xlfn.XLOOKUP(A1498,Energy!A:A,Energy!H:H,0,-1)</f>
        <v>4510.9579254929713</v>
      </c>
      <c r="D1498">
        <f t="shared" si="92"/>
        <v>4430.4221396988432</v>
      </c>
      <c r="E1498">
        <f>_xlfn.XLOOKUP(A1498,Banks!A:A,Banks!I:I,0)</f>
        <v>40291.358277167958</v>
      </c>
      <c r="F1498">
        <f>_xlfn.XLOOKUP(A1498,Energy!A:A,Energy!I:I,0)</f>
        <v>43167.899936569876</v>
      </c>
      <c r="G1498">
        <f t="shared" si="93"/>
        <v>83459.258213737834</v>
      </c>
      <c r="H1498">
        <f t="shared" si="94"/>
        <v>79028.836074038991</v>
      </c>
      <c r="I1498" t="b">
        <f t="shared" si="95"/>
        <v>1</v>
      </c>
    </row>
    <row r="1499" spans="1:9">
      <c r="A1499" s="1">
        <v>46065.614583333343</v>
      </c>
      <c r="B1499" s="5">
        <f>_xlfn.XLOOKUP(A1499,Banks!A:A,Banks!H:H,0,-1)</f>
        <v>3.24037545417309</v>
      </c>
      <c r="C1499">
        <f>_xlfn.XLOOKUP(A1499,Energy!A:A,Energy!H:H,0,-1)</f>
        <v>4527.7334828141138</v>
      </c>
      <c r="D1499">
        <f t="shared" si="92"/>
        <v>4530.9738582682867</v>
      </c>
      <c r="E1499">
        <f>_xlfn.XLOOKUP(A1499,Banks!A:A,Banks!I:I,0)</f>
        <v>0</v>
      </c>
      <c r="F1499">
        <f>_xlfn.XLOOKUP(A1499,Energy!A:A,Energy!I:I,0)</f>
        <v>43243.686898472108</v>
      </c>
      <c r="G1499">
        <f t="shared" si="93"/>
        <v>43243.686898472108</v>
      </c>
      <c r="H1499">
        <f t="shared" si="94"/>
        <v>38712.713040203824</v>
      </c>
      <c r="I1499" t="b">
        <f t="shared" si="95"/>
        <v>0</v>
      </c>
    </row>
    <row r="1500" spans="1:9">
      <c r="A1500" s="1">
        <v>46065.615277777782</v>
      </c>
      <c r="B1500" s="5">
        <f>_xlfn.XLOOKUP(A1500,Banks!A:A,Banks!H:H,0,-1)</f>
        <v>3.24037545417309</v>
      </c>
      <c r="C1500">
        <f>_xlfn.XLOOKUP(A1500,Energy!A:A,Energy!H:H,0,-1)</f>
        <v>4546.0401884639195</v>
      </c>
      <c r="D1500">
        <f t="shared" si="92"/>
        <v>4549.2805639180924</v>
      </c>
      <c r="E1500">
        <f>_xlfn.XLOOKUP(A1500,Banks!A:A,Banks!I:I,0)</f>
        <v>0</v>
      </c>
      <c r="F1500">
        <f>_xlfn.XLOOKUP(A1500,Energy!A:A,Energy!I:I,0)</f>
        <v>43284.542973610798</v>
      </c>
      <c r="G1500">
        <f t="shared" si="93"/>
        <v>43284.542973610798</v>
      </c>
      <c r="H1500">
        <f t="shared" si="94"/>
        <v>38735.262409692703</v>
      </c>
      <c r="I1500" t="b">
        <f t="shared" si="95"/>
        <v>0</v>
      </c>
    </row>
    <row r="1501" spans="1:9">
      <c r="A1501" s="1">
        <v>46065.615972222222</v>
      </c>
      <c r="B1501" s="5">
        <f>_xlfn.XLOOKUP(A1501,Banks!A:A,Banks!H:H,0,-1)</f>
        <v>3.24037545417309</v>
      </c>
      <c r="C1501">
        <f>_xlfn.XLOOKUP(A1501,Energy!A:A,Energy!H:H,0,-1)</f>
        <v>4662.7511294529386</v>
      </c>
      <c r="D1501">
        <f t="shared" si="92"/>
        <v>4665.9915049071114</v>
      </c>
      <c r="E1501">
        <f>_xlfn.XLOOKUP(A1501,Banks!A:A,Banks!I:I,0)</f>
        <v>0</v>
      </c>
      <c r="F1501">
        <f>_xlfn.XLOOKUP(A1501,Energy!A:A,Energy!I:I,0)</f>
        <v>43325.503720023247</v>
      </c>
      <c r="G1501">
        <f t="shared" si="93"/>
        <v>43325.503720023247</v>
      </c>
      <c r="H1501">
        <f t="shared" si="94"/>
        <v>38659.512215116134</v>
      </c>
      <c r="I1501" t="b">
        <f t="shared" si="95"/>
        <v>0</v>
      </c>
    </row>
    <row r="1502" spans="1:9">
      <c r="A1502" s="1">
        <v>46065.616666666669</v>
      </c>
      <c r="B1502" s="5">
        <f>_xlfn.XLOOKUP(A1502,Banks!A:A,Banks!H:H,0,-1)</f>
        <v>3.24037545417309</v>
      </c>
      <c r="C1502">
        <f>_xlfn.XLOOKUP(A1502,Energy!A:A,Energy!H:H,0,-1)</f>
        <v>4775.0524620843325</v>
      </c>
      <c r="D1502">
        <f t="shared" si="92"/>
        <v>4778.2928375385054</v>
      </c>
      <c r="E1502">
        <f>_xlfn.XLOOKUP(A1502,Banks!A:A,Banks!I:I,0)</f>
        <v>0</v>
      </c>
      <c r="F1502">
        <f>_xlfn.XLOOKUP(A1502,Energy!A:A,Energy!I:I,0)</f>
        <v>43293.150694326163</v>
      </c>
      <c r="G1502">
        <f t="shared" si="93"/>
        <v>43293.150694326163</v>
      </c>
      <c r="H1502">
        <f t="shared" si="94"/>
        <v>38514.857856787654</v>
      </c>
      <c r="I1502" t="b">
        <f t="shared" si="95"/>
        <v>0</v>
      </c>
    </row>
    <row r="1503" spans="1:9">
      <c r="A1503" s="1">
        <v>46065.617361111108</v>
      </c>
      <c r="B1503" s="5">
        <f>_xlfn.XLOOKUP(A1503,Banks!A:A,Banks!H:H,0,-1)</f>
        <v>3.24037545417309</v>
      </c>
      <c r="C1503">
        <f>_xlfn.XLOOKUP(A1503,Energy!A:A,Energy!H:H,0,-1)</f>
        <v>4667.6451734014499</v>
      </c>
      <c r="D1503">
        <f t="shared" si="92"/>
        <v>4670.8855488556228</v>
      </c>
      <c r="E1503">
        <f>_xlfn.XLOOKUP(A1503,Banks!A:A,Banks!I:I,0)</f>
        <v>0</v>
      </c>
      <c r="F1503">
        <f>_xlfn.XLOOKUP(A1503,Energy!A:A,Energy!I:I,0)</f>
        <v>43324.524911233537</v>
      </c>
      <c r="G1503">
        <f t="shared" si="93"/>
        <v>43324.524911233537</v>
      </c>
      <c r="H1503">
        <f t="shared" si="94"/>
        <v>38653.639362377915</v>
      </c>
      <c r="I1503" t="b">
        <f t="shared" si="95"/>
        <v>0</v>
      </c>
    </row>
    <row r="1504" spans="1:9">
      <c r="A1504" s="1">
        <v>46065.618055555547</v>
      </c>
      <c r="B1504" s="5">
        <f>_xlfn.XLOOKUP(A1504,Banks!A:A,Banks!H:H,0,-1)</f>
        <v>3.24037545417309</v>
      </c>
      <c r="C1504">
        <f>_xlfn.XLOOKUP(A1504,Energy!A:A,Energy!H:H,0,-1)</f>
        <v>4766.572765109534</v>
      </c>
      <c r="D1504">
        <f t="shared" si="92"/>
        <v>4769.8131405637068</v>
      </c>
      <c r="E1504">
        <f>_xlfn.XLOOKUP(A1504,Banks!A:A,Banks!I:I,0)</f>
        <v>0</v>
      </c>
      <c r="F1504">
        <f>_xlfn.XLOOKUP(A1504,Energy!A:A,Energy!I:I,0)</f>
        <v>43344.310429575162</v>
      </c>
      <c r="G1504">
        <f t="shared" si="93"/>
        <v>43344.310429575162</v>
      </c>
      <c r="H1504">
        <f t="shared" si="94"/>
        <v>38574.497289011459</v>
      </c>
      <c r="I1504" t="b">
        <f t="shared" si="95"/>
        <v>0</v>
      </c>
    </row>
    <row r="1505" spans="1:9">
      <c r="A1505" s="1">
        <v>46065.618750000001</v>
      </c>
      <c r="B1505" s="5">
        <f>_xlfn.XLOOKUP(A1505,Banks!A:A,Banks!H:H,0,-1)</f>
        <v>3.24037545417309</v>
      </c>
      <c r="C1505">
        <f>_xlfn.XLOOKUP(A1505,Energy!A:A,Energy!H:H,0,-1)</f>
        <v>4550.1881186370938</v>
      </c>
      <c r="D1505">
        <f t="shared" si="92"/>
        <v>4553.4284940912667</v>
      </c>
      <c r="E1505">
        <f>_xlfn.XLOOKUP(A1505,Banks!A:A,Banks!I:I,0)</f>
        <v>0</v>
      </c>
      <c r="F1505">
        <f>_xlfn.XLOOKUP(A1505,Energy!A:A,Energy!I:I,0)</f>
        <v>43348.01632218642</v>
      </c>
      <c r="G1505">
        <f t="shared" si="93"/>
        <v>43348.01632218642</v>
      </c>
      <c r="H1505">
        <f t="shared" si="94"/>
        <v>38794.587828095151</v>
      </c>
      <c r="I1505" t="b">
        <f t="shared" si="95"/>
        <v>0</v>
      </c>
    </row>
    <row r="1506" spans="1:9">
      <c r="A1506" s="1">
        <v>46065.619444444441</v>
      </c>
      <c r="B1506" s="5">
        <f>_xlfn.XLOOKUP(A1506,Banks!A:A,Banks!H:H,0,-1)</f>
        <v>3.24037545417309</v>
      </c>
      <c r="C1506">
        <f>_xlfn.XLOOKUP(A1506,Energy!A:A,Energy!H:H,0,-1)</f>
        <v>4586.9853665651681</v>
      </c>
      <c r="D1506">
        <f t="shared" si="92"/>
        <v>4590.2257420193409</v>
      </c>
      <c r="E1506">
        <f>_xlfn.XLOOKUP(A1506,Banks!A:A,Banks!I:I,0)</f>
        <v>0</v>
      </c>
      <c r="F1506">
        <f>_xlfn.XLOOKUP(A1506,Energy!A:A,Energy!I:I,0)</f>
        <v>43251.622040063521</v>
      </c>
      <c r="G1506">
        <f t="shared" si="93"/>
        <v>43251.622040063521</v>
      </c>
      <c r="H1506">
        <f t="shared" si="94"/>
        <v>38661.396298044179</v>
      </c>
      <c r="I1506" t="b">
        <f t="shared" si="95"/>
        <v>0</v>
      </c>
    </row>
    <row r="1507" spans="1:9">
      <c r="A1507" s="1">
        <v>46065.620138888888</v>
      </c>
      <c r="B1507" s="5">
        <f>_xlfn.XLOOKUP(A1507,Banks!A:A,Banks!H:H,0,-1)</f>
        <v>3.24037545417309</v>
      </c>
      <c r="C1507">
        <f>_xlfn.XLOOKUP(A1507,Energy!A:A,Energy!H:H,0,-1)</f>
        <v>4527.9951609985519</v>
      </c>
      <c r="D1507">
        <f t="shared" si="92"/>
        <v>4531.2355364527248</v>
      </c>
      <c r="E1507">
        <f>_xlfn.XLOOKUP(A1507,Banks!A:A,Banks!I:I,0)</f>
        <v>0</v>
      </c>
      <c r="F1507">
        <f>_xlfn.XLOOKUP(A1507,Energy!A:A,Energy!I:I,0)</f>
        <v>43253.527322006041</v>
      </c>
      <c r="G1507">
        <f t="shared" si="93"/>
        <v>43253.527322006041</v>
      </c>
      <c r="H1507">
        <f t="shared" si="94"/>
        <v>38722.291785553316</v>
      </c>
      <c r="I1507" t="b">
        <f t="shared" si="95"/>
        <v>0</v>
      </c>
    </row>
    <row r="1508" spans="1:9">
      <c r="A1508" s="1">
        <v>46065.620833333327</v>
      </c>
      <c r="B1508" s="5">
        <f>_xlfn.XLOOKUP(A1508,Banks!A:A,Banks!H:H,0,-1)</f>
        <v>3.24037545417309</v>
      </c>
      <c r="C1508">
        <f>_xlfn.XLOOKUP(A1508,Energy!A:A,Energy!H:H,0,-1)</f>
        <v>4486.5266265284145</v>
      </c>
      <c r="D1508">
        <f t="shared" si="92"/>
        <v>4489.7670019825873</v>
      </c>
      <c r="E1508">
        <f>_xlfn.XLOOKUP(A1508,Banks!A:A,Banks!I:I,0)</f>
        <v>0</v>
      </c>
      <c r="F1508">
        <f>_xlfn.XLOOKUP(A1508,Energy!A:A,Energy!I:I,0)</f>
        <v>43266.767408485473</v>
      </c>
      <c r="G1508">
        <f t="shared" si="93"/>
        <v>43266.767408485473</v>
      </c>
      <c r="H1508">
        <f t="shared" si="94"/>
        <v>38777.000406502884</v>
      </c>
      <c r="I1508" t="b">
        <f t="shared" si="95"/>
        <v>0</v>
      </c>
    </row>
    <row r="1509" spans="1:9">
      <c r="A1509" s="1">
        <v>46065.621527777781</v>
      </c>
      <c r="B1509" s="5">
        <f>_xlfn.XLOOKUP(A1509,Banks!A:A,Banks!H:H,0,-1)</f>
        <v>3.24037545417309</v>
      </c>
      <c r="C1509">
        <f>_xlfn.XLOOKUP(A1509,Energy!A:A,Energy!H:H,0,-1)</f>
        <v>4597.8201671999987</v>
      </c>
      <c r="D1509">
        <f t="shared" si="92"/>
        <v>4601.0605426541715</v>
      </c>
      <c r="E1509">
        <f>_xlfn.XLOOKUP(A1509,Banks!A:A,Banks!I:I,0)</f>
        <v>0</v>
      </c>
      <c r="F1509">
        <f>_xlfn.XLOOKUP(A1509,Energy!A:A,Energy!I:I,0)</f>
        <v>43289.026116619789</v>
      </c>
      <c r="G1509">
        <f t="shared" si="93"/>
        <v>43289.026116619789</v>
      </c>
      <c r="H1509">
        <f t="shared" si="94"/>
        <v>38687.965573965615</v>
      </c>
      <c r="I1509" t="b">
        <f t="shared" si="95"/>
        <v>0</v>
      </c>
    </row>
    <row r="1510" spans="1:9">
      <c r="A1510" s="1">
        <v>46065.62222222222</v>
      </c>
      <c r="B1510" s="5">
        <f>_xlfn.XLOOKUP(A1510,Banks!A:A,Banks!H:H,0,-1)</f>
        <v>3.24037545417309</v>
      </c>
      <c r="C1510">
        <f>_xlfn.XLOOKUP(A1510,Energy!A:A,Energy!H:H,0,-1)</f>
        <v>4665.8797266208012</v>
      </c>
      <c r="D1510">
        <f t="shared" si="92"/>
        <v>4669.1201020749741</v>
      </c>
      <c r="E1510">
        <f>_xlfn.XLOOKUP(A1510,Banks!A:A,Banks!I:I,0)</f>
        <v>0</v>
      </c>
      <c r="F1510">
        <f>_xlfn.XLOOKUP(A1510,Energy!A:A,Energy!I:I,0)</f>
        <v>0</v>
      </c>
      <c r="G1510">
        <f t="shared" si="93"/>
        <v>0</v>
      </c>
      <c r="H1510">
        <f t="shared" si="94"/>
        <v>-4669.1201020749741</v>
      </c>
      <c r="I1510" t="b">
        <f t="shared" si="95"/>
        <v>0</v>
      </c>
    </row>
    <row r="1511" spans="1:9">
      <c r="A1511" s="1">
        <v>46065.804861111108</v>
      </c>
      <c r="B1511" s="5">
        <f>_xlfn.XLOOKUP(A1511,Banks!A:A,Banks!H:H,0,-1)</f>
        <v>3.24037545417309</v>
      </c>
      <c r="C1511">
        <f>_xlfn.XLOOKUP(A1511,Energy!A:A,Energy!H:H,0,-1)</f>
        <v>4665.8797266208012</v>
      </c>
      <c r="D1511">
        <f t="shared" si="92"/>
        <v>4669.1201020749741</v>
      </c>
      <c r="E1511">
        <f>_xlfn.XLOOKUP(A1511,Banks!A:A,Banks!I:I,0)</f>
        <v>0</v>
      </c>
      <c r="F1511">
        <f>_xlfn.XLOOKUP(A1511,Energy!A:A,Energy!I:I,0)</f>
        <v>43168.841978033888</v>
      </c>
      <c r="G1511">
        <f t="shared" si="93"/>
        <v>43168.841978033888</v>
      </c>
      <c r="H1511">
        <f t="shared" si="94"/>
        <v>38499.721875958916</v>
      </c>
      <c r="I1511" t="b">
        <f t="shared" si="95"/>
        <v>0</v>
      </c>
    </row>
    <row r="1512" spans="1:9">
      <c r="A1512" s="1">
        <v>46065.805555555547</v>
      </c>
      <c r="B1512" s="5">
        <f>_xlfn.XLOOKUP(A1512,Banks!A:A,Banks!H:H,0,-1)</f>
        <v>3.24037545417309</v>
      </c>
      <c r="C1512">
        <f>_xlfn.XLOOKUP(A1512,Energy!A:A,Energy!H:H,0,-1)</f>
        <v>4549.1241559302343</v>
      </c>
      <c r="D1512">
        <f t="shared" si="92"/>
        <v>4552.3645313844072</v>
      </c>
      <c r="E1512">
        <f>_xlfn.XLOOKUP(A1512,Banks!A:A,Banks!I:I,0)</f>
        <v>0</v>
      </c>
      <c r="F1512">
        <f>_xlfn.XLOOKUP(A1512,Energy!A:A,Energy!I:I,0)</f>
        <v>43155.661558354972</v>
      </c>
      <c r="G1512">
        <f t="shared" si="93"/>
        <v>43155.661558354972</v>
      </c>
      <c r="H1512">
        <f t="shared" si="94"/>
        <v>38603.297026970562</v>
      </c>
      <c r="I1512" t="b">
        <f t="shared" si="95"/>
        <v>0</v>
      </c>
    </row>
    <row r="1513" spans="1:9">
      <c r="A1513" s="1">
        <v>46065.806250000001</v>
      </c>
      <c r="B1513" s="5">
        <f>_xlfn.XLOOKUP(A1513,Banks!A:A,Banks!H:H,0,-1)</f>
        <v>3.24037545417309</v>
      </c>
      <c r="C1513">
        <f>_xlfn.XLOOKUP(A1513,Energy!A:A,Energy!H:H,0,-1)</f>
        <v>4381.6015361062646</v>
      </c>
      <c r="D1513">
        <f t="shared" si="92"/>
        <v>4384.8419115604374</v>
      </c>
      <c r="E1513">
        <f>_xlfn.XLOOKUP(A1513,Banks!A:A,Banks!I:I,0)</f>
        <v>0</v>
      </c>
      <c r="F1513">
        <f>_xlfn.XLOOKUP(A1513,Energy!A:A,Energy!I:I,0)</f>
        <v>43137.413076078963</v>
      </c>
      <c r="G1513">
        <f t="shared" si="93"/>
        <v>43137.413076078963</v>
      </c>
      <c r="H1513">
        <f t="shared" si="94"/>
        <v>38752.571164518522</v>
      </c>
      <c r="I1513" t="b">
        <f t="shared" si="95"/>
        <v>0</v>
      </c>
    </row>
    <row r="1514" spans="1:9">
      <c r="A1514" s="1">
        <v>46065.806944444441</v>
      </c>
      <c r="B1514" s="5">
        <f>_xlfn.XLOOKUP(A1514,Banks!A:A,Banks!H:H,0,-1)</f>
        <v>3.24037545417309</v>
      </c>
      <c r="C1514">
        <f>_xlfn.XLOOKUP(A1514,Energy!A:A,Energy!H:H,0,-1)</f>
        <v>4417.4351900243819</v>
      </c>
      <c r="D1514">
        <f t="shared" si="92"/>
        <v>4420.6755654785547</v>
      </c>
      <c r="E1514">
        <f>_xlfn.XLOOKUP(A1514,Banks!A:A,Banks!I:I,0)</f>
        <v>0</v>
      </c>
      <c r="F1514">
        <f>_xlfn.XLOOKUP(A1514,Energy!A:A,Energy!I:I,0)</f>
        <v>43088.640987337043</v>
      </c>
      <c r="G1514">
        <f t="shared" si="93"/>
        <v>43088.640987337043</v>
      </c>
      <c r="H1514">
        <f t="shared" si="94"/>
        <v>38667.965421858491</v>
      </c>
      <c r="I1514" t="b">
        <f t="shared" si="95"/>
        <v>0</v>
      </c>
    </row>
    <row r="1515" spans="1:9">
      <c r="A1515" s="1">
        <v>46065.807638888888</v>
      </c>
      <c r="B1515" s="5">
        <f>_xlfn.XLOOKUP(A1515,Banks!A:A,Banks!H:H,0,-1)</f>
        <v>3.24037545417309</v>
      </c>
      <c r="C1515">
        <f>_xlfn.XLOOKUP(A1515,Energy!A:A,Energy!H:H,0,-1)</f>
        <v>4452.8943435714782</v>
      </c>
      <c r="D1515">
        <f t="shared" si="92"/>
        <v>4456.1347190256511</v>
      </c>
      <c r="E1515">
        <f>_xlfn.XLOOKUP(A1515,Banks!A:A,Banks!I:I,0)</f>
        <v>0</v>
      </c>
      <c r="F1515">
        <f>_xlfn.XLOOKUP(A1515,Energy!A:A,Energy!I:I,0)</f>
        <v>43105.90351250564</v>
      </c>
      <c r="G1515">
        <f t="shared" si="93"/>
        <v>43105.90351250564</v>
      </c>
      <c r="H1515">
        <f t="shared" si="94"/>
        <v>38649.768793479991</v>
      </c>
      <c r="I1515" t="b">
        <f t="shared" si="95"/>
        <v>0</v>
      </c>
    </row>
    <row r="1516" spans="1:9">
      <c r="A1516" s="1">
        <v>46065.808333333327</v>
      </c>
      <c r="B1516" s="5">
        <f>_xlfn.XLOOKUP(A1516,Banks!A:A,Banks!H:H,0,-1)</f>
        <v>3.24037545417309</v>
      </c>
      <c r="C1516">
        <f>_xlfn.XLOOKUP(A1516,Energy!A:A,Energy!H:H,0,-1)</f>
        <v>4554.7741344884653</v>
      </c>
      <c r="D1516">
        <f t="shared" si="92"/>
        <v>4558.0145099426381</v>
      </c>
      <c r="E1516">
        <f>_xlfn.XLOOKUP(A1516,Banks!A:A,Banks!I:I,0)</f>
        <v>0</v>
      </c>
      <c r="F1516">
        <f>_xlfn.XLOOKUP(A1516,Energy!A:A,Energy!I:I,0)</f>
        <v>43055.084609474718</v>
      </c>
      <c r="G1516">
        <f t="shared" si="93"/>
        <v>43055.084609474718</v>
      </c>
      <c r="H1516">
        <f t="shared" si="94"/>
        <v>38497.07009953208</v>
      </c>
      <c r="I1516" t="b">
        <f t="shared" si="95"/>
        <v>0</v>
      </c>
    </row>
    <row r="1517" spans="1:9">
      <c r="A1517" s="1">
        <v>46065.809027777781</v>
      </c>
      <c r="B1517" s="5">
        <f>_xlfn.XLOOKUP(A1517,Banks!A:A,Banks!H:H,0,-1)</f>
        <v>3.24037545417309</v>
      </c>
      <c r="C1517">
        <f>_xlfn.XLOOKUP(A1517,Energy!A:A,Energy!H:H,0,-1)</f>
        <v>4592.8566232687226</v>
      </c>
      <c r="D1517">
        <f t="shared" si="92"/>
        <v>4596.0969987228955</v>
      </c>
      <c r="E1517">
        <f>_xlfn.XLOOKUP(A1517,Banks!A:A,Banks!I:I,0)</f>
        <v>0</v>
      </c>
      <c r="F1517">
        <f>_xlfn.XLOOKUP(A1517,Energy!A:A,Energy!I:I,0)</f>
        <v>43057.615760001179</v>
      </c>
      <c r="G1517">
        <f t="shared" si="93"/>
        <v>43057.615760001179</v>
      </c>
      <c r="H1517">
        <f t="shared" si="94"/>
        <v>38461.518761278283</v>
      </c>
      <c r="I1517" t="b">
        <f t="shared" si="95"/>
        <v>0</v>
      </c>
    </row>
    <row r="1518" spans="1:9">
      <c r="A1518" s="1">
        <v>46065.80972222222</v>
      </c>
      <c r="B1518" s="5">
        <f>_xlfn.XLOOKUP(A1518,Banks!A:A,Banks!H:H,0,-1)</f>
        <v>3.24037545417309</v>
      </c>
      <c r="C1518">
        <f>_xlfn.XLOOKUP(A1518,Energy!A:A,Energy!H:H,0,-1)</f>
        <v>4539.8983547148991</v>
      </c>
      <c r="D1518">
        <f t="shared" si="92"/>
        <v>4543.138730169072</v>
      </c>
      <c r="E1518">
        <f>_xlfn.XLOOKUP(A1518,Banks!A:A,Banks!I:I,0)</f>
        <v>0</v>
      </c>
      <c r="F1518">
        <f>_xlfn.XLOOKUP(A1518,Energy!A:A,Energy!I:I,0)</f>
        <v>42991.085286764857</v>
      </c>
      <c r="G1518">
        <f t="shared" si="93"/>
        <v>42991.085286764857</v>
      </c>
      <c r="H1518">
        <f t="shared" si="94"/>
        <v>38447.946556595787</v>
      </c>
      <c r="I1518" t="b">
        <f t="shared" si="95"/>
        <v>0</v>
      </c>
    </row>
    <row r="1519" spans="1:9">
      <c r="A1519" s="1">
        <v>46065.810416666667</v>
      </c>
      <c r="B1519" s="5">
        <f>_xlfn.XLOOKUP(A1519,Banks!A:A,Banks!H:H,0,-1)</f>
        <v>3.24037545417309</v>
      </c>
      <c r="C1519">
        <f>_xlfn.XLOOKUP(A1519,Energy!A:A,Energy!H:H,0,-1)</f>
        <v>4509.5706407507541</v>
      </c>
      <c r="D1519">
        <f t="shared" si="92"/>
        <v>4512.811016204927</v>
      </c>
      <c r="E1519">
        <f>_xlfn.XLOOKUP(A1519,Banks!A:A,Banks!I:I,0)</f>
        <v>0</v>
      </c>
      <c r="F1519">
        <f>_xlfn.XLOOKUP(A1519,Energy!A:A,Energy!I:I,0)</f>
        <v>42964.678355053657</v>
      </c>
      <c r="G1519">
        <f t="shared" si="93"/>
        <v>42964.678355053657</v>
      </c>
      <c r="H1519">
        <f t="shared" si="94"/>
        <v>38451.86733884873</v>
      </c>
      <c r="I1519" t="b">
        <f t="shared" si="95"/>
        <v>0</v>
      </c>
    </row>
    <row r="1520" spans="1:9">
      <c r="A1520" s="1">
        <v>46065.811111111107</v>
      </c>
      <c r="B1520" s="5">
        <f>_xlfn.XLOOKUP(A1520,Banks!A:A,Banks!H:H,0,-1)</f>
        <v>3.24037545417309</v>
      </c>
      <c r="C1520">
        <f>_xlfn.XLOOKUP(A1520,Energy!A:A,Energy!H:H,0,-1)</f>
        <v>4499.3365693056994</v>
      </c>
      <c r="D1520">
        <f t="shared" si="92"/>
        <v>4502.5769447598723</v>
      </c>
      <c r="E1520">
        <f>_xlfn.XLOOKUP(A1520,Banks!A:A,Banks!I:I,0)</f>
        <v>0</v>
      </c>
      <c r="F1520">
        <f>_xlfn.XLOOKUP(A1520,Energy!A:A,Energy!I:I,0)</f>
        <v>42977.887582453433</v>
      </c>
      <c r="G1520">
        <f t="shared" si="93"/>
        <v>42977.887582453433</v>
      </c>
      <c r="H1520">
        <f t="shared" si="94"/>
        <v>38475.310637693561</v>
      </c>
      <c r="I1520" t="b">
        <f t="shared" si="95"/>
        <v>0</v>
      </c>
    </row>
    <row r="1521" spans="1:9">
      <c r="A1521" s="1">
        <v>46065.811805555553</v>
      </c>
      <c r="B1521" s="5">
        <f>_xlfn.XLOOKUP(A1521,Banks!A:A,Banks!H:H,0,-1)</f>
        <v>3.24037545417309</v>
      </c>
      <c r="C1521">
        <f>_xlfn.XLOOKUP(A1521,Energy!A:A,Energy!H:H,0,-1)</f>
        <v>4537.4478658067947</v>
      </c>
      <c r="D1521">
        <f t="shared" si="92"/>
        <v>4540.6882412609675</v>
      </c>
      <c r="E1521">
        <f>_xlfn.XLOOKUP(A1521,Banks!A:A,Banks!I:I,0)</f>
        <v>0</v>
      </c>
      <c r="F1521">
        <f>_xlfn.XLOOKUP(A1521,Energy!A:A,Energy!I:I,0)</f>
        <v>42975.339147294457</v>
      </c>
      <c r="G1521">
        <f t="shared" si="93"/>
        <v>42975.339147294457</v>
      </c>
      <c r="H1521">
        <f t="shared" si="94"/>
        <v>38434.650906033487</v>
      </c>
      <c r="I1521" t="b">
        <f t="shared" si="95"/>
        <v>0</v>
      </c>
    </row>
    <row r="1522" spans="1:9">
      <c r="A1522" s="1">
        <v>46065.8125</v>
      </c>
      <c r="B1522" s="5">
        <f>_xlfn.XLOOKUP(A1522,Banks!A:A,Banks!H:H,0,-1)</f>
        <v>3.24037545417309</v>
      </c>
      <c r="C1522">
        <f>_xlfn.XLOOKUP(A1522,Energy!A:A,Energy!H:H,0,-1)</f>
        <v>4496.4251568640393</v>
      </c>
      <c r="D1522">
        <f t="shared" si="92"/>
        <v>4499.6655323182122</v>
      </c>
      <c r="E1522">
        <f>_xlfn.XLOOKUP(A1522,Banks!A:A,Banks!I:I,0)</f>
        <v>0</v>
      </c>
      <c r="F1522">
        <f>_xlfn.XLOOKUP(A1522,Energy!A:A,Energy!I:I,0)</f>
        <v>43043.414813949843</v>
      </c>
      <c r="G1522">
        <f t="shared" si="93"/>
        <v>43043.414813949843</v>
      </c>
      <c r="H1522">
        <f t="shared" si="94"/>
        <v>38543.74928163163</v>
      </c>
      <c r="I1522" t="b">
        <f t="shared" si="95"/>
        <v>0</v>
      </c>
    </row>
    <row r="1523" spans="1:9">
      <c r="A1523" s="1">
        <v>46065.813194444447</v>
      </c>
      <c r="B1523" s="5">
        <f>_xlfn.XLOOKUP(A1523,Banks!A:A,Banks!H:H,0,-1)</f>
        <v>3.24037545417309</v>
      </c>
      <c r="C1523">
        <f>_xlfn.XLOOKUP(A1523,Energy!A:A,Energy!H:H,0,-1)</f>
        <v>4542.0607664144718</v>
      </c>
      <c r="D1523">
        <f t="shared" si="92"/>
        <v>4545.3011418686447</v>
      </c>
      <c r="E1523">
        <f>_xlfn.XLOOKUP(A1523,Banks!A:A,Banks!I:I,0)</f>
        <v>0</v>
      </c>
      <c r="F1523">
        <f>_xlfn.XLOOKUP(A1523,Energy!A:A,Energy!I:I,0)</f>
        <v>43057.627283089518</v>
      </c>
      <c r="G1523">
        <f t="shared" si="93"/>
        <v>43057.627283089518</v>
      </c>
      <c r="H1523">
        <f t="shared" si="94"/>
        <v>38512.326141220874</v>
      </c>
      <c r="I1523" t="b">
        <f t="shared" si="95"/>
        <v>0</v>
      </c>
    </row>
    <row r="1524" spans="1:9">
      <c r="A1524" s="1">
        <v>46065.813888888893</v>
      </c>
      <c r="B1524" s="5">
        <f>_xlfn.XLOOKUP(A1524,Banks!A:A,Banks!H:H,0,-1)</f>
        <v>3.24037545417309</v>
      </c>
      <c r="C1524">
        <f>_xlfn.XLOOKUP(A1524,Energy!A:A,Energy!H:H,0,-1)</f>
        <v>4534.3636070400416</v>
      </c>
      <c r="D1524">
        <f t="shared" si="92"/>
        <v>4537.6039824942145</v>
      </c>
      <c r="E1524">
        <f>_xlfn.XLOOKUP(A1524,Banks!A:A,Banks!I:I,0)</f>
        <v>0</v>
      </c>
      <c r="F1524">
        <f>_xlfn.XLOOKUP(A1524,Energy!A:A,Energy!I:I,0)</f>
        <v>43071.343892903416</v>
      </c>
      <c r="G1524">
        <f t="shared" si="93"/>
        <v>43071.343892903416</v>
      </c>
      <c r="H1524">
        <f t="shared" si="94"/>
        <v>38533.739910409204</v>
      </c>
      <c r="I1524" t="b">
        <f t="shared" si="95"/>
        <v>0</v>
      </c>
    </row>
    <row r="1525" spans="1:9">
      <c r="A1525" s="1">
        <v>46065.814583333333</v>
      </c>
      <c r="B1525" s="5">
        <f>_xlfn.XLOOKUP(A1525,Banks!A:A,Banks!H:H,0,-1)</f>
        <v>3.24037545417309</v>
      </c>
      <c r="C1525">
        <f>_xlfn.XLOOKUP(A1525,Energy!A:A,Energy!H:H,0,-1)</f>
        <v>4628.4886231409118</v>
      </c>
      <c r="D1525">
        <f t="shared" si="92"/>
        <v>4631.7289985950847</v>
      </c>
      <c r="E1525">
        <f>_xlfn.XLOOKUP(A1525,Banks!A:A,Banks!I:I,0)</f>
        <v>0</v>
      </c>
      <c r="F1525">
        <f>_xlfn.XLOOKUP(A1525,Energy!A:A,Energy!I:I,0)</f>
        <v>43044.400771057233</v>
      </c>
      <c r="G1525">
        <f t="shared" si="93"/>
        <v>43044.400771057233</v>
      </c>
      <c r="H1525">
        <f t="shared" si="94"/>
        <v>38412.671772462149</v>
      </c>
      <c r="I1525" t="b">
        <f t="shared" si="95"/>
        <v>0</v>
      </c>
    </row>
    <row r="1526" spans="1:9">
      <c r="A1526" s="1">
        <v>46065.81527777778</v>
      </c>
      <c r="B1526" s="5">
        <f>_xlfn.XLOOKUP(A1526,Banks!A:A,Banks!H:H,0,-1)</f>
        <v>3.24037545417309</v>
      </c>
      <c r="C1526">
        <f>_xlfn.XLOOKUP(A1526,Energy!A:A,Energy!H:H,0,-1)</f>
        <v>4894.7309692921181</v>
      </c>
      <c r="D1526">
        <f t="shared" si="92"/>
        <v>4897.9713447462909</v>
      </c>
      <c r="E1526">
        <f>_xlfn.XLOOKUP(A1526,Banks!A:A,Banks!I:I,0)</f>
        <v>0</v>
      </c>
      <c r="F1526">
        <f>_xlfn.XLOOKUP(A1526,Energy!A:A,Energy!I:I,0)</f>
        <v>0</v>
      </c>
      <c r="G1526">
        <f t="shared" si="93"/>
        <v>0</v>
      </c>
      <c r="H1526">
        <f t="shared" si="94"/>
        <v>-4897.9713447462909</v>
      </c>
      <c r="I1526" t="b">
        <f t="shared" si="95"/>
        <v>0</v>
      </c>
    </row>
    <row r="1527" spans="1:9">
      <c r="A1527" s="1">
        <v>46066.605555555558</v>
      </c>
      <c r="B1527" s="5">
        <f>_xlfn.XLOOKUP(A1527,Banks!A:A,Banks!H:H,0,-1)</f>
        <v>3.24037545417309</v>
      </c>
      <c r="C1527">
        <f>_xlfn.XLOOKUP(A1527,Energy!A:A,Energy!H:H,0,-1)</f>
        <v>4894.7309692921181</v>
      </c>
      <c r="D1527">
        <f t="shared" si="92"/>
        <v>4897.9713447462909</v>
      </c>
      <c r="E1527">
        <f>_xlfn.XLOOKUP(A1527,Banks!A:A,Banks!I:I,0)</f>
        <v>0</v>
      </c>
      <c r="F1527">
        <f>_xlfn.XLOOKUP(A1527,Energy!A:A,Energy!I:I,0)</f>
        <v>43168.841978033888</v>
      </c>
      <c r="G1527">
        <f t="shared" si="93"/>
        <v>43168.841978033888</v>
      </c>
      <c r="H1527">
        <f t="shared" si="94"/>
        <v>38270.870633287595</v>
      </c>
      <c r="I1527" t="b">
        <f t="shared" si="95"/>
        <v>0</v>
      </c>
    </row>
    <row r="1528" spans="1:9">
      <c r="A1528" s="1">
        <v>46066.606249999997</v>
      </c>
      <c r="B1528" s="5">
        <f>_xlfn.XLOOKUP(A1528,Banks!A:A,Banks!H:H,0,-1)</f>
        <v>3.24037545417309</v>
      </c>
      <c r="C1528">
        <f>_xlfn.XLOOKUP(A1528,Energy!A:A,Energy!H:H,0,-1)</f>
        <v>5472.3363900701133</v>
      </c>
      <c r="D1528">
        <f t="shared" si="92"/>
        <v>5475.5767655242862</v>
      </c>
      <c r="E1528">
        <f>_xlfn.XLOOKUP(A1528,Banks!A:A,Banks!I:I,0)</f>
        <v>0</v>
      </c>
      <c r="F1528">
        <f>_xlfn.XLOOKUP(A1528,Energy!A:A,Energy!I:I,0)</f>
        <v>0</v>
      </c>
      <c r="G1528">
        <f t="shared" si="93"/>
        <v>0</v>
      </c>
      <c r="H1528">
        <f t="shared" si="94"/>
        <v>-5475.5767655242862</v>
      </c>
      <c r="I1528" t="b">
        <f t="shared" si="95"/>
        <v>0</v>
      </c>
    </row>
    <row r="1529" spans="1:9">
      <c r="A1529" s="1">
        <v>46070.604166666657</v>
      </c>
      <c r="B1529" s="5">
        <f>_xlfn.XLOOKUP(A1529,Banks!A:A,Banks!H:H,0,-1)</f>
        <v>3.24037545417309</v>
      </c>
      <c r="C1529">
        <f>_xlfn.XLOOKUP(A1529,Energy!A:A,Energy!H:H,0,-1)</f>
        <v>5472.3363900701133</v>
      </c>
      <c r="D1529">
        <f t="shared" si="92"/>
        <v>5475.5767655242862</v>
      </c>
      <c r="E1529">
        <f>_xlfn.XLOOKUP(A1529,Banks!A:A,Banks!I:I,0)</f>
        <v>40202.939658319432</v>
      </c>
      <c r="F1529">
        <f>_xlfn.XLOOKUP(A1529,Energy!A:A,Energy!I:I,0)</f>
        <v>0</v>
      </c>
      <c r="G1529">
        <f t="shared" si="93"/>
        <v>40202.939658319432</v>
      </c>
      <c r="H1529">
        <f t="shared" si="94"/>
        <v>34727.362892795143</v>
      </c>
      <c r="I1529" t="b">
        <f t="shared" si="95"/>
        <v>0</v>
      </c>
    </row>
    <row r="1530" spans="1:9">
      <c r="A1530" s="1">
        <v>46070.604861111111</v>
      </c>
      <c r="B1530" s="5">
        <f>_xlfn.XLOOKUP(A1530,Banks!A:A,Banks!H:H,0,-1)</f>
        <v>249.34152545209099</v>
      </c>
      <c r="C1530">
        <f>_xlfn.XLOOKUP(A1530,Energy!A:A,Energy!H:H,0,-1)</f>
        <v>5472.3363900701133</v>
      </c>
      <c r="D1530">
        <f t="shared" si="92"/>
        <v>5721.6779155222048</v>
      </c>
      <c r="E1530">
        <f>_xlfn.XLOOKUP(A1530,Banks!A:A,Banks!I:I,0)</f>
        <v>40164.881974693657</v>
      </c>
      <c r="F1530">
        <f>_xlfn.XLOOKUP(A1530,Energy!A:A,Energy!I:I,0)</f>
        <v>0</v>
      </c>
      <c r="G1530">
        <f t="shared" si="93"/>
        <v>40164.881974693657</v>
      </c>
      <c r="H1530">
        <f t="shared" si="94"/>
        <v>34443.204059171454</v>
      </c>
      <c r="I1530" t="b">
        <f t="shared" si="95"/>
        <v>0</v>
      </c>
    </row>
    <row r="1531" spans="1:9">
      <c r="A1531" s="1">
        <v>46070.605555555558</v>
      </c>
      <c r="B1531" s="5">
        <f>_xlfn.XLOOKUP(A1531,Banks!A:A,Banks!H:H,0,-1)</f>
        <v>541.5575112320862</v>
      </c>
      <c r="C1531">
        <f>_xlfn.XLOOKUP(A1531,Energy!A:A,Energy!H:H,0,-1)</f>
        <v>5472.3363900701133</v>
      </c>
      <c r="D1531">
        <f t="shared" si="92"/>
        <v>6013.8939013021991</v>
      </c>
      <c r="E1531">
        <f>_xlfn.XLOOKUP(A1531,Banks!A:A,Banks!I:I,0)</f>
        <v>40189.172944778868</v>
      </c>
      <c r="F1531">
        <f>_xlfn.XLOOKUP(A1531,Energy!A:A,Energy!I:I,0)</f>
        <v>0</v>
      </c>
      <c r="G1531">
        <f t="shared" si="93"/>
        <v>40189.172944778868</v>
      </c>
      <c r="H1531">
        <f t="shared" si="94"/>
        <v>34175.279043476665</v>
      </c>
      <c r="I1531" t="b">
        <f t="shared" si="95"/>
        <v>0</v>
      </c>
    </row>
    <row r="1532" spans="1:9">
      <c r="A1532" s="1">
        <v>46070.606249999997</v>
      </c>
      <c r="B1532" s="5">
        <f>_xlfn.XLOOKUP(A1532,Banks!A:A,Banks!H:H,0,-1)</f>
        <v>474.44517021078559</v>
      </c>
      <c r="C1532">
        <f>_xlfn.XLOOKUP(A1532,Energy!A:A,Energy!H:H,0,-1)</f>
        <v>5472.3363900701133</v>
      </c>
      <c r="D1532">
        <f t="shared" si="92"/>
        <v>5946.7815602808987</v>
      </c>
      <c r="E1532">
        <f>_xlfn.XLOOKUP(A1532,Banks!A:A,Banks!I:I,0)</f>
        <v>40160.571708987598</v>
      </c>
      <c r="F1532">
        <f>_xlfn.XLOOKUP(A1532,Energy!A:A,Energy!I:I,0)</f>
        <v>43168.841978033888</v>
      </c>
      <c r="G1532">
        <f t="shared" si="93"/>
        <v>83329.413687021486</v>
      </c>
      <c r="H1532">
        <f t="shared" si="94"/>
        <v>77382.632126740587</v>
      </c>
      <c r="I1532" t="b">
        <f t="shared" si="95"/>
        <v>1</v>
      </c>
    </row>
    <row r="1533" spans="1:9">
      <c r="A1533" s="1">
        <v>46070.606944444437</v>
      </c>
      <c r="B1533" s="5">
        <f>_xlfn.XLOOKUP(A1533,Banks!A:A,Banks!H:H,0,-1)</f>
        <v>555.07241354879739</v>
      </c>
      <c r="C1533">
        <f>_xlfn.XLOOKUP(A1533,Energy!A:A,Energy!H:H,0,-1)</f>
        <v>5172.4161055648092</v>
      </c>
      <c r="D1533">
        <f t="shared" si="92"/>
        <v>5727.4885191136063</v>
      </c>
      <c r="E1533">
        <f>_xlfn.XLOOKUP(A1533,Banks!A:A,Banks!I:I,0)</f>
        <v>40161.51839006818</v>
      </c>
      <c r="F1533">
        <f>_xlfn.XLOOKUP(A1533,Energy!A:A,Energy!I:I,0)</f>
        <v>43108.857921132832</v>
      </c>
      <c r="G1533">
        <f t="shared" si="93"/>
        <v>83270.37631120102</v>
      </c>
      <c r="H1533">
        <f t="shared" si="94"/>
        <v>77542.887792087407</v>
      </c>
      <c r="I1533" t="b">
        <f t="shared" si="95"/>
        <v>1</v>
      </c>
    </row>
    <row r="1534" spans="1:9">
      <c r="A1534" s="1">
        <v>46070.607638888891</v>
      </c>
      <c r="B1534" s="5">
        <f>_xlfn.XLOOKUP(A1534,Banks!A:A,Banks!H:H,0,-1)</f>
        <v>590.25021606073551</v>
      </c>
      <c r="C1534">
        <f>_xlfn.XLOOKUP(A1534,Energy!A:A,Energy!H:H,0,-1)</f>
        <v>5159.9194270437674</v>
      </c>
      <c r="D1534">
        <f t="shared" si="92"/>
        <v>5750.1696431045029</v>
      </c>
      <c r="E1534">
        <f>_xlfn.XLOOKUP(A1534,Banks!A:A,Banks!I:I,0)</f>
        <v>40210.295561434868</v>
      </c>
      <c r="F1534">
        <f>_xlfn.XLOOKUP(A1534,Energy!A:A,Energy!I:I,0)</f>
        <v>43106.358585428621</v>
      </c>
      <c r="G1534">
        <f t="shared" si="93"/>
        <v>83316.654146863497</v>
      </c>
      <c r="H1534">
        <f t="shared" si="94"/>
        <v>77566.484503758998</v>
      </c>
      <c r="I1534" t="b">
        <f t="shared" si="95"/>
        <v>1</v>
      </c>
    </row>
    <row r="1535" spans="1:9">
      <c r="A1535" s="1">
        <v>46070.60833333333</v>
      </c>
      <c r="B1535" s="5">
        <f>_xlfn.XLOOKUP(A1535,Banks!A:A,Banks!H:H,0,-1)</f>
        <v>568.73872540247396</v>
      </c>
      <c r="C1535">
        <f>_xlfn.XLOOKUP(A1535,Energy!A:A,Energy!H:H,0,-1)</f>
        <v>4822.5091069753171</v>
      </c>
      <c r="D1535">
        <f t="shared" si="92"/>
        <v>5391.2478323777914</v>
      </c>
      <c r="E1535">
        <f>_xlfn.XLOOKUP(A1535,Banks!A:A,Banks!I:I,0)</f>
        <v>40187.01980381945</v>
      </c>
      <c r="F1535">
        <f>_xlfn.XLOOKUP(A1535,Energy!A:A,Energy!I:I,0)</f>
        <v>43038.876521414932</v>
      </c>
      <c r="G1535">
        <f t="shared" si="93"/>
        <v>83225.896325234382</v>
      </c>
      <c r="H1535">
        <f t="shared" si="94"/>
        <v>77834.648492856591</v>
      </c>
      <c r="I1535" t="b">
        <f t="shared" si="95"/>
        <v>1</v>
      </c>
    </row>
    <row r="1536" spans="1:9">
      <c r="A1536" s="1">
        <v>46070.609027777777</v>
      </c>
      <c r="B1536" s="5">
        <f>_xlfn.XLOOKUP(A1536,Banks!A:A,Banks!H:H,0,-1)</f>
        <v>484.78854231773641</v>
      </c>
      <c r="C1536">
        <f>_xlfn.XLOOKUP(A1536,Energy!A:A,Energy!H:H,0,-1)</f>
        <v>4785.0190714121536</v>
      </c>
      <c r="D1536">
        <f t="shared" si="92"/>
        <v>5269.8076137298904</v>
      </c>
      <c r="E1536">
        <f>_xlfn.XLOOKUP(A1536,Banks!A:A,Banks!I:I,0)</f>
        <v>40253.712988931089</v>
      </c>
      <c r="F1536">
        <f>_xlfn.XLOOKUP(A1536,Energy!A:A,Energy!I:I,0)</f>
        <v>43031.378514302312</v>
      </c>
      <c r="G1536">
        <f t="shared" si="93"/>
        <v>83285.091503233401</v>
      </c>
      <c r="H1536">
        <f t="shared" si="94"/>
        <v>78015.283889503509</v>
      </c>
      <c r="I1536" t="b">
        <f t="shared" si="95"/>
        <v>1</v>
      </c>
    </row>
    <row r="1537" spans="1:9">
      <c r="A1537" s="1">
        <v>46070.609722222223</v>
      </c>
      <c r="B1537" s="5">
        <f>_xlfn.XLOOKUP(A1537,Banks!A:A,Banks!H:H,0,-1)</f>
        <v>391.02889148113178</v>
      </c>
      <c r="C1537">
        <f>_xlfn.XLOOKUP(A1537,Energy!A:A,Energy!H:H,0,-1)</f>
        <v>4984.9659277490118</v>
      </c>
      <c r="D1537">
        <f t="shared" si="92"/>
        <v>5375.9948192301435</v>
      </c>
      <c r="E1537">
        <f>_xlfn.XLOOKUP(A1537,Banks!A:A,Banks!I:I,0)</f>
        <v>40250.139826350787</v>
      </c>
      <c r="F1537">
        <f>_xlfn.XLOOKUP(A1537,Energy!A:A,Energy!I:I,0)</f>
        <v>43071.367885569671</v>
      </c>
      <c r="G1537">
        <f t="shared" si="93"/>
        <v>83321.507711920451</v>
      </c>
      <c r="H1537">
        <f t="shared" si="94"/>
        <v>77945.512892690313</v>
      </c>
      <c r="I1537" t="b">
        <f t="shared" si="95"/>
        <v>1</v>
      </c>
    </row>
    <row r="1538" spans="1:9">
      <c r="A1538" s="1">
        <v>46070.61041666667</v>
      </c>
      <c r="B1538" s="5">
        <f>_xlfn.XLOOKUP(A1538,Banks!A:A,Banks!H:H,0,-1)</f>
        <v>344.83437995488572</v>
      </c>
      <c r="C1538">
        <f>_xlfn.XLOOKUP(A1538,Energy!A:A,Energy!H:H,0,-1)</f>
        <v>4972.469249227951</v>
      </c>
      <c r="D1538">
        <f t="shared" si="92"/>
        <v>5317.3036291828366</v>
      </c>
      <c r="E1538">
        <f>_xlfn.XLOOKUP(A1538,Banks!A:A,Banks!I:I,0)</f>
        <v>40324.384145774129</v>
      </c>
      <c r="F1538">
        <f>_xlfn.XLOOKUP(A1538,Energy!A:A,Energy!I:I,0)</f>
        <v>43068.868549865467</v>
      </c>
      <c r="G1538">
        <f t="shared" si="93"/>
        <v>83393.252695639589</v>
      </c>
      <c r="H1538">
        <f t="shared" si="94"/>
        <v>78075.949066456757</v>
      </c>
      <c r="I1538" t="b">
        <f t="shared" si="95"/>
        <v>1</v>
      </c>
    </row>
    <row r="1539" spans="1:9">
      <c r="A1539" s="1">
        <v>46070.611111111109</v>
      </c>
      <c r="B1539" s="5">
        <f>_xlfn.XLOOKUP(A1539,Banks!A:A,Banks!H:H,0,-1)</f>
        <v>360.69606603701578</v>
      </c>
      <c r="C1539">
        <f>_xlfn.XLOOKUP(A1539,Energy!A:A,Energy!H:H,0,-1)</f>
        <v>4872.4958210595223</v>
      </c>
      <c r="D1539">
        <f t="shared" ref="D1539:D1602" si="96">B1539+C1539</f>
        <v>5233.1918870965383</v>
      </c>
      <c r="E1539">
        <f>_xlfn.XLOOKUP(A1539,Banks!A:A,Banks!I:I,0)</f>
        <v>40338.940558680821</v>
      </c>
      <c r="F1539">
        <f>_xlfn.XLOOKUP(A1539,Energy!A:A,Energy!I:I,0)</f>
        <v>43048.873864231777</v>
      </c>
      <c r="G1539">
        <f t="shared" ref="G1539:G1602" si="97">F1539+E1539</f>
        <v>83387.814422912605</v>
      </c>
      <c r="H1539">
        <f t="shared" ref="H1539:H1602" si="98">G1539-D1539</f>
        <v>78154.622535816074</v>
      </c>
      <c r="I1539" t="b">
        <f t="shared" ref="I1539:I1602" si="99">AND(E1539&gt;0,F1539&gt;0)</f>
        <v>1</v>
      </c>
    </row>
    <row r="1540" spans="1:9">
      <c r="A1540" s="1">
        <v>46070.611805555563</v>
      </c>
      <c r="B1540" s="5">
        <f>_xlfn.XLOOKUP(A1540,Banks!A:A,Banks!H:H,0,-1)</f>
        <v>297.18956490037198</v>
      </c>
      <c r="C1540">
        <f>_xlfn.XLOOKUP(A1540,Energy!A:A,Energy!H:H,0,-1)</f>
        <v>4697.5423217647676</v>
      </c>
      <c r="D1540">
        <f t="shared" si="96"/>
        <v>4994.7318866651394</v>
      </c>
      <c r="E1540">
        <f>_xlfn.XLOOKUP(A1540,Banks!A:A,Banks!I:I,0)</f>
        <v>40383.159636904798</v>
      </c>
      <c r="F1540">
        <f>_xlfn.XLOOKUP(A1540,Energy!A:A,Energy!I:I,0)</f>
        <v>43013.883164372819</v>
      </c>
      <c r="G1540">
        <f t="shared" si="97"/>
        <v>83397.042801277625</v>
      </c>
      <c r="H1540">
        <f t="shared" si="98"/>
        <v>78402.310914612492</v>
      </c>
      <c r="I1540" t="b">
        <f t="shared" si="99"/>
        <v>1</v>
      </c>
    </row>
    <row r="1541" spans="1:9">
      <c r="A1541" s="1">
        <v>46070.612500000003</v>
      </c>
      <c r="B1541" s="5">
        <f>_xlfn.XLOOKUP(A1541,Banks!A:A,Banks!H:H,0,-1)</f>
        <v>535.84599877286178</v>
      </c>
      <c r="C1541">
        <f>_xlfn.XLOOKUP(A1541,Energy!A:A,Energy!H:H,0,-1)</f>
        <v>4697.5423217647676</v>
      </c>
      <c r="D1541">
        <f t="shared" si="96"/>
        <v>5233.3883205376296</v>
      </c>
      <c r="E1541">
        <f>_xlfn.XLOOKUP(A1541,Banks!A:A,Banks!I:I,0)</f>
        <v>0</v>
      </c>
      <c r="F1541">
        <f>_xlfn.XLOOKUP(A1541,Energy!A:A,Energy!I:I,0)</f>
        <v>43013.883164372819</v>
      </c>
      <c r="G1541">
        <f t="shared" si="97"/>
        <v>43013.883164372819</v>
      </c>
      <c r="H1541">
        <f t="shared" si="98"/>
        <v>37780.494843835186</v>
      </c>
      <c r="I1541" t="b">
        <f t="shared" si="99"/>
        <v>0</v>
      </c>
    </row>
    <row r="1542" spans="1:9">
      <c r="A1542" s="1">
        <v>46070.613194444442</v>
      </c>
      <c r="B1542" s="5">
        <f>_xlfn.XLOOKUP(A1542,Banks!A:A,Banks!H:H,0,-1)</f>
        <v>535.84599877286178</v>
      </c>
      <c r="C1542">
        <f>_xlfn.XLOOKUP(A1542,Energy!A:A,Energy!H:H,0,-1)</f>
        <v>4485.0987869068495</v>
      </c>
      <c r="D1542">
        <f t="shared" si="96"/>
        <v>5020.9447856797115</v>
      </c>
      <c r="E1542">
        <f>_xlfn.XLOOKUP(A1542,Banks!A:A,Banks!I:I,0)</f>
        <v>0</v>
      </c>
      <c r="F1542">
        <f>_xlfn.XLOOKUP(A1542,Energy!A:A,Energy!I:I,0)</f>
        <v>42971.394457401242</v>
      </c>
      <c r="G1542">
        <f t="shared" si="97"/>
        <v>42971.394457401242</v>
      </c>
      <c r="H1542">
        <f t="shared" si="98"/>
        <v>37950.44967172153</v>
      </c>
      <c r="I1542" t="b">
        <f t="shared" si="99"/>
        <v>0</v>
      </c>
    </row>
    <row r="1543" spans="1:9">
      <c r="A1543" s="1">
        <v>46070.613888888889</v>
      </c>
      <c r="B1543" s="5">
        <f>_xlfn.XLOOKUP(A1543,Banks!A:A,Banks!H:H,0,-1)</f>
        <v>535.84599877286178</v>
      </c>
      <c r="C1543">
        <f>_xlfn.XLOOKUP(A1543,Energy!A:A,Energy!H:H,0,-1)</f>
        <v>5498.6572798070638</v>
      </c>
      <c r="D1543">
        <f t="shared" si="96"/>
        <v>6034.5032785799258</v>
      </c>
      <c r="E1543">
        <f>_xlfn.XLOOKUP(A1543,Banks!A:A,Banks!I:I,0)</f>
        <v>0</v>
      </c>
      <c r="F1543">
        <f>_xlfn.XLOOKUP(A1543,Energy!A:A,Energy!I:I,0)</f>
        <v>0</v>
      </c>
      <c r="G1543">
        <f t="shared" si="97"/>
        <v>0</v>
      </c>
      <c r="H1543">
        <f t="shared" si="98"/>
        <v>-6034.5032785799258</v>
      </c>
      <c r="I1543" t="b">
        <f t="shared" si="99"/>
        <v>0</v>
      </c>
    </row>
    <row r="1544" spans="1:9">
      <c r="A1544" s="1">
        <v>46070.854166666657</v>
      </c>
      <c r="B1544" s="5">
        <f>_xlfn.XLOOKUP(A1544,Banks!A:A,Banks!H:H,0,-1)</f>
        <v>535.84599877286178</v>
      </c>
      <c r="C1544">
        <f>_xlfn.XLOOKUP(A1544,Energy!A:A,Energy!H:H,0,-1)</f>
        <v>5498.6572798070638</v>
      </c>
      <c r="D1544">
        <f t="shared" si="96"/>
        <v>6034.5032785799258</v>
      </c>
      <c r="E1544">
        <f>_xlfn.XLOOKUP(A1544,Banks!A:A,Banks!I:I,0)</f>
        <v>0</v>
      </c>
      <c r="F1544">
        <f>_xlfn.XLOOKUP(A1544,Energy!A:A,Energy!I:I,0)</f>
        <v>43168.841978033888</v>
      </c>
      <c r="G1544">
        <f t="shared" si="97"/>
        <v>43168.841978033888</v>
      </c>
      <c r="H1544">
        <f t="shared" si="98"/>
        <v>37134.338699453961</v>
      </c>
      <c r="I1544" t="b">
        <f t="shared" si="99"/>
        <v>0</v>
      </c>
    </row>
    <row r="1545" spans="1:9">
      <c r="A1545" s="1">
        <v>46070.854861111111</v>
      </c>
      <c r="B1545" s="5">
        <f>_xlfn.XLOOKUP(A1545,Banks!A:A,Banks!H:H,0,-1)</f>
        <v>535.84599877286178</v>
      </c>
      <c r="C1545">
        <f>_xlfn.XLOOKUP(A1545,Energy!A:A,Energy!H:H,0,-1)</f>
        <v>5642.7751696482146</v>
      </c>
      <c r="D1545">
        <f t="shared" si="96"/>
        <v>6178.6211684210766</v>
      </c>
      <c r="E1545">
        <f>_xlfn.XLOOKUP(A1545,Banks!A:A,Banks!I:I,0)</f>
        <v>0</v>
      </c>
      <c r="F1545">
        <f>_xlfn.XLOOKUP(A1545,Energy!A:A,Energy!I:I,0)</f>
        <v>43152.191872041323</v>
      </c>
      <c r="G1545">
        <f t="shared" si="97"/>
        <v>43152.191872041323</v>
      </c>
      <c r="H1545">
        <f t="shared" si="98"/>
        <v>36973.570703620244</v>
      </c>
      <c r="I1545" t="b">
        <f t="shared" si="99"/>
        <v>0</v>
      </c>
    </row>
    <row r="1546" spans="1:9">
      <c r="A1546" s="1">
        <v>46070.855555555558</v>
      </c>
      <c r="B1546" s="5">
        <f>_xlfn.XLOOKUP(A1546,Banks!A:A,Banks!H:H,0,-1)</f>
        <v>535.84599877286178</v>
      </c>
      <c r="C1546">
        <f>_xlfn.XLOOKUP(A1546,Energy!A:A,Energy!H:H,0,-1)</f>
        <v>5708.6165673230698</v>
      </c>
      <c r="D1546">
        <f t="shared" si="96"/>
        <v>6244.4625660959318</v>
      </c>
      <c r="E1546">
        <f>_xlfn.XLOOKUP(A1546,Banks!A:A,Banks!I:I,0)</f>
        <v>0</v>
      </c>
      <c r="F1546">
        <f>_xlfn.XLOOKUP(A1546,Energy!A:A,Energy!I:I,0)</f>
        <v>43155.254888473879</v>
      </c>
      <c r="G1546">
        <f t="shared" si="97"/>
        <v>43155.254888473879</v>
      </c>
      <c r="H1546">
        <f t="shared" si="98"/>
        <v>36910.792322377951</v>
      </c>
      <c r="I1546" t="b">
        <f t="shared" si="99"/>
        <v>0</v>
      </c>
    </row>
    <row r="1547" spans="1:9">
      <c r="A1547" s="1">
        <v>46070.856249999997</v>
      </c>
      <c r="B1547" s="5">
        <f>_xlfn.XLOOKUP(A1547,Banks!A:A,Banks!H:H,0,-1)</f>
        <v>535.84599877286178</v>
      </c>
      <c r="C1547">
        <f>_xlfn.XLOOKUP(A1547,Energy!A:A,Energy!H:H,0,-1)</f>
        <v>5698.3246440534558</v>
      </c>
      <c r="D1547">
        <f t="shared" si="96"/>
        <v>6234.1706428263178</v>
      </c>
      <c r="E1547">
        <f>_xlfn.XLOOKUP(A1547,Banks!A:A,Banks!I:I,0)</f>
        <v>0</v>
      </c>
      <c r="F1547">
        <f>_xlfn.XLOOKUP(A1547,Energy!A:A,Energy!I:I,0)</f>
        <v>43138.038609166353</v>
      </c>
      <c r="G1547">
        <f t="shared" si="97"/>
        <v>43138.038609166353</v>
      </c>
      <c r="H1547">
        <f t="shared" si="98"/>
        <v>36903.867966340033</v>
      </c>
      <c r="I1547" t="b">
        <f t="shared" si="99"/>
        <v>0</v>
      </c>
    </row>
    <row r="1548" spans="1:9">
      <c r="A1548" s="1">
        <v>46070.856944444437</v>
      </c>
      <c r="B1548" s="5">
        <f>_xlfn.XLOOKUP(A1548,Banks!A:A,Banks!H:H,0,-1)</f>
        <v>535.84599877286178</v>
      </c>
      <c r="C1548">
        <f>_xlfn.XLOOKUP(A1548,Energy!A:A,Energy!H:H,0,-1)</f>
        <v>5660.4299074194441</v>
      </c>
      <c r="D1548">
        <f t="shared" si="96"/>
        <v>6196.2759061923061</v>
      </c>
      <c r="E1548">
        <f>_xlfn.XLOOKUP(A1548,Banks!A:A,Banks!I:I,0)</f>
        <v>0</v>
      </c>
      <c r="F1548">
        <f>_xlfn.XLOOKUP(A1548,Energy!A:A,Energy!I:I,0)</f>
        <v>43145.617556493147</v>
      </c>
      <c r="G1548">
        <f t="shared" si="97"/>
        <v>43145.617556493147</v>
      </c>
      <c r="H1548">
        <f t="shared" si="98"/>
        <v>36949.341650300841</v>
      </c>
      <c r="I1548" t="b">
        <f t="shared" si="99"/>
        <v>0</v>
      </c>
    </row>
    <row r="1549" spans="1:9">
      <c r="A1549" s="1">
        <v>46070.857638888891</v>
      </c>
      <c r="B1549" s="5">
        <f>_xlfn.XLOOKUP(A1549,Banks!A:A,Banks!H:H,0,-1)</f>
        <v>535.84599877286178</v>
      </c>
      <c r="C1549">
        <f>_xlfn.XLOOKUP(A1549,Energy!A:A,Energy!H:H,0,-1)</f>
        <v>5711.3000706079083</v>
      </c>
      <c r="D1549">
        <f t="shared" si="96"/>
        <v>6247.1460693807703</v>
      </c>
      <c r="E1549">
        <f>_xlfn.XLOOKUP(A1549,Banks!A:A,Banks!I:I,0)</f>
        <v>0</v>
      </c>
      <c r="F1549">
        <f>_xlfn.XLOOKUP(A1549,Energy!A:A,Energy!I:I,0)</f>
        <v>43170.949483784447</v>
      </c>
      <c r="G1549">
        <f t="shared" si="97"/>
        <v>43170.949483784447</v>
      </c>
      <c r="H1549">
        <f t="shared" si="98"/>
        <v>36923.803414403679</v>
      </c>
      <c r="I1549" t="b">
        <f t="shared" si="99"/>
        <v>0</v>
      </c>
    </row>
    <row r="1550" spans="1:9">
      <c r="A1550" s="1">
        <v>46070.85833333333</v>
      </c>
      <c r="B1550" s="5">
        <f>_xlfn.XLOOKUP(A1550,Banks!A:A,Banks!H:H,0,-1)</f>
        <v>535.84599877286178</v>
      </c>
      <c r="C1550">
        <f>_xlfn.XLOOKUP(A1550,Energy!A:A,Energy!H:H,0,-1)</f>
        <v>5746.6049021673134</v>
      </c>
      <c r="D1550">
        <f t="shared" si="96"/>
        <v>6282.4509009401754</v>
      </c>
      <c r="E1550">
        <f>_xlfn.XLOOKUP(A1550,Banks!A:A,Banks!I:I,0)</f>
        <v>0</v>
      </c>
      <c r="F1550">
        <f>_xlfn.XLOOKUP(A1550,Energy!A:A,Energy!I:I,0)</f>
        <v>0</v>
      </c>
      <c r="G1550">
        <f t="shared" si="97"/>
        <v>0</v>
      </c>
      <c r="H1550">
        <f t="shared" si="98"/>
        <v>-6282.4509009401754</v>
      </c>
      <c r="I1550" t="b">
        <f t="shared" si="99"/>
        <v>0</v>
      </c>
    </row>
    <row r="1551" spans="1:9">
      <c r="A1551" s="1">
        <v>46071.604166666657</v>
      </c>
      <c r="B1551" s="5">
        <f>_xlfn.XLOOKUP(A1551,Banks!A:A,Banks!H:H,0,-1)</f>
        <v>535.84599877286178</v>
      </c>
      <c r="C1551">
        <f>_xlfn.XLOOKUP(A1551,Energy!A:A,Energy!H:H,0,-1)</f>
        <v>5746.6049021673134</v>
      </c>
      <c r="D1551">
        <f t="shared" si="96"/>
        <v>6282.4509009401754</v>
      </c>
      <c r="E1551">
        <f>_xlfn.XLOOKUP(A1551,Banks!A:A,Banks!I:I,0)</f>
        <v>0</v>
      </c>
      <c r="F1551">
        <f>_xlfn.XLOOKUP(A1551,Energy!A:A,Energy!I:I,0)</f>
        <v>43168.841978033888</v>
      </c>
      <c r="G1551">
        <f t="shared" si="97"/>
        <v>43168.841978033888</v>
      </c>
      <c r="H1551">
        <f t="shared" si="98"/>
        <v>36886.391077093715</v>
      </c>
      <c r="I1551" t="b">
        <f t="shared" si="99"/>
        <v>0</v>
      </c>
    </row>
    <row r="1552" spans="1:9">
      <c r="A1552" s="1">
        <v>46071.604861111111</v>
      </c>
      <c r="B1552" s="5">
        <f>_xlfn.XLOOKUP(A1552,Banks!A:A,Banks!H:H,0,-1)</f>
        <v>535.84599877286178</v>
      </c>
      <c r="C1552">
        <f>_xlfn.XLOOKUP(A1552,Energy!A:A,Energy!H:H,0,-1)</f>
        <v>5882.9651278272222</v>
      </c>
      <c r="D1552">
        <f t="shared" si="96"/>
        <v>6418.8111266000842</v>
      </c>
      <c r="E1552">
        <f>_xlfn.XLOOKUP(A1552,Banks!A:A,Banks!I:I,0)</f>
        <v>0</v>
      </c>
      <c r="F1552">
        <f>_xlfn.XLOOKUP(A1552,Energy!A:A,Energy!I:I,0)</f>
        <v>43141.569932901912</v>
      </c>
      <c r="G1552">
        <f t="shared" si="97"/>
        <v>43141.569932901912</v>
      </c>
      <c r="H1552">
        <f t="shared" si="98"/>
        <v>36722.758806301827</v>
      </c>
      <c r="I1552" t="b">
        <f t="shared" si="99"/>
        <v>0</v>
      </c>
    </row>
    <row r="1553" spans="1:9">
      <c r="A1553" s="1">
        <v>46071.605555555558</v>
      </c>
      <c r="B1553" s="5">
        <f>_xlfn.XLOOKUP(A1553,Banks!A:A,Banks!H:H,0,-1)</f>
        <v>535.84599877286178</v>
      </c>
      <c r="C1553">
        <f>_xlfn.XLOOKUP(A1553,Energy!A:A,Energy!H:H,0,-1)</f>
        <v>6106.1000425434477</v>
      </c>
      <c r="D1553">
        <f t="shared" si="96"/>
        <v>6641.9460413163097</v>
      </c>
      <c r="E1553">
        <f>_xlfn.XLOOKUP(A1553,Banks!A:A,Banks!I:I,0)</f>
        <v>0</v>
      </c>
      <c r="F1553">
        <f>_xlfn.XLOOKUP(A1553,Energy!A:A,Energy!I:I,0)</f>
        <v>43096.942949958669</v>
      </c>
      <c r="G1553">
        <f t="shared" si="97"/>
        <v>43096.942949958669</v>
      </c>
      <c r="H1553">
        <f t="shared" si="98"/>
        <v>36454.996908642359</v>
      </c>
      <c r="I1553" t="b">
        <f t="shared" si="99"/>
        <v>0</v>
      </c>
    </row>
    <row r="1554" spans="1:9">
      <c r="A1554" s="1">
        <v>46071.606249999997</v>
      </c>
      <c r="B1554" s="5">
        <f>_xlfn.XLOOKUP(A1554,Banks!A:A,Banks!H:H,0,-1)</f>
        <v>535.84599877286178</v>
      </c>
      <c r="C1554">
        <f>_xlfn.XLOOKUP(A1554,Energy!A:A,Energy!H:H,0,-1)</f>
        <v>6209.8719694073561</v>
      </c>
      <c r="D1554">
        <f t="shared" si="96"/>
        <v>6745.7179681802181</v>
      </c>
      <c r="E1554">
        <f>_xlfn.XLOOKUP(A1554,Banks!A:A,Banks!I:I,0)</f>
        <v>0</v>
      </c>
      <c r="F1554">
        <f>_xlfn.XLOOKUP(A1554,Energy!A:A,Energy!I:I,0)</f>
        <v>42854.893991332363</v>
      </c>
      <c r="G1554">
        <f t="shared" si="97"/>
        <v>42854.893991332363</v>
      </c>
      <c r="H1554">
        <f t="shared" si="98"/>
        <v>36109.176023152148</v>
      </c>
      <c r="I1554" t="b">
        <f t="shared" si="99"/>
        <v>0</v>
      </c>
    </row>
    <row r="1555" spans="1:9">
      <c r="A1555" s="1">
        <v>46071.606944444437</v>
      </c>
      <c r="B1555" s="5">
        <f>_xlfn.XLOOKUP(A1555,Banks!A:A,Banks!H:H,0,-1)</f>
        <v>535.84599877286178</v>
      </c>
      <c r="C1555">
        <f>_xlfn.XLOOKUP(A1555,Energy!A:A,Energy!H:H,0,-1)</f>
        <v>5503.2780728059925</v>
      </c>
      <c r="D1555">
        <f t="shared" si="96"/>
        <v>6039.1240715788545</v>
      </c>
      <c r="E1555">
        <f>_xlfn.XLOOKUP(A1555,Banks!A:A,Banks!I:I,0)</f>
        <v>0</v>
      </c>
      <c r="F1555">
        <f>_xlfn.XLOOKUP(A1555,Energy!A:A,Energy!I:I,0)</f>
        <v>42996.212770652623</v>
      </c>
      <c r="G1555">
        <f t="shared" si="97"/>
        <v>42996.212770652623</v>
      </c>
      <c r="H1555">
        <f t="shared" si="98"/>
        <v>36957.088699073771</v>
      </c>
      <c r="I1555" t="b">
        <f t="shared" si="99"/>
        <v>0</v>
      </c>
    </row>
    <row r="1556" spans="1:9">
      <c r="A1556" s="1">
        <v>46071.607638888891</v>
      </c>
      <c r="B1556" s="5">
        <f>_xlfn.XLOOKUP(A1556,Banks!A:A,Banks!H:H,0,-1)</f>
        <v>535.84599877286178</v>
      </c>
      <c r="C1556">
        <f>_xlfn.XLOOKUP(A1556,Energy!A:A,Energy!H:H,0,-1)</f>
        <v>6073.5117437474464</v>
      </c>
      <c r="D1556">
        <f t="shared" si="96"/>
        <v>6609.3577425203084</v>
      </c>
      <c r="E1556">
        <f>_xlfn.XLOOKUP(A1556,Banks!A:A,Banks!I:I,0)</f>
        <v>0</v>
      </c>
      <c r="F1556">
        <f>_xlfn.XLOOKUP(A1556,Energy!A:A,Energy!I:I,0)</f>
        <v>42882.166036464332</v>
      </c>
      <c r="G1556">
        <f t="shared" si="97"/>
        <v>42882.166036464332</v>
      </c>
      <c r="H1556">
        <f t="shared" si="98"/>
        <v>36272.808293944021</v>
      </c>
      <c r="I1556" t="b">
        <f t="shared" si="99"/>
        <v>0</v>
      </c>
    </row>
    <row r="1557" spans="1:9">
      <c r="A1557" s="1">
        <v>46071.60833333333</v>
      </c>
      <c r="B1557" s="5">
        <f>_xlfn.XLOOKUP(A1557,Banks!A:A,Banks!H:H,0,-1)</f>
        <v>535.84599877286178</v>
      </c>
      <c r="C1557">
        <f>_xlfn.XLOOKUP(A1557,Energy!A:A,Energy!H:H,0,-1)</f>
        <v>5751.2057558240149</v>
      </c>
      <c r="D1557">
        <f t="shared" si="96"/>
        <v>6287.0517545968769</v>
      </c>
      <c r="E1557">
        <f>_xlfn.XLOOKUP(A1557,Banks!A:A,Banks!I:I,0)</f>
        <v>0</v>
      </c>
      <c r="F1557">
        <f>_xlfn.XLOOKUP(A1557,Energy!A:A,Energy!I:I,0)</f>
        <v>42946.627234049018</v>
      </c>
      <c r="G1557">
        <f t="shared" si="97"/>
        <v>42946.627234049018</v>
      </c>
      <c r="H1557">
        <f t="shared" si="98"/>
        <v>36659.575479452142</v>
      </c>
      <c r="I1557" t="b">
        <f t="shared" si="99"/>
        <v>0</v>
      </c>
    </row>
    <row r="1558" spans="1:9">
      <c r="A1558" s="1">
        <v>46071.609027777777</v>
      </c>
      <c r="B1558" s="5">
        <f>_xlfn.XLOOKUP(A1558,Banks!A:A,Banks!H:H,0,-1)</f>
        <v>535.84599877286178</v>
      </c>
      <c r="C1558">
        <f>_xlfn.XLOOKUP(A1558,Energy!A:A,Energy!H:H,0,-1)</f>
        <v>6023.9262071438343</v>
      </c>
      <c r="D1558">
        <f t="shared" si="96"/>
        <v>6559.7722059166963</v>
      </c>
      <c r="E1558">
        <f>_xlfn.XLOOKUP(A1558,Banks!A:A,Banks!I:I,0)</f>
        <v>0</v>
      </c>
      <c r="F1558">
        <f>_xlfn.XLOOKUP(A1558,Energy!A:A,Energy!I:I,0)</f>
        <v>42892.08314378505</v>
      </c>
      <c r="G1558">
        <f t="shared" si="97"/>
        <v>42892.08314378505</v>
      </c>
      <c r="H1558">
        <f t="shared" si="98"/>
        <v>36332.310937868351</v>
      </c>
      <c r="I1558" t="b">
        <f t="shared" si="99"/>
        <v>0</v>
      </c>
    </row>
    <row r="1559" spans="1:9">
      <c r="A1559" s="1">
        <v>46071.609722222223</v>
      </c>
      <c r="B1559" s="5">
        <f>_xlfn.XLOOKUP(A1559,Banks!A:A,Banks!H:H,0,-1)</f>
        <v>535.84599877286178</v>
      </c>
      <c r="C1559">
        <f>_xlfn.XLOOKUP(A1559,Energy!A:A,Energy!H:H,0,-1)</f>
        <v>5924.7551339366291</v>
      </c>
      <c r="D1559">
        <f t="shared" si="96"/>
        <v>6460.6011327094911</v>
      </c>
      <c r="E1559">
        <f>_xlfn.XLOOKUP(A1559,Banks!A:A,Banks!I:I,0)</f>
        <v>0</v>
      </c>
      <c r="F1559">
        <f>_xlfn.XLOOKUP(A1559,Energy!A:A,Energy!I:I,0)</f>
        <v>42911.917358426494</v>
      </c>
      <c r="G1559">
        <f t="shared" si="97"/>
        <v>42911.917358426494</v>
      </c>
      <c r="H1559">
        <f t="shared" si="98"/>
        <v>36451.316225717004</v>
      </c>
      <c r="I1559" t="b">
        <f t="shared" si="99"/>
        <v>0</v>
      </c>
    </row>
    <row r="1560" spans="1:9">
      <c r="A1560" s="1">
        <v>46071.61041666667</v>
      </c>
      <c r="B1560" s="5">
        <f>_xlfn.XLOOKUP(A1560,Banks!A:A,Banks!H:H,0,-1)</f>
        <v>535.84599877286178</v>
      </c>
      <c r="C1560">
        <f>_xlfn.XLOOKUP(A1560,Energy!A:A,Energy!H:H,0,-1)</f>
        <v>5899.9623656348322</v>
      </c>
      <c r="D1560">
        <f t="shared" si="96"/>
        <v>6435.8083644076942</v>
      </c>
      <c r="E1560">
        <f>_xlfn.XLOOKUP(A1560,Banks!A:A,Banks!I:I,0)</f>
        <v>0</v>
      </c>
      <c r="F1560">
        <f>_xlfn.XLOOKUP(A1560,Energy!A:A,Energy!I:I,0)</f>
        <v>42916.875912086864</v>
      </c>
      <c r="G1560">
        <f t="shared" si="97"/>
        <v>42916.875912086864</v>
      </c>
      <c r="H1560">
        <f t="shared" si="98"/>
        <v>36481.067547679166</v>
      </c>
      <c r="I1560" t="b">
        <f t="shared" si="99"/>
        <v>0</v>
      </c>
    </row>
    <row r="1561" spans="1:9">
      <c r="A1561" s="1">
        <v>46071.611111111109</v>
      </c>
      <c r="B1561" s="5">
        <f>_xlfn.XLOOKUP(A1561,Banks!A:A,Banks!H:H,0,-1)</f>
        <v>535.84599877286178</v>
      </c>
      <c r="C1561">
        <f>_xlfn.XLOOKUP(A1561,Energy!A:A,Energy!H:H,0,-1)</f>
        <v>6147.8900486528373</v>
      </c>
      <c r="D1561">
        <f t="shared" si="96"/>
        <v>6683.7360474256993</v>
      </c>
      <c r="E1561">
        <f>_xlfn.XLOOKUP(A1561,Banks!A:A,Banks!I:I,0)</f>
        <v>0</v>
      </c>
      <c r="F1561">
        <f>_xlfn.XLOOKUP(A1561,Energy!A:A,Energy!I:I,0)</f>
        <v>42867.290375483251</v>
      </c>
      <c r="G1561">
        <f t="shared" si="97"/>
        <v>42867.290375483251</v>
      </c>
      <c r="H1561">
        <f t="shared" si="98"/>
        <v>36183.554328057551</v>
      </c>
      <c r="I1561" t="b">
        <f t="shared" si="99"/>
        <v>0</v>
      </c>
    </row>
    <row r="1562" spans="1:9">
      <c r="A1562" s="1">
        <v>46071.611805555563</v>
      </c>
      <c r="B1562" s="5">
        <f>_xlfn.XLOOKUP(A1562,Banks!A:A,Banks!H:H,0,-1)</f>
        <v>535.84599877286178</v>
      </c>
      <c r="C1562">
        <f>_xlfn.XLOOKUP(A1562,Energy!A:A,Energy!H:H,0,-1)</f>
        <v>5949.5479022384261</v>
      </c>
      <c r="D1562">
        <f t="shared" si="96"/>
        <v>6485.3939010112881</v>
      </c>
      <c r="E1562">
        <f>_xlfn.XLOOKUP(A1562,Banks!A:A,Banks!I:I,0)</f>
        <v>0</v>
      </c>
      <c r="F1562">
        <f>_xlfn.XLOOKUP(A1562,Energy!A:A,Energy!I:I,0)</f>
        <v>42906.958804766138</v>
      </c>
      <c r="G1562">
        <f t="shared" si="97"/>
        <v>42906.958804766138</v>
      </c>
      <c r="H1562">
        <f t="shared" si="98"/>
        <v>36421.56490375485</v>
      </c>
      <c r="I1562" t="b">
        <f t="shared" si="99"/>
        <v>0</v>
      </c>
    </row>
    <row r="1563" spans="1:9">
      <c r="A1563" s="1">
        <v>46071.612500000003</v>
      </c>
      <c r="B1563" s="5">
        <f>_xlfn.XLOOKUP(A1563,Banks!A:A,Banks!H:H,0,-1)</f>
        <v>535.84599877286178</v>
      </c>
      <c r="C1563">
        <f>_xlfn.XLOOKUP(A1563,Energy!A:A,Energy!H:H,0,-1)</f>
        <v>6248.6165251053208</v>
      </c>
      <c r="D1563">
        <f t="shared" si="96"/>
        <v>6784.4625238781828</v>
      </c>
      <c r="E1563">
        <f>_xlfn.XLOOKUP(A1563,Banks!A:A,Banks!I:I,0)</f>
        <v>0</v>
      </c>
      <c r="F1563">
        <f>_xlfn.XLOOKUP(A1563,Energy!A:A,Energy!I:I,0)</f>
        <v>0</v>
      </c>
      <c r="G1563">
        <f t="shared" si="97"/>
        <v>0</v>
      </c>
      <c r="H1563">
        <f t="shared" si="98"/>
        <v>-6784.4625238781828</v>
      </c>
      <c r="I1563" t="b">
        <f t="shared" si="99"/>
        <v>0</v>
      </c>
    </row>
    <row r="1564" spans="1:9">
      <c r="A1564" s="1">
        <v>46071.84097222222</v>
      </c>
      <c r="B1564" s="5">
        <f>_xlfn.XLOOKUP(A1564,Banks!A:A,Banks!H:H,0,-1)</f>
        <v>535.84599877286178</v>
      </c>
      <c r="C1564">
        <f>_xlfn.XLOOKUP(A1564,Energy!A:A,Energy!H:H,0,-1)</f>
        <v>6248.6165251053208</v>
      </c>
      <c r="D1564">
        <f t="shared" si="96"/>
        <v>6784.4625238781828</v>
      </c>
      <c r="E1564">
        <f>_xlfn.XLOOKUP(A1564,Banks!A:A,Banks!I:I,0)</f>
        <v>0</v>
      </c>
      <c r="F1564">
        <f>_xlfn.XLOOKUP(A1564,Energy!A:A,Energy!I:I,0)</f>
        <v>43168.841978033888</v>
      </c>
      <c r="G1564">
        <f t="shared" si="97"/>
        <v>43168.841978033888</v>
      </c>
      <c r="H1564">
        <f t="shared" si="98"/>
        <v>36384.379454155707</v>
      </c>
      <c r="I1564" t="b">
        <f t="shared" si="99"/>
        <v>0</v>
      </c>
    </row>
    <row r="1565" spans="1:9">
      <c r="A1565" s="1">
        <v>46071.841666666667</v>
      </c>
      <c r="B1565" s="5">
        <f>_xlfn.XLOOKUP(A1565,Banks!A:A,Banks!H:H,0,-1)</f>
        <v>535.84599877286178</v>
      </c>
      <c r="C1565">
        <f>_xlfn.XLOOKUP(A1565,Energy!A:A,Energy!H:H,0,-1)</f>
        <v>6185.0211265889384</v>
      </c>
      <c r="D1565">
        <f t="shared" si="96"/>
        <v>6720.8671253618004</v>
      </c>
      <c r="E1565">
        <f>_xlfn.XLOOKUP(A1565,Banks!A:A,Banks!I:I,0)</f>
        <v>0</v>
      </c>
      <c r="F1565">
        <f>_xlfn.XLOOKUP(A1565,Energy!A:A,Energy!I:I,0)</f>
        <v>43152.102898833124</v>
      </c>
      <c r="G1565">
        <f t="shared" si="97"/>
        <v>43152.102898833124</v>
      </c>
      <c r="H1565">
        <f t="shared" si="98"/>
        <v>36431.235773471322</v>
      </c>
      <c r="I1565" t="b">
        <f t="shared" si="99"/>
        <v>0</v>
      </c>
    </row>
    <row r="1566" spans="1:9">
      <c r="A1566" s="1">
        <v>46071.842361111107</v>
      </c>
      <c r="B1566" s="5">
        <f>_xlfn.XLOOKUP(A1566,Banks!A:A,Banks!H:H,0,-1)</f>
        <v>535.84599877286178</v>
      </c>
      <c r="C1566">
        <f>_xlfn.XLOOKUP(A1566,Energy!A:A,Energy!H:H,0,-1)</f>
        <v>6260.1078516140697</v>
      </c>
      <c r="D1566">
        <f t="shared" si="96"/>
        <v>6795.9538503869317</v>
      </c>
      <c r="E1566">
        <f>_xlfn.XLOOKUP(A1566,Banks!A:A,Banks!I:I,0)</f>
        <v>0</v>
      </c>
      <c r="F1566">
        <f>_xlfn.XLOOKUP(A1566,Energy!A:A,Energy!I:I,0)</f>
        <v>43141.995246978768</v>
      </c>
      <c r="G1566">
        <f t="shared" si="97"/>
        <v>43141.995246978768</v>
      </c>
      <c r="H1566">
        <f t="shared" si="98"/>
        <v>36346.041396591834</v>
      </c>
      <c r="I1566" t="b">
        <f t="shared" si="99"/>
        <v>0</v>
      </c>
    </row>
    <row r="1567" spans="1:9">
      <c r="A1567" s="1">
        <v>46071.843055555553</v>
      </c>
      <c r="B1567" s="5">
        <f>_xlfn.XLOOKUP(A1567,Banks!A:A,Banks!H:H,0,-1)</f>
        <v>535.84599877286178</v>
      </c>
      <c r="C1567">
        <f>_xlfn.XLOOKUP(A1567,Energy!A:A,Energy!H:H,0,-1)</f>
        <v>6207.6336237623846</v>
      </c>
      <c r="D1567">
        <f t="shared" si="96"/>
        <v>6743.4796225352466</v>
      </c>
      <c r="E1567">
        <f>_xlfn.XLOOKUP(A1567,Banks!A:A,Banks!I:I,0)</f>
        <v>0</v>
      </c>
      <c r="F1567">
        <f>_xlfn.XLOOKUP(A1567,Energy!A:A,Energy!I:I,0)</f>
        <v>43147.58039939843</v>
      </c>
      <c r="G1567">
        <f t="shared" si="97"/>
        <v>43147.58039939843</v>
      </c>
      <c r="H1567">
        <f t="shared" si="98"/>
        <v>36404.100776863183</v>
      </c>
      <c r="I1567" t="b">
        <f t="shared" si="99"/>
        <v>0</v>
      </c>
    </row>
    <row r="1568" spans="1:9">
      <c r="A1568" s="1">
        <v>46071.84375</v>
      </c>
      <c r="B1568" s="5">
        <f>_xlfn.XLOOKUP(A1568,Banks!A:A,Banks!H:H,0,-1)</f>
        <v>535.84599877286178</v>
      </c>
      <c r="C1568">
        <f>_xlfn.XLOOKUP(A1568,Energy!A:A,Energy!H:H,0,-1)</f>
        <v>6257.3070863751518</v>
      </c>
      <c r="D1568">
        <f t="shared" si="96"/>
        <v>6793.1530851480138</v>
      </c>
      <c r="E1568">
        <f>_xlfn.XLOOKUP(A1568,Banks!A:A,Banks!I:I,0)</f>
        <v>0</v>
      </c>
      <c r="F1568">
        <f>_xlfn.XLOOKUP(A1568,Energy!A:A,Energy!I:I,0)</f>
        <v>43147.465093177227</v>
      </c>
      <c r="G1568">
        <f t="shared" si="97"/>
        <v>43147.465093177227</v>
      </c>
      <c r="H1568">
        <f t="shared" si="98"/>
        <v>36354.312008029214</v>
      </c>
      <c r="I1568" t="b">
        <f t="shared" si="99"/>
        <v>0</v>
      </c>
    </row>
    <row r="1569" spans="1:9">
      <c r="A1569" s="1">
        <v>46071.844444444447</v>
      </c>
      <c r="B1569" s="5">
        <f>_xlfn.XLOOKUP(A1569,Banks!A:A,Banks!H:H,0,-1)</f>
        <v>535.84599877286178</v>
      </c>
      <c r="C1569">
        <f>_xlfn.XLOOKUP(A1569,Energy!A:A,Energy!H:H,0,-1)</f>
        <v>6159.1132233616599</v>
      </c>
      <c r="D1569">
        <f t="shared" si="96"/>
        <v>6694.959222134522</v>
      </c>
      <c r="E1569">
        <f>_xlfn.XLOOKUP(A1569,Banks!A:A,Banks!I:I,0)</f>
        <v>0</v>
      </c>
      <c r="F1569">
        <f>_xlfn.XLOOKUP(A1569,Energy!A:A,Energy!I:I,0)</f>
        <v>43127.826320574532</v>
      </c>
      <c r="G1569">
        <f t="shared" si="97"/>
        <v>43127.826320574532</v>
      </c>
      <c r="H1569">
        <f t="shared" si="98"/>
        <v>36432.867098440009</v>
      </c>
      <c r="I1569" t="b">
        <f t="shared" si="99"/>
        <v>0</v>
      </c>
    </row>
    <row r="1570" spans="1:9">
      <c r="A1570" s="1">
        <v>46071.845138888893</v>
      </c>
      <c r="B1570" s="5">
        <f>_xlfn.XLOOKUP(A1570,Banks!A:A,Banks!H:H,0,-1)</f>
        <v>535.84599877286178</v>
      </c>
      <c r="C1570">
        <f>_xlfn.XLOOKUP(A1570,Energy!A:A,Energy!H:H,0,-1)</f>
        <v>6230.5343864888309</v>
      </c>
      <c r="D1570">
        <f t="shared" si="96"/>
        <v>6766.3803852616929</v>
      </c>
      <c r="E1570">
        <f>_xlfn.XLOOKUP(A1570,Banks!A:A,Banks!I:I,0)</f>
        <v>0</v>
      </c>
      <c r="F1570">
        <f>_xlfn.XLOOKUP(A1570,Energy!A:A,Energy!I:I,0)</f>
        <v>43138.090553702466</v>
      </c>
      <c r="G1570">
        <f t="shared" si="97"/>
        <v>43138.090553702466</v>
      </c>
      <c r="H1570">
        <f t="shared" si="98"/>
        <v>36371.710168440775</v>
      </c>
      <c r="I1570" t="b">
        <f t="shared" si="99"/>
        <v>0</v>
      </c>
    </row>
    <row r="1571" spans="1:9">
      <c r="A1571" s="1">
        <v>46071.845833333333</v>
      </c>
      <c r="B1571" s="5">
        <f>_xlfn.XLOOKUP(A1571,Banks!A:A,Banks!H:H,0,-1)</f>
        <v>535.84599877286178</v>
      </c>
      <c r="C1571">
        <f>_xlfn.XLOOKUP(A1571,Energy!A:A,Energy!H:H,0,-1)</f>
        <v>6326.5040153693853</v>
      </c>
      <c r="D1571">
        <f t="shared" si="96"/>
        <v>6862.3500141422473</v>
      </c>
      <c r="E1571">
        <f>_xlfn.XLOOKUP(A1571,Banks!A:A,Banks!I:I,0)</f>
        <v>0</v>
      </c>
      <c r="F1571">
        <f>_xlfn.XLOOKUP(A1571,Energy!A:A,Energy!I:I,0)</f>
        <v>43153.264479981073</v>
      </c>
      <c r="G1571">
        <f t="shared" si="97"/>
        <v>43153.264479981073</v>
      </c>
      <c r="H1571">
        <f t="shared" si="98"/>
        <v>36290.914465838825</v>
      </c>
      <c r="I1571" t="b">
        <f t="shared" si="99"/>
        <v>0</v>
      </c>
    </row>
    <row r="1572" spans="1:9">
      <c r="A1572" s="1">
        <v>46071.84652777778</v>
      </c>
      <c r="B1572" s="5">
        <f>_xlfn.XLOOKUP(A1572,Banks!A:A,Banks!H:H,0,-1)</f>
        <v>535.84599877286178</v>
      </c>
      <c r="C1572">
        <f>_xlfn.XLOOKUP(A1572,Energy!A:A,Energy!H:H,0,-1)</f>
        <v>6270.1578503578257</v>
      </c>
      <c r="D1572">
        <f t="shared" si="96"/>
        <v>6806.0038491306877</v>
      </c>
      <c r="E1572">
        <f>_xlfn.XLOOKUP(A1572,Banks!A:A,Banks!I:I,0)</f>
        <v>0</v>
      </c>
      <c r="F1572">
        <f>_xlfn.XLOOKUP(A1572,Energy!A:A,Energy!I:I,0)</f>
        <v>43139.985247230019</v>
      </c>
      <c r="G1572">
        <f t="shared" si="97"/>
        <v>43139.985247230019</v>
      </c>
      <c r="H1572">
        <f t="shared" si="98"/>
        <v>36333.981398099335</v>
      </c>
      <c r="I1572" t="b">
        <f t="shared" si="99"/>
        <v>0</v>
      </c>
    </row>
    <row r="1573" spans="1:9">
      <c r="A1573" s="1">
        <v>46071.847222222219</v>
      </c>
      <c r="B1573" s="5">
        <f>_xlfn.XLOOKUP(A1573,Banks!A:A,Banks!H:H,0,-1)</f>
        <v>535.84599877286178</v>
      </c>
      <c r="C1573">
        <f>_xlfn.XLOOKUP(A1573,Energy!A:A,Energy!H:H,0,-1)</f>
        <v>6306.9805489878872</v>
      </c>
      <c r="D1573">
        <f t="shared" si="96"/>
        <v>6842.8265477607492</v>
      </c>
      <c r="E1573">
        <f>_xlfn.XLOOKUP(A1573,Banks!A:A,Banks!I:I,0)</f>
        <v>0</v>
      </c>
      <c r="F1573">
        <f>_xlfn.XLOOKUP(A1573,Energy!A:A,Energy!I:I,0)</f>
        <v>43147.349786956031</v>
      </c>
      <c r="G1573">
        <f t="shared" si="97"/>
        <v>43147.349786956031</v>
      </c>
      <c r="H1573">
        <f t="shared" si="98"/>
        <v>36304.523239195281</v>
      </c>
      <c r="I1573" t="b">
        <f t="shared" si="99"/>
        <v>0</v>
      </c>
    </row>
    <row r="1574" spans="1:9">
      <c r="A1574" s="1">
        <v>46071.847916666673</v>
      </c>
      <c r="B1574" s="5">
        <f>_xlfn.XLOOKUP(A1574,Banks!A:A,Banks!H:H,0,-1)</f>
        <v>535.84599877286178</v>
      </c>
      <c r="C1574">
        <f>_xlfn.XLOOKUP(A1574,Energy!A:A,Energy!H:H,0,-1)</f>
        <v>6301.0907529570068</v>
      </c>
      <c r="D1574">
        <f t="shared" si="96"/>
        <v>6836.9367517298688</v>
      </c>
      <c r="E1574">
        <f>_xlfn.XLOOKUP(A1574,Banks!A:A,Banks!I:I,0)</f>
        <v>0</v>
      </c>
      <c r="F1574">
        <f>_xlfn.XLOOKUP(A1574,Energy!A:A,Energy!I:I,0)</f>
        <v>43163.256825614233</v>
      </c>
      <c r="G1574">
        <f t="shared" si="97"/>
        <v>43163.256825614233</v>
      </c>
      <c r="H1574">
        <f t="shared" si="98"/>
        <v>36326.320073884366</v>
      </c>
      <c r="I1574" t="b">
        <f t="shared" si="99"/>
        <v>0</v>
      </c>
    </row>
    <row r="1575" spans="1:9">
      <c r="A1575" s="1">
        <v>46071.848611111112</v>
      </c>
      <c r="B1575" s="5">
        <f>_xlfn.XLOOKUP(A1575,Banks!A:A,Banks!H:H,0,-1)</f>
        <v>535.84599877286178</v>
      </c>
      <c r="C1575">
        <f>_xlfn.XLOOKUP(A1575,Energy!A:A,Energy!H:H,0,-1)</f>
        <v>6312.5001891747033</v>
      </c>
      <c r="D1575">
        <f t="shared" si="96"/>
        <v>6848.3461879475653</v>
      </c>
      <c r="E1575">
        <f>_xlfn.XLOOKUP(A1575,Banks!A:A,Banks!I:I,0)</f>
        <v>0</v>
      </c>
      <c r="F1575">
        <f>_xlfn.XLOOKUP(A1575,Energy!A:A,Energy!I:I,0)</f>
        <v>43180.61371097339</v>
      </c>
      <c r="G1575">
        <f t="shared" si="97"/>
        <v>43180.61371097339</v>
      </c>
      <c r="H1575">
        <f t="shared" si="98"/>
        <v>36332.267523025825</v>
      </c>
      <c r="I1575" t="b">
        <f t="shared" si="99"/>
        <v>0</v>
      </c>
    </row>
    <row r="1576" spans="1:9">
      <c r="A1576" s="1">
        <v>46071.849305555559</v>
      </c>
      <c r="B1576" s="5">
        <f>_xlfn.XLOOKUP(A1576,Banks!A:A,Banks!H:H,0,-1)</f>
        <v>535.84599877286178</v>
      </c>
      <c r="C1576">
        <f>_xlfn.XLOOKUP(A1576,Energy!A:A,Energy!H:H,0,-1)</f>
        <v>6324.6040295734838</v>
      </c>
      <c r="D1576">
        <f t="shared" si="96"/>
        <v>6860.4500283463458</v>
      </c>
      <c r="E1576">
        <f>_xlfn.XLOOKUP(A1576,Banks!A:A,Banks!I:I,0)</f>
        <v>0</v>
      </c>
      <c r="F1576">
        <f>_xlfn.XLOOKUP(A1576,Energy!A:A,Energy!I:I,0)</f>
        <v>0</v>
      </c>
      <c r="G1576">
        <f t="shared" si="97"/>
        <v>0</v>
      </c>
      <c r="H1576">
        <f t="shared" si="98"/>
        <v>-6860.4500283463458</v>
      </c>
      <c r="I1576" t="b">
        <f t="shared" si="99"/>
        <v>0</v>
      </c>
    </row>
    <row r="1577" spans="1:9">
      <c r="A1577" s="1">
        <v>46072.604166666657</v>
      </c>
      <c r="B1577" s="5">
        <f>_xlfn.XLOOKUP(A1577,Banks!A:A,Banks!H:H,0,-1)</f>
        <v>535.84599877286178</v>
      </c>
      <c r="C1577">
        <f>_xlfn.XLOOKUP(A1577,Energy!A:A,Energy!H:H,0,-1)</f>
        <v>6324.6040295734838</v>
      </c>
      <c r="D1577">
        <f t="shared" si="96"/>
        <v>6860.4500283463458</v>
      </c>
      <c r="E1577">
        <f>_xlfn.XLOOKUP(A1577,Banks!A:A,Banks!I:I,0)</f>
        <v>40202.939658319432</v>
      </c>
      <c r="F1577">
        <f>_xlfn.XLOOKUP(A1577,Energy!A:A,Energy!I:I,0)</f>
        <v>0</v>
      </c>
      <c r="G1577">
        <f t="shared" si="97"/>
        <v>40202.939658319432</v>
      </c>
      <c r="H1577">
        <f t="shared" si="98"/>
        <v>33342.48962997309</v>
      </c>
      <c r="I1577" t="b">
        <f t="shared" si="99"/>
        <v>0</v>
      </c>
    </row>
    <row r="1578" spans="1:9">
      <c r="A1578" s="1">
        <v>46072.604861111111</v>
      </c>
      <c r="B1578" s="5">
        <f>_xlfn.XLOOKUP(A1578,Banks!A:A,Banks!H:H,0,-1)</f>
        <v>481.6476068868327</v>
      </c>
      <c r="C1578">
        <f>_xlfn.XLOOKUP(A1578,Energy!A:A,Energy!H:H,0,-1)</f>
        <v>6324.6040295734838</v>
      </c>
      <c r="D1578">
        <f t="shared" si="96"/>
        <v>6806.2516364603161</v>
      </c>
      <c r="E1578">
        <f>_xlfn.XLOOKUP(A1578,Banks!A:A,Banks!I:I,0)</f>
        <v>40442.214261924848</v>
      </c>
      <c r="F1578">
        <f>_xlfn.XLOOKUP(A1578,Energy!A:A,Energy!I:I,0)</f>
        <v>0</v>
      </c>
      <c r="G1578">
        <f t="shared" si="97"/>
        <v>40442.214261924848</v>
      </c>
      <c r="H1578">
        <f t="shared" si="98"/>
        <v>33635.962625464534</v>
      </c>
      <c r="I1578" t="b">
        <f t="shared" si="99"/>
        <v>0</v>
      </c>
    </row>
    <row r="1579" spans="1:9">
      <c r="A1579" s="1">
        <v>46072.605555555558</v>
      </c>
      <c r="B1579" s="5">
        <f>_xlfn.XLOOKUP(A1579,Banks!A:A,Banks!H:H,0,-1)</f>
        <v>496.80561476072671</v>
      </c>
      <c r="C1579">
        <f>_xlfn.XLOOKUP(A1579,Energy!A:A,Energy!H:H,0,-1)</f>
        <v>6324.6040295734838</v>
      </c>
      <c r="D1579">
        <f t="shared" si="96"/>
        <v>6821.4096443342105</v>
      </c>
      <c r="E1579">
        <f>_xlfn.XLOOKUP(A1579,Banks!A:A,Banks!I:I,0)</f>
        <v>40423.695546775278</v>
      </c>
      <c r="F1579">
        <f>_xlfn.XLOOKUP(A1579,Energy!A:A,Energy!I:I,0)</f>
        <v>0</v>
      </c>
      <c r="G1579">
        <f t="shared" si="97"/>
        <v>40423.695546775278</v>
      </c>
      <c r="H1579">
        <f t="shared" si="98"/>
        <v>33602.285902441065</v>
      </c>
      <c r="I1579" t="b">
        <f t="shared" si="99"/>
        <v>0</v>
      </c>
    </row>
    <row r="1580" spans="1:9">
      <c r="A1580" s="1">
        <v>46072.606249999997</v>
      </c>
      <c r="B1580" s="5">
        <f>_xlfn.XLOOKUP(A1580,Banks!A:A,Banks!H:H,0,-1)</f>
        <v>1038.95781365271</v>
      </c>
      <c r="C1580">
        <f>_xlfn.XLOOKUP(A1580,Energy!A:A,Energy!H:H,0,-1)</f>
        <v>6324.6040295734838</v>
      </c>
      <c r="D1580">
        <f t="shared" si="96"/>
        <v>7363.5618432261936</v>
      </c>
      <c r="E1580">
        <f>_xlfn.XLOOKUP(A1580,Banks!A:A,Banks!I:I,0)</f>
        <v>40419.803123626749</v>
      </c>
      <c r="F1580">
        <f>_xlfn.XLOOKUP(A1580,Energy!A:A,Energy!I:I,0)</f>
        <v>0</v>
      </c>
      <c r="G1580">
        <f t="shared" si="97"/>
        <v>40419.803123626749</v>
      </c>
      <c r="H1580">
        <f t="shared" si="98"/>
        <v>33056.241280400558</v>
      </c>
      <c r="I1580" t="b">
        <f t="shared" si="99"/>
        <v>0</v>
      </c>
    </row>
    <row r="1581" spans="1:9">
      <c r="A1581" s="1">
        <v>46072.606944444437</v>
      </c>
      <c r="B1581" s="5">
        <f>_xlfn.XLOOKUP(A1581,Banks!A:A,Banks!H:H,0,-1)</f>
        <v>908.45952165559663</v>
      </c>
      <c r="C1581">
        <f>_xlfn.XLOOKUP(A1581,Energy!A:A,Energy!H:H,0,-1)</f>
        <v>6324.6040295734838</v>
      </c>
      <c r="D1581">
        <f t="shared" si="96"/>
        <v>7233.0635512290801</v>
      </c>
      <c r="E1581">
        <f>_xlfn.XLOOKUP(A1581,Banks!A:A,Banks!I:I,0)</f>
        <v>40387.826106120687</v>
      </c>
      <c r="F1581">
        <f>_xlfn.XLOOKUP(A1581,Energy!A:A,Energy!I:I,0)</f>
        <v>0</v>
      </c>
      <c r="G1581">
        <f t="shared" si="97"/>
        <v>40387.826106120687</v>
      </c>
      <c r="H1581">
        <f t="shared" si="98"/>
        <v>33154.762554891604</v>
      </c>
      <c r="I1581" t="b">
        <f t="shared" si="99"/>
        <v>0</v>
      </c>
    </row>
    <row r="1582" spans="1:9">
      <c r="A1582" s="1">
        <v>46072.607638888891</v>
      </c>
      <c r="B1582" s="5">
        <f>_xlfn.XLOOKUP(A1582,Banks!A:A,Banks!H:H,0,-1)</f>
        <v>547.99050532569129</v>
      </c>
      <c r="C1582">
        <f>_xlfn.XLOOKUP(A1582,Energy!A:A,Energy!H:H,0,-1)</f>
        <v>6324.6040295734838</v>
      </c>
      <c r="D1582">
        <f t="shared" si="96"/>
        <v>6872.5945348991754</v>
      </c>
      <c r="E1582">
        <f>_xlfn.XLOOKUP(A1582,Banks!A:A,Banks!I:I,0)</f>
        <v>40339.89477918201</v>
      </c>
      <c r="F1582">
        <f>_xlfn.XLOOKUP(A1582,Energy!A:A,Energy!I:I,0)</f>
        <v>0</v>
      </c>
      <c r="G1582">
        <f t="shared" si="97"/>
        <v>40339.89477918201</v>
      </c>
      <c r="H1582">
        <f t="shared" si="98"/>
        <v>33467.300244282837</v>
      </c>
      <c r="I1582" t="b">
        <f t="shared" si="99"/>
        <v>0</v>
      </c>
    </row>
    <row r="1583" spans="1:9">
      <c r="A1583" s="1">
        <v>46072.60833333333</v>
      </c>
      <c r="B1583" s="5">
        <f>_xlfn.XLOOKUP(A1583,Banks!A:A,Banks!H:H,0,-1)</f>
        <v>605.71872365071476</v>
      </c>
      <c r="C1583">
        <f>_xlfn.XLOOKUP(A1583,Energy!A:A,Energy!H:H,0,-1)</f>
        <v>6324.6040295734838</v>
      </c>
      <c r="D1583">
        <f t="shared" si="96"/>
        <v>6930.3227532241981</v>
      </c>
      <c r="E1583">
        <f>_xlfn.XLOOKUP(A1583,Banks!A:A,Banks!I:I,0)</f>
        <v>40363.1951410603</v>
      </c>
      <c r="F1583">
        <f>_xlfn.XLOOKUP(A1583,Energy!A:A,Energy!I:I,0)</f>
        <v>0</v>
      </c>
      <c r="G1583">
        <f t="shared" si="97"/>
        <v>40363.1951410603</v>
      </c>
      <c r="H1583">
        <f t="shared" si="98"/>
        <v>33432.872387836105</v>
      </c>
      <c r="I1583" t="b">
        <f t="shared" si="99"/>
        <v>0</v>
      </c>
    </row>
    <row r="1584" spans="1:9">
      <c r="A1584" s="1">
        <v>46072.609027777777</v>
      </c>
      <c r="B1584" s="5">
        <f>_xlfn.XLOOKUP(A1584,Banks!A:A,Banks!H:H,0,-1)</f>
        <v>586.4759842090341</v>
      </c>
      <c r="C1584">
        <f>_xlfn.XLOOKUP(A1584,Energy!A:A,Energy!H:H,0,-1)</f>
        <v>6324.6040295734838</v>
      </c>
      <c r="D1584">
        <f t="shared" si="96"/>
        <v>6911.0800137825181</v>
      </c>
      <c r="E1584">
        <f>_xlfn.XLOOKUP(A1584,Banks!A:A,Banks!I:I,0)</f>
        <v>40355.428353767536</v>
      </c>
      <c r="F1584">
        <f>_xlfn.XLOOKUP(A1584,Energy!A:A,Energy!I:I,0)</f>
        <v>0</v>
      </c>
      <c r="G1584">
        <f t="shared" si="97"/>
        <v>40355.428353767536</v>
      </c>
      <c r="H1584">
        <f t="shared" si="98"/>
        <v>33444.348339985016</v>
      </c>
      <c r="I1584" t="b">
        <f t="shared" si="99"/>
        <v>0</v>
      </c>
    </row>
    <row r="1585" spans="1:9">
      <c r="A1585" s="1">
        <v>46072.609722222223</v>
      </c>
      <c r="B1585" s="5">
        <f>_xlfn.XLOOKUP(A1585,Banks!A:A,Banks!H:H,0,-1)</f>
        <v>711.48924994016738</v>
      </c>
      <c r="C1585">
        <f>_xlfn.XLOOKUP(A1585,Energy!A:A,Energy!H:H,0,-1)</f>
        <v>6324.6040295734838</v>
      </c>
      <c r="D1585">
        <f t="shared" si="96"/>
        <v>7036.0932795136514</v>
      </c>
      <c r="E1585">
        <f>_xlfn.XLOOKUP(A1585,Banks!A:A,Banks!I:I,0)</f>
        <v>40353.65637098351</v>
      </c>
      <c r="F1585">
        <f>_xlfn.XLOOKUP(A1585,Energy!A:A,Energy!I:I,0)</f>
        <v>0</v>
      </c>
      <c r="G1585">
        <f t="shared" si="97"/>
        <v>40353.65637098351</v>
      </c>
      <c r="H1585">
        <f t="shared" si="98"/>
        <v>33317.563091469856</v>
      </c>
      <c r="I1585" t="b">
        <f t="shared" si="99"/>
        <v>0</v>
      </c>
    </row>
    <row r="1586" spans="1:9">
      <c r="A1586" s="1">
        <v>46072.61041666667</v>
      </c>
      <c r="B1586" s="5">
        <f>_xlfn.XLOOKUP(A1586,Banks!A:A,Banks!H:H,0,-1)</f>
        <v>738.54653056058805</v>
      </c>
      <c r="C1586">
        <f>_xlfn.XLOOKUP(A1586,Energy!A:A,Energy!H:H,0,-1)</f>
        <v>6324.6040295734838</v>
      </c>
      <c r="D1586">
        <f t="shared" si="96"/>
        <v>7063.1505601340723</v>
      </c>
      <c r="E1586">
        <f>_xlfn.XLOOKUP(A1586,Banks!A:A,Banks!I:I,0)</f>
        <v>40371.475585221611</v>
      </c>
      <c r="F1586">
        <f>_xlfn.XLOOKUP(A1586,Energy!A:A,Energy!I:I,0)</f>
        <v>0</v>
      </c>
      <c r="G1586">
        <f t="shared" si="97"/>
        <v>40371.475585221611</v>
      </c>
      <c r="H1586">
        <f t="shared" si="98"/>
        <v>33308.325025087543</v>
      </c>
      <c r="I1586" t="b">
        <f t="shared" si="99"/>
        <v>0</v>
      </c>
    </row>
    <row r="1587" spans="1:9">
      <c r="A1587" s="1">
        <v>46072.611111111109</v>
      </c>
      <c r="B1587" s="5">
        <f>_xlfn.XLOOKUP(A1587,Banks!A:A,Banks!H:H,0,-1)</f>
        <v>628.6912727033673</v>
      </c>
      <c r="C1587">
        <f>_xlfn.XLOOKUP(A1587,Energy!A:A,Energy!H:H,0,-1)</f>
        <v>6324.6040295734838</v>
      </c>
      <c r="D1587">
        <f t="shared" si="96"/>
        <v>6953.2953022768506</v>
      </c>
      <c r="E1587">
        <f>_xlfn.XLOOKUP(A1587,Banks!A:A,Banks!I:I,0)</f>
        <v>40354.728852856068</v>
      </c>
      <c r="F1587">
        <f>_xlfn.XLOOKUP(A1587,Energy!A:A,Energy!I:I,0)</f>
        <v>0</v>
      </c>
      <c r="G1587">
        <f t="shared" si="97"/>
        <v>40354.728852856068</v>
      </c>
      <c r="H1587">
        <f t="shared" si="98"/>
        <v>33401.433550579219</v>
      </c>
      <c r="I1587" t="b">
        <f t="shared" si="99"/>
        <v>0</v>
      </c>
    </row>
    <row r="1588" spans="1:9">
      <c r="A1588" s="1">
        <v>46072.611805555563</v>
      </c>
      <c r="B1588" s="5">
        <f>_xlfn.XLOOKUP(A1588,Banks!A:A,Banks!H:H,0,-1)</f>
        <v>464.3729960248051</v>
      </c>
      <c r="C1588">
        <f>_xlfn.XLOOKUP(A1588,Energy!A:A,Energy!H:H,0,-1)</f>
        <v>6324.6040295734838</v>
      </c>
      <c r="D1588">
        <f t="shared" si="96"/>
        <v>6788.9770255982885</v>
      </c>
      <c r="E1588">
        <f>_xlfn.XLOOKUP(A1588,Banks!A:A,Banks!I:I,0)</f>
        <v>40314.02871871151</v>
      </c>
      <c r="F1588">
        <f>_xlfn.XLOOKUP(A1588,Energy!A:A,Energy!I:I,0)</f>
        <v>0</v>
      </c>
      <c r="G1588">
        <f t="shared" si="97"/>
        <v>40314.02871871151</v>
      </c>
      <c r="H1588">
        <f t="shared" si="98"/>
        <v>33525.051693113222</v>
      </c>
      <c r="I1588" t="b">
        <f t="shared" si="99"/>
        <v>0</v>
      </c>
    </row>
    <row r="1589" spans="1:9">
      <c r="A1589" s="1">
        <v>46072.612500000003</v>
      </c>
      <c r="B1589" s="5">
        <f>_xlfn.XLOOKUP(A1589,Banks!A:A,Banks!H:H,0,-1)</f>
        <v>654.81286873287956</v>
      </c>
      <c r="C1589">
        <f>_xlfn.XLOOKUP(A1589,Energy!A:A,Energy!H:H,0,-1)</f>
        <v>6324.6040295734838</v>
      </c>
      <c r="D1589">
        <f t="shared" si="96"/>
        <v>6979.4168983063637</v>
      </c>
      <c r="E1589">
        <f>_xlfn.XLOOKUP(A1589,Banks!A:A,Banks!I:I,0)</f>
        <v>40349.504533650157</v>
      </c>
      <c r="F1589">
        <f>_xlfn.XLOOKUP(A1589,Energy!A:A,Energy!I:I,0)</f>
        <v>0</v>
      </c>
      <c r="G1589">
        <f t="shared" si="97"/>
        <v>40349.504533650157</v>
      </c>
      <c r="H1589">
        <f t="shared" si="98"/>
        <v>33370.087635343792</v>
      </c>
      <c r="I1589" t="b">
        <f t="shared" si="99"/>
        <v>0</v>
      </c>
    </row>
    <row r="1590" spans="1:9">
      <c r="A1590" s="1">
        <v>46072.613194444442</v>
      </c>
      <c r="B1590" s="5">
        <f>_xlfn.XLOOKUP(A1590,Banks!A:A,Banks!H:H,0,-1)</f>
        <v>697.84122491495157</v>
      </c>
      <c r="C1590">
        <f>_xlfn.XLOOKUP(A1590,Energy!A:A,Energy!H:H,0,-1)</f>
        <v>6324.6040295734838</v>
      </c>
      <c r="D1590">
        <f t="shared" si="96"/>
        <v>7022.4452544884352</v>
      </c>
      <c r="E1590">
        <f>_xlfn.XLOOKUP(A1590,Banks!A:A,Banks!I:I,0)</f>
        <v>40321.539970445257</v>
      </c>
      <c r="F1590">
        <f>_xlfn.XLOOKUP(A1590,Energy!A:A,Energy!I:I,0)</f>
        <v>0</v>
      </c>
      <c r="G1590">
        <f t="shared" si="97"/>
        <v>40321.539970445257</v>
      </c>
      <c r="H1590">
        <f t="shared" si="98"/>
        <v>33299.094715956824</v>
      </c>
      <c r="I1590" t="b">
        <f t="shared" si="99"/>
        <v>0</v>
      </c>
    </row>
    <row r="1591" spans="1:9">
      <c r="A1591" s="1">
        <v>46072.613888888889</v>
      </c>
      <c r="B1591" s="5">
        <f>_xlfn.XLOOKUP(A1591,Banks!A:A,Banks!H:H,0,-1)</f>
        <v>654.46441115240293</v>
      </c>
      <c r="C1591">
        <f>_xlfn.XLOOKUP(A1591,Energy!A:A,Energy!H:H,0,-1)</f>
        <v>6324.6040295734838</v>
      </c>
      <c r="D1591">
        <f t="shared" si="96"/>
        <v>6979.0684407258868</v>
      </c>
      <c r="E1591">
        <f>_xlfn.XLOOKUP(A1591,Banks!A:A,Banks!I:I,0)</f>
        <v>40361.189560347353</v>
      </c>
      <c r="F1591">
        <f>_xlfn.XLOOKUP(A1591,Energy!A:A,Energy!I:I,0)</f>
        <v>0</v>
      </c>
      <c r="G1591">
        <f t="shared" si="97"/>
        <v>40361.189560347353</v>
      </c>
      <c r="H1591">
        <f t="shared" si="98"/>
        <v>33382.121119621464</v>
      </c>
      <c r="I1591" t="b">
        <f t="shared" si="99"/>
        <v>0</v>
      </c>
    </row>
    <row r="1592" spans="1:9">
      <c r="A1592" s="1">
        <v>46072.614583333343</v>
      </c>
      <c r="B1592" s="5">
        <f>_xlfn.XLOOKUP(A1592,Banks!A:A,Banks!H:H,0,-1)</f>
        <v>612.36527518491528</v>
      </c>
      <c r="C1592">
        <f>_xlfn.XLOOKUP(A1592,Energy!A:A,Energy!H:H,0,-1)</f>
        <v>6324.6040295734838</v>
      </c>
      <c r="D1592">
        <f t="shared" si="96"/>
        <v>6936.9693047583987</v>
      </c>
      <c r="E1592">
        <f>_xlfn.XLOOKUP(A1592,Banks!A:A,Banks!I:I,0)</f>
        <v>40357.994052359747</v>
      </c>
      <c r="F1592">
        <f>_xlfn.XLOOKUP(A1592,Energy!A:A,Energy!I:I,0)</f>
        <v>0</v>
      </c>
      <c r="G1592">
        <f t="shared" si="97"/>
        <v>40357.994052359747</v>
      </c>
      <c r="H1592">
        <f t="shared" si="98"/>
        <v>33421.024747601346</v>
      </c>
      <c r="I1592" t="b">
        <f t="shared" si="99"/>
        <v>0</v>
      </c>
    </row>
    <row r="1593" spans="1:9">
      <c r="A1593" s="1">
        <v>46072.615277777782</v>
      </c>
      <c r="B1593" s="5">
        <f>_xlfn.XLOOKUP(A1593,Banks!A:A,Banks!H:H,0,-1)</f>
        <v>762.91937431143458</v>
      </c>
      <c r="C1593">
        <f>_xlfn.XLOOKUP(A1593,Energy!A:A,Energy!H:H,0,-1)</f>
        <v>6324.6040295734838</v>
      </c>
      <c r="D1593">
        <f t="shared" si="96"/>
        <v>7087.5234038849185</v>
      </c>
      <c r="E1593">
        <f>_xlfn.XLOOKUP(A1593,Banks!A:A,Banks!I:I,0)</f>
        <v>40370.472794865142</v>
      </c>
      <c r="F1593">
        <f>_xlfn.XLOOKUP(A1593,Energy!A:A,Energy!I:I,0)</f>
        <v>0</v>
      </c>
      <c r="G1593">
        <f t="shared" si="97"/>
        <v>40370.472794865142</v>
      </c>
      <c r="H1593">
        <f t="shared" si="98"/>
        <v>33282.949390980226</v>
      </c>
      <c r="I1593" t="b">
        <f t="shared" si="99"/>
        <v>0</v>
      </c>
    </row>
    <row r="1594" spans="1:9">
      <c r="A1594" s="1">
        <v>46072.615972222222</v>
      </c>
      <c r="B1594" s="5">
        <f>_xlfn.XLOOKUP(A1594,Banks!A:A,Banks!H:H,0,-1)</f>
        <v>754.52407049858198</v>
      </c>
      <c r="C1594">
        <f>_xlfn.XLOOKUP(A1594,Energy!A:A,Energy!H:H,0,-1)</f>
        <v>6324.6040295734838</v>
      </c>
      <c r="D1594">
        <f t="shared" si="96"/>
        <v>7079.1281000720655</v>
      </c>
      <c r="E1594">
        <f>_xlfn.XLOOKUP(A1594,Banks!A:A,Banks!I:I,0)</f>
        <v>40379.895412415113</v>
      </c>
      <c r="F1594">
        <f>_xlfn.XLOOKUP(A1594,Energy!A:A,Energy!I:I,0)</f>
        <v>0</v>
      </c>
      <c r="G1594">
        <f t="shared" si="97"/>
        <v>40379.895412415113</v>
      </c>
      <c r="H1594">
        <f t="shared" si="98"/>
        <v>33300.76731234305</v>
      </c>
      <c r="I1594" t="b">
        <f t="shared" si="99"/>
        <v>0</v>
      </c>
    </row>
    <row r="1595" spans="1:9">
      <c r="A1595" s="1">
        <v>46072.616666666669</v>
      </c>
      <c r="B1595" s="5">
        <f>_xlfn.XLOOKUP(A1595,Banks!A:A,Banks!H:H,0,-1)</f>
        <v>823.9804654797083</v>
      </c>
      <c r="C1595">
        <f>_xlfn.XLOOKUP(A1595,Energy!A:A,Energy!H:H,0,-1)</f>
        <v>6324.6040295734838</v>
      </c>
      <c r="D1595">
        <f t="shared" si="96"/>
        <v>7148.5844950531919</v>
      </c>
      <c r="E1595">
        <f>_xlfn.XLOOKUP(A1595,Banks!A:A,Banks!I:I,0)</f>
        <v>0</v>
      </c>
      <c r="F1595">
        <f>_xlfn.XLOOKUP(A1595,Energy!A:A,Energy!I:I,0)</f>
        <v>0</v>
      </c>
      <c r="G1595">
        <f t="shared" si="97"/>
        <v>0</v>
      </c>
      <c r="H1595">
        <f t="shared" si="98"/>
        <v>-7148.5844950531919</v>
      </c>
      <c r="I1595" t="b">
        <f t="shared" si="99"/>
        <v>0</v>
      </c>
    </row>
    <row r="1596" spans="1:9">
      <c r="A1596" s="1">
        <v>46072.774305555547</v>
      </c>
      <c r="B1596" s="5">
        <f>_xlfn.XLOOKUP(A1596,Banks!A:A,Banks!H:H,0,-1)</f>
        <v>823.9804654797083</v>
      </c>
      <c r="C1596">
        <f>_xlfn.XLOOKUP(A1596,Energy!A:A,Energy!H:H,0,-1)</f>
        <v>6324.6040295734838</v>
      </c>
      <c r="D1596">
        <f t="shared" si="96"/>
        <v>7148.5844950531919</v>
      </c>
      <c r="E1596">
        <f>_xlfn.XLOOKUP(A1596,Banks!A:A,Banks!I:I,0)</f>
        <v>40202.939658319432</v>
      </c>
      <c r="F1596">
        <f>_xlfn.XLOOKUP(A1596,Energy!A:A,Energy!I:I,0)</f>
        <v>0</v>
      </c>
      <c r="G1596">
        <f t="shared" si="97"/>
        <v>40202.939658319432</v>
      </c>
      <c r="H1596">
        <f t="shared" si="98"/>
        <v>33054.355163266242</v>
      </c>
      <c r="I1596" t="b">
        <f t="shared" si="99"/>
        <v>0</v>
      </c>
    </row>
    <row r="1597" spans="1:9">
      <c r="A1597" s="1">
        <v>46072.775000000001</v>
      </c>
      <c r="B1597" s="5">
        <f>_xlfn.XLOOKUP(A1597,Banks!A:A,Banks!H:H,0,-1)</f>
        <v>862.65378029273006</v>
      </c>
      <c r="C1597">
        <f>_xlfn.XLOOKUP(A1597,Energy!A:A,Energy!H:H,0,-1)</f>
        <v>6324.6040295734838</v>
      </c>
      <c r="D1597">
        <f t="shared" si="96"/>
        <v>7187.2578098662143</v>
      </c>
      <c r="E1597">
        <f>_xlfn.XLOOKUP(A1597,Banks!A:A,Banks!I:I,0)</f>
        <v>40195.20499535682</v>
      </c>
      <c r="F1597">
        <f>_xlfn.XLOOKUP(A1597,Energy!A:A,Energy!I:I,0)</f>
        <v>0</v>
      </c>
      <c r="G1597">
        <f t="shared" si="97"/>
        <v>40195.20499535682</v>
      </c>
      <c r="H1597">
        <f t="shared" si="98"/>
        <v>33007.947185490608</v>
      </c>
      <c r="I1597" t="b">
        <f t="shared" si="99"/>
        <v>0</v>
      </c>
    </row>
    <row r="1598" spans="1:9">
      <c r="A1598" s="1">
        <v>46072.775694444441</v>
      </c>
      <c r="B1598" s="5">
        <f>_xlfn.XLOOKUP(A1598,Banks!A:A,Banks!H:H,0,-1)</f>
        <v>868.0524639077438</v>
      </c>
      <c r="C1598">
        <f>_xlfn.XLOOKUP(A1598,Energy!A:A,Energy!H:H,0,-1)</f>
        <v>6324.6040295734838</v>
      </c>
      <c r="D1598">
        <f t="shared" si="96"/>
        <v>7192.6564934812277</v>
      </c>
      <c r="E1598">
        <f>_xlfn.XLOOKUP(A1598,Banks!A:A,Banks!I:I,0)</f>
        <v>40207.886726523728</v>
      </c>
      <c r="F1598">
        <f>_xlfn.XLOOKUP(A1598,Energy!A:A,Energy!I:I,0)</f>
        <v>0</v>
      </c>
      <c r="G1598">
        <f t="shared" si="97"/>
        <v>40207.886726523728</v>
      </c>
      <c r="H1598">
        <f t="shared" si="98"/>
        <v>33015.230233042501</v>
      </c>
      <c r="I1598" t="b">
        <f t="shared" si="99"/>
        <v>0</v>
      </c>
    </row>
    <row r="1599" spans="1:9">
      <c r="A1599" s="1">
        <v>46072.776388888888</v>
      </c>
      <c r="B1599" s="5">
        <f>_xlfn.XLOOKUP(A1599,Banks!A:A,Banks!H:H,0,-1)</f>
        <v>932.45422485672998</v>
      </c>
      <c r="C1599">
        <f>_xlfn.XLOOKUP(A1599,Energy!A:A,Energy!H:H,0,-1)</f>
        <v>6324.6040295734838</v>
      </c>
      <c r="D1599">
        <f t="shared" si="96"/>
        <v>7257.0582544302142</v>
      </c>
      <c r="E1599">
        <f>_xlfn.XLOOKUP(A1599,Banks!A:A,Banks!I:I,0)</f>
        <v>40193.695758344416</v>
      </c>
      <c r="F1599">
        <f>_xlfn.XLOOKUP(A1599,Energy!A:A,Energy!I:I,0)</f>
        <v>0</v>
      </c>
      <c r="G1599">
        <f t="shared" si="97"/>
        <v>40193.695758344416</v>
      </c>
      <c r="H1599">
        <f t="shared" si="98"/>
        <v>32936.6375039142</v>
      </c>
      <c r="I1599" t="b">
        <f t="shared" si="99"/>
        <v>0</v>
      </c>
    </row>
    <row r="1600" spans="1:9">
      <c r="A1600" s="1">
        <v>46072.777083333327</v>
      </c>
      <c r="B1600" s="5">
        <f>_xlfn.XLOOKUP(A1600,Banks!A:A,Banks!H:H,0,-1)</f>
        <v>855.10759523070021</v>
      </c>
      <c r="C1600">
        <f>_xlfn.XLOOKUP(A1600,Energy!A:A,Energy!H:H,0,-1)</f>
        <v>6324.6040295734838</v>
      </c>
      <c r="D1600">
        <f t="shared" si="96"/>
        <v>7179.7116248041839</v>
      </c>
      <c r="E1600">
        <f>_xlfn.XLOOKUP(A1600,Banks!A:A,Banks!I:I,0)</f>
        <v>40209.165084269633</v>
      </c>
      <c r="F1600">
        <f>_xlfn.XLOOKUP(A1600,Energy!A:A,Energy!I:I,0)</f>
        <v>0</v>
      </c>
      <c r="G1600">
        <f t="shared" si="97"/>
        <v>40209.165084269633</v>
      </c>
      <c r="H1600">
        <f t="shared" si="98"/>
        <v>33029.453459465447</v>
      </c>
      <c r="I1600" t="b">
        <f t="shared" si="99"/>
        <v>0</v>
      </c>
    </row>
    <row r="1601" spans="1:9">
      <c r="A1601" s="1">
        <v>46072.777777777781</v>
      </c>
      <c r="B1601" s="5">
        <f>_xlfn.XLOOKUP(A1601,Banks!A:A,Banks!H:H,0,-1)</f>
        <v>929.31361829524849</v>
      </c>
      <c r="C1601">
        <f>_xlfn.XLOOKUP(A1601,Energy!A:A,Energy!H:H,0,-1)</f>
        <v>6324.6040295734838</v>
      </c>
      <c r="D1601">
        <f t="shared" si="96"/>
        <v>7253.9176478687323</v>
      </c>
      <c r="E1601">
        <f>_xlfn.XLOOKUP(A1601,Banks!A:A,Banks!I:I,0)</f>
        <v>40235.608283326437</v>
      </c>
      <c r="F1601">
        <f>_xlfn.XLOOKUP(A1601,Energy!A:A,Energy!I:I,0)</f>
        <v>0</v>
      </c>
      <c r="G1601">
        <f t="shared" si="97"/>
        <v>40235.608283326437</v>
      </c>
      <c r="H1601">
        <f t="shared" si="98"/>
        <v>32981.690635457708</v>
      </c>
      <c r="I1601" t="b">
        <f t="shared" si="99"/>
        <v>0</v>
      </c>
    </row>
    <row r="1602" spans="1:9">
      <c r="A1602" s="1">
        <v>46072.77847222222</v>
      </c>
      <c r="B1602" s="5">
        <f>_xlfn.XLOOKUP(A1602,Banks!A:A,Banks!H:H,0,-1)</f>
        <v>880.97197477898158</v>
      </c>
      <c r="C1602">
        <f>_xlfn.XLOOKUP(A1602,Energy!A:A,Energy!H:H,0,-1)</f>
        <v>6324.6040295734838</v>
      </c>
      <c r="D1602">
        <f t="shared" si="96"/>
        <v>7205.5760043524651</v>
      </c>
      <c r="E1602">
        <f>_xlfn.XLOOKUP(A1602,Banks!A:A,Banks!I:I,0)</f>
        <v>40245.276612029687</v>
      </c>
      <c r="F1602">
        <f>_xlfn.XLOOKUP(A1602,Energy!A:A,Energy!I:I,0)</f>
        <v>0</v>
      </c>
      <c r="G1602">
        <f t="shared" si="97"/>
        <v>40245.276612029687</v>
      </c>
      <c r="H1602">
        <f t="shared" si="98"/>
        <v>33039.700607677223</v>
      </c>
      <c r="I1602" t="b">
        <f t="shared" si="99"/>
        <v>0</v>
      </c>
    </row>
    <row r="1603" spans="1:9">
      <c r="A1603" s="1">
        <v>46072.779166666667</v>
      </c>
      <c r="B1603" s="5">
        <f>_xlfn.XLOOKUP(A1603,Banks!A:A,Banks!H:H,0,-1)</f>
        <v>941.74925551216336</v>
      </c>
      <c r="C1603">
        <f>_xlfn.XLOOKUP(A1603,Energy!A:A,Energy!H:H,0,-1)</f>
        <v>6324.6040295734838</v>
      </c>
      <c r="D1603">
        <f t="shared" ref="D1603:D1666" si="100">B1603+C1603</f>
        <v>7266.3532850856473</v>
      </c>
      <c r="E1603">
        <f>_xlfn.XLOOKUP(A1603,Banks!A:A,Banks!I:I,0)</f>
        <v>40261.299399657633</v>
      </c>
      <c r="F1603">
        <f>_xlfn.XLOOKUP(A1603,Energy!A:A,Energy!I:I,0)</f>
        <v>0</v>
      </c>
      <c r="G1603">
        <f t="shared" ref="G1603:G1666" si="101">F1603+E1603</f>
        <v>40261.299399657633</v>
      </c>
      <c r="H1603">
        <f t="shared" ref="H1603:H1666" si="102">G1603-D1603</f>
        <v>32994.946114571983</v>
      </c>
      <c r="I1603" t="b">
        <f t="shared" ref="I1603:I1666" si="103">AND(E1603&gt;0,F1603&gt;0)</f>
        <v>0</v>
      </c>
    </row>
    <row r="1604" spans="1:9">
      <c r="A1604" s="1">
        <v>46072.779861111107</v>
      </c>
      <c r="B1604" s="5">
        <f>_xlfn.XLOOKUP(A1604,Banks!A:A,Banks!H:H,0,-1)</f>
        <v>883.06876061439993</v>
      </c>
      <c r="C1604">
        <f>_xlfn.XLOOKUP(A1604,Energy!A:A,Energy!H:H,0,-1)</f>
        <v>6324.6040295734838</v>
      </c>
      <c r="D1604">
        <f t="shared" si="100"/>
        <v>7207.6727901878839</v>
      </c>
      <c r="E1604">
        <f>_xlfn.XLOOKUP(A1604,Banks!A:A,Banks!I:I,0)</f>
        <v>40295.971278453697</v>
      </c>
      <c r="F1604">
        <f>_xlfn.XLOOKUP(A1604,Energy!A:A,Energy!I:I,0)</f>
        <v>0</v>
      </c>
      <c r="G1604">
        <f t="shared" si="101"/>
        <v>40295.971278453697</v>
      </c>
      <c r="H1604">
        <f t="shared" si="102"/>
        <v>33088.298488265813</v>
      </c>
      <c r="I1604" t="b">
        <f t="shared" si="103"/>
        <v>0</v>
      </c>
    </row>
    <row r="1605" spans="1:9">
      <c r="A1605" s="1">
        <v>46072.780555555553</v>
      </c>
      <c r="B1605" s="5">
        <f>_xlfn.XLOOKUP(A1605,Banks!A:A,Banks!H:H,0,-1)</f>
        <v>880.43738551304705</v>
      </c>
      <c r="C1605">
        <f>_xlfn.XLOOKUP(A1605,Energy!A:A,Energy!H:H,0,-1)</f>
        <v>6324.6040295734838</v>
      </c>
      <c r="D1605">
        <f t="shared" si="100"/>
        <v>7205.0414150865308</v>
      </c>
      <c r="E1605">
        <f>_xlfn.XLOOKUP(A1605,Banks!A:A,Banks!I:I,0)</f>
        <v>40310.914329358638</v>
      </c>
      <c r="F1605">
        <f>_xlfn.XLOOKUP(A1605,Energy!A:A,Energy!I:I,0)</f>
        <v>0</v>
      </c>
      <c r="G1605">
        <f t="shared" si="101"/>
        <v>40310.914329358638</v>
      </c>
      <c r="H1605">
        <f t="shared" si="102"/>
        <v>33105.872914272106</v>
      </c>
      <c r="I1605" t="b">
        <f t="shared" si="103"/>
        <v>0</v>
      </c>
    </row>
    <row r="1606" spans="1:9">
      <c r="A1606" s="1">
        <v>46072.78125</v>
      </c>
      <c r="B1606" s="5">
        <f>_xlfn.XLOOKUP(A1606,Banks!A:A,Banks!H:H,0,-1)</f>
        <v>903.85703898387658</v>
      </c>
      <c r="C1606">
        <f>_xlfn.XLOOKUP(A1606,Energy!A:A,Energy!H:H,0,-1)</f>
        <v>6324.6040295734838</v>
      </c>
      <c r="D1606">
        <f t="shared" si="100"/>
        <v>7228.4610685573607</v>
      </c>
      <c r="E1606">
        <f>_xlfn.XLOOKUP(A1606,Banks!A:A,Banks!I:I,0)</f>
        <v>40327.200254496711</v>
      </c>
      <c r="F1606">
        <f>_xlfn.XLOOKUP(A1606,Energy!A:A,Energy!I:I,0)</f>
        <v>0</v>
      </c>
      <c r="G1606">
        <f t="shared" si="101"/>
        <v>40327.200254496711</v>
      </c>
      <c r="H1606">
        <f t="shared" si="102"/>
        <v>33098.739185939354</v>
      </c>
      <c r="I1606" t="b">
        <f t="shared" si="103"/>
        <v>0</v>
      </c>
    </row>
    <row r="1607" spans="1:9">
      <c r="A1607" s="1">
        <v>46072.781944444447</v>
      </c>
      <c r="B1607" s="5">
        <f>_xlfn.XLOOKUP(A1607,Banks!A:A,Banks!H:H,0,-1)</f>
        <v>891.23734640676525</v>
      </c>
      <c r="C1607">
        <f>_xlfn.XLOOKUP(A1607,Energy!A:A,Energy!H:H,0,-1)</f>
        <v>6324.6040295734838</v>
      </c>
      <c r="D1607">
        <f t="shared" si="100"/>
        <v>7215.8413759802488</v>
      </c>
      <c r="E1607">
        <f>_xlfn.XLOOKUP(A1607,Banks!A:A,Banks!I:I,0)</f>
        <v>0</v>
      </c>
      <c r="F1607">
        <f>_xlfn.XLOOKUP(A1607,Energy!A:A,Energy!I:I,0)</f>
        <v>0</v>
      </c>
      <c r="G1607">
        <f t="shared" si="101"/>
        <v>0</v>
      </c>
      <c r="H1607">
        <f t="shared" si="102"/>
        <v>-7215.8413759802488</v>
      </c>
      <c r="I1607" t="b">
        <f t="shared" si="103"/>
        <v>0</v>
      </c>
    </row>
    <row r="1608" spans="1:9">
      <c r="A1608" s="1">
        <v>46073.604166666657</v>
      </c>
      <c r="B1608" s="5">
        <f>_xlfn.XLOOKUP(A1608,Banks!A:A,Banks!H:H,0,-1)</f>
        <v>891.23734640676525</v>
      </c>
      <c r="C1608">
        <f>_xlfn.XLOOKUP(A1608,Energy!A:A,Energy!H:H,0,-1)</f>
        <v>6324.6040295734838</v>
      </c>
      <c r="D1608">
        <f t="shared" si="100"/>
        <v>7215.8413759802488</v>
      </c>
      <c r="E1608">
        <f>_xlfn.XLOOKUP(A1608,Banks!A:A,Banks!I:I,0)</f>
        <v>40202.939658319432</v>
      </c>
      <c r="F1608">
        <f>_xlfn.XLOOKUP(A1608,Energy!A:A,Energy!I:I,0)</f>
        <v>0</v>
      </c>
      <c r="G1608">
        <f t="shared" si="101"/>
        <v>40202.939658319432</v>
      </c>
      <c r="H1608">
        <f t="shared" si="102"/>
        <v>32987.098282339182</v>
      </c>
      <c r="I1608" t="b">
        <f t="shared" si="103"/>
        <v>0</v>
      </c>
    </row>
    <row r="1609" spans="1:9">
      <c r="A1609" s="1">
        <v>46073.604861111111</v>
      </c>
      <c r="B1609" s="5">
        <f>_xlfn.XLOOKUP(A1609,Banks!A:A,Banks!H:H,0,-1)</f>
        <v>816.22810211717865</v>
      </c>
      <c r="C1609">
        <f>_xlfn.XLOOKUP(A1609,Energy!A:A,Energy!H:H,0,-1)</f>
        <v>6324.6040295734838</v>
      </c>
      <c r="D1609">
        <f t="shared" si="100"/>
        <v>7140.8321316906622</v>
      </c>
      <c r="E1609">
        <f>_xlfn.XLOOKUP(A1609,Banks!A:A,Banks!I:I,0)</f>
        <v>40225.646671043978</v>
      </c>
      <c r="F1609">
        <f>_xlfn.XLOOKUP(A1609,Energy!A:A,Energy!I:I,0)</f>
        <v>0</v>
      </c>
      <c r="G1609">
        <f t="shared" si="101"/>
        <v>40225.646671043978</v>
      </c>
      <c r="H1609">
        <f t="shared" si="102"/>
        <v>33084.81453935332</v>
      </c>
      <c r="I1609" t="b">
        <f t="shared" si="103"/>
        <v>0</v>
      </c>
    </row>
    <row r="1610" spans="1:9">
      <c r="A1610" s="1">
        <v>46073.605555555558</v>
      </c>
      <c r="B1610" s="5">
        <f>_xlfn.XLOOKUP(A1610,Banks!A:A,Banks!H:H,0,-1)</f>
        <v>674.52369572619125</v>
      </c>
      <c r="C1610">
        <f>_xlfn.XLOOKUP(A1610,Energy!A:A,Energy!H:H,0,-1)</f>
        <v>6324.6040295734838</v>
      </c>
      <c r="D1610">
        <f t="shared" si="100"/>
        <v>6999.1277252996751</v>
      </c>
      <c r="E1610">
        <f>_xlfn.XLOOKUP(A1610,Banks!A:A,Banks!I:I,0)</f>
        <v>40211.609151055687</v>
      </c>
      <c r="F1610">
        <f>_xlfn.XLOOKUP(A1610,Energy!A:A,Energy!I:I,0)</f>
        <v>0</v>
      </c>
      <c r="G1610">
        <f t="shared" si="101"/>
        <v>40211.609151055687</v>
      </c>
      <c r="H1610">
        <f t="shared" si="102"/>
        <v>33212.481425756014</v>
      </c>
      <c r="I1610" t="b">
        <f t="shared" si="103"/>
        <v>0</v>
      </c>
    </row>
    <row r="1611" spans="1:9">
      <c r="A1611" s="1">
        <v>46073.606249999997</v>
      </c>
      <c r="B1611" s="5">
        <f>_xlfn.XLOOKUP(A1611,Banks!A:A,Banks!H:H,0,-1)</f>
        <v>657.31501429926857</v>
      </c>
      <c r="C1611">
        <f>_xlfn.XLOOKUP(A1611,Energy!A:A,Energy!H:H,0,-1)</f>
        <v>6324.6040295734838</v>
      </c>
      <c r="D1611">
        <f t="shared" si="100"/>
        <v>6981.9190438727528</v>
      </c>
      <c r="E1611">
        <f>_xlfn.XLOOKUP(A1611,Banks!A:A,Banks!I:I,0)</f>
        <v>40141.851830608022</v>
      </c>
      <c r="F1611">
        <f>_xlfn.XLOOKUP(A1611,Energy!A:A,Energy!I:I,0)</f>
        <v>0</v>
      </c>
      <c r="G1611">
        <f t="shared" si="101"/>
        <v>40141.851830608022</v>
      </c>
      <c r="H1611">
        <f t="shared" si="102"/>
        <v>33159.932786735269</v>
      </c>
      <c r="I1611" t="b">
        <f t="shared" si="103"/>
        <v>0</v>
      </c>
    </row>
    <row r="1612" spans="1:9">
      <c r="A1612" s="1">
        <v>46073.606944444437</v>
      </c>
      <c r="B1612" s="5">
        <f>_xlfn.XLOOKUP(A1612,Banks!A:A,Banks!H:H,0,-1)</f>
        <v>707.21850738577598</v>
      </c>
      <c r="C1612">
        <f>_xlfn.XLOOKUP(A1612,Energy!A:A,Energy!H:H,0,-1)</f>
        <v>6324.6040295734838</v>
      </c>
      <c r="D1612">
        <f t="shared" si="100"/>
        <v>7031.8225369592601</v>
      </c>
      <c r="E1612">
        <f>_xlfn.XLOOKUP(A1612,Banks!A:A,Banks!I:I,0)</f>
        <v>40147.281459723999</v>
      </c>
      <c r="F1612">
        <f>_xlfn.XLOOKUP(A1612,Energy!A:A,Energy!I:I,0)</f>
        <v>0</v>
      </c>
      <c r="G1612">
        <f t="shared" si="101"/>
        <v>40147.281459723999</v>
      </c>
      <c r="H1612">
        <f t="shared" si="102"/>
        <v>33115.458922764738</v>
      </c>
      <c r="I1612" t="b">
        <f t="shared" si="103"/>
        <v>0</v>
      </c>
    </row>
    <row r="1613" spans="1:9">
      <c r="A1613" s="1">
        <v>46073.607638888891</v>
      </c>
      <c r="B1613" s="5">
        <f>_xlfn.XLOOKUP(A1613,Banks!A:A,Banks!H:H,0,-1)</f>
        <v>726.72309096291735</v>
      </c>
      <c r="C1613">
        <f>_xlfn.XLOOKUP(A1613,Energy!A:A,Energy!H:H,0,-1)</f>
        <v>6324.6040295734838</v>
      </c>
      <c r="D1613">
        <f t="shared" si="100"/>
        <v>7051.3271205364008</v>
      </c>
      <c r="E1613">
        <f>_xlfn.XLOOKUP(A1613,Banks!A:A,Banks!I:I,0)</f>
        <v>40143.380543008563</v>
      </c>
      <c r="F1613">
        <f>_xlfn.XLOOKUP(A1613,Energy!A:A,Energy!I:I,0)</f>
        <v>0</v>
      </c>
      <c r="G1613">
        <f t="shared" si="101"/>
        <v>40143.380543008563</v>
      </c>
      <c r="H1613">
        <f t="shared" si="102"/>
        <v>33092.053422472163</v>
      </c>
      <c r="I1613" t="b">
        <f t="shared" si="103"/>
        <v>0</v>
      </c>
    </row>
    <row r="1614" spans="1:9">
      <c r="A1614" s="1">
        <v>46073.60833333333</v>
      </c>
      <c r="B1614" s="5">
        <f>_xlfn.XLOOKUP(A1614,Banks!A:A,Banks!H:H,0,-1)</f>
        <v>697.7742249168698</v>
      </c>
      <c r="C1614">
        <f>_xlfn.XLOOKUP(A1614,Energy!A:A,Energy!H:H,0,-1)</f>
        <v>6324.6040295734838</v>
      </c>
      <c r="D1614">
        <f t="shared" si="100"/>
        <v>7022.3782544903534</v>
      </c>
      <c r="E1614">
        <f>_xlfn.XLOOKUP(A1614,Banks!A:A,Banks!I:I,0)</f>
        <v>40087.52900528469</v>
      </c>
      <c r="F1614">
        <f>_xlfn.XLOOKUP(A1614,Energy!A:A,Energy!I:I,0)</f>
        <v>0</v>
      </c>
      <c r="G1614">
        <f t="shared" si="101"/>
        <v>40087.52900528469</v>
      </c>
      <c r="H1614">
        <f t="shared" si="102"/>
        <v>33065.150750794339</v>
      </c>
      <c r="I1614" t="b">
        <f t="shared" si="103"/>
        <v>0</v>
      </c>
    </row>
    <row r="1615" spans="1:9">
      <c r="A1615" s="1">
        <v>46073.609027777777</v>
      </c>
      <c r="B1615" s="5">
        <f>_xlfn.XLOOKUP(A1615,Banks!A:A,Banks!H:H,0,-1)</f>
        <v>639.39314500362707</v>
      </c>
      <c r="C1615">
        <f>_xlfn.XLOOKUP(A1615,Energy!A:A,Energy!H:H,0,-1)</f>
        <v>6324.6040295734838</v>
      </c>
      <c r="D1615">
        <f t="shared" si="100"/>
        <v>6963.9971745771109</v>
      </c>
      <c r="E1615">
        <f>_xlfn.XLOOKUP(A1615,Banks!A:A,Banks!I:I,0)</f>
        <v>39991.332927134441</v>
      </c>
      <c r="F1615">
        <f>_xlfn.XLOOKUP(A1615,Energy!A:A,Energy!I:I,0)</f>
        <v>0</v>
      </c>
      <c r="G1615">
        <f t="shared" si="101"/>
        <v>39991.332927134441</v>
      </c>
      <c r="H1615">
        <f t="shared" si="102"/>
        <v>33027.33575255733</v>
      </c>
      <c r="I1615" t="b">
        <f t="shared" si="103"/>
        <v>0</v>
      </c>
    </row>
    <row r="1616" spans="1:9">
      <c r="A1616" s="1">
        <v>46073.609722222223</v>
      </c>
      <c r="B1616" s="5">
        <f>_xlfn.XLOOKUP(A1616,Banks!A:A,Banks!H:H,0,-1)</f>
        <v>538.19061691348281</v>
      </c>
      <c r="C1616">
        <f>_xlfn.XLOOKUP(A1616,Energy!A:A,Energy!H:H,0,-1)</f>
        <v>6324.6040295734838</v>
      </c>
      <c r="D1616">
        <f t="shared" si="100"/>
        <v>6862.7946464869665</v>
      </c>
      <c r="E1616">
        <f>_xlfn.XLOOKUP(A1616,Banks!A:A,Banks!I:I,0)</f>
        <v>40077.067325618867</v>
      </c>
      <c r="F1616">
        <f>_xlfn.XLOOKUP(A1616,Energy!A:A,Energy!I:I,0)</f>
        <v>0</v>
      </c>
      <c r="G1616">
        <f t="shared" si="101"/>
        <v>40077.067325618867</v>
      </c>
      <c r="H1616">
        <f t="shared" si="102"/>
        <v>33214.2726791319</v>
      </c>
      <c r="I1616" t="b">
        <f t="shared" si="103"/>
        <v>0</v>
      </c>
    </row>
    <row r="1617" spans="1:9">
      <c r="A1617" s="1">
        <v>46073.61041666667</v>
      </c>
      <c r="B1617" s="5">
        <f>_xlfn.XLOOKUP(A1617,Banks!A:A,Banks!H:H,0,-1)</f>
        <v>462.76436021188528</v>
      </c>
      <c r="C1617">
        <f>_xlfn.XLOOKUP(A1617,Energy!A:A,Energy!H:H,0,-1)</f>
        <v>6324.6040295734838</v>
      </c>
      <c r="D1617">
        <f t="shared" si="100"/>
        <v>6787.3683897853689</v>
      </c>
      <c r="E1617">
        <f>_xlfn.XLOOKUP(A1617,Banks!A:A,Banks!I:I,0)</f>
        <v>40061.331921492652</v>
      </c>
      <c r="F1617">
        <f>_xlfn.XLOOKUP(A1617,Energy!A:A,Energy!I:I,0)</f>
        <v>0</v>
      </c>
      <c r="G1617">
        <f t="shared" si="101"/>
        <v>40061.331921492652</v>
      </c>
      <c r="H1617">
        <f t="shared" si="102"/>
        <v>33273.963531707283</v>
      </c>
      <c r="I1617" t="b">
        <f t="shared" si="103"/>
        <v>0</v>
      </c>
    </row>
    <row r="1618" spans="1:9">
      <c r="A1618" s="1">
        <v>46073.611111111109</v>
      </c>
      <c r="B1618" s="5">
        <f>_xlfn.XLOOKUP(A1618,Banks!A:A,Banks!H:H,0,-1)</f>
        <v>312.28619153741329</v>
      </c>
      <c r="C1618">
        <f>_xlfn.XLOOKUP(A1618,Energy!A:A,Energy!H:H,0,-1)</f>
        <v>6324.6040295734838</v>
      </c>
      <c r="D1618">
        <f t="shared" si="100"/>
        <v>6636.8902211108971</v>
      </c>
      <c r="E1618">
        <f>_xlfn.XLOOKUP(A1618,Banks!A:A,Banks!I:I,0)</f>
        <v>39914.208786294912</v>
      </c>
      <c r="F1618">
        <f>_xlfn.XLOOKUP(A1618,Energy!A:A,Energy!I:I,0)</f>
        <v>0</v>
      </c>
      <c r="G1618">
        <f t="shared" si="101"/>
        <v>39914.208786294912</v>
      </c>
      <c r="H1618">
        <f t="shared" si="102"/>
        <v>33277.318565184018</v>
      </c>
      <c r="I1618" t="b">
        <f t="shared" si="103"/>
        <v>0</v>
      </c>
    </row>
    <row r="1619" spans="1:9">
      <c r="A1619" s="1">
        <v>46073.611805555563</v>
      </c>
      <c r="B1619" s="5">
        <f>_xlfn.XLOOKUP(A1619,Banks!A:A,Banks!H:H,0,-1)</f>
        <v>394.15947455189018</v>
      </c>
      <c r="C1619">
        <f>_xlfn.XLOOKUP(A1619,Energy!A:A,Energy!H:H,0,-1)</f>
        <v>6324.6040295734838</v>
      </c>
      <c r="D1619">
        <f t="shared" si="100"/>
        <v>6718.7635041253743</v>
      </c>
      <c r="E1619">
        <f>_xlfn.XLOOKUP(A1619,Banks!A:A,Banks!I:I,0)</f>
        <v>39878.571220025427</v>
      </c>
      <c r="F1619">
        <f>_xlfn.XLOOKUP(A1619,Energy!A:A,Energy!I:I,0)</f>
        <v>0</v>
      </c>
      <c r="G1619">
        <f t="shared" si="101"/>
        <v>39878.571220025427</v>
      </c>
      <c r="H1619">
        <f t="shared" si="102"/>
        <v>33159.807715900053</v>
      </c>
      <c r="I1619" t="b">
        <f t="shared" si="103"/>
        <v>0</v>
      </c>
    </row>
    <row r="1620" spans="1:9">
      <c r="A1620" s="1">
        <v>46073.612500000003</v>
      </c>
      <c r="B1620" s="5">
        <f>_xlfn.XLOOKUP(A1620,Banks!A:A,Banks!H:H,0,-1)</f>
        <v>299.88732059570378</v>
      </c>
      <c r="C1620">
        <f>_xlfn.XLOOKUP(A1620,Energy!A:A,Energy!H:H,0,-1)</f>
        <v>6324.6040295734838</v>
      </c>
      <c r="D1620">
        <f t="shared" si="100"/>
        <v>6624.4913501691872</v>
      </c>
      <c r="E1620">
        <f>_xlfn.XLOOKUP(A1620,Banks!A:A,Banks!I:I,0)</f>
        <v>39897.425650816673</v>
      </c>
      <c r="F1620">
        <f>_xlfn.XLOOKUP(A1620,Energy!A:A,Energy!I:I,0)</f>
        <v>0</v>
      </c>
      <c r="G1620">
        <f t="shared" si="101"/>
        <v>39897.425650816673</v>
      </c>
      <c r="H1620">
        <f t="shared" si="102"/>
        <v>33272.934300647488</v>
      </c>
      <c r="I1620" t="b">
        <f t="shared" si="103"/>
        <v>0</v>
      </c>
    </row>
    <row r="1621" spans="1:9">
      <c r="A1621" s="1">
        <v>46073.613194444442</v>
      </c>
      <c r="B1621" s="5">
        <f>_xlfn.XLOOKUP(A1621,Banks!A:A,Banks!H:H,0,-1)</f>
        <v>306.56418695621869</v>
      </c>
      <c r="C1621">
        <f>_xlfn.XLOOKUP(A1621,Energy!A:A,Energy!H:H,0,-1)</f>
        <v>6324.6040295734838</v>
      </c>
      <c r="D1621">
        <f t="shared" si="100"/>
        <v>6631.1682165297025</v>
      </c>
      <c r="E1621">
        <f>_xlfn.XLOOKUP(A1621,Banks!A:A,Banks!I:I,0)</f>
        <v>39942.321260744393</v>
      </c>
      <c r="F1621">
        <f>_xlfn.XLOOKUP(A1621,Energy!A:A,Energy!I:I,0)</f>
        <v>0</v>
      </c>
      <c r="G1621">
        <f t="shared" si="101"/>
        <v>39942.321260744393</v>
      </c>
      <c r="H1621">
        <f t="shared" si="102"/>
        <v>33311.15304421469</v>
      </c>
      <c r="I1621" t="b">
        <f t="shared" si="103"/>
        <v>0</v>
      </c>
    </row>
    <row r="1622" spans="1:9">
      <c r="A1622" s="1">
        <v>46073.613888888889</v>
      </c>
      <c r="B1622" s="5">
        <f>_xlfn.XLOOKUP(A1622,Banks!A:A,Banks!H:H,0,-1)</f>
        <v>391.5010615358222</v>
      </c>
      <c r="C1622">
        <f>_xlfn.XLOOKUP(A1622,Energy!A:A,Energy!H:H,0,-1)</f>
        <v>6324.6040295734838</v>
      </c>
      <c r="D1622">
        <f t="shared" si="100"/>
        <v>6716.1050911093062</v>
      </c>
      <c r="E1622">
        <f>_xlfn.XLOOKUP(A1622,Banks!A:A,Banks!I:I,0)</f>
        <v>39963.859705161638</v>
      </c>
      <c r="F1622">
        <f>_xlfn.XLOOKUP(A1622,Energy!A:A,Energy!I:I,0)</f>
        <v>0</v>
      </c>
      <c r="G1622">
        <f t="shared" si="101"/>
        <v>39963.859705161638</v>
      </c>
      <c r="H1622">
        <f t="shared" si="102"/>
        <v>33247.754614052334</v>
      </c>
      <c r="I1622" t="b">
        <f t="shared" si="103"/>
        <v>0</v>
      </c>
    </row>
    <row r="1623" spans="1:9">
      <c r="A1623" s="1">
        <v>46073.614583333343</v>
      </c>
      <c r="B1623" s="5">
        <f>_xlfn.XLOOKUP(A1623,Banks!A:A,Banks!H:H,0,-1)</f>
        <v>241.3072344551982</v>
      </c>
      <c r="C1623">
        <f>_xlfn.XLOOKUP(A1623,Energy!A:A,Energy!H:H,0,-1)</f>
        <v>6324.6040295734838</v>
      </c>
      <c r="D1623">
        <f t="shared" si="100"/>
        <v>6565.9112640286821</v>
      </c>
      <c r="E1623">
        <f>_xlfn.XLOOKUP(A1623,Banks!A:A,Banks!I:I,0)</f>
        <v>39963.077815111217</v>
      </c>
      <c r="F1623">
        <f>_xlfn.XLOOKUP(A1623,Energy!A:A,Energy!I:I,0)</f>
        <v>0</v>
      </c>
      <c r="G1623">
        <f t="shared" si="101"/>
        <v>39963.077815111217</v>
      </c>
      <c r="H1623">
        <f t="shared" si="102"/>
        <v>33397.166551082533</v>
      </c>
      <c r="I1623" t="b">
        <f t="shared" si="103"/>
        <v>0</v>
      </c>
    </row>
    <row r="1624" spans="1:9">
      <c r="A1624" s="1">
        <v>46073.615277777782</v>
      </c>
      <c r="B1624" s="5">
        <f>_xlfn.XLOOKUP(A1624,Banks!A:A,Banks!H:H,0,-1)</f>
        <v>242.2075946883061</v>
      </c>
      <c r="C1624">
        <f>_xlfn.XLOOKUP(A1624,Energy!A:A,Energy!H:H,0,-1)</f>
        <v>6324.6040295734838</v>
      </c>
      <c r="D1624">
        <f t="shared" si="100"/>
        <v>6566.8116242617898</v>
      </c>
      <c r="E1624">
        <f>_xlfn.XLOOKUP(A1624,Banks!A:A,Banks!I:I,0)</f>
        <v>39986.013234664497</v>
      </c>
      <c r="F1624">
        <f>_xlfn.XLOOKUP(A1624,Energy!A:A,Energy!I:I,0)</f>
        <v>0</v>
      </c>
      <c r="G1624">
        <f t="shared" si="101"/>
        <v>39986.013234664497</v>
      </c>
      <c r="H1624">
        <f t="shared" si="102"/>
        <v>33419.201610402706</v>
      </c>
      <c r="I1624" t="b">
        <f t="shared" si="103"/>
        <v>0</v>
      </c>
    </row>
    <row r="1625" spans="1:9">
      <c r="A1625" s="1">
        <v>46073.615972222222</v>
      </c>
      <c r="B1625" s="5">
        <f>_xlfn.XLOOKUP(A1625,Banks!A:A,Banks!H:H,0,-1)</f>
        <v>458.55873450306319</v>
      </c>
      <c r="C1625">
        <f>_xlfn.XLOOKUP(A1625,Energy!A:A,Energy!H:H,0,-1)</f>
        <v>6324.6040295734838</v>
      </c>
      <c r="D1625">
        <f t="shared" si="100"/>
        <v>6783.1627640765473</v>
      </c>
      <c r="E1625">
        <f>_xlfn.XLOOKUP(A1625,Banks!A:A,Banks!I:I,0)</f>
        <v>39988.973989901373</v>
      </c>
      <c r="F1625">
        <f>_xlfn.XLOOKUP(A1625,Energy!A:A,Energy!I:I,0)</f>
        <v>0</v>
      </c>
      <c r="G1625">
        <f t="shared" si="101"/>
        <v>39988.973989901373</v>
      </c>
      <c r="H1625">
        <f t="shared" si="102"/>
        <v>33205.811225824829</v>
      </c>
      <c r="I1625" t="b">
        <f t="shared" si="103"/>
        <v>0</v>
      </c>
    </row>
    <row r="1626" spans="1:9">
      <c r="A1626" s="1">
        <v>46073.616666666669</v>
      </c>
      <c r="B1626" s="5">
        <f>_xlfn.XLOOKUP(A1626,Banks!A:A,Banks!H:H,0,-1)</f>
        <v>665.05283959428903</v>
      </c>
      <c r="C1626">
        <f>_xlfn.XLOOKUP(A1626,Energy!A:A,Energy!H:H,0,-1)</f>
        <v>6324.6040295734838</v>
      </c>
      <c r="D1626">
        <f t="shared" si="100"/>
        <v>6989.656869167773</v>
      </c>
      <c r="E1626">
        <f>_xlfn.XLOOKUP(A1626,Banks!A:A,Banks!I:I,0)</f>
        <v>0</v>
      </c>
      <c r="F1626">
        <f>_xlfn.XLOOKUP(A1626,Energy!A:A,Energy!I:I,0)</f>
        <v>0</v>
      </c>
      <c r="G1626">
        <f t="shared" si="101"/>
        <v>0</v>
      </c>
      <c r="H1626">
        <f t="shared" si="102"/>
        <v>-6989.656869167773</v>
      </c>
      <c r="I1626" t="b">
        <f t="shared" si="103"/>
        <v>0</v>
      </c>
    </row>
    <row r="1627" spans="1:9">
      <c r="A1627" s="1">
        <v>46073.774305555547</v>
      </c>
      <c r="B1627" s="5">
        <f>_xlfn.XLOOKUP(A1627,Banks!A:A,Banks!H:H,0,-1)</f>
        <v>665.05283959428903</v>
      </c>
      <c r="C1627">
        <f>_xlfn.XLOOKUP(A1627,Energy!A:A,Energy!H:H,0,-1)</f>
        <v>6324.6040295734838</v>
      </c>
      <c r="D1627">
        <f t="shared" si="100"/>
        <v>6989.656869167773</v>
      </c>
      <c r="E1627">
        <f>_xlfn.XLOOKUP(A1627,Banks!A:A,Banks!I:I,0)</f>
        <v>40202.939658319432</v>
      </c>
      <c r="F1627">
        <f>_xlfn.XLOOKUP(A1627,Energy!A:A,Energy!I:I,0)</f>
        <v>0</v>
      </c>
      <c r="G1627">
        <f t="shared" si="101"/>
        <v>40202.939658319432</v>
      </c>
      <c r="H1627">
        <f t="shared" si="102"/>
        <v>33213.282789151657</v>
      </c>
      <c r="I1627" t="b">
        <f t="shared" si="103"/>
        <v>0</v>
      </c>
    </row>
    <row r="1628" spans="1:9">
      <c r="A1628" s="1">
        <v>46073.775000000001</v>
      </c>
      <c r="B1628" s="5">
        <f>_xlfn.XLOOKUP(A1628,Banks!A:A,Banks!H:H,0,-1)</f>
        <v>988.51036583890107</v>
      </c>
      <c r="C1628">
        <f>_xlfn.XLOOKUP(A1628,Energy!A:A,Energy!H:H,0,-1)</f>
        <v>6324.6040295734838</v>
      </c>
      <c r="D1628">
        <f t="shared" si="100"/>
        <v>7313.1143954123845</v>
      </c>
      <c r="E1628">
        <f>_xlfn.XLOOKUP(A1628,Banks!A:A,Banks!I:I,0)</f>
        <v>40241.823463195753</v>
      </c>
      <c r="F1628">
        <f>_xlfn.XLOOKUP(A1628,Energy!A:A,Energy!I:I,0)</f>
        <v>0</v>
      </c>
      <c r="G1628">
        <f t="shared" si="101"/>
        <v>40241.823463195753</v>
      </c>
      <c r="H1628">
        <f t="shared" si="102"/>
        <v>32928.709067783369</v>
      </c>
      <c r="I1628" t="b">
        <f t="shared" si="103"/>
        <v>0</v>
      </c>
    </row>
    <row r="1629" spans="1:9">
      <c r="A1629" s="1">
        <v>46073.775694444441</v>
      </c>
      <c r="B1629" s="5">
        <f>_xlfn.XLOOKUP(A1629,Banks!A:A,Banks!H:H,0,-1)</f>
        <v>980.35787832583912</v>
      </c>
      <c r="C1629">
        <f>_xlfn.XLOOKUP(A1629,Energy!A:A,Energy!H:H,0,-1)</f>
        <v>6324.6040295734838</v>
      </c>
      <c r="D1629">
        <f t="shared" si="100"/>
        <v>7304.9619078993228</v>
      </c>
      <c r="E1629">
        <f>_xlfn.XLOOKUP(A1629,Banks!A:A,Banks!I:I,0)</f>
        <v>40247.2900832956</v>
      </c>
      <c r="F1629">
        <f>_xlfn.XLOOKUP(A1629,Energy!A:A,Energy!I:I,0)</f>
        <v>0</v>
      </c>
      <c r="G1629">
        <f t="shared" si="101"/>
        <v>40247.2900832956</v>
      </c>
      <c r="H1629">
        <f t="shared" si="102"/>
        <v>32942.32817539628</v>
      </c>
      <c r="I1629" t="b">
        <f t="shared" si="103"/>
        <v>0</v>
      </c>
    </row>
    <row r="1630" spans="1:9">
      <c r="A1630" s="1">
        <v>46073.776388888888</v>
      </c>
      <c r="B1630" s="5">
        <f>_xlfn.XLOOKUP(A1630,Banks!A:A,Banks!H:H,0,-1)</f>
        <v>967.36644699288263</v>
      </c>
      <c r="C1630">
        <f>_xlfn.XLOOKUP(A1630,Energy!A:A,Energy!H:H,0,-1)</f>
        <v>6324.6040295734838</v>
      </c>
      <c r="D1630">
        <f t="shared" si="100"/>
        <v>7291.9704765663664</v>
      </c>
      <c r="E1630">
        <f>_xlfn.XLOOKUP(A1630,Banks!A:A,Banks!I:I,0)</f>
        <v>40253.724492159417</v>
      </c>
      <c r="F1630">
        <f>_xlfn.XLOOKUP(A1630,Energy!A:A,Energy!I:I,0)</f>
        <v>0</v>
      </c>
      <c r="G1630">
        <f t="shared" si="101"/>
        <v>40253.724492159417</v>
      </c>
      <c r="H1630">
        <f t="shared" si="102"/>
        <v>32961.754015593047</v>
      </c>
      <c r="I1630" t="b">
        <f t="shared" si="103"/>
        <v>0</v>
      </c>
    </row>
    <row r="1631" spans="1:9">
      <c r="A1631" s="1">
        <v>46073.777083333327</v>
      </c>
      <c r="B1631" s="5">
        <f>_xlfn.XLOOKUP(A1631,Banks!A:A,Banks!H:H,0,-1)</f>
        <v>925.77925847399024</v>
      </c>
      <c r="C1631">
        <f>_xlfn.XLOOKUP(A1631,Energy!A:A,Energy!H:H,0,-1)</f>
        <v>6324.6040295734838</v>
      </c>
      <c r="D1631">
        <f t="shared" si="100"/>
        <v>7250.3832880474738</v>
      </c>
      <c r="E1631">
        <f>_xlfn.XLOOKUP(A1631,Banks!A:A,Banks!I:I,0)</f>
        <v>40246.697439474279</v>
      </c>
      <c r="F1631">
        <f>_xlfn.XLOOKUP(A1631,Energy!A:A,Energy!I:I,0)</f>
        <v>0</v>
      </c>
      <c r="G1631">
        <f t="shared" si="101"/>
        <v>40246.697439474279</v>
      </c>
      <c r="H1631">
        <f t="shared" si="102"/>
        <v>32996.314151426806</v>
      </c>
      <c r="I1631" t="b">
        <f t="shared" si="103"/>
        <v>0</v>
      </c>
    </row>
    <row r="1632" spans="1:9">
      <c r="A1632" s="1">
        <v>46073.777777777781</v>
      </c>
      <c r="B1632" s="5">
        <f>_xlfn.XLOOKUP(A1632,Banks!A:A,Banks!H:H,0,-1)</f>
        <v>982.27012367273198</v>
      </c>
      <c r="C1632">
        <f>_xlfn.XLOOKUP(A1632,Energy!A:A,Energy!H:H,0,-1)</f>
        <v>6324.6040295734838</v>
      </c>
      <c r="D1632">
        <f t="shared" si="100"/>
        <v>7306.8741532462154</v>
      </c>
      <c r="E1632">
        <f>_xlfn.XLOOKUP(A1632,Banks!A:A,Banks!I:I,0)</f>
        <v>40304.449473184701</v>
      </c>
      <c r="F1632">
        <f>_xlfn.XLOOKUP(A1632,Energy!A:A,Energy!I:I,0)</f>
        <v>0</v>
      </c>
      <c r="G1632">
        <f t="shared" si="101"/>
        <v>40304.449473184701</v>
      </c>
      <c r="H1632">
        <f t="shared" si="102"/>
        <v>32997.575319938485</v>
      </c>
      <c r="I1632" t="b">
        <f t="shared" si="103"/>
        <v>0</v>
      </c>
    </row>
    <row r="1633" spans="1:9">
      <c r="A1633" s="1">
        <v>46073.77847222222</v>
      </c>
      <c r="B1633" s="5">
        <f>_xlfn.XLOOKUP(A1633,Banks!A:A,Banks!H:H,0,-1)</f>
        <v>969.27869233976185</v>
      </c>
      <c r="C1633">
        <f>_xlfn.XLOOKUP(A1633,Energy!A:A,Energy!H:H,0,-1)</f>
        <v>6324.6040295734838</v>
      </c>
      <c r="D1633">
        <f t="shared" si="100"/>
        <v>7293.8827219132454</v>
      </c>
      <c r="E1633">
        <f>_xlfn.XLOOKUP(A1633,Banks!A:A,Banks!I:I,0)</f>
        <v>40310.883882048518</v>
      </c>
      <c r="F1633">
        <f>_xlfn.XLOOKUP(A1633,Energy!A:A,Energy!I:I,0)</f>
        <v>0</v>
      </c>
      <c r="G1633">
        <f t="shared" si="101"/>
        <v>40310.883882048518</v>
      </c>
      <c r="H1633">
        <f t="shared" si="102"/>
        <v>33017.001160135274</v>
      </c>
      <c r="I1633" t="b">
        <f t="shared" si="103"/>
        <v>0</v>
      </c>
    </row>
    <row r="1634" spans="1:9">
      <c r="A1634" s="1">
        <v>46073.779166666667</v>
      </c>
      <c r="B1634" s="5">
        <f>_xlfn.XLOOKUP(A1634,Banks!A:A,Banks!H:H,0,-1)</f>
        <v>969.716598073005</v>
      </c>
      <c r="C1634">
        <f>_xlfn.XLOOKUP(A1634,Energy!A:A,Energy!H:H,0,-1)</f>
        <v>6324.6040295734838</v>
      </c>
      <c r="D1634">
        <f t="shared" si="100"/>
        <v>7294.3206276464889</v>
      </c>
      <c r="E1634">
        <f>_xlfn.XLOOKUP(A1634,Banks!A:A,Banks!I:I,0)</f>
        <v>40291.615687915713</v>
      </c>
      <c r="F1634">
        <f>_xlfn.XLOOKUP(A1634,Energy!A:A,Energy!I:I,0)</f>
        <v>0</v>
      </c>
      <c r="G1634">
        <f t="shared" si="101"/>
        <v>40291.615687915713</v>
      </c>
      <c r="H1634">
        <f t="shared" si="102"/>
        <v>32997.295060269222</v>
      </c>
      <c r="I1634" t="b">
        <f t="shared" si="103"/>
        <v>0</v>
      </c>
    </row>
    <row r="1635" spans="1:9">
      <c r="A1635" s="1">
        <v>46073.779861111107</v>
      </c>
      <c r="B1635" s="5">
        <f>_xlfn.XLOOKUP(A1635,Banks!A:A,Banks!H:H,0,-1)</f>
        <v>979.30690456608852</v>
      </c>
      <c r="C1635">
        <f>_xlfn.XLOOKUP(A1635,Energy!A:A,Energy!H:H,0,-1)</f>
        <v>6324.6040295734838</v>
      </c>
      <c r="D1635">
        <f t="shared" si="100"/>
        <v>7303.9109341395724</v>
      </c>
      <c r="E1635">
        <f>_xlfn.XLOOKUP(A1635,Banks!A:A,Banks!I:I,0)</f>
        <v>40293.53374921433</v>
      </c>
      <c r="F1635">
        <f>_xlfn.XLOOKUP(A1635,Energy!A:A,Energy!I:I,0)</f>
        <v>0</v>
      </c>
      <c r="G1635">
        <f t="shared" si="101"/>
        <v>40293.53374921433</v>
      </c>
      <c r="H1635">
        <f t="shared" si="102"/>
        <v>32989.622815074756</v>
      </c>
      <c r="I1635" t="b">
        <f t="shared" si="103"/>
        <v>0</v>
      </c>
    </row>
    <row r="1636" spans="1:9">
      <c r="A1636" s="1">
        <v>46073.780555555553</v>
      </c>
      <c r="B1636" s="5">
        <f>_xlfn.XLOOKUP(A1636,Banks!A:A,Banks!H:H,0,-1)</f>
        <v>996.78695513230548</v>
      </c>
      <c r="C1636">
        <f>_xlfn.XLOOKUP(A1636,Energy!A:A,Energy!H:H,0,-1)</f>
        <v>6324.6040295734838</v>
      </c>
      <c r="D1636">
        <f t="shared" si="100"/>
        <v>7321.3909847057894</v>
      </c>
      <c r="E1636">
        <f>_xlfn.XLOOKUP(A1636,Banks!A:A,Banks!I:I,0)</f>
        <v>40301.546106892783</v>
      </c>
      <c r="F1636">
        <f>_xlfn.XLOOKUP(A1636,Energy!A:A,Energy!I:I,0)</f>
        <v>0</v>
      </c>
      <c r="G1636">
        <f t="shared" si="101"/>
        <v>40301.546106892783</v>
      </c>
      <c r="H1636">
        <f t="shared" si="102"/>
        <v>32980.155122186996</v>
      </c>
      <c r="I1636" t="b">
        <f t="shared" si="103"/>
        <v>0</v>
      </c>
    </row>
    <row r="1637" spans="1:9">
      <c r="A1637" s="1">
        <v>46073.78125</v>
      </c>
      <c r="B1637" s="5">
        <f>_xlfn.XLOOKUP(A1637,Banks!A:A,Banks!H:H,0,-1)</f>
        <v>1013.3036130854219</v>
      </c>
      <c r="C1637">
        <f>_xlfn.XLOOKUP(A1637,Energy!A:A,Energy!H:H,0,-1)</f>
        <v>6324.6040295734838</v>
      </c>
      <c r="D1637">
        <f t="shared" si="100"/>
        <v>7337.9076426589054</v>
      </c>
      <c r="E1637">
        <f>_xlfn.XLOOKUP(A1637,Banks!A:A,Banks!I:I,0)</f>
        <v>40351.948491663403</v>
      </c>
      <c r="F1637">
        <f>_xlfn.XLOOKUP(A1637,Energy!A:A,Energy!I:I,0)</f>
        <v>0</v>
      </c>
      <c r="G1637">
        <f t="shared" si="101"/>
        <v>40351.948491663403</v>
      </c>
      <c r="H1637">
        <f t="shared" si="102"/>
        <v>33014.040849004494</v>
      </c>
      <c r="I1637" t="b">
        <f t="shared" si="103"/>
        <v>0</v>
      </c>
    </row>
    <row r="1638" spans="1:9">
      <c r="A1638" s="1">
        <v>46073.781944444447</v>
      </c>
      <c r="B1638" s="5">
        <f>_xlfn.XLOOKUP(A1638,Banks!A:A,Banks!H:H,0,-1)</f>
        <v>992.15969423939043</v>
      </c>
      <c r="C1638">
        <f>_xlfn.XLOOKUP(A1638,Energy!A:A,Energy!H:H,0,-1)</f>
        <v>6324.6040295734838</v>
      </c>
      <c r="D1638">
        <f t="shared" si="100"/>
        <v>7316.7637238128746</v>
      </c>
      <c r="E1638">
        <f>_xlfn.XLOOKUP(A1638,Banks!A:A,Banks!I:I,0)</f>
        <v>40363.849520627067</v>
      </c>
      <c r="F1638">
        <f>_xlfn.XLOOKUP(A1638,Energy!A:A,Energy!I:I,0)</f>
        <v>0</v>
      </c>
      <c r="G1638">
        <f t="shared" si="101"/>
        <v>40363.849520627067</v>
      </c>
      <c r="H1638">
        <f t="shared" si="102"/>
        <v>33047.085796814194</v>
      </c>
      <c r="I1638" t="b">
        <f t="shared" si="103"/>
        <v>0</v>
      </c>
    </row>
    <row r="1639" spans="1:9">
      <c r="A1639" s="1">
        <v>46073.782638888893</v>
      </c>
      <c r="B1639" s="5">
        <f>_xlfn.XLOOKUP(A1639,Banks!A:A,Banks!H:H,0,-1)</f>
        <v>1018.879726712117</v>
      </c>
      <c r="C1639">
        <f>_xlfn.XLOOKUP(A1639,Energy!A:A,Energy!H:H,0,-1)</f>
        <v>6324.6040295734838</v>
      </c>
      <c r="D1639">
        <f t="shared" si="100"/>
        <v>7343.483756285601</v>
      </c>
      <c r="E1639">
        <f>_xlfn.XLOOKUP(A1639,Banks!A:A,Banks!I:I,0)</f>
        <v>40389.194494910371</v>
      </c>
      <c r="F1639">
        <f>_xlfn.XLOOKUP(A1639,Energy!A:A,Energy!I:I,0)</f>
        <v>0</v>
      </c>
      <c r="G1639">
        <f t="shared" si="101"/>
        <v>40389.194494910371</v>
      </c>
      <c r="H1639">
        <f t="shared" si="102"/>
        <v>33045.710738624766</v>
      </c>
      <c r="I1639" t="b">
        <f t="shared" si="103"/>
        <v>0</v>
      </c>
    </row>
    <row r="1640" spans="1:9">
      <c r="A1640" s="1">
        <v>46073.783333333333</v>
      </c>
      <c r="B1640" s="5">
        <f>_xlfn.XLOOKUP(A1640,Banks!A:A,Banks!H:H,0,-1)</f>
        <v>958.98773667353862</v>
      </c>
      <c r="C1640">
        <f>_xlfn.XLOOKUP(A1640,Energy!A:A,Energy!H:H,0,-1)</f>
        <v>6324.6040295734838</v>
      </c>
      <c r="D1640">
        <f t="shared" si="100"/>
        <v>7283.591766247022</v>
      </c>
      <c r="E1640">
        <f>_xlfn.XLOOKUP(A1640,Banks!A:A,Banks!I:I,0)</f>
        <v>40339.794931362383</v>
      </c>
      <c r="F1640">
        <f>_xlfn.XLOOKUP(A1640,Energy!A:A,Energy!I:I,0)</f>
        <v>0</v>
      </c>
      <c r="G1640">
        <f t="shared" si="101"/>
        <v>40339.794931362383</v>
      </c>
      <c r="H1640">
        <f t="shared" si="102"/>
        <v>33056.203165115359</v>
      </c>
      <c r="I1640" t="b">
        <f t="shared" si="103"/>
        <v>0</v>
      </c>
    </row>
    <row r="1641" spans="1:9">
      <c r="A1641" s="1">
        <v>46073.78402777778</v>
      </c>
      <c r="B1641" s="5">
        <f>_xlfn.XLOOKUP(A1641,Banks!A:A,Banks!H:H,0,-1)</f>
        <v>981.48189335289624</v>
      </c>
      <c r="C1641">
        <f>_xlfn.XLOOKUP(A1641,Energy!A:A,Energy!H:H,0,-1)</f>
        <v>6324.6040295734838</v>
      </c>
      <c r="D1641">
        <f t="shared" si="100"/>
        <v>7306.0859229263797</v>
      </c>
      <c r="E1641">
        <f>_xlfn.XLOOKUP(A1641,Banks!A:A,Banks!I:I,0)</f>
        <v>40339.132222623739</v>
      </c>
      <c r="F1641">
        <f>_xlfn.XLOOKUP(A1641,Energy!A:A,Energy!I:I,0)</f>
        <v>0</v>
      </c>
      <c r="G1641">
        <f t="shared" si="101"/>
        <v>40339.132222623739</v>
      </c>
      <c r="H1641">
        <f t="shared" si="102"/>
        <v>33033.046299697358</v>
      </c>
      <c r="I1641" t="b">
        <f t="shared" si="103"/>
        <v>0</v>
      </c>
    </row>
    <row r="1642" spans="1:9">
      <c r="A1642" s="1">
        <v>46073.784722222219</v>
      </c>
      <c r="B1642" s="5">
        <f>_xlfn.XLOOKUP(A1642,Banks!A:A,Banks!H:H,0,-1)</f>
        <v>973.41698698646644</v>
      </c>
      <c r="C1642">
        <f>_xlfn.XLOOKUP(A1642,Energy!A:A,Energy!H:H,0,-1)</f>
        <v>6324.6040295734838</v>
      </c>
      <c r="D1642">
        <f t="shared" si="100"/>
        <v>7298.0210165599501</v>
      </c>
      <c r="E1642">
        <f>_xlfn.XLOOKUP(A1642,Banks!A:A,Banks!I:I,0)</f>
        <v>40340.745203897037</v>
      </c>
      <c r="F1642">
        <f>_xlfn.XLOOKUP(A1642,Energy!A:A,Energy!I:I,0)</f>
        <v>0</v>
      </c>
      <c r="G1642">
        <f t="shared" si="101"/>
        <v>40340.745203897037</v>
      </c>
      <c r="H1642">
        <f t="shared" si="102"/>
        <v>33042.724187337088</v>
      </c>
      <c r="I1642" t="b">
        <f t="shared" si="103"/>
        <v>0</v>
      </c>
    </row>
    <row r="1643" spans="1:9">
      <c r="A1643" s="1">
        <v>46073.785416666673</v>
      </c>
      <c r="B1643" s="5">
        <f>_xlfn.XLOOKUP(A1643,Banks!A:A,Banks!H:H,0,-1)</f>
        <v>1016.879900218573</v>
      </c>
      <c r="C1643">
        <f>_xlfn.XLOOKUP(A1643,Energy!A:A,Energy!H:H,0,-1)</f>
        <v>6324.6040295734838</v>
      </c>
      <c r="D1643">
        <f t="shared" si="100"/>
        <v>7341.4839297920571</v>
      </c>
      <c r="E1643">
        <f>_xlfn.XLOOKUP(A1643,Banks!A:A,Banks!I:I,0)</f>
        <v>40335.888743847841</v>
      </c>
      <c r="F1643">
        <f>_xlfn.XLOOKUP(A1643,Energy!A:A,Energy!I:I,0)</f>
        <v>0</v>
      </c>
      <c r="G1643">
        <f t="shared" si="101"/>
        <v>40335.888743847841</v>
      </c>
      <c r="H1643">
        <f t="shared" si="102"/>
        <v>32994.404814055786</v>
      </c>
      <c r="I1643" t="b">
        <f t="shared" si="103"/>
        <v>0</v>
      </c>
    </row>
    <row r="1644" spans="1:9">
      <c r="A1644" s="1">
        <v>46073.786111111112</v>
      </c>
      <c r="B1644" s="5">
        <f>_xlfn.XLOOKUP(A1644,Banks!A:A,Banks!H:H,0,-1)</f>
        <v>1032.3090637782791</v>
      </c>
      <c r="C1644">
        <f>_xlfn.XLOOKUP(A1644,Energy!A:A,Energy!H:H,0,-1)</f>
        <v>6324.6040295734838</v>
      </c>
      <c r="D1644">
        <f t="shared" si="100"/>
        <v>7356.9130933517627</v>
      </c>
      <c r="E1644">
        <f>_xlfn.XLOOKUP(A1644,Banks!A:A,Banks!I:I,0)</f>
        <v>40363.491891913749</v>
      </c>
      <c r="F1644">
        <f>_xlfn.XLOOKUP(A1644,Energy!A:A,Energy!I:I,0)</f>
        <v>0</v>
      </c>
      <c r="G1644">
        <f t="shared" si="101"/>
        <v>40363.491891913749</v>
      </c>
      <c r="H1644">
        <f t="shared" si="102"/>
        <v>33006.578798561983</v>
      </c>
      <c r="I1644" t="b">
        <f t="shared" si="103"/>
        <v>0</v>
      </c>
    </row>
    <row r="1645" spans="1:9">
      <c r="A1645" s="1">
        <v>46073.786805555559</v>
      </c>
      <c r="B1645" s="5">
        <f>_xlfn.XLOOKUP(A1645,Banks!A:A,Banks!H:H,0,-1)</f>
        <v>1034.097207344862</v>
      </c>
      <c r="C1645">
        <f>_xlfn.XLOOKUP(A1645,Energy!A:A,Energy!H:H,0,-1)</f>
        <v>6324.6040295734838</v>
      </c>
      <c r="D1645">
        <f t="shared" si="100"/>
        <v>7358.7012369183458</v>
      </c>
      <c r="E1645">
        <f>_xlfn.XLOOKUP(A1645,Banks!A:A,Banks!I:I,0)</f>
        <v>40355.462018005972</v>
      </c>
      <c r="F1645">
        <f>_xlfn.XLOOKUP(A1645,Energy!A:A,Energy!I:I,0)</f>
        <v>0</v>
      </c>
      <c r="G1645">
        <f t="shared" si="101"/>
        <v>40355.462018005972</v>
      </c>
      <c r="H1645">
        <f t="shared" si="102"/>
        <v>32996.760781087629</v>
      </c>
      <c r="I1645" t="b">
        <f t="shared" si="103"/>
        <v>0</v>
      </c>
    </row>
    <row r="1646" spans="1:9">
      <c r="A1646" s="1">
        <v>46073.787499999999</v>
      </c>
      <c r="B1646" s="5">
        <f>_xlfn.XLOOKUP(A1646,Banks!A:A,Banks!H:H,0,-1)</f>
        <v>1013.3036130854219</v>
      </c>
      <c r="C1646">
        <f>_xlfn.XLOOKUP(A1646,Energy!A:A,Energy!H:H,0,-1)</f>
        <v>6324.6040295734838</v>
      </c>
      <c r="D1646">
        <f t="shared" si="100"/>
        <v>7337.9076426589054</v>
      </c>
      <c r="E1646">
        <f>_xlfn.XLOOKUP(A1646,Banks!A:A,Banks!I:I,0)</f>
        <v>40351.948491663403</v>
      </c>
      <c r="F1646">
        <f>_xlfn.XLOOKUP(A1646,Energy!A:A,Energy!I:I,0)</f>
        <v>0</v>
      </c>
      <c r="G1646">
        <f t="shared" si="101"/>
        <v>40351.948491663403</v>
      </c>
      <c r="H1646">
        <f t="shared" si="102"/>
        <v>33014.040849004494</v>
      </c>
      <c r="I1646" t="b">
        <f t="shared" si="103"/>
        <v>0</v>
      </c>
    </row>
    <row r="1647" spans="1:9">
      <c r="A1647" s="1">
        <v>46073.788194444453</v>
      </c>
      <c r="B1647" s="5">
        <f>_xlfn.XLOOKUP(A1647,Banks!A:A,Banks!H:H,0,-1)</f>
        <v>1020.105862765163</v>
      </c>
      <c r="C1647">
        <f>_xlfn.XLOOKUP(A1647,Energy!A:A,Energy!H:H,0,-1)</f>
        <v>6324.6040295734838</v>
      </c>
      <c r="D1647">
        <f t="shared" si="100"/>
        <v>7344.7098923386466</v>
      </c>
      <c r="E1647">
        <f>_xlfn.XLOOKUP(A1647,Banks!A:A,Banks!I:I,0)</f>
        <v>40335.243551338528</v>
      </c>
      <c r="F1647">
        <f>_xlfn.XLOOKUP(A1647,Energy!A:A,Energy!I:I,0)</f>
        <v>0</v>
      </c>
      <c r="G1647">
        <f t="shared" si="101"/>
        <v>40335.243551338528</v>
      </c>
      <c r="H1647">
        <f t="shared" si="102"/>
        <v>32990.533658999884</v>
      </c>
      <c r="I1647" t="b">
        <f t="shared" si="103"/>
        <v>0</v>
      </c>
    </row>
    <row r="1648" spans="1:9">
      <c r="A1648" s="1">
        <v>46073.788888888892</v>
      </c>
      <c r="B1648" s="5">
        <f>_xlfn.XLOOKUP(A1648,Banks!A:A,Banks!H:H,0,-1)</f>
        <v>1074.596901470343</v>
      </c>
      <c r="C1648">
        <f>_xlfn.XLOOKUP(A1648,Energy!A:A,Energy!H:H,0,-1)</f>
        <v>6324.6040295734838</v>
      </c>
      <c r="D1648">
        <f t="shared" si="100"/>
        <v>7399.200931043827</v>
      </c>
      <c r="E1648">
        <f>_xlfn.XLOOKUP(A1648,Banks!A:A,Banks!I:I,0)</f>
        <v>40339.689833986413</v>
      </c>
      <c r="F1648">
        <f>_xlfn.XLOOKUP(A1648,Energy!A:A,Energy!I:I,0)</f>
        <v>0</v>
      </c>
      <c r="G1648">
        <f t="shared" si="101"/>
        <v>40339.689833986413</v>
      </c>
      <c r="H1648">
        <f t="shared" si="102"/>
        <v>32940.488902942583</v>
      </c>
      <c r="I1648" t="b">
        <f t="shared" si="103"/>
        <v>0</v>
      </c>
    </row>
    <row r="1649" spans="1:9">
      <c r="A1649" s="1">
        <v>46073.789583333331</v>
      </c>
      <c r="B1649" s="5">
        <f>_xlfn.XLOOKUP(A1649,Banks!A:A,Banks!H:H,0,-1)</f>
        <v>1084.099626816781</v>
      </c>
      <c r="C1649">
        <f>_xlfn.XLOOKUP(A1649,Energy!A:A,Energy!H:H,0,-1)</f>
        <v>6324.6040295734838</v>
      </c>
      <c r="D1649">
        <f t="shared" si="100"/>
        <v>7408.7036563902648</v>
      </c>
      <c r="E1649">
        <f>_xlfn.XLOOKUP(A1649,Banks!A:A,Banks!I:I,0)</f>
        <v>40345.461534111593</v>
      </c>
      <c r="F1649">
        <f>_xlfn.XLOOKUP(A1649,Energy!A:A,Energy!I:I,0)</f>
        <v>0</v>
      </c>
      <c r="G1649">
        <f t="shared" si="101"/>
        <v>40345.461534111593</v>
      </c>
      <c r="H1649">
        <f t="shared" si="102"/>
        <v>32936.757877721328</v>
      </c>
      <c r="I1649" t="b">
        <f t="shared" si="103"/>
        <v>0</v>
      </c>
    </row>
    <row r="1650" spans="1:9">
      <c r="A1650" s="1">
        <v>46073.790277777778</v>
      </c>
      <c r="B1650" s="5">
        <f>_xlfn.XLOOKUP(A1650,Banks!A:A,Banks!H:H,0,-1)</f>
        <v>1055.241126190894</v>
      </c>
      <c r="C1650">
        <f>_xlfn.XLOOKUP(A1650,Energy!A:A,Energy!H:H,0,-1)</f>
        <v>6324.6040295734838</v>
      </c>
      <c r="D1650">
        <f t="shared" si="100"/>
        <v>7379.8451557643775</v>
      </c>
      <c r="E1650">
        <f>_xlfn.XLOOKUP(A1650,Banks!A:A,Banks!I:I,0)</f>
        <v>40343.560989042307</v>
      </c>
      <c r="F1650">
        <f>_xlfn.XLOOKUP(A1650,Energy!A:A,Energy!I:I,0)</f>
        <v>0</v>
      </c>
      <c r="G1650">
        <f t="shared" si="101"/>
        <v>40343.560989042307</v>
      </c>
      <c r="H1650">
        <f t="shared" si="102"/>
        <v>32963.715833277929</v>
      </c>
      <c r="I1650" t="b">
        <f t="shared" si="103"/>
        <v>0</v>
      </c>
    </row>
    <row r="1651" spans="1:9">
      <c r="A1651" s="1">
        <v>46073.790972222218</v>
      </c>
      <c r="B1651" s="5">
        <f>_xlfn.XLOOKUP(A1651,Banks!A:A,Banks!H:H,0,-1)</f>
        <v>1074.4217391770469</v>
      </c>
      <c r="C1651">
        <f>_xlfn.XLOOKUP(A1651,Energy!A:A,Energy!H:H,0,-1)</f>
        <v>6324.6040295734838</v>
      </c>
      <c r="D1651">
        <f t="shared" si="100"/>
        <v>7399.0257687505309</v>
      </c>
      <c r="E1651">
        <f>_xlfn.XLOOKUP(A1651,Banks!A:A,Banks!I:I,0)</f>
        <v>40347.397111639533</v>
      </c>
      <c r="F1651">
        <f>_xlfn.XLOOKUP(A1651,Energy!A:A,Energy!I:I,0)</f>
        <v>0</v>
      </c>
      <c r="G1651">
        <f t="shared" si="101"/>
        <v>40347.397111639533</v>
      </c>
      <c r="H1651">
        <f t="shared" si="102"/>
        <v>32948.371342889004</v>
      </c>
      <c r="I1651" t="b">
        <f t="shared" si="103"/>
        <v>0</v>
      </c>
    </row>
    <row r="1652" spans="1:9">
      <c r="A1652" s="1">
        <v>46073.791666666657</v>
      </c>
      <c r="B1652" s="5">
        <f>_xlfn.XLOOKUP(A1652,Banks!A:A,Banks!H:H,0,-1)</f>
        <v>1043.5999326913</v>
      </c>
      <c r="C1652">
        <f>_xlfn.XLOOKUP(A1652,Energy!A:A,Energy!H:H,0,-1)</f>
        <v>6324.6040295734838</v>
      </c>
      <c r="D1652">
        <f t="shared" si="100"/>
        <v>7368.2039622647835</v>
      </c>
      <c r="E1652">
        <f>_xlfn.XLOOKUP(A1652,Banks!A:A,Banks!I:I,0)</f>
        <v>40361.233718131138</v>
      </c>
      <c r="F1652">
        <f>_xlfn.XLOOKUP(A1652,Energy!A:A,Energy!I:I,0)</f>
        <v>0</v>
      </c>
      <c r="G1652">
        <f t="shared" si="101"/>
        <v>40361.233718131138</v>
      </c>
      <c r="H1652">
        <f t="shared" si="102"/>
        <v>32993.029755866351</v>
      </c>
      <c r="I1652" t="b">
        <f t="shared" si="103"/>
        <v>0</v>
      </c>
    </row>
    <row r="1653" spans="1:9">
      <c r="A1653" s="1">
        <v>46073.792361111111</v>
      </c>
      <c r="B1653" s="5">
        <f>_xlfn.XLOOKUP(A1653,Banks!A:A,Banks!H:H,0,-1)</f>
        <v>1081.785996370324</v>
      </c>
      <c r="C1653">
        <f>_xlfn.XLOOKUP(A1653,Energy!A:A,Energy!H:H,0,-1)</f>
        <v>6324.6040295734838</v>
      </c>
      <c r="D1653">
        <f t="shared" si="100"/>
        <v>7406.3900259438078</v>
      </c>
      <c r="E1653">
        <f>_xlfn.XLOOKUP(A1653,Banks!A:A,Banks!I:I,0)</f>
        <v>40376.613240978731</v>
      </c>
      <c r="F1653">
        <f>_xlfn.XLOOKUP(A1653,Energy!A:A,Energy!I:I,0)</f>
        <v>0</v>
      </c>
      <c r="G1653">
        <f t="shared" si="101"/>
        <v>40376.613240978731</v>
      </c>
      <c r="H1653">
        <f t="shared" si="102"/>
        <v>32970.223215034923</v>
      </c>
      <c r="I1653" t="b">
        <f t="shared" si="103"/>
        <v>0</v>
      </c>
    </row>
    <row r="1654" spans="1:9">
      <c r="A1654" s="1">
        <v>46073.793055555558</v>
      </c>
      <c r="B1654" s="5">
        <f>_xlfn.XLOOKUP(A1654,Banks!A:A,Banks!H:H,0,-1)</f>
        <v>1105.805553176335</v>
      </c>
      <c r="C1654">
        <f>_xlfn.XLOOKUP(A1654,Energy!A:A,Energy!H:H,0,-1)</f>
        <v>6324.6040295734838</v>
      </c>
      <c r="D1654">
        <f t="shared" si="100"/>
        <v>7430.4095827498186</v>
      </c>
      <c r="E1654">
        <f>_xlfn.XLOOKUP(A1654,Banks!A:A,Banks!I:I,0)</f>
        <v>40379.481574811987</v>
      </c>
      <c r="F1654">
        <f>_xlfn.XLOOKUP(A1654,Energy!A:A,Energy!I:I,0)</f>
        <v>0</v>
      </c>
      <c r="G1654">
        <f t="shared" si="101"/>
        <v>40379.481574811987</v>
      </c>
      <c r="H1654">
        <f t="shared" si="102"/>
        <v>32949.07199206217</v>
      </c>
      <c r="I1654" t="b">
        <f t="shared" si="103"/>
        <v>0</v>
      </c>
    </row>
    <row r="1655" spans="1:9">
      <c r="A1655" s="1">
        <v>46073.793749999997</v>
      </c>
      <c r="B1655" s="5">
        <f>_xlfn.XLOOKUP(A1655,Banks!A:A,Banks!H:H,0,-1)</f>
        <v>1124.9861661625021</v>
      </c>
      <c r="C1655">
        <f>_xlfn.XLOOKUP(A1655,Energy!A:A,Energy!H:H,0,-1)</f>
        <v>6324.6040295734838</v>
      </c>
      <c r="D1655">
        <f t="shared" si="100"/>
        <v>7449.5901957359856</v>
      </c>
      <c r="E1655">
        <f>_xlfn.XLOOKUP(A1655,Banks!A:A,Banks!I:I,0)</f>
        <v>40383.317697409228</v>
      </c>
      <c r="F1655">
        <f>_xlfn.XLOOKUP(A1655,Energy!A:A,Energy!I:I,0)</f>
        <v>0</v>
      </c>
      <c r="G1655">
        <f t="shared" si="101"/>
        <v>40383.317697409228</v>
      </c>
      <c r="H1655">
        <f t="shared" si="102"/>
        <v>32933.727501673246</v>
      </c>
      <c r="I1655" t="b">
        <f t="shared" si="103"/>
        <v>0</v>
      </c>
    </row>
    <row r="1656" spans="1:9">
      <c r="A1656" s="1">
        <v>46073.794444444437</v>
      </c>
      <c r="B1656" s="5">
        <f>_xlfn.XLOOKUP(A1656,Banks!A:A,Banks!H:H,0,-1)</f>
        <v>979.11911196681388</v>
      </c>
      <c r="C1656">
        <f>_xlfn.XLOOKUP(A1656,Energy!A:A,Energy!H:H,0,-1)</f>
        <v>6324.6040295734838</v>
      </c>
      <c r="D1656">
        <f t="shared" si="100"/>
        <v>7303.7231415402975</v>
      </c>
      <c r="E1656">
        <f>_xlfn.XLOOKUP(A1656,Banks!A:A,Banks!I:I,0)</f>
        <v>0</v>
      </c>
      <c r="F1656">
        <f>_xlfn.XLOOKUP(A1656,Energy!A:A,Energy!I:I,0)</f>
        <v>0</v>
      </c>
      <c r="G1656">
        <f t="shared" si="101"/>
        <v>0</v>
      </c>
      <c r="H1656">
        <f t="shared" si="102"/>
        <v>-7303.7231415402975</v>
      </c>
      <c r="I1656" t="b">
        <f t="shared" si="103"/>
        <v>0</v>
      </c>
    </row>
    <row r="1657" spans="1:9">
      <c r="A1657" s="1">
        <v>46076.604166666657</v>
      </c>
      <c r="B1657" s="5">
        <f>_xlfn.XLOOKUP(A1657,Banks!A:A,Banks!H:H,0,-1)</f>
        <v>979.11911196681388</v>
      </c>
      <c r="C1657">
        <f>_xlfn.XLOOKUP(A1657,Energy!A:A,Energy!H:H,0,-1)</f>
        <v>6324.6040295734838</v>
      </c>
      <c r="D1657">
        <f t="shared" si="100"/>
        <v>7303.7231415402975</v>
      </c>
      <c r="E1657">
        <f>_xlfn.XLOOKUP(A1657,Banks!A:A,Banks!I:I,0)</f>
        <v>40202.939658319432</v>
      </c>
      <c r="F1657">
        <f>_xlfn.XLOOKUP(A1657,Energy!A:A,Energy!I:I,0)</f>
        <v>0</v>
      </c>
      <c r="G1657">
        <f t="shared" si="101"/>
        <v>40202.939658319432</v>
      </c>
      <c r="H1657">
        <f t="shared" si="102"/>
        <v>32899.216516779132</v>
      </c>
      <c r="I1657" t="b">
        <f t="shared" si="103"/>
        <v>0</v>
      </c>
    </row>
    <row r="1658" spans="1:9">
      <c r="A1658" s="1">
        <v>46076.604861111111</v>
      </c>
      <c r="B1658" s="5">
        <f>_xlfn.XLOOKUP(A1658,Banks!A:A,Banks!H:H,0,-1)</f>
        <v>1009.185287094975</v>
      </c>
      <c r="C1658">
        <f>_xlfn.XLOOKUP(A1658,Energy!A:A,Energy!H:H,0,-1)</f>
        <v>6324.6040295734838</v>
      </c>
      <c r="D1658">
        <f t="shared" si="100"/>
        <v>7333.7893166684589</v>
      </c>
      <c r="E1658">
        <f>_xlfn.XLOOKUP(A1658,Banks!A:A,Banks!I:I,0)</f>
        <v>40231.78537365207</v>
      </c>
      <c r="F1658">
        <f>_xlfn.XLOOKUP(A1658,Energy!A:A,Energy!I:I,0)</f>
        <v>0</v>
      </c>
      <c r="G1658">
        <f t="shared" si="101"/>
        <v>40231.78537365207</v>
      </c>
      <c r="H1658">
        <f t="shared" si="102"/>
        <v>32897.996056983611</v>
      </c>
      <c r="I1658" t="b">
        <f t="shared" si="103"/>
        <v>0</v>
      </c>
    </row>
    <row r="1659" spans="1:9">
      <c r="A1659" s="1">
        <v>46076.605555555558</v>
      </c>
      <c r="B1659" s="5">
        <f>_xlfn.XLOOKUP(A1659,Banks!A:A,Banks!H:H,0,-1)</f>
        <v>938.85434736267439</v>
      </c>
      <c r="C1659">
        <f>_xlfn.XLOOKUP(A1659,Energy!A:A,Energy!H:H,0,-1)</f>
        <v>6324.6040295734838</v>
      </c>
      <c r="D1659">
        <f t="shared" si="100"/>
        <v>7263.4583769361579</v>
      </c>
      <c r="E1659">
        <f>_xlfn.XLOOKUP(A1659,Banks!A:A,Banks!I:I,0)</f>
        <v>40232.940839243623</v>
      </c>
      <c r="F1659">
        <f>_xlfn.XLOOKUP(A1659,Energy!A:A,Energy!I:I,0)</f>
        <v>0</v>
      </c>
      <c r="G1659">
        <f t="shared" si="101"/>
        <v>40232.940839243623</v>
      </c>
      <c r="H1659">
        <f t="shared" si="102"/>
        <v>32969.482462307467</v>
      </c>
      <c r="I1659" t="b">
        <f t="shared" si="103"/>
        <v>0</v>
      </c>
    </row>
    <row r="1660" spans="1:9">
      <c r="A1660" s="1">
        <v>46076.606249999997</v>
      </c>
      <c r="B1660" s="5">
        <f>_xlfn.XLOOKUP(A1660,Banks!A:A,Banks!H:H,0,-1)</f>
        <v>885.33984379374272</v>
      </c>
      <c r="C1660">
        <f>_xlfn.XLOOKUP(A1660,Energy!A:A,Energy!H:H,0,-1)</f>
        <v>6324.6040295734838</v>
      </c>
      <c r="D1660">
        <f t="shared" si="100"/>
        <v>7209.9438733672268</v>
      </c>
      <c r="E1660">
        <f>_xlfn.XLOOKUP(A1660,Banks!A:A,Banks!I:I,0)</f>
        <v>40252.681245605847</v>
      </c>
      <c r="F1660">
        <f>_xlfn.XLOOKUP(A1660,Energy!A:A,Energy!I:I,0)</f>
        <v>0</v>
      </c>
      <c r="G1660">
        <f t="shared" si="101"/>
        <v>40252.681245605847</v>
      </c>
      <c r="H1660">
        <f t="shared" si="102"/>
        <v>33042.737372238618</v>
      </c>
      <c r="I1660" t="b">
        <f t="shared" si="103"/>
        <v>0</v>
      </c>
    </row>
    <row r="1661" spans="1:9">
      <c r="A1661" s="1">
        <v>46076.606944444437</v>
      </c>
      <c r="B1661" s="5">
        <f>_xlfn.XLOOKUP(A1661,Banks!A:A,Banks!H:H,0,-1)</f>
        <v>748.75318644252002</v>
      </c>
      <c r="C1661">
        <f>_xlfn.XLOOKUP(A1661,Energy!A:A,Energy!H:H,0,-1)</f>
        <v>6324.6040295734838</v>
      </c>
      <c r="D1661">
        <f t="shared" si="100"/>
        <v>7073.3572160160038</v>
      </c>
      <c r="E1661">
        <f>_xlfn.XLOOKUP(A1661,Banks!A:A,Banks!I:I,0)</f>
        <v>40274.834288134123</v>
      </c>
      <c r="F1661">
        <f>_xlfn.XLOOKUP(A1661,Energy!A:A,Energy!I:I,0)</f>
        <v>0</v>
      </c>
      <c r="G1661">
        <f t="shared" si="101"/>
        <v>40274.834288134123</v>
      </c>
      <c r="H1661">
        <f t="shared" si="102"/>
        <v>33201.477072118119</v>
      </c>
      <c r="I1661" t="b">
        <f t="shared" si="103"/>
        <v>0</v>
      </c>
    </row>
    <row r="1662" spans="1:9">
      <c r="A1662" s="1">
        <v>46076.607638888891</v>
      </c>
      <c r="B1662" s="5">
        <f>_xlfn.XLOOKUP(A1662,Banks!A:A,Banks!H:H,0,-1)</f>
        <v>958.05092259011144</v>
      </c>
      <c r="C1662">
        <f>_xlfn.XLOOKUP(A1662,Energy!A:A,Energy!H:H,0,-1)</f>
        <v>6324.6040295734838</v>
      </c>
      <c r="D1662">
        <f t="shared" si="100"/>
        <v>7282.6549521635952</v>
      </c>
      <c r="E1662">
        <f>_xlfn.XLOOKUP(A1662,Banks!A:A,Banks!I:I,0)</f>
        <v>40232.974740904603</v>
      </c>
      <c r="F1662">
        <f>_xlfn.XLOOKUP(A1662,Energy!A:A,Energy!I:I,0)</f>
        <v>0</v>
      </c>
      <c r="G1662">
        <f t="shared" si="101"/>
        <v>40232.974740904603</v>
      </c>
      <c r="H1662">
        <f t="shared" si="102"/>
        <v>32950.319788741006</v>
      </c>
      <c r="I1662" t="b">
        <f t="shared" si="103"/>
        <v>0</v>
      </c>
    </row>
    <row r="1663" spans="1:9">
      <c r="A1663" s="1">
        <v>46076.60833333333</v>
      </c>
      <c r="B1663" s="5">
        <f>_xlfn.XLOOKUP(A1663,Banks!A:A,Banks!H:H,0,-1)</f>
        <v>759.96882574810718</v>
      </c>
      <c r="C1663">
        <f>_xlfn.XLOOKUP(A1663,Energy!A:A,Energy!H:H,0,-1)</f>
        <v>6324.6040295734838</v>
      </c>
      <c r="D1663">
        <f t="shared" si="100"/>
        <v>7084.5728553215913</v>
      </c>
      <c r="E1663">
        <f>_xlfn.XLOOKUP(A1663,Banks!A:A,Banks!I:I,0)</f>
        <v>40239.023282150221</v>
      </c>
      <c r="F1663">
        <f>_xlfn.XLOOKUP(A1663,Energy!A:A,Energy!I:I,0)</f>
        <v>0</v>
      </c>
      <c r="G1663">
        <f t="shared" si="101"/>
        <v>40239.023282150221</v>
      </c>
      <c r="H1663">
        <f t="shared" si="102"/>
        <v>33154.450426828633</v>
      </c>
      <c r="I1663" t="b">
        <f t="shared" si="103"/>
        <v>0</v>
      </c>
    </row>
    <row r="1664" spans="1:9">
      <c r="A1664" s="1">
        <v>46076.609027777777</v>
      </c>
      <c r="B1664" s="5">
        <f>_xlfn.XLOOKUP(A1664,Banks!A:A,Banks!H:H,0,-1)</f>
        <v>797.17541806847157</v>
      </c>
      <c r="C1664">
        <f>_xlfn.XLOOKUP(A1664,Energy!A:A,Energy!H:H,0,-1)</f>
        <v>6324.6040295734838</v>
      </c>
      <c r="D1664">
        <f t="shared" si="100"/>
        <v>7121.7794476419549</v>
      </c>
      <c r="E1664">
        <f>_xlfn.XLOOKUP(A1664,Banks!A:A,Banks!I:I,0)</f>
        <v>40212.215880153781</v>
      </c>
      <c r="F1664">
        <f>_xlfn.XLOOKUP(A1664,Energy!A:A,Energy!I:I,0)</f>
        <v>0</v>
      </c>
      <c r="G1664">
        <f t="shared" si="101"/>
        <v>40212.215880153781</v>
      </c>
      <c r="H1664">
        <f t="shared" si="102"/>
        <v>33090.436432511822</v>
      </c>
      <c r="I1664" t="b">
        <f t="shared" si="103"/>
        <v>0</v>
      </c>
    </row>
    <row r="1665" spans="1:9">
      <c r="A1665" s="1">
        <v>46076.609722222223</v>
      </c>
      <c r="B1665" s="5">
        <f>_xlfn.XLOOKUP(A1665,Banks!A:A,Banks!H:H,0,-1)</f>
        <v>863.60064399230714</v>
      </c>
      <c r="C1665">
        <f>_xlfn.XLOOKUP(A1665,Energy!A:A,Energy!H:H,0,-1)</f>
        <v>6324.6040295734838</v>
      </c>
      <c r="D1665">
        <f t="shared" si="100"/>
        <v>7188.2046735657914</v>
      </c>
      <c r="E1665">
        <f>_xlfn.XLOOKUP(A1665,Banks!A:A,Banks!I:I,0)</f>
        <v>40195.057618262537</v>
      </c>
      <c r="F1665">
        <f>_xlfn.XLOOKUP(A1665,Energy!A:A,Energy!I:I,0)</f>
        <v>0</v>
      </c>
      <c r="G1665">
        <f t="shared" si="101"/>
        <v>40195.057618262537</v>
      </c>
      <c r="H1665">
        <f t="shared" si="102"/>
        <v>33006.852944696744</v>
      </c>
      <c r="I1665" t="b">
        <f t="shared" si="103"/>
        <v>0</v>
      </c>
    </row>
    <row r="1666" spans="1:9">
      <c r="A1666" s="1">
        <v>46076.61041666667</v>
      </c>
      <c r="B1666" s="5">
        <f>_xlfn.XLOOKUP(A1666,Banks!A:A,Banks!H:H,0,-1)</f>
        <v>804.99386848039535</v>
      </c>
      <c r="C1666">
        <f>_xlfn.XLOOKUP(A1666,Energy!A:A,Energy!H:H,0,-1)</f>
        <v>6324.6040295734838</v>
      </c>
      <c r="D1666">
        <f t="shared" si="100"/>
        <v>7129.5978980538794</v>
      </c>
      <c r="E1666">
        <f>_xlfn.XLOOKUP(A1666,Banks!A:A,Banks!I:I,0)</f>
        <v>40171.920023006649</v>
      </c>
      <c r="F1666">
        <f>_xlfn.XLOOKUP(A1666,Energy!A:A,Energy!I:I,0)</f>
        <v>0</v>
      </c>
      <c r="G1666">
        <f t="shared" si="101"/>
        <v>40171.920023006649</v>
      </c>
      <c r="H1666">
        <f t="shared" si="102"/>
        <v>33042.322124952771</v>
      </c>
      <c r="I1666" t="b">
        <f t="shared" si="103"/>
        <v>0</v>
      </c>
    </row>
    <row r="1667" spans="1:9">
      <c r="A1667" s="1">
        <v>46076.611111111109</v>
      </c>
      <c r="B1667" s="5">
        <f>_xlfn.XLOOKUP(A1667,Banks!A:A,Banks!H:H,0,-1)</f>
        <v>745.37004313888781</v>
      </c>
      <c r="C1667">
        <f>_xlfn.XLOOKUP(A1667,Energy!A:A,Energy!H:H,0,-1)</f>
        <v>6324.6040295734838</v>
      </c>
      <c r="D1667">
        <f t="shared" ref="D1667:D1730" si="104">B1667+C1667</f>
        <v>7069.9740727123717</v>
      </c>
      <c r="E1667">
        <f>_xlfn.XLOOKUP(A1667,Banks!A:A,Banks!I:I,0)</f>
        <v>40125.746537477833</v>
      </c>
      <c r="F1667">
        <f>_xlfn.XLOOKUP(A1667,Energy!A:A,Energy!I:I,0)</f>
        <v>0</v>
      </c>
      <c r="G1667">
        <f t="shared" ref="G1667:G1730" si="105">F1667+E1667</f>
        <v>40125.746537477833</v>
      </c>
      <c r="H1667">
        <f t="shared" ref="H1667:H1730" si="106">G1667-D1667</f>
        <v>33055.772464765461</v>
      </c>
      <c r="I1667" t="b">
        <f t="shared" ref="I1667:I1730" si="107">AND(E1667&gt;0,F1667&gt;0)</f>
        <v>0</v>
      </c>
    </row>
    <row r="1668" spans="1:9">
      <c r="A1668" s="1">
        <v>46076.611805555563</v>
      </c>
      <c r="B1668" s="5">
        <f>_xlfn.XLOOKUP(A1668,Banks!A:A,Banks!H:H,0,-1)</f>
        <v>755.39210151492205</v>
      </c>
      <c r="C1668">
        <f>_xlfn.XLOOKUP(A1668,Energy!A:A,Energy!H:H,0,-1)</f>
        <v>6324.6040295734838</v>
      </c>
      <c r="D1668">
        <f t="shared" si="104"/>
        <v>7079.9961310884055</v>
      </c>
      <c r="E1668">
        <f>_xlfn.XLOOKUP(A1668,Banks!A:A,Banks!I:I,0)</f>
        <v>40135.361775922043</v>
      </c>
      <c r="F1668">
        <f>_xlfn.XLOOKUP(A1668,Energy!A:A,Energy!I:I,0)</f>
        <v>0</v>
      </c>
      <c r="G1668">
        <f t="shared" si="105"/>
        <v>40135.361775922043</v>
      </c>
      <c r="H1668">
        <f t="shared" si="106"/>
        <v>33055.365644833641</v>
      </c>
      <c r="I1668" t="b">
        <f t="shared" si="107"/>
        <v>0</v>
      </c>
    </row>
    <row r="1669" spans="1:9">
      <c r="A1669" s="1">
        <v>46076.612500000003</v>
      </c>
      <c r="B1669" s="5">
        <f>_xlfn.XLOOKUP(A1669,Banks!A:A,Banks!H:H,0,-1)</f>
        <v>719.72512952898671</v>
      </c>
      <c r="C1669">
        <f>_xlfn.XLOOKUP(A1669,Energy!A:A,Energy!H:H,0,-1)</f>
        <v>6324.6040295734838</v>
      </c>
      <c r="D1669">
        <f t="shared" si="104"/>
        <v>7044.3291591024708</v>
      </c>
      <c r="E1669">
        <f>_xlfn.XLOOKUP(A1669,Banks!A:A,Banks!I:I,0)</f>
        <v>40052.120113834833</v>
      </c>
      <c r="F1669">
        <f>_xlfn.XLOOKUP(A1669,Energy!A:A,Energy!I:I,0)</f>
        <v>0</v>
      </c>
      <c r="G1669">
        <f t="shared" si="105"/>
        <v>40052.120113834833</v>
      </c>
      <c r="H1669">
        <f t="shared" si="106"/>
        <v>33007.790954732365</v>
      </c>
      <c r="I1669" t="b">
        <f t="shared" si="107"/>
        <v>0</v>
      </c>
    </row>
    <row r="1670" spans="1:9">
      <c r="A1670" s="1">
        <v>46076.613194444442</v>
      </c>
      <c r="B1670" s="5">
        <f>_xlfn.XLOOKUP(A1670,Banks!A:A,Banks!H:H,0,-1)</f>
        <v>704.78030751489121</v>
      </c>
      <c r="C1670">
        <f>_xlfn.XLOOKUP(A1670,Energy!A:A,Energy!H:H,0,-1)</f>
        <v>6324.6040295734838</v>
      </c>
      <c r="D1670">
        <f t="shared" si="104"/>
        <v>7029.3843370883751</v>
      </c>
      <c r="E1670">
        <f>_xlfn.XLOOKUP(A1670,Banks!A:A,Banks!I:I,0)</f>
        <v>40003.466188817983</v>
      </c>
      <c r="F1670">
        <f>_xlfn.XLOOKUP(A1670,Energy!A:A,Energy!I:I,0)</f>
        <v>0</v>
      </c>
      <c r="G1670">
        <f t="shared" si="105"/>
        <v>40003.466188817983</v>
      </c>
      <c r="H1670">
        <f t="shared" si="106"/>
        <v>32974.081851729607</v>
      </c>
      <c r="I1670" t="b">
        <f t="shared" si="107"/>
        <v>0</v>
      </c>
    </row>
    <row r="1671" spans="1:9">
      <c r="A1671" s="1">
        <v>46076.613888888889</v>
      </c>
      <c r="B1671" s="5">
        <f>_xlfn.XLOOKUP(A1671,Banks!A:A,Banks!H:H,0,-1)</f>
        <v>514.68616938974333</v>
      </c>
      <c r="C1671">
        <f>_xlfn.XLOOKUP(A1671,Energy!A:A,Energy!H:H,0,-1)</f>
        <v>6324.6040295734838</v>
      </c>
      <c r="D1671">
        <f t="shared" si="104"/>
        <v>6839.2901989632273</v>
      </c>
      <c r="E1671">
        <f>_xlfn.XLOOKUP(A1671,Banks!A:A,Banks!I:I,0)</f>
        <v>39973.058187961957</v>
      </c>
      <c r="F1671">
        <f>_xlfn.XLOOKUP(A1671,Energy!A:A,Energy!I:I,0)</f>
        <v>0</v>
      </c>
      <c r="G1671">
        <f t="shared" si="105"/>
        <v>39973.058187961957</v>
      </c>
      <c r="H1671">
        <f t="shared" si="106"/>
        <v>33133.767988998727</v>
      </c>
      <c r="I1671" t="b">
        <f t="shared" si="107"/>
        <v>0</v>
      </c>
    </row>
    <row r="1672" spans="1:9">
      <c r="A1672" s="1">
        <v>46076.614583333343</v>
      </c>
      <c r="B1672" s="5">
        <f>_xlfn.XLOOKUP(A1672,Banks!A:A,Banks!H:H,0,-1)</f>
        <v>568.20067295867489</v>
      </c>
      <c r="C1672">
        <f>_xlfn.XLOOKUP(A1672,Energy!A:A,Energy!H:H,0,-1)</f>
        <v>6324.6040295734838</v>
      </c>
      <c r="D1672">
        <f t="shared" si="104"/>
        <v>6892.8047025321584</v>
      </c>
      <c r="E1672">
        <f>_xlfn.XLOOKUP(A1672,Banks!A:A,Banks!I:I,0)</f>
        <v>39953.317781599733</v>
      </c>
      <c r="F1672">
        <f>_xlfn.XLOOKUP(A1672,Energy!A:A,Energy!I:I,0)</f>
        <v>0</v>
      </c>
      <c r="G1672">
        <f t="shared" si="105"/>
        <v>39953.317781599733</v>
      </c>
      <c r="H1672">
        <f t="shared" si="106"/>
        <v>33060.513079067576</v>
      </c>
      <c r="I1672" t="b">
        <f t="shared" si="107"/>
        <v>0</v>
      </c>
    </row>
    <row r="1673" spans="1:9">
      <c r="A1673" s="1">
        <v>46076.615277777782</v>
      </c>
      <c r="B1673" s="5">
        <f>_xlfn.XLOOKUP(A1673,Banks!A:A,Banks!H:H,0,-1)</f>
        <v>396.45556853631058</v>
      </c>
      <c r="C1673">
        <f>_xlfn.XLOOKUP(A1673,Energy!A:A,Energy!H:H,0,-1)</f>
        <v>6324.6040295734838</v>
      </c>
      <c r="D1673">
        <f t="shared" si="104"/>
        <v>6721.059598109794</v>
      </c>
      <c r="E1673">
        <f>_xlfn.XLOOKUP(A1673,Banks!A:A,Banks!I:I,0)</f>
        <v>39903.747107177252</v>
      </c>
      <c r="F1673">
        <f>_xlfn.XLOOKUP(A1673,Energy!A:A,Energy!I:I,0)</f>
        <v>0</v>
      </c>
      <c r="G1673">
        <f t="shared" si="105"/>
        <v>39903.747107177252</v>
      </c>
      <c r="H1673">
        <f t="shared" si="106"/>
        <v>33182.687509067458</v>
      </c>
      <c r="I1673" t="b">
        <f t="shared" si="107"/>
        <v>0</v>
      </c>
    </row>
    <row r="1674" spans="1:9">
      <c r="A1674" s="1">
        <v>46076.615972222222</v>
      </c>
      <c r="B1674" s="5">
        <f>_xlfn.XLOOKUP(A1674,Banks!A:A,Banks!H:H,0,-1)</f>
        <v>398.49669099050351</v>
      </c>
      <c r="C1674">
        <f>_xlfn.XLOOKUP(A1674,Energy!A:A,Energy!H:H,0,-1)</f>
        <v>6324.6040295734838</v>
      </c>
      <c r="D1674">
        <f t="shared" si="104"/>
        <v>6723.1007205639871</v>
      </c>
      <c r="E1674">
        <f>_xlfn.XLOOKUP(A1674,Banks!A:A,Banks!I:I,0)</f>
        <v>39877.517437976567</v>
      </c>
      <c r="F1674">
        <f>_xlfn.XLOOKUP(A1674,Energy!A:A,Energy!I:I,0)</f>
        <v>0</v>
      </c>
      <c r="G1674">
        <f t="shared" si="105"/>
        <v>39877.517437976567</v>
      </c>
      <c r="H1674">
        <f t="shared" si="106"/>
        <v>33154.416717412576</v>
      </c>
      <c r="I1674" t="b">
        <f t="shared" si="107"/>
        <v>0</v>
      </c>
    </row>
    <row r="1675" spans="1:9">
      <c r="A1675" s="1">
        <v>46076.616666666669</v>
      </c>
      <c r="B1675" s="5">
        <f>_xlfn.XLOOKUP(A1675,Banks!A:A,Banks!H:H,0,-1)</f>
        <v>455.74740006296821</v>
      </c>
      <c r="C1675">
        <f>_xlfn.XLOOKUP(A1675,Energy!A:A,Energy!H:H,0,-1)</f>
        <v>6324.6040295734838</v>
      </c>
      <c r="D1675">
        <f t="shared" si="104"/>
        <v>6780.3514296364519</v>
      </c>
      <c r="E1675">
        <f>_xlfn.XLOOKUP(A1675,Banks!A:A,Banks!I:I,0)</f>
        <v>39869.940512868547</v>
      </c>
      <c r="F1675">
        <f>_xlfn.XLOOKUP(A1675,Energy!A:A,Energy!I:I,0)</f>
        <v>0</v>
      </c>
      <c r="G1675">
        <f t="shared" si="105"/>
        <v>39869.940512868547</v>
      </c>
      <c r="H1675">
        <f t="shared" si="106"/>
        <v>33089.589083232095</v>
      </c>
      <c r="I1675" t="b">
        <f t="shared" si="107"/>
        <v>0</v>
      </c>
    </row>
    <row r="1676" spans="1:9">
      <c r="A1676" s="1">
        <v>46076.617361111108</v>
      </c>
      <c r="B1676" s="5">
        <f>_xlfn.XLOOKUP(A1676,Banks!A:A,Banks!H:H,0,-1)</f>
        <v>559.71121212201797</v>
      </c>
      <c r="C1676">
        <f>_xlfn.XLOOKUP(A1676,Energy!A:A,Energy!H:H,0,-1)</f>
        <v>6324.6040295734838</v>
      </c>
      <c r="D1676">
        <f t="shared" si="104"/>
        <v>6884.3152416955018</v>
      </c>
      <c r="E1676">
        <f>_xlfn.XLOOKUP(A1676,Banks!A:A,Banks!I:I,0)</f>
        <v>39905.954928818377</v>
      </c>
      <c r="F1676">
        <f>_xlfn.XLOOKUP(A1676,Energy!A:A,Energy!I:I,0)</f>
        <v>0</v>
      </c>
      <c r="G1676">
        <f t="shared" si="105"/>
        <v>39905.954928818377</v>
      </c>
      <c r="H1676">
        <f t="shared" si="106"/>
        <v>33021.639687122879</v>
      </c>
      <c r="I1676" t="b">
        <f t="shared" si="107"/>
        <v>0</v>
      </c>
    </row>
    <row r="1677" spans="1:9">
      <c r="A1677" s="1">
        <v>46076.618055555547</v>
      </c>
      <c r="B1677" s="5">
        <f>_xlfn.XLOOKUP(A1677,Banks!A:A,Banks!H:H,0,-1)</f>
        <v>580.60989319379667</v>
      </c>
      <c r="C1677">
        <f>_xlfn.XLOOKUP(A1677,Energy!A:A,Energy!H:H,0,-1)</f>
        <v>6324.6040295734838</v>
      </c>
      <c r="D1677">
        <f t="shared" si="104"/>
        <v>6905.2139227672806</v>
      </c>
      <c r="E1677">
        <f>_xlfn.XLOOKUP(A1677,Banks!A:A,Banks!I:I,0)</f>
        <v>39872.080531187712</v>
      </c>
      <c r="F1677">
        <f>_xlfn.XLOOKUP(A1677,Energy!A:A,Energy!I:I,0)</f>
        <v>0</v>
      </c>
      <c r="G1677">
        <f t="shared" si="105"/>
        <v>39872.080531187712</v>
      </c>
      <c r="H1677">
        <f t="shared" si="106"/>
        <v>32966.866608420431</v>
      </c>
      <c r="I1677" t="b">
        <f t="shared" si="107"/>
        <v>0</v>
      </c>
    </row>
    <row r="1678" spans="1:9">
      <c r="A1678" s="1">
        <v>46076.618750000001</v>
      </c>
      <c r="B1678" s="5">
        <f>_xlfn.XLOOKUP(A1678,Banks!A:A,Banks!H:H,0,-1)</f>
        <v>606.94688561343639</v>
      </c>
      <c r="C1678">
        <f>_xlfn.XLOOKUP(A1678,Energy!A:A,Energy!H:H,0,-1)</f>
        <v>6324.6040295734838</v>
      </c>
      <c r="D1678">
        <f t="shared" si="104"/>
        <v>6931.5509151869201</v>
      </c>
      <c r="E1678">
        <f>_xlfn.XLOOKUP(A1678,Banks!A:A,Banks!I:I,0)</f>
        <v>39816.461315519613</v>
      </c>
      <c r="F1678">
        <f>_xlfn.XLOOKUP(A1678,Energy!A:A,Energy!I:I,0)</f>
        <v>0</v>
      </c>
      <c r="G1678">
        <f t="shared" si="105"/>
        <v>39816.461315519613</v>
      </c>
      <c r="H1678">
        <f t="shared" si="106"/>
        <v>32884.910400332694</v>
      </c>
      <c r="I1678" t="b">
        <f t="shared" si="107"/>
        <v>0</v>
      </c>
    </row>
    <row r="1679" spans="1:9">
      <c r="A1679" s="1">
        <v>46076.619444444441</v>
      </c>
      <c r="B1679" s="5">
        <f>_xlfn.XLOOKUP(A1679,Banks!A:A,Banks!H:H,0,-1)</f>
        <v>712.71580645741801</v>
      </c>
      <c r="C1679">
        <f>_xlfn.XLOOKUP(A1679,Energy!A:A,Energy!H:H,0,-1)</f>
        <v>6324.6040295734838</v>
      </c>
      <c r="D1679">
        <f t="shared" si="104"/>
        <v>7037.3198360309016</v>
      </c>
      <c r="E1679">
        <f>_xlfn.XLOOKUP(A1679,Banks!A:A,Banks!I:I,0)</f>
        <v>0</v>
      </c>
      <c r="F1679">
        <f>_xlfn.XLOOKUP(A1679,Energy!A:A,Energy!I:I,0)</f>
        <v>0</v>
      </c>
      <c r="G1679">
        <f t="shared" si="105"/>
        <v>0</v>
      </c>
      <c r="H1679">
        <f t="shared" si="106"/>
        <v>-7037.3198360309016</v>
      </c>
      <c r="I1679" t="b">
        <f t="shared" si="107"/>
        <v>0</v>
      </c>
    </row>
    <row r="1680" spans="1:9">
      <c r="A1680" s="1">
        <v>46077.604166666657</v>
      </c>
      <c r="B1680" s="5">
        <f>_xlfn.XLOOKUP(A1680,Banks!A:A,Banks!H:H,0,-1)</f>
        <v>712.71580645741801</v>
      </c>
      <c r="C1680">
        <f>_xlfn.XLOOKUP(A1680,Energy!A:A,Energy!H:H,0,-1)</f>
        <v>6324.6040295734838</v>
      </c>
      <c r="D1680">
        <f t="shared" si="104"/>
        <v>7037.3198360309016</v>
      </c>
      <c r="E1680">
        <f>_xlfn.XLOOKUP(A1680,Banks!A:A,Banks!I:I,0)</f>
        <v>40202.939658319432</v>
      </c>
      <c r="F1680">
        <f>_xlfn.XLOOKUP(A1680,Energy!A:A,Energy!I:I,0)</f>
        <v>0</v>
      </c>
      <c r="G1680">
        <f t="shared" si="105"/>
        <v>40202.939658319432</v>
      </c>
      <c r="H1680">
        <f t="shared" si="106"/>
        <v>33165.619822288529</v>
      </c>
      <c r="I1680" t="b">
        <f t="shared" si="107"/>
        <v>0</v>
      </c>
    </row>
    <row r="1681" spans="1:9">
      <c r="A1681" s="1">
        <v>46077.604861111111</v>
      </c>
      <c r="B1681" s="5">
        <f>_xlfn.XLOOKUP(A1681,Banks!A:A,Banks!H:H,0,-1)</f>
        <v>503.98779602752933</v>
      </c>
      <c r="C1681">
        <f>_xlfn.XLOOKUP(A1681,Energy!A:A,Energy!H:H,0,-1)</f>
        <v>6324.6040295734838</v>
      </c>
      <c r="D1681">
        <f t="shared" si="104"/>
        <v>6828.5918256010127</v>
      </c>
      <c r="E1681">
        <f>_xlfn.XLOOKUP(A1681,Banks!A:A,Banks!I:I,0)</f>
        <v>40188.398463347403</v>
      </c>
      <c r="F1681">
        <f>_xlfn.XLOOKUP(A1681,Energy!A:A,Energy!I:I,0)</f>
        <v>0</v>
      </c>
      <c r="G1681">
        <f t="shared" si="105"/>
        <v>40188.398463347403</v>
      </c>
      <c r="H1681">
        <f t="shared" si="106"/>
        <v>33359.806637746391</v>
      </c>
      <c r="I1681" t="b">
        <f t="shared" si="107"/>
        <v>0</v>
      </c>
    </row>
    <row r="1682" spans="1:9">
      <c r="A1682" s="1">
        <v>46077.605555555558</v>
      </c>
      <c r="B1682" s="5">
        <f>_xlfn.XLOOKUP(A1682,Banks!A:A,Banks!H:H,0,-1)</f>
        <v>277.26350278015371</v>
      </c>
      <c r="C1682">
        <f>_xlfn.XLOOKUP(A1682,Energy!A:A,Energy!H:H,0,-1)</f>
        <v>6324.6040295734838</v>
      </c>
      <c r="D1682">
        <f t="shared" si="104"/>
        <v>6601.8675323536372</v>
      </c>
      <c r="E1682">
        <f>_xlfn.XLOOKUP(A1682,Banks!A:A,Banks!I:I,0)</f>
        <v>40113.128756872582</v>
      </c>
      <c r="F1682">
        <f>_xlfn.XLOOKUP(A1682,Energy!A:A,Energy!I:I,0)</f>
        <v>0</v>
      </c>
      <c r="G1682">
        <f t="shared" si="105"/>
        <v>40113.128756872582</v>
      </c>
      <c r="H1682">
        <f t="shared" si="106"/>
        <v>33511.261224518945</v>
      </c>
      <c r="I1682" t="b">
        <f t="shared" si="107"/>
        <v>0</v>
      </c>
    </row>
    <row r="1683" spans="1:9">
      <c r="A1683" s="1">
        <v>46077.606249999997</v>
      </c>
      <c r="B1683" s="5">
        <f>_xlfn.XLOOKUP(A1683,Banks!A:A,Banks!H:H,0,-1)</f>
        <v>278.94968170792072</v>
      </c>
      <c r="C1683">
        <f>_xlfn.XLOOKUP(A1683,Energy!A:A,Energy!H:H,0,-1)</f>
        <v>6324.6040295734838</v>
      </c>
      <c r="D1683">
        <f t="shared" si="104"/>
        <v>6603.5537112814045</v>
      </c>
      <c r="E1683">
        <f>_xlfn.XLOOKUP(A1683,Banks!A:A,Banks!I:I,0)</f>
        <v>40249.488028227897</v>
      </c>
      <c r="F1683">
        <f>_xlfn.XLOOKUP(A1683,Energy!A:A,Energy!I:I,0)</f>
        <v>0</v>
      </c>
      <c r="G1683">
        <f t="shared" si="105"/>
        <v>40249.488028227897</v>
      </c>
      <c r="H1683">
        <f t="shared" si="106"/>
        <v>33645.934316946492</v>
      </c>
      <c r="I1683" t="b">
        <f t="shared" si="107"/>
        <v>0</v>
      </c>
    </row>
    <row r="1684" spans="1:9">
      <c r="A1684" s="1">
        <v>46077.606944444437</v>
      </c>
      <c r="B1684" s="5">
        <f>_xlfn.XLOOKUP(A1684,Banks!A:A,Banks!H:H,0,-1)</f>
        <v>-54.937412014145593</v>
      </c>
      <c r="C1684">
        <f>_xlfn.XLOOKUP(A1684,Energy!A:A,Energy!H:H,0,-1)</f>
        <v>6324.6040295734838</v>
      </c>
      <c r="D1684">
        <f t="shared" si="104"/>
        <v>6269.6666175593382</v>
      </c>
      <c r="E1684">
        <f>_xlfn.XLOOKUP(A1684,Banks!A:A,Banks!I:I,0)</f>
        <v>40151.425541302437</v>
      </c>
      <c r="F1684">
        <f>_xlfn.XLOOKUP(A1684,Energy!A:A,Energy!I:I,0)</f>
        <v>0</v>
      </c>
      <c r="G1684">
        <f t="shared" si="105"/>
        <v>40151.425541302437</v>
      </c>
      <c r="H1684">
        <f t="shared" si="106"/>
        <v>33881.758923743095</v>
      </c>
      <c r="I1684" t="b">
        <f t="shared" si="107"/>
        <v>0</v>
      </c>
    </row>
    <row r="1685" spans="1:9">
      <c r="A1685" s="1">
        <v>46077.607638888891</v>
      </c>
      <c r="B1685" s="5">
        <f>_xlfn.XLOOKUP(A1685,Banks!A:A,Banks!H:H,0,-1)</f>
        <v>33.567806033214083</v>
      </c>
      <c r="C1685">
        <f>_xlfn.XLOOKUP(A1685,Energy!A:A,Energy!H:H,0,-1)</f>
        <v>6324.6040295734838</v>
      </c>
      <c r="D1685">
        <f t="shared" si="104"/>
        <v>6358.1718356066976</v>
      </c>
      <c r="E1685">
        <f>_xlfn.XLOOKUP(A1685,Banks!A:A,Banks!I:I,0)</f>
        <v>40222.175178784113</v>
      </c>
      <c r="F1685">
        <f>_xlfn.XLOOKUP(A1685,Energy!A:A,Energy!I:I,0)</f>
        <v>0</v>
      </c>
      <c r="G1685">
        <f t="shared" si="105"/>
        <v>40222.175178784113</v>
      </c>
      <c r="H1685">
        <f t="shared" si="106"/>
        <v>33864.003343177414</v>
      </c>
      <c r="I1685" t="b">
        <f t="shared" si="107"/>
        <v>0</v>
      </c>
    </row>
    <row r="1686" spans="1:9">
      <c r="A1686" s="1">
        <v>46077.60833333333</v>
      </c>
      <c r="B1686" s="5">
        <f>_xlfn.XLOOKUP(A1686,Banks!A:A,Banks!H:H,0,-1)</f>
        <v>30.46813295870697</v>
      </c>
      <c r="C1686">
        <f>_xlfn.XLOOKUP(A1686,Energy!A:A,Energy!H:H,0,-1)</f>
        <v>6324.6040295734838</v>
      </c>
      <c r="D1686">
        <f t="shared" si="104"/>
        <v>6355.0721625321903</v>
      </c>
      <c r="E1686">
        <f>_xlfn.XLOOKUP(A1686,Banks!A:A,Banks!I:I,0)</f>
        <v>40214.754142390731</v>
      </c>
      <c r="F1686">
        <f>_xlfn.XLOOKUP(A1686,Energy!A:A,Energy!I:I,0)</f>
        <v>43168.841978033888</v>
      </c>
      <c r="G1686">
        <f t="shared" si="105"/>
        <v>83383.596120424627</v>
      </c>
      <c r="H1686">
        <f t="shared" si="106"/>
        <v>77028.523957892437</v>
      </c>
      <c r="I1686" t="b">
        <f t="shared" si="107"/>
        <v>1</v>
      </c>
    </row>
    <row r="1687" spans="1:9">
      <c r="A1687" s="1">
        <v>46077.609027777777</v>
      </c>
      <c r="B1687" s="5">
        <f>_xlfn.XLOOKUP(A1687,Banks!A:A,Banks!H:H,0,-1)</f>
        <v>202.22730381218551</v>
      </c>
      <c r="C1687">
        <f>_xlfn.XLOOKUP(A1687,Energy!A:A,Energy!H:H,0,-1)</f>
        <v>6437.336814596998</v>
      </c>
      <c r="D1687">
        <f t="shared" si="104"/>
        <v>6639.5641184091837</v>
      </c>
      <c r="E1687">
        <f>_xlfn.XLOOKUP(A1687,Banks!A:A,Banks!I:I,0)</f>
        <v>40361.324155906477</v>
      </c>
      <c r="F1687">
        <f>_xlfn.XLOOKUP(A1687,Energy!A:A,Energy!I:I,0)</f>
        <v>43191.388535038597</v>
      </c>
      <c r="G1687">
        <f t="shared" si="105"/>
        <v>83552.712690945074</v>
      </c>
      <c r="H1687">
        <f t="shared" si="106"/>
        <v>76913.148572535894</v>
      </c>
      <c r="I1687" t="b">
        <f t="shared" si="107"/>
        <v>1</v>
      </c>
    </row>
    <row r="1688" spans="1:9">
      <c r="A1688" s="1">
        <v>46077.609722222223</v>
      </c>
      <c r="B1688" s="5">
        <f>_xlfn.XLOOKUP(A1688,Banks!A:A,Banks!H:H,0,-1)</f>
        <v>64.295009910055114</v>
      </c>
      <c r="C1688">
        <f>_xlfn.XLOOKUP(A1688,Energy!A:A,Energy!H:H,0,-1)</f>
        <v>6211.8712445499541</v>
      </c>
      <c r="D1688">
        <f t="shared" si="104"/>
        <v>6276.1662544600094</v>
      </c>
      <c r="E1688">
        <f>_xlfn.XLOOKUP(A1688,Banks!A:A,Banks!I:I,0)</f>
        <v>40485.402266786346</v>
      </c>
      <c r="F1688">
        <f>_xlfn.XLOOKUP(A1688,Energy!A:A,Energy!I:I,0)</f>
        <v>43146.295421029186</v>
      </c>
      <c r="G1688">
        <f t="shared" si="105"/>
        <v>83631.697687815526</v>
      </c>
      <c r="H1688">
        <f t="shared" si="106"/>
        <v>77355.531433355514</v>
      </c>
      <c r="I1688" t="b">
        <f t="shared" si="107"/>
        <v>1</v>
      </c>
    </row>
    <row r="1689" spans="1:9">
      <c r="A1689" s="1">
        <v>46077.61041666667</v>
      </c>
      <c r="B1689" s="5">
        <f>_xlfn.XLOOKUP(A1689,Banks!A:A,Banks!H:H,0,-1)</f>
        <v>148.10527088217711</v>
      </c>
      <c r="C1689">
        <f>_xlfn.XLOOKUP(A1689,Energy!A:A,Energy!H:H,0,-1)</f>
        <v>6279.5109155640675</v>
      </c>
      <c r="D1689">
        <f t="shared" si="104"/>
        <v>6427.6161864462447</v>
      </c>
      <c r="E1689">
        <f>_xlfn.XLOOKUP(A1689,Banks!A:A,Banks!I:I,0)</f>
        <v>40500.804098625063</v>
      </c>
      <c r="F1689">
        <f>_xlfn.XLOOKUP(A1689,Energy!A:A,Energy!I:I,0)</f>
        <v>43159.823355232023</v>
      </c>
      <c r="G1689">
        <f t="shared" si="105"/>
        <v>83660.627453857087</v>
      </c>
      <c r="H1689">
        <f t="shared" si="106"/>
        <v>77233.011267410839</v>
      </c>
      <c r="I1689" t="b">
        <f t="shared" si="107"/>
        <v>1</v>
      </c>
    </row>
    <row r="1690" spans="1:9">
      <c r="A1690" s="1">
        <v>46077.611111111109</v>
      </c>
      <c r="B1690" s="5">
        <f>_xlfn.XLOOKUP(A1690,Banks!A:A,Banks!H:H,0,-1)</f>
        <v>162.50511643951589</v>
      </c>
      <c r="C1690">
        <f>_xlfn.XLOOKUP(A1690,Energy!A:A,Energy!H:H,0,-1)</f>
        <v>6211.8712445499541</v>
      </c>
      <c r="D1690">
        <f t="shared" si="104"/>
        <v>6374.3763609894704</v>
      </c>
      <c r="E1690">
        <f>_xlfn.XLOOKUP(A1690,Banks!A:A,Banks!I:I,0)</f>
        <v>40522.047042538448</v>
      </c>
      <c r="F1690">
        <f>_xlfn.XLOOKUP(A1690,Energy!A:A,Energy!I:I,0)</f>
        <v>43146.295421029186</v>
      </c>
      <c r="G1690">
        <f t="shared" si="105"/>
        <v>83668.342463567635</v>
      </c>
      <c r="H1690">
        <f t="shared" si="106"/>
        <v>77293.966102578168</v>
      </c>
      <c r="I1690" t="b">
        <f t="shared" si="107"/>
        <v>1</v>
      </c>
    </row>
    <row r="1691" spans="1:9">
      <c r="A1691" s="1">
        <v>46077.611805555563</v>
      </c>
      <c r="B1691" s="5">
        <f>_xlfn.XLOOKUP(A1691,Banks!A:A,Banks!H:H,0,-1)</f>
        <v>122.3457088616005</v>
      </c>
      <c r="C1691">
        <f>_xlfn.XLOOKUP(A1691,Energy!A:A,Energy!H:H,0,-1)</f>
        <v>6752.9886126628553</v>
      </c>
      <c r="D1691">
        <f t="shared" si="104"/>
        <v>6875.3343215244558</v>
      </c>
      <c r="E1691">
        <f>_xlfn.XLOOKUP(A1691,Banks!A:A,Banks!I:I,0)</f>
        <v>40558.222322583038</v>
      </c>
      <c r="F1691">
        <f>_xlfn.XLOOKUP(A1691,Energy!A:A,Energy!I:I,0)</f>
        <v>43254.518894651766</v>
      </c>
      <c r="G1691">
        <f t="shared" si="105"/>
        <v>83812.741217234812</v>
      </c>
      <c r="H1691">
        <f t="shared" si="106"/>
        <v>76937.406895710359</v>
      </c>
      <c r="I1691" t="b">
        <f t="shared" si="107"/>
        <v>1</v>
      </c>
    </row>
    <row r="1692" spans="1:9">
      <c r="A1692" s="1">
        <v>46077.612500000003</v>
      </c>
      <c r="B1692" s="5">
        <f>_xlfn.XLOOKUP(A1692,Banks!A:A,Banks!H:H,0,-1)</f>
        <v>213.81425759294149</v>
      </c>
      <c r="C1692">
        <f>_xlfn.XLOOKUP(A1692,Energy!A:A,Energy!H:H,0,-1)</f>
        <v>6031.4987885123264</v>
      </c>
      <c r="D1692">
        <f t="shared" si="104"/>
        <v>6245.3130461052679</v>
      </c>
      <c r="E1692">
        <f>_xlfn.XLOOKUP(A1692,Banks!A:A,Banks!I:I,0)</f>
        <v>40503.744243299487</v>
      </c>
      <c r="F1692">
        <f>_xlfn.XLOOKUP(A1692,Energy!A:A,Energy!I:I,0)</f>
        <v>43110.220929821662</v>
      </c>
      <c r="G1692">
        <f t="shared" si="105"/>
        <v>83613.965173121149</v>
      </c>
      <c r="H1692">
        <f t="shared" si="106"/>
        <v>77368.652127015885</v>
      </c>
      <c r="I1692" t="b">
        <f t="shared" si="107"/>
        <v>1</v>
      </c>
    </row>
    <row r="1693" spans="1:9">
      <c r="A1693" s="1">
        <v>46077.613194444442</v>
      </c>
      <c r="B1693" s="5">
        <f>_xlfn.XLOOKUP(A1693,Banks!A:A,Banks!H:H,0,-1)</f>
        <v>115.6950459904785</v>
      </c>
      <c r="C1693">
        <f>_xlfn.XLOOKUP(A1693,Energy!A:A,Energy!H:H,0,-1)</f>
        <v>6299.7027975307756</v>
      </c>
      <c r="D1693">
        <f t="shared" si="104"/>
        <v>6415.3978435212539</v>
      </c>
      <c r="E1693">
        <f>_xlfn.XLOOKUP(A1693,Banks!A:A,Banks!I:I,0)</f>
        <v>40555.531969653122</v>
      </c>
      <c r="F1693">
        <f>_xlfn.XLOOKUP(A1693,Energy!A:A,Energy!I:I,0)</f>
        <v>43029.524259612328</v>
      </c>
      <c r="G1693">
        <f t="shared" si="105"/>
        <v>83585.05622926545</v>
      </c>
      <c r="H1693">
        <f t="shared" si="106"/>
        <v>77169.658385744202</v>
      </c>
      <c r="I1693" t="b">
        <f t="shared" si="107"/>
        <v>1</v>
      </c>
    </row>
    <row r="1694" spans="1:9">
      <c r="A1694" s="1">
        <v>46077.613888888889</v>
      </c>
      <c r="B1694" s="5">
        <f>_xlfn.XLOOKUP(A1694,Banks!A:A,Banks!H:H,0,-1)</f>
        <v>41.785559871364967</v>
      </c>
      <c r="C1694">
        <f>_xlfn.XLOOKUP(A1694,Energy!A:A,Energy!H:H,0,-1)</f>
        <v>6164.4234555025459</v>
      </c>
      <c r="D1694">
        <f t="shared" si="104"/>
        <v>6206.2090153739109</v>
      </c>
      <c r="E1694">
        <f>_xlfn.XLOOKUP(A1694,Banks!A:A,Banks!I:I,0)</f>
        <v>40546.190953852078</v>
      </c>
      <c r="F1694">
        <f>_xlfn.XLOOKUP(A1694,Energy!A:A,Energy!I:I,0)</f>
        <v>43002.468391206683</v>
      </c>
      <c r="G1694">
        <f t="shared" si="105"/>
        <v>83548.659345058753</v>
      </c>
      <c r="H1694">
        <f t="shared" si="106"/>
        <v>77342.450329684842</v>
      </c>
      <c r="I1694" t="b">
        <f t="shared" si="107"/>
        <v>1</v>
      </c>
    </row>
    <row r="1695" spans="1:9">
      <c r="A1695" s="1">
        <v>46077.614583333343</v>
      </c>
      <c r="B1695" s="5">
        <f>_xlfn.XLOOKUP(A1695,Banks!A:A,Banks!H:H,0,-1)</f>
        <v>-83.628953772062232</v>
      </c>
      <c r="C1695">
        <f>_xlfn.XLOOKUP(A1695,Energy!A:A,Energy!H:H,0,-1)</f>
        <v>6365.6915449564704</v>
      </c>
      <c r="D1695">
        <f t="shared" si="104"/>
        <v>6282.0625911844081</v>
      </c>
      <c r="E1695">
        <f>_xlfn.XLOOKUP(A1695,Banks!A:A,Banks!I:I,0)</f>
        <v>40514.987059522762</v>
      </c>
      <c r="F1695">
        <f>_xlfn.XLOOKUP(A1695,Energy!A:A,Energy!I:I,0)</f>
        <v>42890.065790900837</v>
      </c>
      <c r="G1695">
        <f t="shared" si="105"/>
        <v>83405.052850423599</v>
      </c>
      <c r="H1695">
        <f t="shared" si="106"/>
        <v>77122.990259239188</v>
      </c>
      <c r="I1695" t="b">
        <f t="shared" si="107"/>
        <v>1</v>
      </c>
    </row>
    <row r="1696" spans="1:9">
      <c r="A1696" s="1">
        <v>46077.615277777782</v>
      </c>
      <c r="B1696" s="5">
        <f>_xlfn.XLOOKUP(A1696,Banks!A:A,Banks!H:H,0,-1)</f>
        <v>14.987022016022371</v>
      </c>
      <c r="C1696">
        <f>_xlfn.XLOOKUP(A1696,Energy!A:A,Energy!H:H,0,-1)</f>
        <v>6971.3560639308507</v>
      </c>
      <c r="D1696">
        <f t="shared" si="104"/>
        <v>6986.3430859468735</v>
      </c>
      <c r="E1696">
        <f>_xlfn.XLOOKUP(A1696,Banks!A:A,Banks!I:I,0)</f>
        <v>40495.263864365137</v>
      </c>
      <c r="F1696">
        <f>_xlfn.XLOOKUP(A1696,Energy!A:A,Energy!I:I,0)</f>
        <v>0</v>
      </c>
      <c r="G1696">
        <f t="shared" si="105"/>
        <v>40495.263864365137</v>
      </c>
      <c r="H1696">
        <f t="shared" si="106"/>
        <v>33508.920778418265</v>
      </c>
      <c r="I1696" t="b">
        <f t="shared" si="107"/>
        <v>0</v>
      </c>
    </row>
    <row r="1697" spans="1:9">
      <c r="A1697" s="1">
        <v>46077.615972222222</v>
      </c>
      <c r="B1697" s="5">
        <f>_xlfn.XLOOKUP(A1697,Banks!A:A,Banks!H:H,0,-1)</f>
        <v>-97.126165885160617</v>
      </c>
      <c r="C1697">
        <f>_xlfn.XLOOKUP(A1697,Energy!A:A,Energy!H:H,0,-1)</f>
        <v>6971.3560639308507</v>
      </c>
      <c r="D1697">
        <f t="shared" si="104"/>
        <v>6874.2298980456899</v>
      </c>
      <c r="E1697">
        <f>_xlfn.XLOOKUP(A1697,Banks!A:A,Banks!I:I,0)</f>
        <v>40469.440675895668</v>
      </c>
      <c r="F1697">
        <f>_xlfn.XLOOKUP(A1697,Energy!A:A,Energy!I:I,0)</f>
        <v>0</v>
      </c>
      <c r="G1697">
        <f t="shared" si="105"/>
        <v>40469.440675895668</v>
      </c>
      <c r="H1697">
        <f t="shared" si="106"/>
        <v>33595.210777849978</v>
      </c>
      <c r="I1697" t="b">
        <f t="shared" si="107"/>
        <v>0</v>
      </c>
    </row>
    <row r="1698" spans="1:9">
      <c r="A1698" s="1">
        <v>46077.616666666669</v>
      </c>
      <c r="B1698" s="5">
        <f>_xlfn.XLOOKUP(A1698,Banks!A:A,Banks!H:H,0,-1)</f>
        <v>-122.5253061106166</v>
      </c>
      <c r="C1698">
        <f>_xlfn.XLOOKUP(A1698,Energy!A:A,Energy!H:H,0,-1)</f>
        <v>6971.3560639308507</v>
      </c>
      <c r="D1698">
        <f t="shared" si="104"/>
        <v>6848.8307578202339</v>
      </c>
      <c r="E1698">
        <f>_xlfn.XLOOKUP(A1698,Banks!A:A,Banks!I:I,0)</f>
        <v>40426.274677891037</v>
      </c>
      <c r="F1698">
        <f>_xlfn.XLOOKUP(A1698,Energy!A:A,Energy!I:I,0)</f>
        <v>0</v>
      </c>
      <c r="G1698">
        <f t="shared" si="105"/>
        <v>40426.274677891037</v>
      </c>
      <c r="H1698">
        <f t="shared" si="106"/>
        <v>33577.4439200708</v>
      </c>
      <c r="I1698" t="b">
        <f t="shared" si="107"/>
        <v>0</v>
      </c>
    </row>
    <row r="1699" spans="1:9">
      <c r="A1699" s="1">
        <v>46077.617361111108</v>
      </c>
      <c r="B1699" s="5">
        <f>_xlfn.XLOOKUP(A1699,Banks!A:A,Banks!H:H,0,-1)</f>
        <v>-98.721449885910488</v>
      </c>
      <c r="C1699">
        <f>_xlfn.XLOOKUP(A1699,Energy!A:A,Energy!H:H,0,-1)</f>
        <v>6971.3560639308507</v>
      </c>
      <c r="D1699">
        <f t="shared" si="104"/>
        <v>6872.6346140449405</v>
      </c>
      <c r="E1699">
        <f>_xlfn.XLOOKUP(A1699,Banks!A:A,Banks!I:I,0)</f>
        <v>40421.513906646098</v>
      </c>
      <c r="F1699">
        <f>_xlfn.XLOOKUP(A1699,Energy!A:A,Energy!I:I,0)</f>
        <v>0</v>
      </c>
      <c r="G1699">
        <f t="shared" si="105"/>
        <v>40421.513906646098</v>
      </c>
      <c r="H1699">
        <f t="shared" si="106"/>
        <v>33548.879292601159</v>
      </c>
      <c r="I1699" t="b">
        <f t="shared" si="107"/>
        <v>0</v>
      </c>
    </row>
    <row r="1700" spans="1:9">
      <c r="A1700" s="1">
        <v>46077.618055555547</v>
      </c>
      <c r="B1700" s="5">
        <f>_xlfn.XLOOKUP(A1700,Banks!A:A,Banks!H:H,0,-1)</f>
        <v>129.220451137298</v>
      </c>
      <c r="C1700">
        <f>_xlfn.XLOOKUP(A1700,Energy!A:A,Energy!H:H,0,-1)</f>
        <v>6971.3560639308507</v>
      </c>
      <c r="D1700">
        <f t="shared" si="104"/>
        <v>7100.5765150681491</v>
      </c>
      <c r="E1700">
        <f>_xlfn.XLOOKUP(A1700,Banks!A:A,Banks!I:I,0)</f>
        <v>40327.679700391738</v>
      </c>
      <c r="F1700">
        <f>_xlfn.XLOOKUP(A1700,Energy!A:A,Energy!I:I,0)</f>
        <v>0</v>
      </c>
      <c r="G1700">
        <f t="shared" si="105"/>
        <v>40327.679700391738</v>
      </c>
      <c r="H1700">
        <f t="shared" si="106"/>
        <v>33227.103185323591</v>
      </c>
      <c r="I1700" t="b">
        <f t="shared" si="107"/>
        <v>0</v>
      </c>
    </row>
    <row r="1701" spans="1:9">
      <c r="A1701" s="1">
        <v>46077.618750000001</v>
      </c>
      <c r="B1701" s="5">
        <f>_xlfn.XLOOKUP(A1701,Banks!A:A,Banks!H:H,0,-1)</f>
        <v>28.512427162841849</v>
      </c>
      <c r="C1701">
        <f>_xlfn.XLOOKUP(A1701,Energy!A:A,Energy!H:H,0,-1)</f>
        <v>6971.3560639308507</v>
      </c>
      <c r="D1701">
        <f t="shared" si="104"/>
        <v>6999.8684910936927</v>
      </c>
      <c r="E1701">
        <f>_xlfn.XLOOKUP(A1701,Banks!A:A,Banks!I:I,0)</f>
        <v>40267.411595103767</v>
      </c>
      <c r="F1701">
        <f>_xlfn.XLOOKUP(A1701,Energy!A:A,Energy!I:I,0)</f>
        <v>0</v>
      </c>
      <c r="G1701">
        <f t="shared" si="105"/>
        <v>40267.411595103767</v>
      </c>
      <c r="H1701">
        <f t="shared" si="106"/>
        <v>33267.543104010074</v>
      </c>
      <c r="I1701" t="b">
        <f t="shared" si="107"/>
        <v>0</v>
      </c>
    </row>
    <row r="1702" spans="1:9">
      <c r="A1702" s="1">
        <v>46077.619444444441</v>
      </c>
      <c r="B1702" s="5">
        <f>_xlfn.XLOOKUP(A1702,Banks!A:A,Banks!H:H,0,-1)</f>
        <v>75.126611241010551</v>
      </c>
      <c r="C1702">
        <f>_xlfn.XLOOKUP(A1702,Energy!A:A,Energy!H:H,0,-1)</f>
        <v>6971.3560639308507</v>
      </c>
      <c r="D1702">
        <f t="shared" si="104"/>
        <v>7046.482675171861</v>
      </c>
      <c r="E1702">
        <f>_xlfn.XLOOKUP(A1702,Banks!A:A,Banks!I:I,0)</f>
        <v>40193.760990221839</v>
      </c>
      <c r="F1702">
        <f>_xlfn.XLOOKUP(A1702,Energy!A:A,Energy!I:I,0)</f>
        <v>0</v>
      </c>
      <c r="G1702">
        <f t="shared" si="105"/>
        <v>40193.760990221839</v>
      </c>
      <c r="H1702">
        <f t="shared" si="106"/>
        <v>33147.278315049974</v>
      </c>
      <c r="I1702" t="b">
        <f t="shared" si="107"/>
        <v>0</v>
      </c>
    </row>
    <row r="1703" spans="1:9">
      <c r="A1703" s="1">
        <v>46077.620138888888</v>
      </c>
      <c r="B1703" s="5">
        <f>_xlfn.XLOOKUP(A1703,Banks!A:A,Banks!H:H,0,-1)</f>
        <v>-8.3232279359766608</v>
      </c>
      <c r="C1703">
        <f>_xlfn.XLOOKUP(A1703,Energy!A:A,Energy!H:H,0,-1)</f>
        <v>6971.3560639308507</v>
      </c>
      <c r="D1703">
        <f t="shared" si="104"/>
        <v>6963.0328359948744</v>
      </c>
      <c r="E1703">
        <f>_xlfn.XLOOKUP(A1703,Banks!A:A,Banks!I:I,0)</f>
        <v>40077.774936420523</v>
      </c>
      <c r="F1703">
        <f>_xlfn.XLOOKUP(A1703,Energy!A:A,Energy!I:I,0)</f>
        <v>0</v>
      </c>
      <c r="G1703">
        <f t="shared" si="105"/>
        <v>40077.774936420523</v>
      </c>
      <c r="H1703">
        <f t="shared" si="106"/>
        <v>33114.742100425647</v>
      </c>
      <c r="I1703" t="b">
        <f t="shared" si="107"/>
        <v>0</v>
      </c>
    </row>
    <row r="1704" spans="1:9">
      <c r="A1704" s="1">
        <v>46077.620833333327</v>
      </c>
      <c r="B1704" s="5">
        <f>_xlfn.XLOOKUP(A1704,Banks!A:A,Banks!H:H,0,-1)</f>
        <v>-109.7834464473043</v>
      </c>
      <c r="C1704">
        <f>_xlfn.XLOOKUP(A1704,Energy!A:A,Energy!H:H,0,-1)</f>
        <v>6971.3560639308507</v>
      </c>
      <c r="D1704">
        <f t="shared" si="104"/>
        <v>6861.5726174835463</v>
      </c>
      <c r="E1704">
        <f>_xlfn.XLOOKUP(A1704,Banks!A:A,Banks!I:I,0)</f>
        <v>40037.759697560643</v>
      </c>
      <c r="F1704">
        <f>_xlfn.XLOOKUP(A1704,Energy!A:A,Energy!I:I,0)</f>
        <v>0</v>
      </c>
      <c r="G1704">
        <f t="shared" si="105"/>
        <v>40037.759697560643</v>
      </c>
      <c r="H1704">
        <f t="shared" si="106"/>
        <v>33176.187080077099</v>
      </c>
      <c r="I1704" t="b">
        <f t="shared" si="107"/>
        <v>0</v>
      </c>
    </row>
    <row r="1705" spans="1:9">
      <c r="A1705" s="1">
        <v>46077.621527777781</v>
      </c>
      <c r="B1705" s="5">
        <f>_xlfn.XLOOKUP(A1705,Banks!A:A,Banks!H:H,0,-1)</f>
        <v>-28.261120032475219</v>
      </c>
      <c r="C1705">
        <f>_xlfn.XLOOKUP(A1705,Energy!A:A,Energy!H:H,0,-1)</f>
        <v>6971.3560639308507</v>
      </c>
      <c r="D1705">
        <f t="shared" si="104"/>
        <v>6943.0949438983753</v>
      </c>
      <c r="E1705">
        <f>_xlfn.XLOOKUP(A1705,Banks!A:A,Banks!I:I,0)</f>
        <v>39933.004551186517</v>
      </c>
      <c r="F1705">
        <f>_xlfn.XLOOKUP(A1705,Energy!A:A,Energy!I:I,0)</f>
        <v>0</v>
      </c>
      <c r="G1705">
        <f t="shared" si="105"/>
        <v>39933.004551186517</v>
      </c>
      <c r="H1705">
        <f t="shared" si="106"/>
        <v>32989.909607288144</v>
      </c>
      <c r="I1705" t="b">
        <f t="shared" si="107"/>
        <v>0</v>
      </c>
    </row>
    <row r="1706" spans="1:9">
      <c r="A1706" s="1">
        <v>46077.62222222222</v>
      </c>
      <c r="B1706" s="5">
        <f>_xlfn.XLOOKUP(A1706,Banks!A:A,Banks!H:H,0,-1)</f>
        <v>24.88881025625528</v>
      </c>
      <c r="C1706">
        <f>_xlfn.XLOOKUP(A1706,Energy!A:A,Energy!H:H,0,-1)</f>
        <v>6971.3560639308507</v>
      </c>
      <c r="D1706">
        <f t="shared" si="104"/>
        <v>6996.2448741871058</v>
      </c>
      <c r="E1706">
        <f>_xlfn.XLOOKUP(A1706,Banks!A:A,Banks!I:I,0)</f>
        <v>0</v>
      </c>
      <c r="F1706">
        <f>_xlfn.XLOOKUP(A1706,Energy!A:A,Energy!I:I,0)</f>
        <v>0</v>
      </c>
      <c r="G1706">
        <f t="shared" si="105"/>
        <v>0</v>
      </c>
      <c r="H1706">
        <f t="shared" si="106"/>
        <v>-6996.2448741871058</v>
      </c>
      <c r="I1706" t="b">
        <f t="shared" si="107"/>
        <v>0</v>
      </c>
    </row>
    <row r="1707" spans="1:9">
      <c r="A1707" s="1">
        <v>46078.604861111111</v>
      </c>
      <c r="B1707" s="5">
        <f>_xlfn.XLOOKUP(A1707,Banks!A:A,Banks!H:H,0,-1)</f>
        <v>24.88881025625528</v>
      </c>
      <c r="C1707">
        <f>_xlfn.XLOOKUP(A1707,Energy!A:A,Energy!H:H,0,-1)</f>
        <v>6971.3560639308507</v>
      </c>
      <c r="D1707">
        <f t="shared" si="104"/>
        <v>6996.2448741871058</v>
      </c>
      <c r="E1707">
        <f>_xlfn.XLOOKUP(A1707,Banks!A:A,Banks!I:I,0)</f>
        <v>0</v>
      </c>
      <c r="F1707">
        <f>_xlfn.XLOOKUP(A1707,Energy!A:A,Energy!I:I,0)</f>
        <v>43168.841978033903</v>
      </c>
      <c r="G1707">
        <f t="shared" si="105"/>
        <v>43168.841978033903</v>
      </c>
      <c r="H1707">
        <f t="shared" si="106"/>
        <v>36172.597103846798</v>
      </c>
      <c r="I1707" t="b">
        <f t="shared" si="107"/>
        <v>0</v>
      </c>
    </row>
    <row r="1708" spans="1:9">
      <c r="A1708" s="1">
        <v>46078.605555555558</v>
      </c>
      <c r="B1708" s="5">
        <f>_xlfn.XLOOKUP(A1708,Banks!A:A,Banks!H:H,0,-1)</f>
        <v>24.88881025625528</v>
      </c>
      <c r="C1708">
        <f>_xlfn.XLOOKUP(A1708,Energy!A:A,Energy!H:H,0,-1)</f>
        <v>7167.4773067953174</v>
      </c>
      <c r="D1708">
        <f t="shared" si="104"/>
        <v>7192.3661170515725</v>
      </c>
      <c r="E1708">
        <f>_xlfn.XLOOKUP(A1708,Banks!A:A,Banks!I:I,0)</f>
        <v>0</v>
      </c>
      <c r="F1708">
        <f>_xlfn.XLOOKUP(A1708,Energy!A:A,Energy!I:I,0)</f>
        <v>43089.36298471153</v>
      </c>
      <c r="G1708">
        <f t="shared" si="105"/>
        <v>43089.36298471153</v>
      </c>
      <c r="H1708">
        <f t="shared" si="106"/>
        <v>35896.99686765996</v>
      </c>
      <c r="I1708" t="b">
        <f t="shared" si="107"/>
        <v>0</v>
      </c>
    </row>
    <row r="1709" spans="1:9">
      <c r="A1709" s="1">
        <v>46078.606249999997</v>
      </c>
      <c r="B1709" s="5">
        <f>_xlfn.XLOOKUP(A1709,Banks!A:A,Banks!H:H,0,-1)</f>
        <v>24.88881025625528</v>
      </c>
      <c r="C1709">
        <f>_xlfn.XLOOKUP(A1709,Energy!A:A,Energy!H:H,0,-1)</f>
        <v>7165.4644003569047</v>
      </c>
      <c r="D1709">
        <f t="shared" si="104"/>
        <v>7190.3532106131597</v>
      </c>
      <c r="E1709">
        <f>_xlfn.XLOOKUP(A1709,Banks!A:A,Banks!I:I,0)</f>
        <v>0</v>
      </c>
      <c r="F1709">
        <f>_xlfn.XLOOKUP(A1709,Energy!A:A,Energy!I:I,0)</f>
        <v>43036.0925729999</v>
      </c>
      <c r="G1709">
        <f t="shared" si="105"/>
        <v>43036.0925729999</v>
      </c>
      <c r="H1709">
        <f t="shared" si="106"/>
        <v>35845.739362386739</v>
      </c>
      <c r="I1709" t="b">
        <f t="shared" si="107"/>
        <v>0</v>
      </c>
    </row>
    <row r="1710" spans="1:9">
      <c r="A1710" s="1">
        <v>46078.606944444437</v>
      </c>
      <c r="B1710" s="5">
        <f>_xlfn.XLOOKUP(A1710,Banks!A:A,Banks!H:H,0,-1)</f>
        <v>24.88881025625528</v>
      </c>
      <c r="C1710">
        <f>_xlfn.XLOOKUP(A1710,Energy!A:A,Energy!H:H,0,-1)</f>
        <v>6799.3570550290451</v>
      </c>
      <c r="D1710">
        <f t="shared" si="104"/>
        <v>6824.2458652853002</v>
      </c>
      <c r="E1710">
        <f>_xlfn.XLOOKUP(A1710,Banks!A:A,Banks!I:I,0)</f>
        <v>0</v>
      </c>
      <c r="F1710">
        <f>_xlfn.XLOOKUP(A1710,Energy!A:A,Energy!I:I,0)</f>
        <v>42916.98581715129</v>
      </c>
      <c r="G1710">
        <f t="shared" si="105"/>
        <v>42916.98581715129</v>
      </c>
      <c r="H1710">
        <f t="shared" si="106"/>
        <v>36092.739951865988</v>
      </c>
      <c r="I1710" t="b">
        <f t="shared" si="107"/>
        <v>0</v>
      </c>
    </row>
    <row r="1711" spans="1:9">
      <c r="A1711" s="1">
        <v>46078.607638888891</v>
      </c>
      <c r="B1711" s="5">
        <f>_xlfn.XLOOKUP(A1711,Banks!A:A,Banks!H:H,0,-1)</f>
        <v>24.88881025625528</v>
      </c>
      <c r="C1711">
        <f>_xlfn.XLOOKUP(A1711,Energy!A:A,Energy!H:H,0,-1)</f>
        <v>6703.31167169941</v>
      </c>
      <c r="D1711">
        <f t="shared" si="104"/>
        <v>6728.2004819556651</v>
      </c>
      <c r="E1711">
        <f>_xlfn.XLOOKUP(A1711,Banks!A:A,Banks!I:I,0)</f>
        <v>0</v>
      </c>
      <c r="F1711">
        <f>_xlfn.XLOOKUP(A1711,Energy!A:A,Energy!I:I,0)</f>
        <v>43079.322875148697</v>
      </c>
      <c r="G1711">
        <f t="shared" si="105"/>
        <v>43079.322875148697</v>
      </c>
      <c r="H1711">
        <f t="shared" si="106"/>
        <v>36351.122393193029</v>
      </c>
      <c r="I1711" t="b">
        <f t="shared" si="107"/>
        <v>0</v>
      </c>
    </row>
    <row r="1712" spans="1:9">
      <c r="A1712" s="1">
        <v>46078.60833333333</v>
      </c>
      <c r="B1712" s="5">
        <f>_xlfn.XLOOKUP(A1712,Banks!A:A,Banks!H:H,0,-1)</f>
        <v>24.88881025625528</v>
      </c>
      <c r="C1712">
        <f>_xlfn.XLOOKUP(A1712,Energy!A:A,Energy!H:H,0,-1)</f>
        <v>6551.8331164814463</v>
      </c>
      <c r="D1712">
        <f t="shared" si="104"/>
        <v>6576.7219267377013</v>
      </c>
      <c r="E1712">
        <f>_xlfn.XLOOKUP(A1712,Banks!A:A,Banks!I:I,0)</f>
        <v>0</v>
      </c>
      <c r="F1712">
        <f>_xlfn.XLOOKUP(A1712,Energy!A:A,Energy!I:I,0)</f>
        <v>43038.054595526562</v>
      </c>
      <c r="G1712">
        <f t="shared" si="105"/>
        <v>43038.054595526562</v>
      </c>
      <c r="H1712">
        <f t="shared" si="106"/>
        <v>36461.332668788862</v>
      </c>
      <c r="I1712" t="b">
        <f t="shared" si="107"/>
        <v>0</v>
      </c>
    </row>
    <row r="1713" spans="1:9">
      <c r="A1713" s="1">
        <v>46078.609027777777</v>
      </c>
      <c r="B1713" s="5">
        <f>_xlfn.XLOOKUP(A1713,Banks!A:A,Banks!H:H,0,-1)</f>
        <v>24.88881025625528</v>
      </c>
      <c r="C1713">
        <f>_xlfn.XLOOKUP(A1713,Energy!A:A,Energy!H:H,0,-1)</f>
        <v>6372.9231398170796</v>
      </c>
      <c r="D1713">
        <f t="shared" si="104"/>
        <v>6397.8119500733346</v>
      </c>
      <c r="E1713">
        <f>_xlfn.XLOOKUP(A1713,Banks!A:A,Banks!I:I,0)</f>
        <v>0</v>
      </c>
      <c r="F1713">
        <f>_xlfn.XLOOKUP(A1713,Energy!A:A,Energy!I:I,0)</f>
        <v>43002.272600193683</v>
      </c>
      <c r="G1713">
        <f t="shared" si="105"/>
        <v>43002.272600193683</v>
      </c>
      <c r="H1713">
        <f t="shared" si="106"/>
        <v>36604.460650120345</v>
      </c>
      <c r="I1713" t="b">
        <f t="shared" si="107"/>
        <v>0</v>
      </c>
    </row>
    <row r="1714" spans="1:9">
      <c r="A1714" s="1">
        <v>46078.609722222223</v>
      </c>
      <c r="B1714" s="5">
        <f>_xlfn.XLOOKUP(A1714,Banks!A:A,Banks!H:H,0,-1)</f>
        <v>24.88881025625528</v>
      </c>
      <c r="C1714">
        <f>_xlfn.XLOOKUP(A1714,Energy!A:A,Energy!H:H,0,-1)</f>
        <v>6451.196254607743</v>
      </c>
      <c r="D1714">
        <f t="shared" si="104"/>
        <v>6476.085064863998</v>
      </c>
      <c r="E1714">
        <f>_xlfn.XLOOKUP(A1714,Banks!A:A,Banks!I:I,0)</f>
        <v>0</v>
      </c>
      <c r="F1714">
        <f>_xlfn.XLOOKUP(A1714,Energy!A:A,Energy!I:I,0)</f>
        <v>43017.927223151812</v>
      </c>
      <c r="G1714">
        <f t="shared" si="105"/>
        <v>43017.927223151812</v>
      </c>
      <c r="H1714">
        <f t="shared" si="106"/>
        <v>36541.842158287815</v>
      </c>
      <c r="I1714" t="b">
        <f t="shared" si="107"/>
        <v>0</v>
      </c>
    </row>
    <row r="1715" spans="1:9">
      <c r="A1715" s="1">
        <v>46078.61041666667</v>
      </c>
      <c r="B1715" s="5">
        <f>_xlfn.XLOOKUP(A1715,Banks!A:A,Banks!H:H,0,-1)</f>
        <v>24.88881025625528</v>
      </c>
      <c r="C1715">
        <f>_xlfn.XLOOKUP(A1715,Energy!A:A,Energy!H:H,0,-1)</f>
        <v>6171.6494160696893</v>
      </c>
      <c r="D1715">
        <f t="shared" si="104"/>
        <v>6196.5382263259444</v>
      </c>
      <c r="E1715">
        <f>_xlfn.XLOOKUP(A1715,Banks!A:A,Banks!I:I,0)</f>
        <v>0</v>
      </c>
      <c r="F1715">
        <f>_xlfn.XLOOKUP(A1715,Energy!A:A,Energy!I:I,0)</f>
        <v>42962.017855444203</v>
      </c>
      <c r="G1715">
        <f t="shared" si="105"/>
        <v>42962.017855444203</v>
      </c>
      <c r="H1715">
        <f t="shared" si="106"/>
        <v>36765.479629118257</v>
      </c>
      <c r="I1715" t="b">
        <f t="shared" si="107"/>
        <v>0</v>
      </c>
    </row>
    <row r="1716" spans="1:9">
      <c r="A1716" s="1">
        <v>46078.611111111109</v>
      </c>
      <c r="B1716" s="5">
        <f>_xlfn.XLOOKUP(A1716,Banks!A:A,Banks!H:H,0,-1)</f>
        <v>24.88881025625528</v>
      </c>
      <c r="C1716">
        <f>_xlfn.XLOOKUP(A1716,Energy!A:A,Energy!H:H,0,-1)</f>
        <v>6043.09561027364</v>
      </c>
      <c r="D1716">
        <f t="shared" si="104"/>
        <v>6067.984420529895</v>
      </c>
      <c r="E1716">
        <f>_xlfn.XLOOKUP(A1716,Banks!A:A,Banks!I:I,0)</f>
        <v>0</v>
      </c>
      <c r="F1716">
        <f>_xlfn.XLOOKUP(A1716,Energy!A:A,Energy!I:I,0)</f>
        <v>42862.491632938363</v>
      </c>
      <c r="G1716">
        <f t="shared" si="105"/>
        <v>42862.491632938363</v>
      </c>
      <c r="H1716">
        <f t="shared" si="106"/>
        <v>36794.507212408469</v>
      </c>
      <c r="I1716" t="b">
        <f t="shared" si="107"/>
        <v>0</v>
      </c>
    </row>
    <row r="1717" spans="1:9">
      <c r="A1717" s="1">
        <v>46078.611805555563</v>
      </c>
      <c r="B1717" s="5">
        <f>_xlfn.XLOOKUP(A1717,Banks!A:A,Banks!H:H,0,-1)</f>
        <v>24.88881025625528</v>
      </c>
      <c r="C1717">
        <f>_xlfn.XLOOKUP(A1717,Energy!A:A,Energy!H:H,0,-1)</f>
        <v>6317.1693951636826</v>
      </c>
      <c r="D1717">
        <f t="shared" si="104"/>
        <v>6342.0582054199376</v>
      </c>
      <c r="E1717">
        <f>_xlfn.XLOOKUP(A1717,Banks!A:A,Banks!I:I,0)</f>
        <v>0</v>
      </c>
      <c r="F1717">
        <f>_xlfn.XLOOKUP(A1717,Energy!A:A,Energy!I:I,0)</f>
        <v>42834.513372460009</v>
      </c>
      <c r="G1717">
        <f t="shared" si="105"/>
        <v>42834.513372460009</v>
      </c>
      <c r="H1717">
        <f t="shared" si="106"/>
        <v>36492.455167040069</v>
      </c>
      <c r="I1717" t="b">
        <f t="shared" si="107"/>
        <v>0</v>
      </c>
    </row>
    <row r="1718" spans="1:9">
      <c r="A1718" s="1">
        <v>46078.612500000003</v>
      </c>
      <c r="B1718" s="5">
        <f>_xlfn.XLOOKUP(A1718,Banks!A:A,Banks!H:H,0,-1)</f>
        <v>24.88881025625528</v>
      </c>
      <c r="C1718">
        <f>_xlfn.XLOOKUP(A1718,Energy!A:A,Energy!H:H,0,-1)</f>
        <v>6227.7144068315083</v>
      </c>
      <c r="D1718">
        <f t="shared" si="104"/>
        <v>6252.6032170877634</v>
      </c>
      <c r="E1718">
        <f>_xlfn.XLOOKUP(A1718,Banks!A:A,Banks!I:I,0)</f>
        <v>0</v>
      </c>
      <c r="F1718">
        <f>_xlfn.XLOOKUP(A1718,Energy!A:A,Energy!I:I,0)</f>
        <v>42816.622374793573</v>
      </c>
      <c r="G1718">
        <f t="shared" si="105"/>
        <v>42816.622374793573</v>
      </c>
      <c r="H1718">
        <f t="shared" si="106"/>
        <v>36564.019157705807</v>
      </c>
      <c r="I1718" t="b">
        <f t="shared" si="107"/>
        <v>0</v>
      </c>
    </row>
    <row r="1719" spans="1:9">
      <c r="A1719" s="1">
        <v>46078.613194444442</v>
      </c>
      <c r="B1719" s="5">
        <f>_xlfn.XLOOKUP(A1719,Banks!A:A,Banks!H:H,0,-1)</f>
        <v>24.88881025625528</v>
      </c>
      <c r="C1719">
        <f>_xlfn.XLOOKUP(A1719,Energy!A:A,Energy!H:H,0,-1)</f>
        <v>6272.4419009975882</v>
      </c>
      <c r="D1719">
        <f t="shared" si="104"/>
        <v>6297.3307112538432</v>
      </c>
      <c r="E1719">
        <f>_xlfn.XLOOKUP(A1719,Banks!A:A,Banks!I:I,0)</f>
        <v>0</v>
      </c>
      <c r="F1719">
        <f>_xlfn.XLOOKUP(A1719,Energy!A:A,Energy!I:I,0)</f>
        <v>42825.567873626787</v>
      </c>
      <c r="G1719">
        <f t="shared" si="105"/>
        <v>42825.567873626787</v>
      </c>
      <c r="H1719">
        <f t="shared" si="106"/>
        <v>36528.237162372941</v>
      </c>
      <c r="I1719" t="b">
        <f t="shared" si="107"/>
        <v>0</v>
      </c>
    </row>
    <row r="1720" spans="1:9">
      <c r="A1720" s="1">
        <v>46078.613888888889</v>
      </c>
      <c r="B1720" s="5">
        <f>_xlfn.XLOOKUP(A1720,Banks!A:A,Banks!H:H,0,-1)</f>
        <v>24.88881025625528</v>
      </c>
      <c r="C1720">
        <f>_xlfn.XLOOKUP(A1720,Energy!A:A,Energy!H:H,0,-1)</f>
        <v>6171.8050391239003</v>
      </c>
      <c r="D1720">
        <f t="shared" si="104"/>
        <v>6196.6938493801554</v>
      </c>
      <c r="E1720">
        <f>_xlfn.XLOOKUP(A1720,Banks!A:A,Banks!I:I,0)</f>
        <v>0</v>
      </c>
      <c r="F1720">
        <f>_xlfn.XLOOKUP(A1720,Energy!A:A,Energy!I:I,0)</f>
        <v>42805.440501252051</v>
      </c>
      <c r="G1720">
        <f t="shared" si="105"/>
        <v>42805.440501252051</v>
      </c>
      <c r="H1720">
        <f t="shared" si="106"/>
        <v>36608.746651871894</v>
      </c>
      <c r="I1720" t="b">
        <f t="shared" si="107"/>
        <v>0</v>
      </c>
    </row>
    <row r="1721" spans="1:9">
      <c r="A1721" s="1">
        <v>46078.614583333343</v>
      </c>
      <c r="B1721" s="5">
        <f>_xlfn.XLOOKUP(A1721,Banks!A:A,Banks!H:H,0,-1)</f>
        <v>24.88881025625528</v>
      </c>
      <c r="C1721">
        <f>_xlfn.XLOOKUP(A1721,Energy!A:A,Energy!H:H,0,-1)</f>
        <v>6171.8050391239003</v>
      </c>
      <c r="D1721">
        <f t="shared" si="104"/>
        <v>6196.6938493801554</v>
      </c>
      <c r="E1721">
        <f>_xlfn.XLOOKUP(A1721,Banks!A:A,Banks!I:I,0)</f>
        <v>0</v>
      </c>
      <c r="F1721">
        <f>_xlfn.XLOOKUP(A1721,Energy!A:A,Energy!I:I,0)</f>
        <v>42805.440501252051</v>
      </c>
      <c r="G1721">
        <f t="shared" si="105"/>
        <v>42805.440501252051</v>
      </c>
      <c r="H1721">
        <f t="shared" si="106"/>
        <v>36608.746651871894</v>
      </c>
      <c r="I1721" t="b">
        <f t="shared" si="107"/>
        <v>0</v>
      </c>
    </row>
    <row r="1722" spans="1:9">
      <c r="A1722" s="1">
        <v>46078.615277777782</v>
      </c>
      <c r="B1722" s="5">
        <f>_xlfn.XLOOKUP(A1722,Banks!A:A,Banks!H:H,0,-1)</f>
        <v>24.88881025625528</v>
      </c>
      <c r="C1722">
        <f>_xlfn.XLOOKUP(A1722,Energy!A:A,Energy!H:H,0,-1)</f>
        <v>6026.4406830841017</v>
      </c>
      <c r="D1722">
        <f t="shared" si="104"/>
        <v>6051.3294933403567</v>
      </c>
      <c r="E1722">
        <f>_xlfn.XLOOKUP(A1722,Banks!A:A,Banks!I:I,0)</f>
        <v>0</v>
      </c>
      <c r="F1722">
        <f>_xlfn.XLOOKUP(A1722,Energy!A:A,Energy!I:I,0)</f>
        <v>42776.367630044093</v>
      </c>
      <c r="G1722">
        <f t="shared" si="105"/>
        <v>42776.367630044093</v>
      </c>
      <c r="H1722">
        <f t="shared" si="106"/>
        <v>36725.038136703733</v>
      </c>
      <c r="I1722" t="b">
        <f t="shared" si="107"/>
        <v>0</v>
      </c>
    </row>
    <row r="1723" spans="1:9">
      <c r="A1723" s="1">
        <v>46078.615972222222</v>
      </c>
      <c r="B1723" s="5">
        <f>_xlfn.XLOOKUP(A1723,Banks!A:A,Banks!H:H,0,-1)</f>
        <v>24.88881025625528</v>
      </c>
      <c r="C1723">
        <f>_xlfn.XLOOKUP(A1723,Energy!A:A,Energy!H:H,0,-1)</f>
        <v>6004.0769360010618</v>
      </c>
      <c r="D1723">
        <f t="shared" si="104"/>
        <v>6028.9657462573168</v>
      </c>
      <c r="E1723">
        <f>_xlfn.XLOOKUP(A1723,Banks!A:A,Banks!I:I,0)</f>
        <v>0</v>
      </c>
      <c r="F1723">
        <f>_xlfn.XLOOKUP(A1723,Energy!A:A,Energy!I:I,0)</f>
        <v>42771.894880627493</v>
      </c>
      <c r="G1723">
        <f t="shared" si="105"/>
        <v>42771.894880627493</v>
      </c>
      <c r="H1723">
        <f t="shared" si="106"/>
        <v>36742.929134370177</v>
      </c>
      <c r="I1723" t="b">
        <f t="shared" si="107"/>
        <v>0</v>
      </c>
    </row>
    <row r="1724" spans="1:9">
      <c r="A1724" s="1">
        <v>46078.616666666669</v>
      </c>
      <c r="B1724" s="5">
        <f>_xlfn.XLOOKUP(A1724,Banks!A:A,Banks!H:H,0,-1)</f>
        <v>24.88881025625528</v>
      </c>
      <c r="C1724">
        <f>_xlfn.XLOOKUP(A1724,Energy!A:A,Energy!H:H,0,-1)</f>
        <v>5780.4394651706152</v>
      </c>
      <c r="D1724">
        <f t="shared" si="104"/>
        <v>5805.3282754268703</v>
      </c>
      <c r="E1724">
        <f>_xlfn.XLOOKUP(A1724,Banks!A:A,Banks!I:I,0)</f>
        <v>0</v>
      </c>
      <c r="F1724">
        <f>_xlfn.XLOOKUP(A1724,Energy!A:A,Energy!I:I,0)</f>
        <v>42727.167386461399</v>
      </c>
      <c r="G1724">
        <f t="shared" si="105"/>
        <v>42727.167386461399</v>
      </c>
      <c r="H1724">
        <f t="shared" si="106"/>
        <v>36921.839111034526</v>
      </c>
      <c r="I1724" t="b">
        <f t="shared" si="107"/>
        <v>0</v>
      </c>
    </row>
    <row r="1725" spans="1:9">
      <c r="A1725" s="1">
        <v>46078.617361111108</v>
      </c>
      <c r="B1725" s="5">
        <f>_xlfn.XLOOKUP(A1725,Banks!A:A,Banks!H:H,0,-1)</f>
        <v>24.88881025625528</v>
      </c>
      <c r="C1725">
        <f>_xlfn.XLOOKUP(A1725,Energy!A:A,Energy!H:H,0,-1)</f>
        <v>6597.7534318599046</v>
      </c>
      <c r="D1725">
        <f t="shared" si="104"/>
        <v>6622.6422421161597</v>
      </c>
      <c r="E1725">
        <f>_xlfn.XLOOKUP(A1725,Banks!A:A,Banks!I:I,0)</f>
        <v>0</v>
      </c>
      <c r="F1725">
        <f>_xlfn.XLOOKUP(A1725,Energy!A:A,Energy!I:I,0)</f>
        <v>42635.268583789279</v>
      </c>
      <c r="G1725">
        <f t="shared" si="105"/>
        <v>42635.268583789279</v>
      </c>
      <c r="H1725">
        <f t="shared" si="106"/>
        <v>36012.626341673116</v>
      </c>
      <c r="I1725" t="b">
        <f t="shared" si="107"/>
        <v>0</v>
      </c>
    </row>
    <row r="1726" spans="1:9">
      <c r="A1726" s="1">
        <v>46078.618055555547</v>
      </c>
      <c r="B1726" s="5">
        <f>_xlfn.XLOOKUP(A1726,Banks!A:A,Banks!H:H,0,-1)</f>
        <v>24.88881025625528</v>
      </c>
      <c r="C1726">
        <f>_xlfn.XLOOKUP(A1726,Energy!A:A,Energy!H:H,0,-1)</f>
        <v>6508.2984435277294</v>
      </c>
      <c r="D1726">
        <f t="shared" si="104"/>
        <v>6533.1872537839845</v>
      </c>
      <c r="E1726">
        <f>_xlfn.XLOOKUP(A1726,Banks!A:A,Banks!I:I,0)</f>
        <v>0</v>
      </c>
      <c r="F1726">
        <f>_xlfn.XLOOKUP(A1726,Energy!A:A,Energy!I:I,0)</f>
        <v>42617.377586122842</v>
      </c>
      <c r="G1726">
        <f t="shared" si="105"/>
        <v>42617.377586122842</v>
      </c>
      <c r="H1726">
        <f t="shared" si="106"/>
        <v>36084.190332338854</v>
      </c>
      <c r="I1726" t="b">
        <f t="shared" si="107"/>
        <v>0</v>
      </c>
    </row>
    <row r="1727" spans="1:9">
      <c r="A1727" s="1">
        <v>46078.618750000001</v>
      </c>
      <c r="B1727" s="5">
        <f>_xlfn.XLOOKUP(A1727,Banks!A:A,Banks!H:H,0,-1)</f>
        <v>24.88881025625528</v>
      </c>
      <c r="C1727">
        <f>_xlfn.XLOOKUP(A1727,Energy!A:A,Energy!H:H,0,-1)</f>
        <v>6530.6711049265059</v>
      </c>
      <c r="D1727">
        <f t="shared" si="104"/>
        <v>6555.559915182761</v>
      </c>
      <c r="E1727">
        <f>_xlfn.XLOOKUP(A1727,Banks!A:A,Banks!I:I,0)</f>
        <v>0</v>
      </c>
      <c r="F1727">
        <f>_xlfn.XLOOKUP(A1727,Energy!A:A,Energy!I:I,0)</f>
        <v>0</v>
      </c>
      <c r="G1727">
        <f t="shared" si="105"/>
        <v>0</v>
      </c>
      <c r="H1727">
        <f t="shared" si="106"/>
        <v>-6555.559915182761</v>
      </c>
      <c r="I1727" t="b">
        <f t="shared" si="107"/>
        <v>0</v>
      </c>
    </row>
    <row r="1728" spans="1:9">
      <c r="A1728" s="1">
        <v>46079.604166666657</v>
      </c>
      <c r="B1728" s="5">
        <f>_xlfn.XLOOKUP(A1728,Banks!A:A,Banks!H:H,0,-1)</f>
        <v>24.88881025625528</v>
      </c>
      <c r="C1728">
        <f>_xlfn.XLOOKUP(A1728,Energy!A:A,Energy!H:H,0,-1)</f>
        <v>6530.6711049265059</v>
      </c>
      <c r="D1728">
        <f t="shared" si="104"/>
        <v>6555.559915182761</v>
      </c>
      <c r="E1728">
        <f>_xlfn.XLOOKUP(A1728,Banks!A:A,Banks!I:I,0)</f>
        <v>0</v>
      </c>
      <c r="F1728">
        <f>_xlfn.XLOOKUP(A1728,Energy!A:A,Energy!I:I,0)</f>
        <v>43168.841978033888</v>
      </c>
      <c r="G1728">
        <f t="shared" si="105"/>
        <v>43168.841978033888</v>
      </c>
      <c r="H1728">
        <f t="shared" si="106"/>
        <v>36613.282062851125</v>
      </c>
      <c r="I1728" t="b">
        <f t="shared" si="107"/>
        <v>0</v>
      </c>
    </row>
    <row r="1729" spans="1:9">
      <c r="A1729" s="1">
        <v>46079.604861111111</v>
      </c>
      <c r="B1729" s="5">
        <f>_xlfn.XLOOKUP(A1729,Banks!A:A,Banks!H:H,0,-1)</f>
        <v>24.88881025625528</v>
      </c>
      <c r="C1729">
        <f>_xlfn.XLOOKUP(A1729,Energy!A:A,Energy!H:H,0,-1)</f>
        <v>6244.1354390718907</v>
      </c>
      <c r="D1729">
        <f t="shared" si="104"/>
        <v>6269.0242493281457</v>
      </c>
      <c r="E1729">
        <f>_xlfn.XLOOKUP(A1729,Banks!A:A,Banks!I:I,0)</f>
        <v>0</v>
      </c>
      <c r="F1729">
        <f>_xlfn.XLOOKUP(A1729,Energy!A:A,Energy!I:I,0)</f>
        <v>43258.63096456878</v>
      </c>
      <c r="G1729">
        <f t="shared" si="105"/>
        <v>43258.63096456878</v>
      </c>
      <c r="H1729">
        <f t="shared" si="106"/>
        <v>36989.606715240632</v>
      </c>
      <c r="I1729" t="b">
        <f t="shared" si="107"/>
        <v>0</v>
      </c>
    </row>
    <row r="1730" spans="1:9">
      <c r="A1730" s="1">
        <v>46079.605555555558</v>
      </c>
      <c r="B1730" s="5">
        <f>_xlfn.XLOOKUP(A1730,Banks!A:A,Banks!H:H,0,-1)</f>
        <v>24.88881025625528</v>
      </c>
      <c r="C1730">
        <f>_xlfn.XLOOKUP(A1730,Energy!A:A,Energy!H:H,0,-1)</f>
        <v>5928.0535170482317</v>
      </c>
      <c r="D1730">
        <f t="shared" si="104"/>
        <v>5952.9423273044868</v>
      </c>
      <c r="E1730">
        <f>_xlfn.XLOOKUP(A1730,Banks!A:A,Banks!I:I,0)</f>
        <v>0</v>
      </c>
      <c r="F1730">
        <f>_xlfn.XLOOKUP(A1730,Energy!A:A,Energy!I:I,0)</f>
        <v>43219.761524115347</v>
      </c>
      <c r="G1730">
        <f t="shared" si="105"/>
        <v>43219.761524115347</v>
      </c>
      <c r="H1730">
        <f t="shared" si="106"/>
        <v>37266.819196810859</v>
      </c>
      <c r="I1730" t="b">
        <f t="shared" si="107"/>
        <v>0</v>
      </c>
    </row>
    <row r="1731" spans="1:9">
      <c r="A1731" s="1">
        <v>46079.606249999997</v>
      </c>
      <c r="B1731" s="5">
        <f>_xlfn.XLOOKUP(A1731,Banks!A:A,Banks!H:H,0,-1)</f>
        <v>24.88881025625528</v>
      </c>
      <c r="C1731">
        <f>_xlfn.XLOOKUP(A1731,Energy!A:A,Energy!H:H,0,-1)</f>
        <v>5951.4956087406699</v>
      </c>
      <c r="D1731">
        <f t="shared" ref="D1731:D1794" si="108">B1731+C1731</f>
        <v>5976.384418996925</v>
      </c>
      <c r="E1731">
        <f>_xlfn.XLOOKUP(A1731,Banks!A:A,Banks!I:I,0)</f>
        <v>0</v>
      </c>
      <c r="F1731">
        <f>_xlfn.XLOOKUP(A1731,Energy!A:A,Energy!I:I,0)</f>
        <v>43386.762902129209</v>
      </c>
      <c r="G1731">
        <f t="shared" ref="G1731:G1794" si="109">F1731+E1731</f>
        <v>43386.762902129209</v>
      </c>
      <c r="H1731">
        <f t="shared" ref="H1731:H1794" si="110">G1731-D1731</f>
        <v>37410.378483132285</v>
      </c>
      <c r="I1731" t="b">
        <f t="shared" ref="I1731:I1794" si="111">AND(E1731&gt;0,F1731&gt;0)</f>
        <v>0</v>
      </c>
    </row>
    <row r="1732" spans="1:9">
      <c r="A1732" s="1">
        <v>46079.606944444437</v>
      </c>
      <c r="B1732" s="5">
        <f>_xlfn.XLOOKUP(A1732,Banks!A:A,Banks!H:H,0,-1)</f>
        <v>24.88881025625528</v>
      </c>
      <c r="C1732">
        <f>_xlfn.XLOOKUP(A1732,Energy!A:A,Energy!H:H,0,-1)</f>
        <v>5543.8810437391903</v>
      </c>
      <c r="D1732">
        <f t="shared" si="108"/>
        <v>5568.7698539954454</v>
      </c>
      <c r="E1732">
        <f>_xlfn.XLOOKUP(A1732,Banks!A:A,Banks!I:I,0)</f>
        <v>0</v>
      </c>
      <c r="F1732">
        <f>_xlfn.XLOOKUP(A1732,Energy!A:A,Energy!I:I,0)</f>
        <v>43454.365020830672</v>
      </c>
      <c r="G1732">
        <f t="shared" si="109"/>
        <v>43454.365020830672</v>
      </c>
      <c r="H1732">
        <f t="shared" si="110"/>
        <v>37885.595166835228</v>
      </c>
      <c r="I1732" t="b">
        <f t="shared" si="111"/>
        <v>0</v>
      </c>
    </row>
    <row r="1733" spans="1:9">
      <c r="A1733" s="1">
        <v>46079.607638888891</v>
      </c>
      <c r="B1733" s="5">
        <f>_xlfn.XLOOKUP(A1733,Banks!A:A,Banks!H:H,0,-1)</f>
        <v>24.88881025625528</v>
      </c>
      <c r="C1733">
        <f>_xlfn.XLOOKUP(A1733,Energy!A:A,Energy!H:H,0,-1)</f>
        <v>5666.5123519664276</v>
      </c>
      <c r="D1733">
        <f t="shared" si="108"/>
        <v>5691.4011622226826</v>
      </c>
      <c r="E1733">
        <f>_xlfn.XLOOKUP(A1733,Banks!A:A,Banks!I:I,0)</f>
        <v>0</v>
      </c>
      <c r="F1733">
        <f>_xlfn.XLOOKUP(A1733,Energy!A:A,Energy!I:I,0)</f>
        <v>43545.845378342208</v>
      </c>
      <c r="G1733">
        <f t="shared" si="109"/>
        <v>43545.845378342208</v>
      </c>
      <c r="H1733">
        <f t="shared" si="110"/>
        <v>37854.444216119526</v>
      </c>
      <c r="I1733" t="b">
        <f t="shared" si="111"/>
        <v>0</v>
      </c>
    </row>
    <row r="1734" spans="1:9">
      <c r="A1734" s="1">
        <v>46079.60833333333</v>
      </c>
      <c r="B1734" s="5">
        <f>_xlfn.XLOOKUP(A1734,Banks!A:A,Banks!H:H,0,-1)</f>
        <v>24.88881025625528</v>
      </c>
      <c r="C1734">
        <f>_xlfn.XLOOKUP(A1734,Energy!A:A,Energy!H:H,0,-1)</f>
        <v>5828.921618786213</v>
      </c>
      <c r="D1734">
        <f t="shared" si="108"/>
        <v>5853.8104290424681</v>
      </c>
      <c r="E1734">
        <f>_xlfn.XLOOKUP(A1734,Banks!A:A,Banks!I:I,0)</f>
        <v>0</v>
      </c>
      <c r="F1734">
        <f>_xlfn.XLOOKUP(A1734,Energy!A:A,Energy!I:I,0)</f>
        <v>43578.327231706171</v>
      </c>
      <c r="G1734">
        <f t="shared" si="109"/>
        <v>43578.327231706171</v>
      </c>
      <c r="H1734">
        <f t="shared" si="110"/>
        <v>37724.516802663704</v>
      </c>
      <c r="I1734" t="b">
        <f t="shared" si="111"/>
        <v>0</v>
      </c>
    </row>
    <row r="1735" spans="1:9">
      <c r="A1735" s="1">
        <v>46079.609027777777</v>
      </c>
      <c r="B1735" s="5">
        <f>_xlfn.XLOOKUP(A1735,Banks!A:A,Banks!H:H,0,-1)</f>
        <v>24.88881025625528</v>
      </c>
      <c r="C1735">
        <f>_xlfn.XLOOKUP(A1735,Energy!A:A,Energy!H:H,0,-1)</f>
        <v>4886.0852077105801</v>
      </c>
      <c r="D1735">
        <f t="shared" si="108"/>
        <v>4910.9740179668352</v>
      </c>
      <c r="E1735">
        <f>_xlfn.XLOOKUP(A1735,Banks!A:A,Banks!I:I,0)</f>
        <v>0</v>
      </c>
      <c r="F1735">
        <f>_xlfn.XLOOKUP(A1735,Energy!A:A,Energy!I:I,0)</f>
        <v>43688.010012894541</v>
      </c>
      <c r="G1735">
        <f t="shared" si="109"/>
        <v>43688.010012894541</v>
      </c>
      <c r="H1735">
        <f t="shared" si="110"/>
        <v>38777.035994927704</v>
      </c>
      <c r="I1735" t="b">
        <f t="shared" si="111"/>
        <v>0</v>
      </c>
    </row>
    <row r="1736" spans="1:9">
      <c r="A1736" s="1">
        <v>46079.609722222223</v>
      </c>
      <c r="B1736" s="5">
        <f>_xlfn.XLOOKUP(A1736,Banks!A:A,Banks!H:H,0,-1)</f>
        <v>24.88881025625528</v>
      </c>
      <c r="C1736">
        <f>_xlfn.XLOOKUP(A1736,Energy!A:A,Energy!H:H,0,-1)</f>
        <v>5141.0590019949414</v>
      </c>
      <c r="D1736">
        <f t="shared" si="108"/>
        <v>5165.9478122511964</v>
      </c>
      <c r="E1736">
        <f>_xlfn.XLOOKUP(A1736,Banks!A:A,Banks!I:I,0)</f>
        <v>0</v>
      </c>
      <c r="F1736">
        <f>_xlfn.XLOOKUP(A1736,Energy!A:A,Energy!I:I,0)</f>
        <v>43576.691812076038</v>
      </c>
      <c r="G1736">
        <f t="shared" si="109"/>
        <v>43576.691812076038</v>
      </c>
      <c r="H1736">
        <f t="shared" si="110"/>
        <v>38410.743999824845</v>
      </c>
      <c r="I1736" t="b">
        <f t="shared" si="111"/>
        <v>0</v>
      </c>
    </row>
    <row r="1737" spans="1:9">
      <c r="A1737" s="1">
        <v>46079.61041666667</v>
      </c>
      <c r="B1737" s="5">
        <f>_xlfn.XLOOKUP(A1737,Banks!A:A,Banks!H:H,0,-1)</f>
        <v>24.88881025625528</v>
      </c>
      <c r="C1737">
        <f>_xlfn.XLOOKUP(A1737,Energy!A:A,Energy!H:H,0,-1)</f>
        <v>5152.6596639106456</v>
      </c>
      <c r="D1737">
        <f t="shared" si="108"/>
        <v>5177.5484741669006</v>
      </c>
      <c r="E1737">
        <f>_xlfn.XLOOKUP(A1737,Banks!A:A,Banks!I:I,0)</f>
        <v>0</v>
      </c>
      <c r="F1737">
        <f>_xlfn.XLOOKUP(A1737,Energy!A:A,Energy!I:I,0)</f>
        <v>43579.011944459176</v>
      </c>
      <c r="G1737">
        <f t="shared" si="109"/>
        <v>43579.011944459176</v>
      </c>
      <c r="H1737">
        <f t="shared" si="110"/>
        <v>38401.463470292278</v>
      </c>
      <c r="I1737" t="b">
        <f t="shared" si="111"/>
        <v>0</v>
      </c>
    </row>
    <row r="1738" spans="1:9">
      <c r="A1738" s="1">
        <v>46079.611111111109</v>
      </c>
      <c r="B1738" s="5">
        <f>_xlfn.XLOOKUP(A1738,Banks!A:A,Banks!H:H,0,-1)</f>
        <v>24.88881025625528</v>
      </c>
      <c r="C1738">
        <f>_xlfn.XLOOKUP(A1738,Energy!A:A,Energy!H:H,0,-1)</f>
        <v>5166.7964658212604</v>
      </c>
      <c r="D1738">
        <f t="shared" si="108"/>
        <v>5191.6852760775155</v>
      </c>
      <c r="E1738">
        <f>_xlfn.XLOOKUP(A1738,Banks!A:A,Banks!I:I,0)</f>
        <v>0</v>
      </c>
      <c r="F1738">
        <f>_xlfn.XLOOKUP(A1738,Energy!A:A,Energy!I:I,0)</f>
        <v>43580.824848843331</v>
      </c>
      <c r="G1738">
        <f t="shared" si="109"/>
        <v>43580.824848843331</v>
      </c>
      <c r="H1738">
        <f t="shared" si="110"/>
        <v>38389.139572765816</v>
      </c>
      <c r="I1738" t="b">
        <f t="shared" si="111"/>
        <v>0</v>
      </c>
    </row>
    <row r="1739" spans="1:9">
      <c r="A1739" s="1">
        <v>46079.611805555563</v>
      </c>
      <c r="B1739" s="5">
        <f>_xlfn.XLOOKUP(A1739,Banks!A:A,Banks!H:H,0,-1)</f>
        <v>24.88881025625528</v>
      </c>
      <c r="C1739">
        <f>_xlfn.XLOOKUP(A1739,Energy!A:A,Energy!H:H,0,-1)</f>
        <v>4949.5758500276097</v>
      </c>
      <c r="D1739">
        <f t="shared" si="108"/>
        <v>4974.4646602838648</v>
      </c>
      <c r="E1739">
        <f>_xlfn.XLOOKUP(A1739,Banks!A:A,Banks!I:I,0)</f>
        <v>0</v>
      </c>
      <c r="F1739">
        <f>_xlfn.XLOOKUP(A1739,Energy!A:A,Energy!I:I,0)</f>
        <v>43489.701293779959</v>
      </c>
      <c r="G1739">
        <f t="shared" si="109"/>
        <v>43489.701293779959</v>
      </c>
      <c r="H1739">
        <f t="shared" si="110"/>
        <v>38515.236633496097</v>
      </c>
      <c r="I1739" t="b">
        <f t="shared" si="111"/>
        <v>0</v>
      </c>
    </row>
    <row r="1740" spans="1:9">
      <c r="A1740" s="1">
        <v>46079.612500000003</v>
      </c>
      <c r="B1740" s="5">
        <f>_xlfn.XLOOKUP(A1740,Banks!A:A,Banks!H:H,0,-1)</f>
        <v>24.88881025625528</v>
      </c>
      <c r="C1740">
        <f>_xlfn.XLOOKUP(A1740,Energy!A:A,Energy!H:H,0,-1)</f>
        <v>4972.7771738590027</v>
      </c>
      <c r="D1740">
        <f t="shared" si="108"/>
        <v>4997.6659841152577</v>
      </c>
      <c r="E1740">
        <f>_xlfn.XLOOKUP(A1740,Banks!A:A,Banks!I:I,0)</f>
        <v>0</v>
      </c>
      <c r="F1740">
        <f>_xlfn.XLOOKUP(A1740,Energy!A:A,Energy!I:I,0)</f>
        <v>43494.341558546243</v>
      </c>
      <c r="G1740">
        <f t="shared" si="109"/>
        <v>43494.341558546243</v>
      </c>
      <c r="H1740">
        <f t="shared" si="110"/>
        <v>38496.675574430985</v>
      </c>
      <c r="I1740" t="b">
        <f t="shared" si="111"/>
        <v>0</v>
      </c>
    </row>
    <row r="1741" spans="1:9">
      <c r="A1741" s="1">
        <v>46079.613194444442</v>
      </c>
      <c r="B1741" s="5">
        <f>_xlfn.XLOOKUP(A1741,Banks!A:A,Banks!H:H,0,-1)</f>
        <v>24.88881025625528</v>
      </c>
      <c r="C1741">
        <f>_xlfn.XLOOKUP(A1741,Energy!A:A,Energy!H:H,0,-1)</f>
        <v>5360.2860684892712</v>
      </c>
      <c r="D1741">
        <f t="shared" si="108"/>
        <v>5385.1748787455263</v>
      </c>
      <c r="E1741">
        <f>_xlfn.XLOOKUP(A1741,Banks!A:A,Banks!I:I,0)</f>
        <v>0</v>
      </c>
      <c r="F1741">
        <f>_xlfn.XLOOKUP(A1741,Energy!A:A,Energy!I:I,0)</f>
        <v>43310.113689995749</v>
      </c>
      <c r="G1741">
        <f t="shared" si="109"/>
        <v>43310.113689995749</v>
      </c>
      <c r="H1741">
        <f t="shared" si="110"/>
        <v>37924.93881125022</v>
      </c>
      <c r="I1741" t="b">
        <f t="shared" si="111"/>
        <v>0</v>
      </c>
    </row>
    <row r="1742" spans="1:9">
      <c r="A1742" s="1">
        <v>46079.613888888889</v>
      </c>
      <c r="B1742" s="5">
        <f>_xlfn.XLOOKUP(A1742,Banks!A:A,Banks!H:H,0,-1)</f>
        <v>24.88881025625528</v>
      </c>
      <c r="C1742">
        <f>_xlfn.XLOOKUP(A1742,Energy!A:A,Energy!H:H,0,-1)</f>
        <v>5729.2508665293544</v>
      </c>
      <c r="D1742">
        <f t="shared" si="108"/>
        <v>5754.1396767856095</v>
      </c>
      <c r="E1742">
        <f>_xlfn.XLOOKUP(A1742,Banks!A:A,Banks!I:I,0)</f>
        <v>0</v>
      </c>
      <c r="F1742">
        <f>_xlfn.XLOOKUP(A1742,Energy!A:A,Energy!I:I,0)</f>
        <v>43329.126025713333</v>
      </c>
      <c r="G1742">
        <f t="shared" si="109"/>
        <v>43329.126025713333</v>
      </c>
      <c r="H1742">
        <f t="shared" si="110"/>
        <v>37574.98634892772</v>
      </c>
      <c r="I1742" t="b">
        <f t="shared" si="111"/>
        <v>0</v>
      </c>
    </row>
    <row r="1743" spans="1:9">
      <c r="A1743" s="1">
        <v>46079.614583333343</v>
      </c>
      <c r="B1743" s="5">
        <f>_xlfn.XLOOKUP(A1743,Banks!A:A,Banks!H:H,0,-1)</f>
        <v>24.88881025625528</v>
      </c>
      <c r="C1743">
        <f>_xlfn.XLOOKUP(A1743,Energy!A:A,Energy!H:H,0,-1)</f>
        <v>5838.8735644771141</v>
      </c>
      <c r="D1743">
        <f t="shared" si="108"/>
        <v>5863.7623747333691</v>
      </c>
      <c r="E1743">
        <f>_xlfn.XLOOKUP(A1743,Banks!A:A,Banks!I:I,0)</f>
        <v>0</v>
      </c>
      <c r="F1743">
        <f>_xlfn.XLOOKUP(A1743,Energy!A:A,Energy!I:I,0)</f>
        <v>43446.409429112158</v>
      </c>
      <c r="G1743">
        <f t="shared" si="109"/>
        <v>43446.409429112158</v>
      </c>
      <c r="H1743">
        <f t="shared" si="110"/>
        <v>37582.647054378787</v>
      </c>
      <c r="I1743" t="b">
        <f t="shared" si="111"/>
        <v>0</v>
      </c>
    </row>
    <row r="1744" spans="1:9">
      <c r="A1744" s="1">
        <v>46079.615277777782</v>
      </c>
      <c r="B1744" s="5">
        <f>_xlfn.XLOOKUP(A1744,Banks!A:A,Banks!H:H,0,-1)</f>
        <v>24.88881025625528</v>
      </c>
      <c r="C1744">
        <f>_xlfn.XLOOKUP(A1744,Energy!A:A,Energy!H:H,0,-1)</f>
        <v>5850.4742263928183</v>
      </c>
      <c r="D1744">
        <f t="shared" si="108"/>
        <v>5875.3630366490734</v>
      </c>
      <c r="E1744">
        <f>_xlfn.XLOOKUP(A1744,Banks!A:A,Banks!I:I,0)</f>
        <v>0</v>
      </c>
      <c r="F1744">
        <f>_xlfn.XLOOKUP(A1744,Energy!A:A,Energy!I:I,0)</f>
        <v>43448.729561495296</v>
      </c>
      <c r="G1744">
        <f t="shared" si="109"/>
        <v>43448.729561495296</v>
      </c>
      <c r="H1744">
        <f t="shared" si="110"/>
        <v>37573.36652484622</v>
      </c>
      <c r="I1744" t="b">
        <f t="shared" si="111"/>
        <v>0</v>
      </c>
    </row>
    <row r="1745" spans="1:9">
      <c r="A1745" s="1">
        <v>46079.615972222222</v>
      </c>
      <c r="B1745" s="5">
        <f>_xlfn.XLOOKUP(A1745,Banks!A:A,Banks!H:H,0,-1)</f>
        <v>24.88881025625528</v>
      </c>
      <c r="C1745">
        <f>_xlfn.XLOOKUP(A1745,Energy!A:A,Energy!H:H,0,-1)</f>
        <v>5664.8636357416399</v>
      </c>
      <c r="D1745">
        <f t="shared" si="108"/>
        <v>5689.7524459978949</v>
      </c>
      <c r="E1745">
        <f>_xlfn.XLOOKUP(A1745,Banks!A:A,Banks!I:I,0)</f>
        <v>0</v>
      </c>
      <c r="F1745">
        <f>_xlfn.XLOOKUP(A1745,Energy!A:A,Energy!I:I,0)</f>
        <v>43411.607443365057</v>
      </c>
      <c r="G1745">
        <f t="shared" si="109"/>
        <v>43411.607443365057</v>
      </c>
      <c r="H1745">
        <f t="shared" si="110"/>
        <v>37721.854997367162</v>
      </c>
      <c r="I1745" t="b">
        <f t="shared" si="111"/>
        <v>0</v>
      </c>
    </row>
    <row r="1746" spans="1:9">
      <c r="A1746" s="1">
        <v>46079.616666666669</v>
      </c>
      <c r="B1746" s="5">
        <f>_xlfn.XLOOKUP(A1746,Banks!A:A,Banks!H:H,0,-1)</f>
        <v>24.88881025625528</v>
      </c>
      <c r="C1746">
        <f>_xlfn.XLOOKUP(A1746,Energy!A:A,Energy!H:H,0,-1)</f>
        <v>5630.0616499945418</v>
      </c>
      <c r="D1746">
        <f t="shared" si="108"/>
        <v>5654.9504602507968</v>
      </c>
      <c r="E1746">
        <f>_xlfn.XLOOKUP(A1746,Banks!A:A,Banks!I:I,0)</f>
        <v>0</v>
      </c>
      <c r="F1746">
        <f>_xlfn.XLOOKUP(A1746,Energy!A:A,Energy!I:I,0)</f>
        <v>43404.64704621565</v>
      </c>
      <c r="G1746">
        <f t="shared" si="109"/>
        <v>43404.64704621565</v>
      </c>
      <c r="H1746">
        <f t="shared" si="110"/>
        <v>37749.696585964855</v>
      </c>
      <c r="I1746" t="b">
        <f t="shared" si="111"/>
        <v>0</v>
      </c>
    </row>
    <row r="1747" spans="1:9">
      <c r="A1747" s="1">
        <v>46079.617361111108</v>
      </c>
      <c r="B1747" s="5">
        <f>_xlfn.XLOOKUP(A1747,Banks!A:A,Banks!H:H,0,-1)</f>
        <v>24.88881025625528</v>
      </c>
      <c r="C1747">
        <f>_xlfn.XLOOKUP(A1747,Energy!A:A,Energy!H:H,0,-1)</f>
        <v>5813.6903423503427</v>
      </c>
      <c r="D1747">
        <f t="shared" si="108"/>
        <v>5838.5791526065977</v>
      </c>
      <c r="E1747">
        <f>_xlfn.XLOOKUP(A1747,Banks!A:A,Banks!I:I,0)</f>
        <v>0</v>
      </c>
      <c r="F1747">
        <f>_xlfn.XLOOKUP(A1747,Energy!A:A,Energy!I:I,0)</f>
        <v>0</v>
      </c>
      <c r="G1747">
        <f t="shared" si="109"/>
        <v>0</v>
      </c>
      <c r="H1747">
        <f t="shared" si="110"/>
        <v>-5838.5791526065977</v>
      </c>
      <c r="I1747" t="b">
        <f t="shared" si="111"/>
        <v>0</v>
      </c>
    </row>
    <row r="1748" spans="1:9">
      <c r="A1748" s="1">
        <v>46080.604166666657</v>
      </c>
      <c r="B1748" s="5">
        <f>_xlfn.XLOOKUP(A1748,Banks!A:A,Banks!H:H,0,-1)</f>
        <v>24.88881025625528</v>
      </c>
      <c r="C1748">
        <f>_xlfn.XLOOKUP(A1748,Energy!A:A,Energy!H:H,0,-1)</f>
        <v>5813.6903423503427</v>
      </c>
      <c r="D1748">
        <f t="shared" si="108"/>
        <v>5838.5791526065977</v>
      </c>
      <c r="E1748">
        <f>_xlfn.XLOOKUP(A1748,Banks!A:A,Banks!I:I,0)</f>
        <v>39375.558465269387</v>
      </c>
      <c r="F1748">
        <f>_xlfn.XLOOKUP(A1748,Energy!A:A,Energy!I:I,0)</f>
        <v>0</v>
      </c>
      <c r="G1748">
        <f t="shared" si="109"/>
        <v>39375.558465269387</v>
      </c>
      <c r="H1748">
        <f t="shared" si="110"/>
        <v>33536.979312662792</v>
      </c>
      <c r="I1748" t="b">
        <f t="shared" si="111"/>
        <v>0</v>
      </c>
    </row>
    <row r="1749" spans="1:9">
      <c r="A1749" s="1">
        <v>46080.604861111111</v>
      </c>
      <c r="B1749" s="5">
        <f>_xlfn.XLOOKUP(A1749,Banks!A:A,Banks!H:H,0,-1)</f>
        <v>401.47811263031252</v>
      </c>
      <c r="C1749">
        <f>_xlfn.XLOOKUP(A1749,Energy!A:A,Energy!H:H,0,-1)</f>
        <v>5813.6903423503427</v>
      </c>
      <c r="D1749">
        <f t="shared" si="108"/>
        <v>6215.168454980655</v>
      </c>
      <c r="E1749">
        <f>_xlfn.XLOOKUP(A1749,Banks!A:A,Banks!I:I,0)</f>
        <v>39194.631175745017</v>
      </c>
      <c r="F1749">
        <f>_xlfn.XLOOKUP(A1749,Energy!A:A,Energy!I:I,0)</f>
        <v>0</v>
      </c>
      <c r="G1749">
        <f t="shared" si="109"/>
        <v>39194.631175745017</v>
      </c>
      <c r="H1749">
        <f t="shared" si="110"/>
        <v>32979.462720764364</v>
      </c>
      <c r="I1749" t="b">
        <f t="shared" si="111"/>
        <v>0</v>
      </c>
    </row>
    <row r="1750" spans="1:9">
      <c r="A1750" s="1">
        <v>46080.605555555558</v>
      </c>
      <c r="B1750" s="5">
        <f>_xlfn.XLOOKUP(A1750,Banks!A:A,Banks!H:H,0,-1)</f>
        <v>301.90050096821523</v>
      </c>
      <c r="C1750">
        <f>_xlfn.XLOOKUP(A1750,Energy!A:A,Energy!H:H,0,-1)</f>
        <v>5813.6903423503427</v>
      </c>
      <c r="D1750">
        <f t="shared" si="108"/>
        <v>6115.5908433185577</v>
      </c>
      <c r="E1750">
        <f>_xlfn.XLOOKUP(A1750,Banks!A:A,Banks!I:I,0)</f>
        <v>39074.991381119107</v>
      </c>
      <c r="F1750">
        <f>_xlfn.XLOOKUP(A1750,Energy!A:A,Energy!I:I,0)</f>
        <v>0</v>
      </c>
      <c r="G1750">
        <f t="shared" si="109"/>
        <v>39074.991381119107</v>
      </c>
      <c r="H1750">
        <f t="shared" si="110"/>
        <v>32959.400537800553</v>
      </c>
      <c r="I1750" t="b">
        <f t="shared" si="111"/>
        <v>0</v>
      </c>
    </row>
    <row r="1751" spans="1:9">
      <c r="A1751" s="1">
        <v>46080.606249999997</v>
      </c>
      <c r="B1751" s="5">
        <f>_xlfn.XLOOKUP(A1751,Banks!A:A,Banks!H:H,0,-1)</f>
        <v>-188.5390048779893</v>
      </c>
      <c r="C1751">
        <f>_xlfn.XLOOKUP(A1751,Energy!A:A,Energy!H:H,0,-1)</f>
        <v>5813.6903423503427</v>
      </c>
      <c r="D1751">
        <f t="shared" si="108"/>
        <v>5625.1513374723536</v>
      </c>
      <c r="E1751">
        <f>_xlfn.XLOOKUP(A1751,Banks!A:A,Banks!I:I,0)</f>
        <v>39056.154557269198</v>
      </c>
      <c r="F1751">
        <f>_xlfn.XLOOKUP(A1751,Energy!A:A,Energy!I:I,0)</f>
        <v>0</v>
      </c>
      <c r="G1751">
        <f t="shared" si="109"/>
        <v>39056.154557269198</v>
      </c>
      <c r="H1751">
        <f t="shared" si="110"/>
        <v>33431.003219796847</v>
      </c>
      <c r="I1751" t="b">
        <f t="shared" si="111"/>
        <v>0</v>
      </c>
    </row>
    <row r="1752" spans="1:9">
      <c r="A1752" s="1">
        <v>46080.606944444437</v>
      </c>
      <c r="B1752" s="5">
        <f>_xlfn.XLOOKUP(A1752,Banks!A:A,Banks!H:H,0,-1)</f>
        <v>-67.460888498429995</v>
      </c>
      <c r="C1752">
        <f>_xlfn.XLOOKUP(A1752,Energy!A:A,Energy!H:H,0,-1)</f>
        <v>5813.6903423503427</v>
      </c>
      <c r="D1752">
        <f t="shared" si="108"/>
        <v>5746.2294538519127</v>
      </c>
      <c r="E1752">
        <f>_xlfn.XLOOKUP(A1752,Banks!A:A,Banks!I:I,0)</f>
        <v>39145.091893689241</v>
      </c>
      <c r="F1752">
        <f>_xlfn.XLOOKUP(A1752,Energy!A:A,Energy!I:I,0)</f>
        <v>0</v>
      </c>
      <c r="G1752">
        <f t="shared" si="109"/>
        <v>39145.091893689241</v>
      </c>
      <c r="H1752">
        <f t="shared" si="110"/>
        <v>33398.862439837329</v>
      </c>
      <c r="I1752" t="b">
        <f t="shared" si="111"/>
        <v>0</v>
      </c>
    </row>
    <row r="1753" spans="1:9">
      <c r="A1753" s="1">
        <v>46080.607638888891</v>
      </c>
      <c r="B1753" s="5">
        <f>_xlfn.XLOOKUP(A1753,Banks!A:A,Banks!H:H,0,-1)</f>
        <v>178.5842129112705</v>
      </c>
      <c r="C1753">
        <f>_xlfn.XLOOKUP(A1753,Energy!A:A,Energy!H:H,0,-1)</f>
        <v>5813.6903423503427</v>
      </c>
      <c r="D1753">
        <f t="shared" si="108"/>
        <v>5992.2745552616134</v>
      </c>
      <c r="E1753">
        <f>_xlfn.XLOOKUP(A1753,Banks!A:A,Banks!I:I,0)</f>
        <v>38899.751076601002</v>
      </c>
      <c r="F1753">
        <f>_xlfn.XLOOKUP(A1753,Energy!A:A,Energy!I:I,0)</f>
        <v>0</v>
      </c>
      <c r="G1753">
        <f t="shared" si="109"/>
        <v>38899.751076601002</v>
      </c>
      <c r="H1753">
        <f t="shared" si="110"/>
        <v>32907.476521339391</v>
      </c>
      <c r="I1753" t="b">
        <f t="shared" si="111"/>
        <v>0</v>
      </c>
    </row>
    <row r="1754" spans="1:9">
      <c r="A1754" s="1">
        <v>46080.60833333333</v>
      </c>
      <c r="B1754" s="5">
        <f>_xlfn.XLOOKUP(A1754,Banks!A:A,Banks!H:H,0,-1)</f>
        <v>137.7111165648794</v>
      </c>
      <c r="C1754">
        <f>_xlfn.XLOOKUP(A1754,Energy!A:A,Energy!H:H,0,-1)</f>
        <v>5813.6903423503427</v>
      </c>
      <c r="D1754">
        <f t="shared" si="108"/>
        <v>5951.4014589152221</v>
      </c>
      <c r="E1754">
        <f>_xlfn.XLOOKUP(A1754,Banks!A:A,Banks!I:I,0)</f>
        <v>38787.229205527932</v>
      </c>
      <c r="F1754">
        <f>_xlfn.XLOOKUP(A1754,Energy!A:A,Energy!I:I,0)</f>
        <v>0</v>
      </c>
      <c r="G1754">
        <f t="shared" si="109"/>
        <v>38787.229205527932</v>
      </c>
      <c r="H1754">
        <f t="shared" si="110"/>
        <v>32835.827746612711</v>
      </c>
      <c r="I1754" t="b">
        <f t="shared" si="111"/>
        <v>0</v>
      </c>
    </row>
    <row r="1755" spans="1:9">
      <c r="A1755" s="1">
        <v>46080.609027777777</v>
      </c>
      <c r="B1755" s="5">
        <f>_xlfn.XLOOKUP(A1755,Banks!A:A,Banks!H:H,0,-1)</f>
        <v>360.53142897187939</v>
      </c>
      <c r="C1755">
        <f>_xlfn.XLOOKUP(A1755,Energy!A:A,Energy!H:H,0,-1)</f>
        <v>5813.6903423503427</v>
      </c>
      <c r="D1755">
        <f t="shared" si="108"/>
        <v>6174.2217713222217</v>
      </c>
      <c r="E1755">
        <f>_xlfn.XLOOKUP(A1755,Banks!A:A,Banks!I:I,0)</f>
        <v>38795.469857571312</v>
      </c>
      <c r="F1755">
        <f>_xlfn.XLOOKUP(A1755,Energy!A:A,Energy!I:I,0)</f>
        <v>0</v>
      </c>
      <c r="G1755">
        <f t="shared" si="109"/>
        <v>38795.469857571312</v>
      </c>
      <c r="H1755">
        <f t="shared" si="110"/>
        <v>32621.248086249092</v>
      </c>
      <c r="I1755" t="b">
        <f t="shared" si="111"/>
        <v>0</v>
      </c>
    </row>
    <row r="1756" spans="1:9">
      <c r="A1756" s="1">
        <v>46080.609722222223</v>
      </c>
      <c r="B1756" s="5">
        <f>_xlfn.XLOOKUP(A1756,Banks!A:A,Banks!H:H,0,-1)</f>
        <v>69.320366624298003</v>
      </c>
      <c r="C1756">
        <f>_xlfn.XLOOKUP(A1756,Energy!A:A,Energy!H:H,0,-1)</f>
        <v>5813.6903423503427</v>
      </c>
      <c r="D1756">
        <f t="shared" si="108"/>
        <v>5883.0107089746407</v>
      </c>
      <c r="E1756">
        <f>_xlfn.XLOOKUP(A1756,Banks!A:A,Banks!I:I,0)</f>
        <v>38793.363824869652</v>
      </c>
      <c r="F1756">
        <f>_xlfn.XLOOKUP(A1756,Energy!A:A,Energy!I:I,0)</f>
        <v>0</v>
      </c>
      <c r="G1756">
        <f t="shared" si="109"/>
        <v>38793.363824869652</v>
      </c>
      <c r="H1756">
        <f t="shared" si="110"/>
        <v>32910.353115895014</v>
      </c>
      <c r="I1756" t="b">
        <f t="shared" si="111"/>
        <v>0</v>
      </c>
    </row>
    <row r="1757" spans="1:9">
      <c r="A1757" s="1">
        <v>46080.61041666667</v>
      </c>
      <c r="B1757" s="5">
        <f>_xlfn.XLOOKUP(A1757,Banks!A:A,Banks!H:H,0,-1)</f>
        <v>168.8611846303929</v>
      </c>
      <c r="C1757">
        <f>_xlfn.XLOOKUP(A1757,Energy!A:A,Energy!H:H,0,-1)</f>
        <v>5813.6903423503427</v>
      </c>
      <c r="D1757">
        <f t="shared" si="108"/>
        <v>5982.5515269807356</v>
      </c>
      <c r="E1757">
        <f>_xlfn.XLOOKUP(A1757,Banks!A:A,Banks!I:I,0)</f>
        <v>38769.683895945243</v>
      </c>
      <c r="F1757">
        <f>_xlfn.XLOOKUP(A1757,Energy!A:A,Energy!I:I,0)</f>
        <v>0</v>
      </c>
      <c r="G1757">
        <f t="shared" si="109"/>
        <v>38769.683895945243</v>
      </c>
      <c r="H1757">
        <f t="shared" si="110"/>
        <v>32787.132368964507</v>
      </c>
      <c r="I1757" t="b">
        <f t="shared" si="111"/>
        <v>0</v>
      </c>
    </row>
    <row r="1758" spans="1:9">
      <c r="A1758" s="1">
        <v>46080.611111111109</v>
      </c>
      <c r="B1758" s="5">
        <f>_xlfn.XLOOKUP(A1758,Banks!A:A,Banks!H:H,0,-1)</f>
        <v>59.450530856995329</v>
      </c>
      <c r="C1758">
        <f>_xlfn.XLOOKUP(A1758,Energy!A:A,Energy!H:H,0,-1)</f>
        <v>5813.6903423503427</v>
      </c>
      <c r="D1758">
        <f t="shared" si="108"/>
        <v>5873.1408732073378</v>
      </c>
      <c r="E1758">
        <f>_xlfn.XLOOKUP(A1758,Banks!A:A,Banks!I:I,0)</f>
        <v>38599.205995216813</v>
      </c>
      <c r="F1758">
        <f>_xlfn.XLOOKUP(A1758,Energy!A:A,Energy!I:I,0)</f>
        <v>0</v>
      </c>
      <c r="G1758">
        <f t="shared" si="109"/>
        <v>38599.205995216813</v>
      </c>
      <c r="H1758">
        <f t="shared" si="110"/>
        <v>32726.065122009473</v>
      </c>
      <c r="I1758" t="b">
        <f t="shared" si="111"/>
        <v>0</v>
      </c>
    </row>
    <row r="1759" spans="1:9">
      <c r="A1759" s="1">
        <v>46080.611805555563</v>
      </c>
      <c r="B1759" s="5">
        <f>_xlfn.XLOOKUP(A1759,Banks!A:A,Banks!H:H,0,-1)</f>
        <v>-14.333711496150039</v>
      </c>
      <c r="C1759">
        <f>_xlfn.XLOOKUP(A1759,Energy!A:A,Energy!H:H,0,-1)</f>
        <v>5813.6903423503427</v>
      </c>
      <c r="D1759">
        <f t="shared" si="108"/>
        <v>5799.3566308541931</v>
      </c>
      <c r="E1759">
        <f>_xlfn.XLOOKUP(A1759,Banks!A:A,Banks!I:I,0)</f>
        <v>38583.788721101853</v>
      </c>
      <c r="F1759">
        <f>_xlfn.XLOOKUP(A1759,Energy!A:A,Energy!I:I,0)</f>
        <v>0</v>
      </c>
      <c r="G1759">
        <f t="shared" si="109"/>
        <v>38583.788721101853</v>
      </c>
      <c r="H1759">
        <f t="shared" si="110"/>
        <v>32784.432090247661</v>
      </c>
      <c r="I1759" t="b">
        <f t="shared" si="111"/>
        <v>0</v>
      </c>
    </row>
    <row r="1760" spans="1:9">
      <c r="A1760" s="1">
        <v>46080.612500000003</v>
      </c>
      <c r="B1760" s="5">
        <f>_xlfn.XLOOKUP(A1760,Banks!A:A,Banks!H:H,0,-1)</f>
        <v>-121.7996861858658</v>
      </c>
      <c r="C1760">
        <f>_xlfn.XLOOKUP(A1760,Energy!A:A,Energy!H:H,0,-1)</f>
        <v>5813.6903423503427</v>
      </c>
      <c r="D1760">
        <f t="shared" si="108"/>
        <v>5691.8906561644772</v>
      </c>
      <c r="E1760">
        <f>_xlfn.XLOOKUP(A1760,Banks!A:A,Banks!I:I,0)</f>
        <v>38541.161905545407</v>
      </c>
      <c r="F1760">
        <f>_xlfn.XLOOKUP(A1760,Energy!A:A,Energy!I:I,0)</f>
        <v>0</v>
      </c>
      <c r="G1760">
        <f t="shared" si="109"/>
        <v>38541.161905545407</v>
      </c>
      <c r="H1760">
        <f t="shared" si="110"/>
        <v>32849.27124938093</v>
      </c>
      <c r="I1760" t="b">
        <f t="shared" si="111"/>
        <v>0</v>
      </c>
    </row>
    <row r="1761" spans="1:9">
      <c r="A1761" s="1">
        <v>46080.613194444442</v>
      </c>
      <c r="B1761" s="5">
        <f>_xlfn.XLOOKUP(A1761,Banks!A:A,Banks!H:H,0,-1)</f>
        <v>-41.59466615268434</v>
      </c>
      <c r="C1761">
        <f>_xlfn.XLOOKUP(A1761,Energy!A:A,Energy!H:H,0,-1)</f>
        <v>5813.6903423503427</v>
      </c>
      <c r="D1761">
        <f t="shared" si="108"/>
        <v>5772.0956761976586</v>
      </c>
      <c r="E1761">
        <f>_xlfn.XLOOKUP(A1761,Banks!A:A,Banks!I:I,0)</f>
        <v>38517.577370892388</v>
      </c>
      <c r="F1761">
        <f>_xlfn.XLOOKUP(A1761,Energy!A:A,Energy!I:I,0)</f>
        <v>0</v>
      </c>
      <c r="G1761">
        <f t="shared" si="109"/>
        <v>38517.577370892388</v>
      </c>
      <c r="H1761">
        <f t="shared" si="110"/>
        <v>32745.481694694729</v>
      </c>
      <c r="I1761" t="b">
        <f t="shared" si="111"/>
        <v>0</v>
      </c>
    </row>
    <row r="1762" spans="1:9">
      <c r="A1762" s="1">
        <v>46080.613888888889</v>
      </c>
      <c r="B1762" s="5">
        <f>_xlfn.XLOOKUP(A1762,Banks!A:A,Banks!H:H,0,-1)</f>
        <v>-173.3863024245727</v>
      </c>
      <c r="C1762">
        <f>_xlfn.XLOOKUP(A1762,Energy!A:A,Energy!H:H,0,-1)</f>
        <v>5813.6903423503427</v>
      </c>
      <c r="D1762">
        <f t="shared" si="108"/>
        <v>5640.3040399257698</v>
      </c>
      <c r="E1762">
        <f>_xlfn.XLOOKUP(A1762,Banks!A:A,Banks!I:I,0)</f>
        <v>38502.446279591582</v>
      </c>
      <c r="F1762">
        <f>_xlfn.XLOOKUP(A1762,Energy!A:A,Energy!I:I,0)</f>
        <v>0</v>
      </c>
      <c r="G1762">
        <f t="shared" si="109"/>
        <v>38502.446279591582</v>
      </c>
      <c r="H1762">
        <f t="shared" si="110"/>
        <v>32862.142239665816</v>
      </c>
      <c r="I1762" t="b">
        <f t="shared" si="111"/>
        <v>0</v>
      </c>
    </row>
    <row r="1763" spans="1:9">
      <c r="A1763" s="1">
        <v>46080.614583333343</v>
      </c>
      <c r="B1763" s="5">
        <f>_xlfn.XLOOKUP(A1763,Banks!A:A,Banks!H:H,0,-1)</f>
        <v>-211.874419607145</v>
      </c>
      <c r="C1763">
        <f>_xlfn.XLOOKUP(A1763,Energy!A:A,Energy!H:H,0,-1)</f>
        <v>5813.6903423503427</v>
      </c>
      <c r="D1763">
        <f t="shared" si="108"/>
        <v>5601.8159227431979</v>
      </c>
      <c r="E1763">
        <f>_xlfn.XLOOKUP(A1763,Banks!A:A,Banks!I:I,0)</f>
        <v>38540.318025613691</v>
      </c>
      <c r="F1763">
        <f>_xlfn.XLOOKUP(A1763,Energy!A:A,Energy!I:I,0)</f>
        <v>0</v>
      </c>
      <c r="G1763">
        <f t="shared" si="109"/>
        <v>38540.318025613691</v>
      </c>
      <c r="H1763">
        <f t="shared" si="110"/>
        <v>32938.502102870494</v>
      </c>
      <c r="I1763" t="b">
        <f t="shared" si="111"/>
        <v>0</v>
      </c>
    </row>
    <row r="1764" spans="1:9">
      <c r="A1764" s="1">
        <v>46080.615277777782</v>
      </c>
      <c r="B1764" s="5">
        <f>_xlfn.XLOOKUP(A1764,Banks!A:A,Banks!H:H,0,-1)</f>
        <v>-308.03976683799152</v>
      </c>
      <c r="C1764">
        <f>_xlfn.XLOOKUP(A1764,Energy!A:A,Energy!H:H,0,-1)</f>
        <v>5813.6903423503427</v>
      </c>
      <c r="D1764">
        <f t="shared" si="108"/>
        <v>5505.6505755123508</v>
      </c>
      <c r="E1764">
        <f>_xlfn.XLOOKUP(A1764,Banks!A:A,Banks!I:I,0)</f>
        <v>38510.518145858267</v>
      </c>
      <c r="F1764">
        <f>_xlfn.XLOOKUP(A1764,Energy!A:A,Energy!I:I,0)</f>
        <v>0</v>
      </c>
      <c r="G1764">
        <f t="shared" si="109"/>
        <v>38510.518145858267</v>
      </c>
      <c r="H1764">
        <f t="shared" si="110"/>
        <v>33004.867570345916</v>
      </c>
      <c r="I1764" t="b">
        <f t="shared" si="111"/>
        <v>0</v>
      </c>
    </row>
    <row r="1765" spans="1:9">
      <c r="A1765" s="1">
        <v>46080.615972222222</v>
      </c>
      <c r="B1765" s="5">
        <f>_xlfn.XLOOKUP(A1765,Banks!A:A,Banks!H:H,0,-1)</f>
        <v>-402.37057119475247</v>
      </c>
      <c r="C1765">
        <f>_xlfn.XLOOKUP(A1765,Energy!A:A,Energy!H:H,0,-1)</f>
        <v>5813.6903423503427</v>
      </c>
      <c r="D1765">
        <f t="shared" si="108"/>
        <v>5411.3197711555904</v>
      </c>
      <c r="E1765">
        <f>_xlfn.XLOOKUP(A1765,Banks!A:A,Banks!I:I,0)</f>
        <v>38518.069010760031</v>
      </c>
      <c r="F1765">
        <f>_xlfn.XLOOKUP(A1765,Energy!A:A,Energy!I:I,0)</f>
        <v>0</v>
      </c>
      <c r="G1765">
        <f t="shared" si="109"/>
        <v>38518.069010760031</v>
      </c>
      <c r="H1765">
        <f t="shared" si="110"/>
        <v>33106.74923960444</v>
      </c>
      <c r="I1765" t="b">
        <f t="shared" si="111"/>
        <v>0</v>
      </c>
    </row>
    <row r="1766" spans="1:9">
      <c r="A1766" s="1">
        <v>46080.616666666669</v>
      </c>
      <c r="B1766" s="5">
        <f>_xlfn.XLOOKUP(A1766,Banks!A:A,Banks!H:H,0,-1)</f>
        <v>-367.11123968019518</v>
      </c>
      <c r="C1766">
        <f>_xlfn.XLOOKUP(A1766,Energy!A:A,Energy!H:H,0,-1)</f>
        <v>5813.6903423503427</v>
      </c>
      <c r="D1766">
        <f t="shared" si="108"/>
        <v>5446.5791026701472</v>
      </c>
      <c r="E1766">
        <f>_xlfn.XLOOKUP(A1766,Banks!A:A,Banks!I:I,0)</f>
        <v>38428.03830734676</v>
      </c>
      <c r="F1766">
        <f>_xlfn.XLOOKUP(A1766,Energy!A:A,Energy!I:I,0)</f>
        <v>0</v>
      </c>
      <c r="G1766">
        <f t="shared" si="109"/>
        <v>38428.03830734676</v>
      </c>
      <c r="H1766">
        <f t="shared" si="110"/>
        <v>32981.459204676612</v>
      </c>
      <c r="I1766" t="b">
        <f t="shared" si="111"/>
        <v>0</v>
      </c>
    </row>
    <row r="1767" spans="1:9">
      <c r="A1767" s="1">
        <v>46080.617361111108</v>
      </c>
      <c r="B1767" s="5">
        <f>_xlfn.XLOOKUP(A1767,Banks!A:A,Banks!H:H,0,-1)</f>
        <v>-375.2932176806778</v>
      </c>
      <c r="C1767">
        <f>_xlfn.XLOOKUP(A1767,Energy!A:A,Energy!H:H,0,-1)</f>
        <v>5813.6903423503427</v>
      </c>
      <c r="D1767">
        <f t="shared" si="108"/>
        <v>5438.3971246696647</v>
      </c>
      <c r="E1767">
        <f>_xlfn.XLOOKUP(A1767,Banks!A:A,Banks!I:I,0)</f>
        <v>38376.869988422077</v>
      </c>
      <c r="F1767">
        <f>_xlfn.XLOOKUP(A1767,Energy!A:A,Energy!I:I,0)</f>
        <v>0</v>
      </c>
      <c r="G1767">
        <f t="shared" si="109"/>
        <v>38376.869988422077</v>
      </c>
      <c r="H1767">
        <f t="shared" si="110"/>
        <v>32938.472863752409</v>
      </c>
      <c r="I1767" t="b">
        <f t="shared" si="111"/>
        <v>0</v>
      </c>
    </row>
    <row r="1768" spans="1:9">
      <c r="A1768" s="1">
        <v>46080.618055555547</v>
      </c>
      <c r="B1768" s="5">
        <f>_xlfn.XLOOKUP(A1768,Banks!A:A,Banks!H:H,0,-1)</f>
        <v>-284.6681703488523</v>
      </c>
      <c r="C1768">
        <f>_xlfn.XLOOKUP(A1768,Energy!A:A,Energy!H:H,0,-1)</f>
        <v>5813.6903423503427</v>
      </c>
      <c r="D1768">
        <f t="shared" si="108"/>
        <v>5529.0221720014906</v>
      </c>
      <c r="E1768">
        <f>_xlfn.XLOOKUP(A1768,Banks!A:A,Banks!I:I,0)</f>
        <v>38321.027325723728</v>
      </c>
      <c r="F1768">
        <f>_xlfn.XLOOKUP(A1768,Energy!A:A,Energy!I:I,0)</f>
        <v>0</v>
      </c>
      <c r="G1768">
        <f t="shared" si="109"/>
        <v>38321.027325723728</v>
      </c>
      <c r="H1768">
        <f t="shared" si="110"/>
        <v>32792.005153722239</v>
      </c>
      <c r="I1768" t="b">
        <f t="shared" si="111"/>
        <v>0</v>
      </c>
    </row>
    <row r="1769" spans="1:9">
      <c r="A1769" s="1">
        <v>46080.618750000001</v>
      </c>
      <c r="B1769" s="5">
        <f>_xlfn.XLOOKUP(A1769,Banks!A:A,Banks!H:H,0,-1)</f>
        <v>-426.47620511608937</v>
      </c>
      <c r="C1769">
        <f>_xlfn.XLOOKUP(A1769,Energy!A:A,Energy!H:H,0,-1)</f>
        <v>5813.6903423503427</v>
      </c>
      <c r="D1769">
        <f t="shared" si="108"/>
        <v>5387.214137234253</v>
      </c>
      <c r="E1769">
        <f>_xlfn.XLOOKUP(A1769,Banks!A:A,Banks!I:I,0)</f>
        <v>38387.106585909161</v>
      </c>
      <c r="F1769">
        <f>_xlfn.XLOOKUP(A1769,Energy!A:A,Energy!I:I,0)</f>
        <v>0</v>
      </c>
      <c r="G1769">
        <f t="shared" si="109"/>
        <v>38387.106585909161</v>
      </c>
      <c r="H1769">
        <f t="shared" si="110"/>
        <v>32999.892448674909</v>
      </c>
      <c r="I1769" t="b">
        <f t="shared" si="111"/>
        <v>0</v>
      </c>
    </row>
    <row r="1770" spans="1:9">
      <c r="A1770" s="1">
        <v>46080.619444444441</v>
      </c>
      <c r="B1770" s="5">
        <f>_xlfn.XLOOKUP(A1770,Banks!A:A,Banks!H:H,0,-1)</f>
        <v>-454.98459508012297</v>
      </c>
      <c r="C1770">
        <f>_xlfn.XLOOKUP(A1770,Energy!A:A,Energy!H:H,0,-1)</f>
        <v>5813.6903423503427</v>
      </c>
      <c r="D1770">
        <f t="shared" si="108"/>
        <v>5358.7057472702199</v>
      </c>
      <c r="E1770">
        <f>_xlfn.XLOOKUP(A1770,Banks!A:A,Banks!I:I,0)</f>
        <v>38370.177671962781</v>
      </c>
      <c r="F1770">
        <f>_xlfn.XLOOKUP(A1770,Energy!A:A,Energy!I:I,0)</f>
        <v>0</v>
      </c>
      <c r="G1770">
        <f t="shared" si="109"/>
        <v>38370.177671962781</v>
      </c>
      <c r="H1770">
        <f t="shared" si="110"/>
        <v>33011.47192469256</v>
      </c>
      <c r="I1770" t="b">
        <f t="shared" si="111"/>
        <v>0</v>
      </c>
    </row>
    <row r="1771" spans="1:9">
      <c r="A1771" s="1">
        <v>46080.620138888888</v>
      </c>
      <c r="B1771" s="5">
        <f>_xlfn.XLOOKUP(A1771,Banks!A:A,Banks!H:H,0,-1)</f>
        <v>-513.10200282927531</v>
      </c>
      <c r="C1771">
        <f>_xlfn.XLOOKUP(A1771,Energy!A:A,Energy!H:H,0,-1)</f>
        <v>5813.6903423503427</v>
      </c>
      <c r="D1771">
        <f t="shared" si="108"/>
        <v>5300.5883395210676</v>
      </c>
      <c r="E1771">
        <f>_xlfn.XLOOKUP(A1771,Banks!A:A,Banks!I:I,0)</f>
        <v>38449.69292933018</v>
      </c>
      <c r="F1771">
        <f>_xlfn.XLOOKUP(A1771,Energy!A:A,Energy!I:I,0)</f>
        <v>0</v>
      </c>
      <c r="G1771">
        <f t="shared" si="109"/>
        <v>38449.69292933018</v>
      </c>
      <c r="H1771">
        <f t="shared" si="110"/>
        <v>33149.104589809111</v>
      </c>
      <c r="I1771" t="b">
        <f t="shared" si="111"/>
        <v>0</v>
      </c>
    </row>
    <row r="1772" spans="1:9">
      <c r="A1772" s="1">
        <v>46080.620833333327</v>
      </c>
      <c r="B1772" s="5">
        <f>_xlfn.XLOOKUP(A1772,Banks!A:A,Banks!H:H,0,-1)</f>
        <v>-655.46047388625107</v>
      </c>
      <c r="C1772">
        <f>_xlfn.XLOOKUP(A1772,Energy!A:A,Energy!H:H,0,-1)</f>
        <v>5813.6903423503427</v>
      </c>
      <c r="D1772">
        <f t="shared" si="108"/>
        <v>5158.2298684640919</v>
      </c>
      <c r="E1772">
        <f>_xlfn.XLOOKUP(A1772,Banks!A:A,Banks!I:I,0)</f>
        <v>38402.72931707761</v>
      </c>
      <c r="F1772">
        <f>_xlfn.XLOOKUP(A1772,Energy!A:A,Energy!I:I,0)</f>
        <v>0</v>
      </c>
      <c r="G1772">
        <f t="shared" si="109"/>
        <v>38402.72931707761</v>
      </c>
      <c r="H1772">
        <f t="shared" si="110"/>
        <v>33244.499448613518</v>
      </c>
      <c r="I1772" t="b">
        <f t="shared" si="111"/>
        <v>0</v>
      </c>
    </row>
    <row r="1773" spans="1:9">
      <c r="A1773" s="1">
        <v>46080.621527777781</v>
      </c>
      <c r="B1773" s="5">
        <f>_xlfn.XLOOKUP(A1773,Banks!A:A,Banks!H:H,0,-1)</f>
        <v>-587.62003785620254</v>
      </c>
      <c r="C1773">
        <f>_xlfn.XLOOKUP(A1773,Energy!A:A,Energy!H:H,0,-1)</f>
        <v>5813.6903423503427</v>
      </c>
      <c r="D1773">
        <f t="shared" si="108"/>
        <v>5226.0703044941401</v>
      </c>
      <c r="E1773">
        <f>_xlfn.XLOOKUP(A1773,Banks!A:A,Banks!I:I,0)</f>
        <v>38453.28124036597</v>
      </c>
      <c r="F1773">
        <f>_xlfn.XLOOKUP(A1773,Energy!A:A,Energy!I:I,0)</f>
        <v>0</v>
      </c>
      <c r="G1773">
        <f t="shared" si="109"/>
        <v>38453.28124036597</v>
      </c>
      <c r="H1773">
        <f t="shared" si="110"/>
        <v>33227.21093587183</v>
      </c>
      <c r="I1773" t="b">
        <f t="shared" si="111"/>
        <v>0</v>
      </c>
    </row>
    <row r="1774" spans="1:9">
      <c r="A1774" s="1">
        <v>46080.62222222222</v>
      </c>
      <c r="B1774" s="5">
        <f>_xlfn.XLOOKUP(A1774,Banks!A:A,Banks!H:H,0,-1)</f>
        <v>-598.5170365117724</v>
      </c>
      <c r="C1774">
        <f>_xlfn.XLOOKUP(A1774,Energy!A:A,Energy!H:H,0,-1)</f>
        <v>5813.6903423503427</v>
      </c>
      <c r="D1774">
        <f t="shared" si="108"/>
        <v>5215.1733058385707</v>
      </c>
      <c r="E1774">
        <f>_xlfn.XLOOKUP(A1774,Banks!A:A,Banks!I:I,0)</f>
        <v>38489.406528005857</v>
      </c>
      <c r="F1774">
        <f>_xlfn.XLOOKUP(A1774,Energy!A:A,Energy!I:I,0)</f>
        <v>0</v>
      </c>
      <c r="G1774">
        <f t="shared" si="109"/>
        <v>38489.406528005857</v>
      </c>
      <c r="H1774">
        <f t="shared" si="110"/>
        <v>33274.233222167284</v>
      </c>
      <c r="I1774" t="b">
        <f t="shared" si="111"/>
        <v>0</v>
      </c>
    </row>
    <row r="1775" spans="1:9">
      <c r="A1775" s="1">
        <v>46080.622916666667</v>
      </c>
      <c r="B1775" s="5">
        <f>_xlfn.XLOOKUP(A1775,Banks!A:A,Banks!H:H,0,-1)</f>
        <v>-673.69552165887399</v>
      </c>
      <c r="C1775">
        <f>_xlfn.XLOOKUP(A1775,Energy!A:A,Energy!H:H,0,-1)</f>
        <v>5813.6903423503427</v>
      </c>
      <c r="D1775">
        <f t="shared" si="108"/>
        <v>5139.9948206914687</v>
      </c>
      <c r="E1775">
        <f>_xlfn.XLOOKUP(A1775,Banks!A:A,Banks!I:I,0)</f>
        <v>38459.181041156909</v>
      </c>
      <c r="F1775">
        <f>_xlfn.XLOOKUP(A1775,Energy!A:A,Energy!I:I,0)</f>
        <v>0</v>
      </c>
      <c r="G1775">
        <f t="shared" si="109"/>
        <v>38459.181041156909</v>
      </c>
      <c r="H1775">
        <f t="shared" si="110"/>
        <v>33319.186220465439</v>
      </c>
      <c r="I1775" t="b">
        <f t="shared" si="111"/>
        <v>0</v>
      </c>
    </row>
    <row r="1776" spans="1:9">
      <c r="A1776" s="1">
        <v>46080.623611111107</v>
      </c>
      <c r="B1776" s="5">
        <f>_xlfn.XLOOKUP(A1776,Banks!A:A,Banks!H:H,0,-1)</f>
        <v>-562.12028352013317</v>
      </c>
      <c r="C1776">
        <f>_xlfn.XLOOKUP(A1776,Energy!A:A,Energy!H:H,0,-1)</f>
        <v>5813.6903423503427</v>
      </c>
      <c r="D1776">
        <f t="shared" si="108"/>
        <v>5251.5700588302097</v>
      </c>
      <c r="E1776">
        <f>_xlfn.XLOOKUP(A1776,Banks!A:A,Banks!I:I,0)</f>
        <v>38429.322462882767</v>
      </c>
      <c r="F1776">
        <f>_xlfn.XLOOKUP(A1776,Energy!A:A,Energy!I:I,0)</f>
        <v>0</v>
      </c>
      <c r="G1776">
        <f t="shared" si="109"/>
        <v>38429.322462882767</v>
      </c>
      <c r="H1776">
        <f t="shared" si="110"/>
        <v>33177.75240405256</v>
      </c>
      <c r="I1776" t="b">
        <f t="shared" si="111"/>
        <v>0</v>
      </c>
    </row>
    <row r="1777" spans="1:9">
      <c r="A1777" s="1">
        <v>46080.624305555553</v>
      </c>
      <c r="B1777" s="5">
        <f>_xlfn.XLOOKUP(A1777,Banks!A:A,Banks!H:H,0,-1)</f>
        <v>-606.91916455231899</v>
      </c>
      <c r="C1777">
        <f>_xlfn.XLOOKUP(A1777,Energy!A:A,Energy!H:H,0,-1)</f>
        <v>5813.6903423503427</v>
      </c>
      <c r="D1777">
        <f t="shared" si="108"/>
        <v>5206.7711777980239</v>
      </c>
      <c r="E1777">
        <f>_xlfn.XLOOKUP(A1777,Banks!A:A,Banks!I:I,0)</f>
        <v>38426.966943119609</v>
      </c>
      <c r="F1777">
        <f>_xlfn.XLOOKUP(A1777,Energy!A:A,Energy!I:I,0)</f>
        <v>0</v>
      </c>
      <c r="G1777">
        <f t="shared" si="109"/>
        <v>38426.966943119609</v>
      </c>
      <c r="H1777">
        <f t="shared" si="110"/>
        <v>33220.195765321587</v>
      </c>
      <c r="I1777" t="b">
        <f t="shared" si="111"/>
        <v>0</v>
      </c>
    </row>
    <row r="1778" spans="1:9">
      <c r="A1778" s="1">
        <v>46080.625</v>
      </c>
      <c r="B1778" s="5">
        <f>_xlfn.XLOOKUP(A1778,Banks!A:A,Banks!H:H,0,-1)</f>
        <v>-654.98350252933074</v>
      </c>
      <c r="C1778">
        <f>_xlfn.XLOOKUP(A1778,Energy!A:A,Energy!H:H,0,-1)</f>
        <v>5813.6903423503427</v>
      </c>
      <c r="D1778">
        <f t="shared" si="108"/>
        <v>5158.7068398210122</v>
      </c>
      <c r="E1778">
        <f>_xlfn.XLOOKUP(A1778,Banks!A:A,Banks!I:I,0)</f>
        <v>38398.862157483018</v>
      </c>
      <c r="F1778">
        <f>_xlfn.XLOOKUP(A1778,Energy!A:A,Energy!I:I,0)</f>
        <v>0</v>
      </c>
      <c r="G1778">
        <f t="shared" si="109"/>
        <v>38398.862157483018</v>
      </c>
      <c r="H1778">
        <f t="shared" si="110"/>
        <v>33240.155317662007</v>
      </c>
      <c r="I1778" t="b">
        <f t="shared" si="111"/>
        <v>0</v>
      </c>
    </row>
    <row r="1779" spans="1:9">
      <c r="A1779" s="1">
        <v>46080.625694444447</v>
      </c>
      <c r="B1779" s="5">
        <f>_xlfn.XLOOKUP(A1779,Banks!A:A,Banks!H:H,0,-1)</f>
        <v>-595.65520837024633</v>
      </c>
      <c r="C1779">
        <f>_xlfn.XLOOKUP(A1779,Energy!A:A,Energy!H:H,0,-1)</f>
        <v>5813.6903423503427</v>
      </c>
      <c r="D1779">
        <f t="shared" si="108"/>
        <v>5218.0351339800964</v>
      </c>
      <c r="E1779">
        <f>_xlfn.XLOOKUP(A1779,Banks!A:A,Banks!I:I,0)</f>
        <v>38466.203570438367</v>
      </c>
      <c r="F1779">
        <f>_xlfn.XLOOKUP(A1779,Energy!A:A,Energy!I:I,0)</f>
        <v>0</v>
      </c>
      <c r="G1779">
        <f t="shared" si="109"/>
        <v>38466.203570438367</v>
      </c>
      <c r="H1779">
        <f t="shared" si="110"/>
        <v>33248.168436458269</v>
      </c>
      <c r="I1779" t="b">
        <f t="shared" si="111"/>
        <v>0</v>
      </c>
    </row>
    <row r="1780" spans="1:9">
      <c r="A1780" s="1">
        <v>46080.626388888893</v>
      </c>
      <c r="B1780" s="5">
        <f>_xlfn.XLOOKUP(A1780,Banks!A:A,Banks!H:H,0,-1)</f>
        <v>-487.45544100674903</v>
      </c>
      <c r="C1780">
        <f>_xlfn.XLOOKUP(A1780,Energy!A:A,Energy!H:H,0,-1)</f>
        <v>5813.6903423503427</v>
      </c>
      <c r="D1780">
        <f t="shared" si="108"/>
        <v>5326.2349013435933</v>
      </c>
      <c r="E1780">
        <f>_xlfn.XLOOKUP(A1780,Banks!A:A,Banks!I:I,0)</f>
        <v>38489.824800844057</v>
      </c>
      <c r="F1780">
        <f>_xlfn.XLOOKUP(A1780,Energy!A:A,Energy!I:I,0)</f>
        <v>0</v>
      </c>
      <c r="G1780">
        <f t="shared" si="109"/>
        <v>38489.824800844057</v>
      </c>
      <c r="H1780">
        <f t="shared" si="110"/>
        <v>33163.589899500461</v>
      </c>
      <c r="I1780" t="b">
        <f t="shared" si="111"/>
        <v>0</v>
      </c>
    </row>
    <row r="1781" spans="1:9">
      <c r="A1781" s="1">
        <v>46080.627083333333</v>
      </c>
      <c r="B1781" s="5">
        <f>_xlfn.XLOOKUP(A1781,Banks!A:A,Banks!H:H,0,-1)</f>
        <v>-503.78260335171149</v>
      </c>
      <c r="C1781">
        <f>_xlfn.XLOOKUP(A1781,Energy!A:A,Energy!H:H,0,-1)</f>
        <v>5813.6903423503427</v>
      </c>
      <c r="D1781">
        <f t="shared" si="108"/>
        <v>5309.9077389986314</v>
      </c>
      <c r="E1781">
        <f>_xlfn.XLOOKUP(A1781,Banks!A:A,Banks!I:I,0)</f>
        <v>38530.80788654503</v>
      </c>
      <c r="F1781">
        <f>_xlfn.XLOOKUP(A1781,Energy!A:A,Energy!I:I,0)</f>
        <v>0</v>
      </c>
      <c r="G1781">
        <f t="shared" si="109"/>
        <v>38530.80788654503</v>
      </c>
      <c r="H1781">
        <f t="shared" si="110"/>
        <v>33220.900147546396</v>
      </c>
      <c r="I1781" t="b">
        <f t="shared" si="111"/>
        <v>0</v>
      </c>
    </row>
    <row r="1782" spans="1:9">
      <c r="A1782" s="1">
        <v>46080.62777777778</v>
      </c>
      <c r="B1782" s="5">
        <f>_xlfn.XLOOKUP(A1782,Banks!A:A,Banks!H:H,0,-1)</f>
        <v>-459.42402239963582</v>
      </c>
      <c r="C1782">
        <f>_xlfn.XLOOKUP(A1782,Energy!A:A,Energy!H:H,0,-1)</f>
        <v>5813.6903423503427</v>
      </c>
      <c r="D1782">
        <f t="shared" si="108"/>
        <v>5354.2663199507069</v>
      </c>
      <c r="E1782">
        <f>_xlfn.XLOOKUP(A1782,Banks!A:A,Banks!I:I,0)</f>
        <v>38510.620874385022</v>
      </c>
      <c r="F1782">
        <f>_xlfn.XLOOKUP(A1782,Energy!A:A,Energy!I:I,0)</f>
        <v>0</v>
      </c>
      <c r="G1782">
        <f t="shared" si="109"/>
        <v>38510.620874385022</v>
      </c>
      <c r="H1782">
        <f t="shared" si="110"/>
        <v>33156.354554434314</v>
      </c>
      <c r="I1782" t="b">
        <f t="shared" si="111"/>
        <v>0</v>
      </c>
    </row>
    <row r="1783" spans="1:9">
      <c r="A1783" s="1">
        <v>46080.628472222219</v>
      </c>
      <c r="B1783" s="5">
        <f>_xlfn.XLOOKUP(A1783,Banks!A:A,Banks!H:H,0,-1)</f>
        <v>-399.97332413244368</v>
      </c>
      <c r="C1783">
        <f>_xlfn.XLOOKUP(A1783,Energy!A:A,Energy!H:H,0,-1)</f>
        <v>5813.6903423503427</v>
      </c>
      <c r="D1783">
        <f t="shared" si="108"/>
        <v>5413.7170182178988</v>
      </c>
      <c r="E1783">
        <f>_xlfn.XLOOKUP(A1783,Banks!A:A,Banks!I:I,0)</f>
        <v>0</v>
      </c>
      <c r="F1783">
        <f>_xlfn.XLOOKUP(A1783,Energy!A:A,Energy!I:I,0)</f>
        <v>0</v>
      </c>
      <c r="G1783">
        <f t="shared" si="109"/>
        <v>0</v>
      </c>
      <c r="H1783">
        <f t="shared" si="110"/>
        <v>-5413.7170182178988</v>
      </c>
      <c r="I1783" t="b">
        <f t="shared" si="111"/>
        <v>0</v>
      </c>
    </row>
    <row r="1784" spans="1:9">
      <c r="A1784" s="1">
        <v>46084.870138888888</v>
      </c>
      <c r="B1784" s="5">
        <f>_xlfn.XLOOKUP(A1784,Banks!A:A,Banks!H:H,0,-1)</f>
        <v>-399.97332413244368</v>
      </c>
      <c r="C1784">
        <f>_xlfn.XLOOKUP(A1784,Energy!A:A,Energy!H:H,0,-1)</f>
        <v>5813.6903423503427</v>
      </c>
      <c r="D1784">
        <f t="shared" si="108"/>
        <v>5413.7170182178988</v>
      </c>
      <c r="E1784">
        <f>_xlfn.XLOOKUP(A1784,Banks!A:A,Banks!I:I,0)</f>
        <v>39375.558465269387</v>
      </c>
      <c r="F1784">
        <f>_xlfn.XLOOKUP(A1784,Energy!A:A,Energy!I:I,0)</f>
        <v>0</v>
      </c>
      <c r="G1784">
        <f t="shared" si="109"/>
        <v>39375.558465269387</v>
      </c>
      <c r="H1784">
        <f t="shared" si="110"/>
        <v>33961.841447051491</v>
      </c>
      <c r="I1784" t="b">
        <f t="shared" si="111"/>
        <v>0</v>
      </c>
    </row>
    <row r="1785" spans="1:9">
      <c r="A1785" s="1">
        <v>46084.870833333327</v>
      </c>
      <c r="B1785" s="5">
        <f>_xlfn.XLOOKUP(A1785,Banks!A:A,Banks!H:H,0,-1)</f>
        <v>-308.71515920711141</v>
      </c>
      <c r="C1785">
        <f>_xlfn.XLOOKUP(A1785,Energy!A:A,Energy!H:H,0,-1)</f>
        <v>5813.6903423503427</v>
      </c>
      <c r="D1785">
        <f t="shared" si="108"/>
        <v>5504.9751831432313</v>
      </c>
      <c r="E1785">
        <f>_xlfn.XLOOKUP(A1785,Banks!A:A,Banks!I:I,0)</f>
        <v>39384.497872632543</v>
      </c>
      <c r="F1785">
        <f>_xlfn.XLOOKUP(A1785,Energy!A:A,Energy!I:I,0)</f>
        <v>0</v>
      </c>
      <c r="G1785">
        <f t="shared" si="109"/>
        <v>39384.497872632543</v>
      </c>
      <c r="H1785">
        <f t="shared" si="110"/>
        <v>33879.522689489313</v>
      </c>
      <c r="I1785" t="b">
        <f t="shared" si="111"/>
        <v>0</v>
      </c>
    </row>
    <row r="1786" spans="1:9">
      <c r="A1786" s="1">
        <v>46084.871527777781</v>
      </c>
      <c r="B1786" s="5">
        <f>_xlfn.XLOOKUP(A1786,Banks!A:A,Banks!H:H,0,-1)</f>
        <v>-157.32638795597819</v>
      </c>
      <c r="C1786">
        <f>_xlfn.XLOOKUP(A1786,Energy!A:A,Energy!H:H,0,-1)</f>
        <v>5813.6903423503427</v>
      </c>
      <c r="D1786">
        <f t="shared" si="108"/>
        <v>5656.3639543943646</v>
      </c>
      <c r="E1786">
        <f>_xlfn.XLOOKUP(A1786,Banks!A:A,Banks!I:I,0)</f>
        <v>39377.526724395073</v>
      </c>
      <c r="F1786">
        <f>_xlfn.XLOOKUP(A1786,Energy!A:A,Energy!I:I,0)</f>
        <v>0</v>
      </c>
      <c r="G1786">
        <f t="shared" si="109"/>
        <v>39377.526724395073</v>
      </c>
      <c r="H1786">
        <f t="shared" si="110"/>
        <v>33721.162770000708</v>
      </c>
      <c r="I1786" t="b">
        <f t="shared" si="111"/>
        <v>0</v>
      </c>
    </row>
    <row r="1787" spans="1:9">
      <c r="A1787" s="1">
        <v>46084.87222222222</v>
      </c>
      <c r="B1787" s="5">
        <f>_xlfn.XLOOKUP(A1787,Banks!A:A,Banks!H:H,0,-1)</f>
        <v>-287.695194992182</v>
      </c>
      <c r="C1787">
        <f>_xlfn.XLOOKUP(A1787,Energy!A:A,Energy!H:H,0,-1)</f>
        <v>5813.6903423503427</v>
      </c>
      <c r="D1787">
        <f t="shared" si="108"/>
        <v>5525.9951473581605</v>
      </c>
      <c r="E1787">
        <f>_xlfn.XLOOKUP(A1787,Banks!A:A,Banks!I:I,0)</f>
        <v>39364.756142447717</v>
      </c>
      <c r="F1787">
        <f>_xlfn.XLOOKUP(A1787,Energy!A:A,Energy!I:I,0)</f>
        <v>0</v>
      </c>
      <c r="G1787">
        <f t="shared" si="109"/>
        <v>39364.756142447717</v>
      </c>
      <c r="H1787">
        <f t="shared" si="110"/>
        <v>33838.760995089557</v>
      </c>
      <c r="I1787" t="b">
        <f t="shared" si="111"/>
        <v>0</v>
      </c>
    </row>
    <row r="1788" spans="1:9">
      <c r="A1788" s="1">
        <v>46084.872916666667</v>
      </c>
      <c r="B1788" s="5">
        <f>_xlfn.XLOOKUP(A1788,Banks!A:A,Banks!H:H,0,-1)</f>
        <v>-299.33547701957599</v>
      </c>
      <c r="C1788">
        <f>_xlfn.XLOOKUP(A1788,Energy!A:A,Energy!H:H,0,-1)</f>
        <v>5813.6903423503427</v>
      </c>
      <c r="D1788">
        <f t="shared" si="108"/>
        <v>5514.3548653307671</v>
      </c>
      <c r="E1788">
        <f>_xlfn.XLOOKUP(A1788,Banks!A:A,Banks!I:I,0)</f>
        <v>39367.084198853197</v>
      </c>
      <c r="F1788">
        <f>_xlfn.XLOOKUP(A1788,Energy!A:A,Energy!I:I,0)</f>
        <v>0</v>
      </c>
      <c r="G1788">
        <f t="shared" si="109"/>
        <v>39367.084198853197</v>
      </c>
      <c r="H1788">
        <f t="shared" si="110"/>
        <v>33852.729333522431</v>
      </c>
      <c r="I1788" t="b">
        <f t="shared" si="111"/>
        <v>0</v>
      </c>
    </row>
    <row r="1789" spans="1:9">
      <c r="A1789" s="1">
        <v>46084.873611111107</v>
      </c>
      <c r="B1789" s="5">
        <f>_xlfn.XLOOKUP(A1789,Banks!A:A,Banks!H:H,0,-1)</f>
        <v>-201.36061746944389</v>
      </c>
      <c r="C1789">
        <f>_xlfn.XLOOKUP(A1789,Energy!A:A,Energy!H:H,0,-1)</f>
        <v>5813.6903423503427</v>
      </c>
      <c r="D1789">
        <f t="shared" si="108"/>
        <v>5612.3297248808985</v>
      </c>
      <c r="E1789">
        <f>_xlfn.XLOOKUP(A1789,Banks!A:A,Banks!I:I,0)</f>
        <v>39397.986873304137</v>
      </c>
      <c r="F1789">
        <f>_xlfn.XLOOKUP(A1789,Energy!A:A,Energy!I:I,0)</f>
        <v>0</v>
      </c>
      <c r="G1789">
        <f t="shared" si="109"/>
        <v>39397.986873304137</v>
      </c>
      <c r="H1789">
        <f t="shared" si="110"/>
        <v>33785.657148423241</v>
      </c>
      <c r="I1789" t="b">
        <f t="shared" si="111"/>
        <v>0</v>
      </c>
    </row>
    <row r="1790" spans="1:9">
      <c r="A1790" s="1">
        <v>46084.874305555553</v>
      </c>
      <c r="B1790" s="5">
        <f>_xlfn.XLOOKUP(A1790,Banks!A:A,Banks!H:H,0,-1)</f>
        <v>-52.765043570766977</v>
      </c>
      <c r="C1790">
        <f>_xlfn.XLOOKUP(A1790,Energy!A:A,Energy!H:H,0,-1)</f>
        <v>5813.6903423503427</v>
      </c>
      <c r="D1790">
        <f t="shared" si="108"/>
        <v>5760.9252987795753</v>
      </c>
      <c r="E1790">
        <f>_xlfn.XLOOKUP(A1790,Banks!A:A,Banks!I:I,0)</f>
        <v>39383.805495866232</v>
      </c>
      <c r="F1790">
        <f>_xlfn.XLOOKUP(A1790,Energy!A:A,Energy!I:I,0)</f>
        <v>0</v>
      </c>
      <c r="G1790">
        <f t="shared" si="109"/>
        <v>39383.805495866232</v>
      </c>
      <c r="H1790">
        <f t="shared" si="110"/>
        <v>33622.880197086655</v>
      </c>
      <c r="I1790" t="b">
        <f t="shared" si="111"/>
        <v>0</v>
      </c>
    </row>
    <row r="1791" spans="1:9">
      <c r="A1791" s="1">
        <v>46084.875</v>
      </c>
      <c r="B1791" s="5">
        <f>_xlfn.XLOOKUP(A1791,Banks!A:A,Banks!H:H,0,-1)</f>
        <v>-52.765043570766977</v>
      </c>
      <c r="C1791">
        <f>_xlfn.XLOOKUP(A1791,Energy!A:A,Energy!H:H,0,-1)</f>
        <v>5813.6903423503427</v>
      </c>
      <c r="D1791">
        <f t="shared" si="108"/>
        <v>5760.9252987795753</v>
      </c>
      <c r="E1791">
        <f>_xlfn.XLOOKUP(A1791,Banks!A:A,Banks!I:I,0)</f>
        <v>39383.805495866232</v>
      </c>
      <c r="F1791">
        <f>_xlfn.XLOOKUP(A1791,Energy!A:A,Energy!I:I,0)</f>
        <v>0</v>
      </c>
      <c r="G1791">
        <f t="shared" si="109"/>
        <v>39383.805495866232</v>
      </c>
      <c r="H1791">
        <f t="shared" si="110"/>
        <v>33622.880197086655</v>
      </c>
      <c r="I1791" t="b">
        <f t="shared" si="111"/>
        <v>0</v>
      </c>
    </row>
    <row r="1792" spans="1:9">
      <c r="A1792" s="1">
        <v>46085.576388888891</v>
      </c>
      <c r="B1792" s="5">
        <f>_xlfn.XLOOKUP(A1792,Banks!A:A,Banks!H:H,0,-1)</f>
        <v>-578.24063223645283</v>
      </c>
      <c r="C1792">
        <f>_xlfn.XLOOKUP(A1792,Energy!A:A,Energy!H:H,0,-1)</f>
        <v>5813.6903423503427</v>
      </c>
      <c r="D1792">
        <f t="shared" si="108"/>
        <v>5235.4497101138895</v>
      </c>
      <c r="E1792">
        <f>_xlfn.XLOOKUP(A1792,Banks!A:A,Banks!I:I,0)</f>
        <v>39488.90061359937</v>
      </c>
      <c r="F1792">
        <f>_xlfn.XLOOKUP(A1792,Energy!A:A,Energy!I:I,0)</f>
        <v>0</v>
      </c>
      <c r="G1792">
        <f t="shared" si="109"/>
        <v>39488.90061359937</v>
      </c>
      <c r="H1792">
        <f t="shared" si="110"/>
        <v>34253.450903485478</v>
      </c>
      <c r="I1792" t="b">
        <f t="shared" si="111"/>
        <v>0</v>
      </c>
    </row>
    <row r="1793" spans="1:9">
      <c r="A1793" s="1">
        <v>46085.577777777777</v>
      </c>
      <c r="B1793" s="5">
        <f>_xlfn.XLOOKUP(A1793,Banks!A:A,Banks!H:H,0,-1)</f>
        <v>-578.24063223645283</v>
      </c>
      <c r="C1793">
        <f>_xlfn.XLOOKUP(A1793,Energy!A:A,Energy!H:H,0,-1)</f>
        <v>5813.6903423503427</v>
      </c>
      <c r="D1793">
        <f t="shared" si="108"/>
        <v>5235.4497101138895</v>
      </c>
      <c r="E1793">
        <f>_xlfn.XLOOKUP(A1793,Banks!A:A,Banks!I:I,0)</f>
        <v>39488.90061359937</v>
      </c>
      <c r="F1793">
        <f>_xlfn.XLOOKUP(A1793,Energy!A:A,Energy!I:I,0)</f>
        <v>0</v>
      </c>
      <c r="G1793">
        <f t="shared" si="109"/>
        <v>39488.90061359937</v>
      </c>
      <c r="H1793">
        <f t="shared" si="110"/>
        <v>34253.450903485478</v>
      </c>
      <c r="I1793" t="b">
        <f t="shared" si="111"/>
        <v>0</v>
      </c>
    </row>
    <row r="1794" spans="1:9">
      <c r="A1794" s="1">
        <v>46085.591666666667</v>
      </c>
      <c r="B1794" s="5">
        <f>_xlfn.XLOOKUP(A1794,Banks!A:A,Banks!H:H,0,-1)</f>
        <v>-511.72473493700198</v>
      </c>
      <c r="C1794">
        <f>_xlfn.XLOOKUP(A1794,Energy!A:A,Energy!H:H,0,-1)</f>
        <v>5813.6903423503427</v>
      </c>
      <c r="D1794">
        <f t="shared" si="108"/>
        <v>5301.9656074133409</v>
      </c>
      <c r="E1794">
        <f>_xlfn.XLOOKUP(A1794,Banks!A:A,Banks!I:I,0)</f>
        <v>39475.597434139483</v>
      </c>
      <c r="F1794">
        <f>_xlfn.XLOOKUP(A1794,Energy!A:A,Energy!I:I,0)</f>
        <v>0</v>
      </c>
      <c r="G1794">
        <f t="shared" si="109"/>
        <v>39475.597434139483</v>
      </c>
      <c r="H1794">
        <f t="shared" si="110"/>
        <v>34173.631826726145</v>
      </c>
      <c r="I1794" t="b">
        <f t="shared" si="111"/>
        <v>0</v>
      </c>
    </row>
    <row r="1795" spans="1:9">
      <c r="A1795" s="1">
        <v>46085.592361111107</v>
      </c>
      <c r="B1795" s="5">
        <f>_xlfn.XLOOKUP(A1795,Banks!A:A,Banks!H:H,0,-1)</f>
        <v>-511.72473493700198</v>
      </c>
      <c r="C1795">
        <f>_xlfn.XLOOKUP(A1795,Energy!A:A,Energy!H:H,0,-1)</f>
        <v>5813.6903423503427</v>
      </c>
      <c r="D1795">
        <f t="shared" ref="D1795:D1858" si="112">B1795+C1795</f>
        <v>5301.9656074133409</v>
      </c>
      <c r="E1795">
        <f>_xlfn.XLOOKUP(A1795,Banks!A:A,Banks!I:I,0)</f>
        <v>39475.597434139483</v>
      </c>
      <c r="F1795">
        <f>_xlfn.XLOOKUP(A1795,Energy!A:A,Energy!I:I,0)</f>
        <v>0</v>
      </c>
      <c r="G1795">
        <f t="shared" ref="G1795:G1858" si="113">F1795+E1795</f>
        <v>39475.597434139483</v>
      </c>
      <c r="H1795">
        <f t="shared" ref="H1795:H1858" si="114">G1795-D1795</f>
        <v>34173.631826726145</v>
      </c>
      <c r="I1795" t="b">
        <f t="shared" ref="I1795:I1858" si="115">AND(E1795&gt;0,F1795&gt;0)</f>
        <v>0</v>
      </c>
    </row>
    <row r="1796" spans="1:9">
      <c r="A1796" s="1">
        <v>46085.604166666657</v>
      </c>
      <c r="B1796" s="5">
        <f>_xlfn.XLOOKUP(A1796,Banks!A:A,Banks!H:H,0,-1)</f>
        <v>145.05464600027281</v>
      </c>
      <c r="C1796">
        <f>_xlfn.XLOOKUP(A1796,Energy!A:A,Energy!H:H,0,-1)</f>
        <v>5813.6903423503427</v>
      </c>
      <c r="D1796">
        <f t="shared" si="112"/>
        <v>5958.7449883506151</v>
      </c>
      <c r="E1796">
        <f>_xlfn.XLOOKUP(A1796,Banks!A:A,Banks!I:I,0)</f>
        <v>39320.934951939271</v>
      </c>
      <c r="F1796">
        <f>_xlfn.XLOOKUP(A1796,Energy!A:A,Energy!I:I,0)</f>
        <v>0</v>
      </c>
      <c r="G1796">
        <f t="shared" si="113"/>
        <v>39320.934951939271</v>
      </c>
      <c r="H1796">
        <f t="shared" si="114"/>
        <v>33362.189963588658</v>
      </c>
      <c r="I1796" t="b">
        <f t="shared" si="115"/>
        <v>0</v>
      </c>
    </row>
    <row r="1797" spans="1:9">
      <c r="A1797" s="1">
        <v>46085.604861111111</v>
      </c>
      <c r="B1797" s="5">
        <f>_xlfn.XLOOKUP(A1797,Banks!A:A,Banks!H:H,0,-1)</f>
        <v>139.46825129539289</v>
      </c>
      <c r="C1797">
        <f>_xlfn.XLOOKUP(A1797,Energy!A:A,Energy!H:H,0,-1)</f>
        <v>5813.6903423503427</v>
      </c>
      <c r="D1797">
        <f t="shared" si="112"/>
        <v>5953.1585936457359</v>
      </c>
      <c r="E1797">
        <f>_xlfn.XLOOKUP(A1797,Banks!A:A,Banks!I:I,0)</f>
        <v>39306.514493538423</v>
      </c>
      <c r="F1797">
        <f>_xlfn.XLOOKUP(A1797,Energy!A:A,Energy!I:I,0)</f>
        <v>0</v>
      </c>
      <c r="G1797">
        <f t="shared" si="113"/>
        <v>39306.514493538423</v>
      </c>
      <c r="H1797">
        <f t="shared" si="114"/>
        <v>33353.355899892689</v>
      </c>
      <c r="I1797" t="b">
        <f t="shared" si="115"/>
        <v>0</v>
      </c>
    </row>
    <row r="1798" spans="1:9">
      <c r="A1798" s="1">
        <v>46085.605555555558</v>
      </c>
      <c r="B1798" s="5">
        <f>_xlfn.XLOOKUP(A1798,Banks!A:A,Banks!H:H,0,-1)</f>
        <v>-192.78744234344501</v>
      </c>
      <c r="C1798">
        <f>_xlfn.XLOOKUP(A1798,Energy!A:A,Energy!H:H,0,-1)</f>
        <v>5813.6903423503427</v>
      </c>
      <c r="D1798">
        <f t="shared" si="112"/>
        <v>5620.9029000068977</v>
      </c>
      <c r="E1798">
        <f>_xlfn.XLOOKUP(A1798,Banks!A:A,Banks!I:I,0)</f>
        <v>0</v>
      </c>
      <c r="F1798">
        <f>_xlfn.XLOOKUP(A1798,Energy!A:A,Energy!I:I,0)</f>
        <v>0</v>
      </c>
      <c r="G1798">
        <f t="shared" si="113"/>
        <v>0</v>
      </c>
      <c r="H1798">
        <f t="shared" si="114"/>
        <v>-5620.9029000068977</v>
      </c>
      <c r="I1798" t="b">
        <f t="shared" si="115"/>
        <v>0</v>
      </c>
    </row>
    <row r="1799" spans="1:9">
      <c r="A1799" s="1">
        <v>46086.604861111111</v>
      </c>
      <c r="B1799" s="5">
        <f>_xlfn.XLOOKUP(A1799,Banks!A:A,Banks!H:H,0,-1)</f>
        <v>-192.78744234344501</v>
      </c>
      <c r="C1799">
        <f>_xlfn.XLOOKUP(A1799,Energy!A:A,Energy!H:H,0,-1)</f>
        <v>5813.6903423503427</v>
      </c>
      <c r="D1799">
        <f t="shared" si="112"/>
        <v>5620.9029000068977</v>
      </c>
      <c r="E1799">
        <f>_xlfn.XLOOKUP(A1799,Banks!A:A,Banks!I:I,0)</f>
        <v>39375.558465269387</v>
      </c>
      <c r="F1799">
        <f>_xlfn.XLOOKUP(A1799,Energy!A:A,Energy!I:I,0)</f>
        <v>0</v>
      </c>
      <c r="G1799">
        <f t="shared" si="113"/>
        <v>39375.558465269387</v>
      </c>
      <c r="H1799">
        <f t="shared" si="114"/>
        <v>33754.655565262488</v>
      </c>
      <c r="I1799" t="b">
        <f t="shared" si="115"/>
        <v>0</v>
      </c>
    </row>
    <row r="1800" spans="1:9">
      <c r="A1800" s="1">
        <v>46086.605555555558</v>
      </c>
      <c r="B1800" s="5">
        <f>_xlfn.XLOOKUP(A1800,Banks!A:A,Banks!H:H,0,-1)</f>
        <v>-517.95713642419264</v>
      </c>
      <c r="C1800">
        <f>_xlfn.XLOOKUP(A1800,Energy!A:A,Energy!H:H,0,-1)</f>
        <v>5813.6903423503427</v>
      </c>
      <c r="D1800">
        <f t="shared" si="112"/>
        <v>5295.7332059261498</v>
      </c>
      <c r="E1800">
        <f>_xlfn.XLOOKUP(A1800,Banks!A:A,Banks!I:I,0)</f>
        <v>39448.326386109402</v>
      </c>
      <c r="F1800">
        <f>_xlfn.XLOOKUP(A1800,Energy!A:A,Energy!I:I,0)</f>
        <v>0</v>
      </c>
      <c r="G1800">
        <f t="shared" si="113"/>
        <v>39448.326386109402</v>
      </c>
      <c r="H1800">
        <f t="shared" si="114"/>
        <v>34152.593180183248</v>
      </c>
      <c r="I1800" t="b">
        <f t="shared" si="115"/>
        <v>0</v>
      </c>
    </row>
    <row r="1801" spans="1:9">
      <c r="A1801" s="1">
        <v>46086.606249999997</v>
      </c>
      <c r="B1801" s="5">
        <f>_xlfn.XLOOKUP(A1801,Banks!A:A,Banks!H:H,0,-1)</f>
        <v>-276.68179579362283</v>
      </c>
      <c r="C1801">
        <f>_xlfn.XLOOKUP(A1801,Energy!A:A,Energy!H:H,0,-1)</f>
        <v>5813.6903423503427</v>
      </c>
      <c r="D1801">
        <f t="shared" si="112"/>
        <v>5537.0085465567199</v>
      </c>
      <c r="E1801">
        <f>_xlfn.XLOOKUP(A1801,Banks!A:A,Banks!I:I,0)</f>
        <v>39465.810165186078</v>
      </c>
      <c r="F1801">
        <f>_xlfn.XLOOKUP(A1801,Energy!A:A,Energy!I:I,0)</f>
        <v>0</v>
      </c>
      <c r="G1801">
        <f t="shared" si="113"/>
        <v>39465.810165186078</v>
      </c>
      <c r="H1801">
        <f t="shared" si="114"/>
        <v>33928.801618629361</v>
      </c>
      <c r="I1801" t="b">
        <f t="shared" si="115"/>
        <v>0</v>
      </c>
    </row>
    <row r="1802" spans="1:9">
      <c r="A1802" s="1">
        <v>46086.606944444437</v>
      </c>
      <c r="B1802" s="5">
        <f>_xlfn.XLOOKUP(A1802,Banks!A:A,Banks!H:H,0,-1)</f>
        <v>-413.49303506937679</v>
      </c>
      <c r="C1802">
        <f>_xlfn.XLOOKUP(A1802,Energy!A:A,Energy!H:H,0,-1)</f>
        <v>5813.6903423503427</v>
      </c>
      <c r="D1802">
        <f t="shared" si="112"/>
        <v>5400.197307280966</v>
      </c>
      <c r="E1802">
        <f>_xlfn.XLOOKUP(A1802,Banks!A:A,Banks!I:I,0)</f>
        <v>39454.50250292194</v>
      </c>
      <c r="F1802">
        <f>_xlfn.XLOOKUP(A1802,Energy!A:A,Energy!I:I,0)</f>
        <v>0</v>
      </c>
      <c r="G1802">
        <f t="shared" si="113"/>
        <v>39454.50250292194</v>
      </c>
      <c r="H1802">
        <f t="shared" si="114"/>
        <v>34054.305195640976</v>
      </c>
      <c r="I1802" t="b">
        <f t="shared" si="115"/>
        <v>0</v>
      </c>
    </row>
    <row r="1803" spans="1:9">
      <c r="A1803" s="1">
        <v>46086.607638888891</v>
      </c>
      <c r="B1803" s="5">
        <f>_xlfn.XLOOKUP(A1803,Banks!A:A,Banks!H:H,0,-1)</f>
        <v>-450.60647302957119</v>
      </c>
      <c r="C1803">
        <f>_xlfn.XLOOKUP(A1803,Energy!A:A,Energy!H:H,0,-1)</f>
        <v>5813.6903423503427</v>
      </c>
      <c r="D1803">
        <f t="shared" si="112"/>
        <v>5363.0838693207716</v>
      </c>
      <c r="E1803">
        <f>_xlfn.XLOOKUP(A1803,Banks!A:A,Banks!I:I,0)</f>
        <v>39500.595100633269</v>
      </c>
      <c r="F1803">
        <f>_xlfn.XLOOKUP(A1803,Energy!A:A,Energy!I:I,0)</f>
        <v>0</v>
      </c>
      <c r="G1803">
        <f t="shared" si="113"/>
        <v>39500.595100633269</v>
      </c>
      <c r="H1803">
        <f t="shared" si="114"/>
        <v>34137.511231312499</v>
      </c>
      <c r="I1803" t="b">
        <f t="shared" si="115"/>
        <v>0</v>
      </c>
    </row>
    <row r="1804" spans="1:9">
      <c r="A1804" s="1">
        <v>46086.60833333333</v>
      </c>
      <c r="B1804" s="5">
        <f>_xlfn.XLOOKUP(A1804,Banks!A:A,Banks!H:H,0,-1)</f>
        <v>-458.85235585159103</v>
      </c>
      <c r="C1804">
        <f>_xlfn.XLOOKUP(A1804,Energy!A:A,Energy!H:H,0,-1)</f>
        <v>5813.6903423503427</v>
      </c>
      <c r="D1804">
        <f t="shared" si="112"/>
        <v>5354.8379864987519</v>
      </c>
      <c r="E1804">
        <f>_xlfn.XLOOKUP(A1804,Banks!A:A,Banks!I:I,0)</f>
        <v>39448.106403030673</v>
      </c>
      <c r="F1804">
        <f>_xlfn.XLOOKUP(A1804,Energy!A:A,Energy!I:I,0)</f>
        <v>0</v>
      </c>
      <c r="G1804">
        <f t="shared" si="113"/>
        <v>39448.106403030673</v>
      </c>
      <c r="H1804">
        <f t="shared" si="114"/>
        <v>34093.268416531922</v>
      </c>
      <c r="I1804" t="b">
        <f t="shared" si="115"/>
        <v>0</v>
      </c>
    </row>
    <row r="1805" spans="1:9">
      <c r="A1805" s="1">
        <v>46086.609027777777</v>
      </c>
      <c r="B1805" s="5">
        <f>_xlfn.XLOOKUP(A1805,Banks!A:A,Banks!H:H,0,-1)</f>
        <v>-250.24583245608599</v>
      </c>
      <c r="C1805">
        <f>_xlfn.XLOOKUP(A1805,Energy!A:A,Energy!H:H,0,-1)</f>
        <v>5813.6903423503427</v>
      </c>
      <c r="D1805">
        <f t="shared" si="112"/>
        <v>5563.444509894257</v>
      </c>
      <c r="E1805">
        <f>_xlfn.XLOOKUP(A1805,Banks!A:A,Banks!I:I,0)</f>
        <v>39499.192882637857</v>
      </c>
      <c r="F1805">
        <f>_xlfn.XLOOKUP(A1805,Energy!A:A,Energy!I:I,0)</f>
        <v>0</v>
      </c>
      <c r="G1805">
        <f t="shared" si="113"/>
        <v>39499.192882637857</v>
      </c>
      <c r="H1805">
        <f t="shared" si="114"/>
        <v>33935.748372743597</v>
      </c>
      <c r="I1805" t="b">
        <f t="shared" si="115"/>
        <v>0</v>
      </c>
    </row>
    <row r="1806" spans="1:9">
      <c r="A1806" s="1">
        <v>46086.609722222223</v>
      </c>
      <c r="B1806" s="5">
        <f>_xlfn.XLOOKUP(A1806,Banks!A:A,Banks!H:H,0,-1)</f>
        <v>-444.1937825303408</v>
      </c>
      <c r="C1806">
        <f>_xlfn.XLOOKUP(A1806,Energy!A:A,Energy!H:H,0,-1)</f>
        <v>5813.6903423503427</v>
      </c>
      <c r="D1806">
        <f t="shared" si="112"/>
        <v>5369.4965598200015</v>
      </c>
      <c r="E1806">
        <f>_xlfn.XLOOKUP(A1806,Banks!A:A,Banks!I:I,0)</f>
        <v>39572.785391760073</v>
      </c>
      <c r="F1806">
        <f>_xlfn.XLOOKUP(A1806,Energy!A:A,Energy!I:I,0)</f>
        <v>0</v>
      </c>
      <c r="G1806">
        <f t="shared" si="113"/>
        <v>39572.785391760073</v>
      </c>
      <c r="H1806">
        <f t="shared" si="114"/>
        <v>34203.288831940074</v>
      </c>
      <c r="I1806" t="b">
        <f t="shared" si="115"/>
        <v>0</v>
      </c>
    </row>
    <row r="1807" spans="1:9">
      <c r="A1807" s="1">
        <v>46086.61041666667</v>
      </c>
      <c r="B1807" s="5">
        <f>_xlfn.XLOOKUP(A1807,Banks!A:A,Banks!H:H,0,-1)</f>
        <v>-304.72615570182819</v>
      </c>
      <c r="C1807">
        <f>_xlfn.XLOOKUP(A1807,Energy!A:A,Energy!H:H,0,-1)</f>
        <v>5813.6903423503427</v>
      </c>
      <c r="D1807">
        <f t="shared" si="112"/>
        <v>5508.9641866485144</v>
      </c>
      <c r="E1807">
        <f>_xlfn.XLOOKUP(A1807,Banks!A:A,Banks!I:I,0)</f>
        <v>39626.09867764487</v>
      </c>
      <c r="F1807">
        <f>_xlfn.XLOOKUP(A1807,Energy!A:A,Energy!I:I,0)</f>
        <v>0</v>
      </c>
      <c r="G1807">
        <f t="shared" si="113"/>
        <v>39626.09867764487</v>
      </c>
      <c r="H1807">
        <f t="shared" si="114"/>
        <v>34117.134490996352</v>
      </c>
      <c r="I1807" t="b">
        <f t="shared" si="115"/>
        <v>0</v>
      </c>
    </row>
    <row r="1808" spans="1:9">
      <c r="A1808" s="1">
        <v>46086.611111111109</v>
      </c>
      <c r="B1808" s="5">
        <f>_xlfn.XLOOKUP(A1808,Banks!A:A,Banks!H:H,0,-1)</f>
        <v>-425.95874286438652</v>
      </c>
      <c r="C1808">
        <f>_xlfn.XLOOKUP(A1808,Energy!A:A,Energy!H:H,0,-1)</f>
        <v>5813.6903423503427</v>
      </c>
      <c r="D1808">
        <f t="shared" si="112"/>
        <v>5387.7315994859564</v>
      </c>
      <c r="E1808">
        <f>_xlfn.XLOOKUP(A1808,Banks!A:A,Banks!I:I,0)</f>
        <v>39588.473338886528</v>
      </c>
      <c r="F1808">
        <f>_xlfn.XLOOKUP(A1808,Energy!A:A,Energy!I:I,0)</f>
        <v>0</v>
      </c>
      <c r="G1808">
        <f t="shared" si="113"/>
        <v>39588.473338886528</v>
      </c>
      <c r="H1808">
        <f t="shared" si="114"/>
        <v>34200.741739400575</v>
      </c>
      <c r="I1808" t="b">
        <f t="shared" si="115"/>
        <v>0</v>
      </c>
    </row>
    <row r="1809" spans="1:9">
      <c r="A1809" s="1">
        <v>46086.611805555563</v>
      </c>
      <c r="B1809" s="5">
        <f>_xlfn.XLOOKUP(A1809,Banks!A:A,Banks!H:H,0,-1)</f>
        <v>-272.88053369676021</v>
      </c>
      <c r="C1809">
        <f>_xlfn.XLOOKUP(A1809,Energy!A:A,Energy!H:H,0,-1)</f>
        <v>5813.6903423503427</v>
      </c>
      <c r="D1809">
        <f t="shared" si="112"/>
        <v>5540.8098086535829</v>
      </c>
      <c r="E1809">
        <f>_xlfn.XLOOKUP(A1809,Banks!A:A,Banks!I:I,0)</f>
        <v>39530.788759969502</v>
      </c>
      <c r="F1809">
        <f>_xlfn.XLOOKUP(A1809,Energy!A:A,Energy!I:I,0)</f>
        <v>0</v>
      </c>
      <c r="G1809">
        <f t="shared" si="113"/>
        <v>39530.788759969502</v>
      </c>
      <c r="H1809">
        <f t="shared" si="114"/>
        <v>33989.978951315919</v>
      </c>
      <c r="I1809" t="b">
        <f t="shared" si="115"/>
        <v>0</v>
      </c>
    </row>
    <row r="1810" spans="1:9">
      <c r="A1810" s="1">
        <v>46086.612500000003</v>
      </c>
      <c r="B1810" s="5">
        <f>_xlfn.XLOOKUP(A1810,Banks!A:A,Banks!H:H,0,-1)</f>
        <v>-269.99238513070833</v>
      </c>
      <c r="C1810">
        <f>_xlfn.XLOOKUP(A1810,Energy!A:A,Energy!H:H,0,-1)</f>
        <v>5813.6903423503427</v>
      </c>
      <c r="D1810">
        <f t="shared" si="112"/>
        <v>5543.6979572196342</v>
      </c>
      <c r="E1810">
        <f>_xlfn.XLOOKUP(A1810,Banks!A:A,Banks!I:I,0)</f>
        <v>39464.472283053503</v>
      </c>
      <c r="F1810">
        <f>_xlfn.XLOOKUP(A1810,Energy!A:A,Energy!I:I,0)</f>
        <v>0</v>
      </c>
      <c r="G1810">
        <f t="shared" si="113"/>
        <v>39464.472283053503</v>
      </c>
      <c r="H1810">
        <f t="shared" si="114"/>
        <v>33920.774325833867</v>
      </c>
      <c r="I1810" t="b">
        <f t="shared" si="115"/>
        <v>0</v>
      </c>
    </row>
    <row r="1811" spans="1:9">
      <c r="A1811" s="1">
        <v>46086.613194444442</v>
      </c>
      <c r="B1811" s="5">
        <f>_xlfn.XLOOKUP(A1811,Banks!A:A,Banks!H:H,0,-1)</f>
        <v>-221.7057474301962</v>
      </c>
      <c r="C1811">
        <f>_xlfn.XLOOKUP(A1811,Energy!A:A,Energy!H:H,0,-1)</f>
        <v>5813.6903423503427</v>
      </c>
      <c r="D1811">
        <f t="shared" si="112"/>
        <v>5591.9845949201463</v>
      </c>
      <c r="E1811">
        <f>_xlfn.XLOOKUP(A1811,Banks!A:A,Banks!I:I,0)</f>
        <v>0</v>
      </c>
      <c r="F1811">
        <f>_xlfn.XLOOKUP(A1811,Energy!A:A,Energy!I:I,0)</f>
        <v>0</v>
      </c>
      <c r="G1811">
        <f t="shared" si="113"/>
        <v>0</v>
      </c>
      <c r="H1811">
        <f t="shared" si="114"/>
        <v>-5591.9845949201463</v>
      </c>
      <c r="I1811" t="b">
        <f t="shared" si="115"/>
        <v>0</v>
      </c>
    </row>
    <row r="1812" spans="1:9">
      <c r="A1812" s="1">
        <v>46090.5625</v>
      </c>
      <c r="B1812" s="5">
        <f>_xlfn.XLOOKUP(A1812,Banks!A:A,Banks!H:H,0,-1)</f>
        <v>-221.7057474301962</v>
      </c>
      <c r="C1812">
        <f>_xlfn.XLOOKUP(A1812,Energy!A:A,Energy!H:H,0,-1)</f>
        <v>5813.6903423503427</v>
      </c>
      <c r="D1812">
        <f t="shared" si="112"/>
        <v>5591.9845949201463</v>
      </c>
      <c r="E1812">
        <f>_xlfn.XLOOKUP(A1812,Banks!A:A,Banks!I:I,0)</f>
        <v>39375.558465269387</v>
      </c>
      <c r="F1812">
        <f>_xlfn.XLOOKUP(A1812,Energy!A:A,Energy!I:I,0)</f>
        <v>0</v>
      </c>
      <c r="G1812">
        <f t="shared" si="113"/>
        <v>39375.558465269387</v>
      </c>
      <c r="H1812">
        <f t="shared" si="114"/>
        <v>33783.573870349239</v>
      </c>
      <c r="I1812" t="b">
        <f t="shared" si="115"/>
        <v>0</v>
      </c>
    </row>
    <row r="1813" spans="1:9">
      <c r="A1813" s="1">
        <v>46090.563194444447</v>
      </c>
      <c r="B1813" s="5">
        <f>_xlfn.XLOOKUP(A1813,Banks!A:A,Banks!H:H,0,-1)</f>
        <v>-111.27780699913269</v>
      </c>
      <c r="C1813">
        <f>_xlfn.XLOOKUP(A1813,Energy!A:A,Energy!H:H,0,-1)</f>
        <v>5813.6903423503427</v>
      </c>
      <c r="D1813">
        <f t="shared" si="112"/>
        <v>5702.41253535121</v>
      </c>
      <c r="E1813">
        <f>_xlfn.XLOOKUP(A1813,Banks!A:A,Banks!I:I,0)</f>
        <v>39304.66794402129</v>
      </c>
      <c r="F1813">
        <f>_xlfn.XLOOKUP(A1813,Energy!A:A,Energy!I:I,0)</f>
        <v>0</v>
      </c>
      <c r="G1813">
        <f t="shared" si="113"/>
        <v>39304.66794402129</v>
      </c>
      <c r="H1813">
        <f t="shared" si="114"/>
        <v>33602.255408670084</v>
      </c>
      <c r="I1813" t="b">
        <f t="shared" si="115"/>
        <v>0</v>
      </c>
    </row>
    <row r="1814" spans="1:9">
      <c r="A1814" s="1">
        <v>46090.563888888893</v>
      </c>
      <c r="B1814" s="5">
        <f>_xlfn.XLOOKUP(A1814,Banks!A:A,Banks!H:H,0,-1)</f>
        <v>-148.45324217785699</v>
      </c>
      <c r="C1814">
        <f>_xlfn.XLOOKUP(A1814,Energy!A:A,Energy!H:H,0,-1)</f>
        <v>5813.6903423503427</v>
      </c>
      <c r="D1814">
        <f t="shared" si="112"/>
        <v>5665.237100172486</v>
      </c>
      <c r="E1814">
        <f>_xlfn.XLOOKUP(A1814,Banks!A:A,Banks!I:I,0)</f>
        <v>39295.834720003069</v>
      </c>
      <c r="F1814">
        <f>_xlfn.XLOOKUP(A1814,Energy!A:A,Energy!I:I,0)</f>
        <v>0</v>
      </c>
      <c r="G1814">
        <f t="shared" si="113"/>
        <v>39295.834720003069</v>
      </c>
      <c r="H1814">
        <f t="shared" si="114"/>
        <v>33630.597619830587</v>
      </c>
      <c r="I1814" t="b">
        <f t="shared" si="115"/>
        <v>0</v>
      </c>
    </row>
    <row r="1815" spans="1:9">
      <c r="A1815" s="1">
        <v>46090.564583333333</v>
      </c>
      <c r="B1815" s="5">
        <f>_xlfn.XLOOKUP(A1815,Banks!A:A,Banks!H:H,0,-1)</f>
        <v>-220.27008906022499</v>
      </c>
      <c r="C1815">
        <f>_xlfn.XLOOKUP(A1815,Energy!A:A,Energy!H:H,0,-1)</f>
        <v>5813.6903423503427</v>
      </c>
      <c r="D1815">
        <f t="shared" si="112"/>
        <v>5593.4202532901181</v>
      </c>
      <c r="E1815">
        <f>_xlfn.XLOOKUP(A1815,Banks!A:A,Banks!I:I,0)</f>
        <v>39334.600555960496</v>
      </c>
      <c r="F1815">
        <f>_xlfn.XLOOKUP(A1815,Energy!A:A,Energy!I:I,0)</f>
        <v>0</v>
      </c>
      <c r="G1815">
        <f t="shared" si="113"/>
        <v>39334.600555960496</v>
      </c>
      <c r="H1815">
        <f t="shared" si="114"/>
        <v>33741.180302670378</v>
      </c>
      <c r="I1815" t="b">
        <f t="shared" si="115"/>
        <v>0</v>
      </c>
    </row>
    <row r="1816" spans="1:9">
      <c r="A1816" s="1">
        <v>46090.56527777778</v>
      </c>
      <c r="B1816" s="5">
        <f>_xlfn.XLOOKUP(A1816,Banks!A:A,Banks!H:H,0,-1)</f>
        <v>-311.77933873876782</v>
      </c>
      <c r="C1816">
        <f>_xlfn.XLOOKUP(A1816,Energy!A:A,Energy!H:H,0,-1)</f>
        <v>5813.6903423503427</v>
      </c>
      <c r="D1816">
        <f t="shared" si="112"/>
        <v>5501.9110036115744</v>
      </c>
      <c r="E1816">
        <f>_xlfn.XLOOKUP(A1816,Banks!A:A,Banks!I:I,0)</f>
        <v>39316.298706024791</v>
      </c>
      <c r="F1816">
        <f>_xlfn.XLOOKUP(A1816,Energy!A:A,Energy!I:I,0)</f>
        <v>0</v>
      </c>
      <c r="G1816">
        <f t="shared" si="113"/>
        <v>39316.298706024791</v>
      </c>
      <c r="H1816">
        <f t="shared" si="114"/>
        <v>33814.387702413216</v>
      </c>
      <c r="I1816" t="b">
        <f t="shared" si="115"/>
        <v>0</v>
      </c>
    </row>
    <row r="1817" spans="1:9">
      <c r="A1817" s="1">
        <v>46090.565972222219</v>
      </c>
      <c r="B1817" s="5">
        <f>_xlfn.XLOOKUP(A1817,Banks!A:A,Banks!H:H,0,-1)</f>
        <v>-398.19526106042332</v>
      </c>
      <c r="C1817">
        <f>_xlfn.XLOOKUP(A1817,Energy!A:A,Energy!H:H,0,-1)</f>
        <v>5813.6903423503427</v>
      </c>
      <c r="D1817">
        <f t="shared" si="112"/>
        <v>5415.4950812899197</v>
      </c>
      <c r="E1817">
        <f>_xlfn.XLOOKUP(A1817,Banks!A:A,Banks!I:I,0)</f>
        <v>39231.904946401854</v>
      </c>
      <c r="F1817">
        <f>_xlfn.XLOOKUP(A1817,Energy!A:A,Energy!I:I,0)</f>
        <v>0</v>
      </c>
      <c r="G1817">
        <f t="shared" si="113"/>
        <v>39231.904946401854</v>
      </c>
      <c r="H1817">
        <f t="shared" si="114"/>
        <v>33816.409865111935</v>
      </c>
      <c r="I1817" t="b">
        <f t="shared" si="115"/>
        <v>0</v>
      </c>
    </row>
    <row r="1818" spans="1:9">
      <c r="A1818" s="1">
        <v>46090.566666666673</v>
      </c>
      <c r="B1818" s="5">
        <f>_xlfn.XLOOKUP(A1818,Banks!A:A,Banks!H:H,0,-1)</f>
        <v>-367.04919181296799</v>
      </c>
      <c r="C1818">
        <f>_xlfn.XLOOKUP(A1818,Energy!A:A,Energy!H:H,0,-1)</f>
        <v>5813.6903423503427</v>
      </c>
      <c r="D1818">
        <f t="shared" si="112"/>
        <v>5446.6411505373744</v>
      </c>
      <c r="E1818">
        <f>_xlfn.XLOOKUP(A1818,Banks!A:A,Banks!I:I,0)</f>
        <v>39185.004954917451</v>
      </c>
      <c r="F1818">
        <f>_xlfn.XLOOKUP(A1818,Energy!A:A,Energy!I:I,0)</f>
        <v>0</v>
      </c>
      <c r="G1818">
        <f t="shared" si="113"/>
        <v>39185.004954917451</v>
      </c>
      <c r="H1818">
        <f t="shared" si="114"/>
        <v>33738.363804380075</v>
      </c>
      <c r="I1818" t="b">
        <f t="shared" si="115"/>
        <v>0</v>
      </c>
    </row>
    <row r="1819" spans="1:9">
      <c r="A1819" s="1">
        <v>46090.567361111112</v>
      </c>
      <c r="B1819" s="5">
        <f>_xlfn.XLOOKUP(A1819,Banks!A:A,Banks!H:H,0,-1)</f>
        <v>-399.46227279797807</v>
      </c>
      <c r="C1819">
        <f>_xlfn.XLOOKUP(A1819,Energy!A:A,Energy!H:H,0,-1)</f>
        <v>5813.6903423503427</v>
      </c>
      <c r="D1819">
        <f t="shared" si="112"/>
        <v>5414.228069552365</v>
      </c>
      <c r="E1819">
        <f>_xlfn.XLOOKUP(A1819,Banks!A:A,Banks!I:I,0)</f>
        <v>39203.688804404926</v>
      </c>
      <c r="F1819">
        <f>_xlfn.XLOOKUP(A1819,Energy!A:A,Energy!I:I,0)</f>
        <v>0</v>
      </c>
      <c r="G1819">
        <f t="shared" si="113"/>
        <v>39203.688804404926</v>
      </c>
      <c r="H1819">
        <f t="shared" si="114"/>
        <v>33789.460734852561</v>
      </c>
      <c r="I1819" t="b">
        <f t="shared" si="115"/>
        <v>0</v>
      </c>
    </row>
    <row r="1820" spans="1:9">
      <c r="A1820" s="1">
        <v>46090.568055555559</v>
      </c>
      <c r="B1820" s="5">
        <f>_xlfn.XLOOKUP(A1820,Banks!A:A,Banks!H:H,0,-1)</f>
        <v>-329.55542367443923</v>
      </c>
      <c r="C1820">
        <f>_xlfn.XLOOKUP(A1820,Energy!A:A,Energy!H:H,0,-1)</f>
        <v>5813.6903423503427</v>
      </c>
      <c r="D1820">
        <f t="shared" si="112"/>
        <v>5484.1349186759035</v>
      </c>
      <c r="E1820">
        <f>_xlfn.XLOOKUP(A1820,Banks!A:A,Banks!I:I,0)</f>
        <v>39189.707434580218</v>
      </c>
      <c r="F1820">
        <f>_xlfn.XLOOKUP(A1820,Energy!A:A,Energy!I:I,0)</f>
        <v>0</v>
      </c>
      <c r="G1820">
        <f t="shared" si="113"/>
        <v>39189.707434580218</v>
      </c>
      <c r="H1820">
        <f t="shared" si="114"/>
        <v>33705.572515904314</v>
      </c>
      <c r="I1820" t="b">
        <f t="shared" si="115"/>
        <v>0</v>
      </c>
    </row>
    <row r="1821" spans="1:9">
      <c r="A1821" s="1">
        <v>46090.568749999999</v>
      </c>
      <c r="B1821" s="5">
        <f>_xlfn.XLOOKUP(A1821,Banks!A:A,Banks!H:H,0,-1)</f>
        <v>-263.63721670095498</v>
      </c>
      <c r="C1821">
        <f>_xlfn.XLOOKUP(A1821,Energy!A:A,Energy!H:H,0,-1)</f>
        <v>5813.6903423503427</v>
      </c>
      <c r="D1821">
        <f t="shared" si="112"/>
        <v>5550.0531256493878</v>
      </c>
      <c r="E1821">
        <f>_xlfn.XLOOKUP(A1821,Banks!A:A,Banks!I:I,0)</f>
        <v>39294.469048326762</v>
      </c>
      <c r="F1821">
        <f>_xlfn.XLOOKUP(A1821,Energy!A:A,Energy!I:I,0)</f>
        <v>0</v>
      </c>
      <c r="G1821">
        <f t="shared" si="113"/>
        <v>39294.469048326762</v>
      </c>
      <c r="H1821">
        <f t="shared" si="114"/>
        <v>33744.415922677377</v>
      </c>
      <c r="I1821" t="b">
        <f t="shared" si="115"/>
        <v>0</v>
      </c>
    </row>
    <row r="1822" spans="1:9">
      <c r="A1822" s="1">
        <v>46090.569444444453</v>
      </c>
      <c r="B1822" s="5">
        <f>_xlfn.XLOOKUP(A1822,Banks!A:A,Banks!H:H,0,-1)</f>
        <v>-42.631649511439953</v>
      </c>
      <c r="C1822">
        <f>_xlfn.XLOOKUP(A1822,Energy!A:A,Energy!H:H,0,-1)</f>
        <v>5813.6903423503427</v>
      </c>
      <c r="D1822">
        <f t="shared" si="112"/>
        <v>5771.058692838903</v>
      </c>
      <c r="E1822">
        <f>_xlfn.XLOOKUP(A1822,Banks!A:A,Banks!I:I,0)</f>
        <v>39217.731312780918</v>
      </c>
      <c r="F1822">
        <f>_xlfn.XLOOKUP(A1822,Energy!A:A,Energy!I:I,0)</f>
        <v>0</v>
      </c>
      <c r="G1822">
        <f t="shared" si="113"/>
        <v>39217.731312780918</v>
      </c>
      <c r="H1822">
        <f t="shared" si="114"/>
        <v>33446.672619942015</v>
      </c>
      <c r="I1822" t="b">
        <f t="shared" si="115"/>
        <v>0</v>
      </c>
    </row>
    <row r="1823" spans="1:9">
      <c r="A1823" s="1">
        <v>46090.570138888892</v>
      </c>
      <c r="B1823" s="5">
        <f>_xlfn.XLOOKUP(A1823,Banks!A:A,Banks!H:H,0,-1)</f>
        <v>29.022870840185931</v>
      </c>
      <c r="C1823">
        <f>_xlfn.XLOOKUP(A1823,Energy!A:A,Energy!H:H,0,-1)</f>
        <v>5813.6903423503427</v>
      </c>
      <c r="D1823">
        <f t="shared" si="112"/>
        <v>5842.7132131905282</v>
      </c>
      <c r="E1823">
        <f>_xlfn.XLOOKUP(A1823,Banks!A:A,Banks!I:I,0)</f>
        <v>39203.4004087106</v>
      </c>
      <c r="F1823">
        <f>_xlfn.XLOOKUP(A1823,Energy!A:A,Energy!I:I,0)</f>
        <v>0</v>
      </c>
      <c r="G1823">
        <f t="shared" si="113"/>
        <v>39203.4004087106</v>
      </c>
      <c r="H1823">
        <f t="shared" si="114"/>
        <v>33360.68719552007</v>
      </c>
      <c r="I1823" t="b">
        <f t="shared" si="115"/>
        <v>0</v>
      </c>
    </row>
    <row r="1824" spans="1:9">
      <c r="A1824" s="1">
        <v>46090.570833333331</v>
      </c>
      <c r="B1824" s="5">
        <f>_xlfn.XLOOKUP(A1824,Banks!A:A,Banks!H:H,0,-1)</f>
        <v>12.6571638677687</v>
      </c>
      <c r="C1824">
        <f>_xlfn.XLOOKUP(A1824,Energy!A:A,Energy!H:H,0,-1)</f>
        <v>5813.6903423503427</v>
      </c>
      <c r="D1824">
        <f t="shared" si="112"/>
        <v>5826.3475062181114</v>
      </c>
      <c r="E1824">
        <f>_xlfn.XLOOKUP(A1824,Banks!A:A,Banks!I:I,0)</f>
        <v>39214.807705632062</v>
      </c>
      <c r="F1824">
        <f>_xlfn.XLOOKUP(A1824,Energy!A:A,Energy!I:I,0)</f>
        <v>0</v>
      </c>
      <c r="G1824">
        <f t="shared" si="113"/>
        <v>39214.807705632062</v>
      </c>
      <c r="H1824">
        <f t="shared" si="114"/>
        <v>33388.460199413952</v>
      </c>
      <c r="I1824" t="b">
        <f t="shared" si="115"/>
        <v>0</v>
      </c>
    </row>
    <row r="1825" spans="1:9">
      <c r="A1825" s="1">
        <v>46090.571527777778</v>
      </c>
      <c r="B1825" s="5">
        <f>_xlfn.XLOOKUP(A1825,Banks!A:A,Banks!H:H,0,-1)</f>
        <v>28.330173628491959</v>
      </c>
      <c r="C1825">
        <f>_xlfn.XLOOKUP(A1825,Energy!A:A,Energy!H:H,0,-1)</f>
        <v>5813.6903423503427</v>
      </c>
      <c r="D1825">
        <f t="shared" si="112"/>
        <v>5842.0205159788347</v>
      </c>
      <c r="E1825">
        <f>_xlfn.XLOOKUP(A1825,Banks!A:A,Banks!I:I,0)</f>
        <v>0</v>
      </c>
      <c r="F1825">
        <f>_xlfn.XLOOKUP(A1825,Energy!A:A,Energy!I:I,0)</f>
        <v>0</v>
      </c>
      <c r="G1825">
        <f t="shared" si="113"/>
        <v>0</v>
      </c>
      <c r="H1825">
        <f t="shared" si="114"/>
        <v>-5842.0205159788347</v>
      </c>
      <c r="I1825" t="b">
        <f t="shared" si="115"/>
        <v>0</v>
      </c>
    </row>
    <row r="1826" spans="1:9">
      <c r="A1826" s="1">
        <v>46091.5625</v>
      </c>
      <c r="B1826" s="5">
        <f>_xlfn.XLOOKUP(A1826,Banks!A:A,Banks!H:H,0,-1)</f>
        <v>28.330173628491959</v>
      </c>
      <c r="C1826">
        <f>_xlfn.XLOOKUP(A1826,Energy!A:A,Energy!H:H,0,-1)</f>
        <v>5813.6903423503427</v>
      </c>
      <c r="D1826">
        <f t="shared" si="112"/>
        <v>5842.0205159788347</v>
      </c>
      <c r="E1826">
        <f>_xlfn.XLOOKUP(A1826,Banks!A:A,Banks!I:I,0)</f>
        <v>39375.558465269387</v>
      </c>
      <c r="F1826">
        <f>_xlfn.XLOOKUP(A1826,Energy!A:A,Energy!I:I,0)</f>
        <v>0</v>
      </c>
      <c r="G1826">
        <f t="shared" si="113"/>
        <v>39375.558465269387</v>
      </c>
      <c r="H1826">
        <f t="shared" si="114"/>
        <v>33533.537949290549</v>
      </c>
      <c r="I1826" t="b">
        <f t="shared" si="115"/>
        <v>0</v>
      </c>
    </row>
    <row r="1827" spans="1:9">
      <c r="A1827" s="1">
        <v>46091.563194444447</v>
      </c>
      <c r="B1827" s="5">
        <f>_xlfn.XLOOKUP(A1827,Banks!A:A,Banks!H:H,0,-1)</f>
        <v>470.249994867434</v>
      </c>
      <c r="C1827">
        <f>_xlfn.XLOOKUP(A1827,Energy!A:A,Energy!H:H,0,-1)</f>
        <v>5813.6903423503427</v>
      </c>
      <c r="D1827">
        <f t="shared" si="112"/>
        <v>6283.9403372177767</v>
      </c>
      <c r="E1827">
        <f>_xlfn.XLOOKUP(A1827,Banks!A:A,Banks!I:I,0)</f>
        <v>39407.758125765373</v>
      </c>
      <c r="F1827">
        <f>_xlfn.XLOOKUP(A1827,Energy!A:A,Energy!I:I,0)</f>
        <v>0</v>
      </c>
      <c r="G1827">
        <f t="shared" si="113"/>
        <v>39407.758125765373</v>
      </c>
      <c r="H1827">
        <f t="shared" si="114"/>
        <v>33123.817788547596</v>
      </c>
      <c r="I1827" t="b">
        <f t="shared" si="115"/>
        <v>0</v>
      </c>
    </row>
    <row r="1828" spans="1:9">
      <c r="A1828" s="1">
        <v>46091.563888888893</v>
      </c>
      <c r="B1828" s="5">
        <f>_xlfn.XLOOKUP(A1828,Banks!A:A,Banks!H:H,0,-1)</f>
        <v>121.4461710686068</v>
      </c>
      <c r="C1828">
        <f>_xlfn.XLOOKUP(A1828,Energy!A:A,Energy!H:H,0,-1)</f>
        <v>5813.6903423503427</v>
      </c>
      <c r="D1828">
        <f t="shared" si="112"/>
        <v>5935.1365134189491</v>
      </c>
      <c r="E1828">
        <f>_xlfn.XLOOKUP(A1828,Banks!A:A,Banks!I:I,0)</f>
        <v>39418.260652079633</v>
      </c>
      <c r="F1828">
        <f>_xlfn.XLOOKUP(A1828,Energy!A:A,Energy!I:I,0)</f>
        <v>0</v>
      </c>
      <c r="G1828">
        <f t="shared" si="113"/>
        <v>39418.260652079633</v>
      </c>
      <c r="H1828">
        <f t="shared" si="114"/>
        <v>33483.124138660685</v>
      </c>
      <c r="I1828" t="b">
        <f t="shared" si="115"/>
        <v>0</v>
      </c>
    </row>
    <row r="1829" spans="1:9">
      <c r="A1829" s="1">
        <v>46091.564583333333</v>
      </c>
      <c r="B1829" s="5">
        <f>_xlfn.XLOOKUP(A1829,Banks!A:A,Banks!H:H,0,-1)</f>
        <v>45.65074980111082</v>
      </c>
      <c r="C1829">
        <f>_xlfn.XLOOKUP(A1829,Energy!A:A,Energy!H:H,0,-1)</f>
        <v>5813.6903423503427</v>
      </c>
      <c r="D1829">
        <f t="shared" si="112"/>
        <v>5859.3410921514533</v>
      </c>
      <c r="E1829">
        <f>_xlfn.XLOOKUP(A1829,Banks!A:A,Banks!I:I,0)</f>
        <v>39403.101567826117</v>
      </c>
      <c r="F1829">
        <f>_xlfn.XLOOKUP(A1829,Energy!A:A,Energy!I:I,0)</f>
        <v>0</v>
      </c>
      <c r="G1829">
        <f t="shared" si="113"/>
        <v>39403.101567826117</v>
      </c>
      <c r="H1829">
        <f t="shared" si="114"/>
        <v>33543.760475674666</v>
      </c>
      <c r="I1829" t="b">
        <f t="shared" si="115"/>
        <v>0</v>
      </c>
    </row>
    <row r="1830" spans="1:9">
      <c r="A1830" s="1">
        <v>46091.56527777778</v>
      </c>
      <c r="B1830" s="5">
        <f>_xlfn.XLOOKUP(A1830,Banks!A:A,Banks!H:H,0,-1)</f>
        <v>82.9032133150383</v>
      </c>
      <c r="C1830">
        <f>_xlfn.XLOOKUP(A1830,Energy!A:A,Energy!H:H,0,-1)</f>
        <v>5813.6903423503427</v>
      </c>
      <c r="D1830">
        <f t="shared" si="112"/>
        <v>5896.5935556653812</v>
      </c>
      <c r="E1830">
        <f>_xlfn.XLOOKUP(A1830,Banks!A:A,Banks!I:I,0)</f>
        <v>39538.973326247353</v>
      </c>
      <c r="F1830">
        <f>_xlfn.XLOOKUP(A1830,Energy!A:A,Energy!I:I,0)</f>
        <v>0</v>
      </c>
      <c r="G1830">
        <f t="shared" si="113"/>
        <v>39538.973326247353</v>
      </c>
      <c r="H1830">
        <f t="shared" si="114"/>
        <v>33642.379770581974</v>
      </c>
      <c r="I1830" t="b">
        <f t="shared" si="115"/>
        <v>0</v>
      </c>
    </row>
    <row r="1831" spans="1:9">
      <c r="A1831" s="1">
        <v>46091.565972222219</v>
      </c>
      <c r="B1831" s="5">
        <f>_xlfn.XLOOKUP(A1831,Banks!A:A,Banks!H:H,0,-1)</f>
        <v>204.7377409376171</v>
      </c>
      <c r="C1831">
        <f>_xlfn.XLOOKUP(A1831,Energy!A:A,Energy!H:H,0,-1)</f>
        <v>5813.6903423503427</v>
      </c>
      <c r="D1831">
        <f t="shared" si="112"/>
        <v>6018.4280832879595</v>
      </c>
      <c r="E1831">
        <f>_xlfn.XLOOKUP(A1831,Banks!A:A,Banks!I:I,0)</f>
        <v>39442.945295160833</v>
      </c>
      <c r="F1831">
        <f>_xlfn.XLOOKUP(A1831,Energy!A:A,Energy!I:I,0)</f>
        <v>0</v>
      </c>
      <c r="G1831">
        <f t="shared" si="113"/>
        <v>39442.945295160833</v>
      </c>
      <c r="H1831">
        <f t="shared" si="114"/>
        <v>33424.517211872873</v>
      </c>
      <c r="I1831" t="b">
        <f t="shared" si="115"/>
        <v>0</v>
      </c>
    </row>
    <row r="1832" spans="1:9">
      <c r="A1832" s="1">
        <v>46091.566666666673</v>
      </c>
      <c r="B1832" s="5">
        <f>_xlfn.XLOOKUP(A1832,Banks!A:A,Banks!H:H,0,-1)</f>
        <v>6.9191039148152242</v>
      </c>
      <c r="C1832">
        <f>_xlfn.XLOOKUP(A1832,Energy!A:A,Energy!H:H,0,-1)</f>
        <v>5813.6903423503427</v>
      </c>
      <c r="D1832">
        <f t="shared" si="112"/>
        <v>5820.6094462651581</v>
      </c>
      <c r="E1832">
        <f>_xlfn.XLOOKUP(A1832,Banks!A:A,Banks!I:I,0)</f>
        <v>39475.618529722888</v>
      </c>
      <c r="F1832">
        <f>_xlfn.XLOOKUP(A1832,Energy!A:A,Energy!I:I,0)</f>
        <v>0</v>
      </c>
      <c r="G1832">
        <f t="shared" si="113"/>
        <v>39475.618529722888</v>
      </c>
      <c r="H1832">
        <f t="shared" si="114"/>
        <v>33655.009083457728</v>
      </c>
      <c r="I1832" t="b">
        <f t="shared" si="115"/>
        <v>0</v>
      </c>
    </row>
    <row r="1833" spans="1:9">
      <c r="A1833" s="1">
        <v>46091.567361111112</v>
      </c>
      <c r="B1833" s="5">
        <f>_xlfn.XLOOKUP(A1833,Banks!A:A,Banks!H:H,0,-1)</f>
        <v>14.226564383588229</v>
      </c>
      <c r="C1833">
        <f>_xlfn.XLOOKUP(A1833,Energy!A:A,Energy!H:H,0,-1)</f>
        <v>5813.6903423503427</v>
      </c>
      <c r="D1833">
        <f t="shared" si="112"/>
        <v>5827.9169067339308</v>
      </c>
      <c r="E1833">
        <f>_xlfn.XLOOKUP(A1833,Banks!A:A,Banks!I:I,0)</f>
        <v>39436.94837627963</v>
      </c>
      <c r="F1833">
        <f>_xlfn.XLOOKUP(A1833,Energy!A:A,Energy!I:I,0)</f>
        <v>0</v>
      </c>
      <c r="G1833">
        <f t="shared" si="113"/>
        <v>39436.94837627963</v>
      </c>
      <c r="H1833">
        <f t="shared" si="114"/>
        <v>33609.031469545698</v>
      </c>
      <c r="I1833" t="b">
        <f t="shared" si="115"/>
        <v>0</v>
      </c>
    </row>
    <row r="1834" spans="1:9">
      <c r="A1834" s="1">
        <v>46091.568055555559</v>
      </c>
      <c r="B1834" s="5">
        <f>_xlfn.XLOOKUP(A1834,Banks!A:A,Banks!H:H,0,-1)</f>
        <v>331.11468675266809</v>
      </c>
      <c r="C1834">
        <f>_xlfn.XLOOKUP(A1834,Energy!A:A,Energy!H:H,0,-1)</f>
        <v>5813.6903423503427</v>
      </c>
      <c r="D1834">
        <f t="shared" si="112"/>
        <v>6144.8050291030104</v>
      </c>
      <c r="E1834">
        <f>_xlfn.XLOOKUP(A1834,Banks!A:A,Banks!I:I,0)</f>
        <v>39408.023216018308</v>
      </c>
      <c r="F1834">
        <f>_xlfn.XLOOKUP(A1834,Energy!A:A,Energy!I:I,0)</f>
        <v>0</v>
      </c>
      <c r="G1834">
        <f t="shared" si="113"/>
        <v>39408.023216018308</v>
      </c>
      <c r="H1834">
        <f t="shared" si="114"/>
        <v>33263.218186915299</v>
      </c>
      <c r="I1834" t="b">
        <f t="shared" si="115"/>
        <v>0</v>
      </c>
    </row>
    <row r="1835" spans="1:9">
      <c r="A1835" s="1">
        <v>46091.568749999999</v>
      </c>
      <c r="B1835" s="5">
        <f>_xlfn.XLOOKUP(A1835,Banks!A:A,Banks!H:H,0,-1)</f>
        <v>279.43599043390219</v>
      </c>
      <c r="C1835">
        <f>_xlfn.XLOOKUP(A1835,Energy!A:A,Energy!H:H,0,-1)</f>
        <v>5813.6903423503427</v>
      </c>
      <c r="D1835">
        <f t="shared" si="112"/>
        <v>6093.1263327842453</v>
      </c>
      <c r="E1835">
        <f>_xlfn.XLOOKUP(A1835,Banks!A:A,Banks!I:I,0)</f>
        <v>39397.687476754567</v>
      </c>
      <c r="F1835">
        <f>_xlfn.XLOOKUP(A1835,Energy!A:A,Energy!I:I,0)</f>
        <v>0</v>
      </c>
      <c r="G1835">
        <f t="shared" si="113"/>
        <v>39397.687476754567</v>
      </c>
      <c r="H1835">
        <f t="shared" si="114"/>
        <v>33304.561143970321</v>
      </c>
      <c r="I1835" t="b">
        <f t="shared" si="115"/>
        <v>0</v>
      </c>
    </row>
    <row r="1836" spans="1:9">
      <c r="A1836" s="1">
        <v>46091.569444444453</v>
      </c>
      <c r="B1836" s="5">
        <f>_xlfn.XLOOKUP(A1836,Banks!A:A,Banks!H:H,0,-1)</f>
        <v>209.8112665031243</v>
      </c>
      <c r="C1836">
        <f>_xlfn.XLOOKUP(A1836,Energy!A:A,Energy!H:H,0,-1)</f>
        <v>5813.6903423503427</v>
      </c>
      <c r="D1836">
        <f t="shared" si="112"/>
        <v>6023.5016088534667</v>
      </c>
      <c r="E1836">
        <f>_xlfn.XLOOKUP(A1836,Banks!A:A,Banks!I:I,0)</f>
        <v>39419.881012951722</v>
      </c>
      <c r="F1836">
        <f>_xlfn.XLOOKUP(A1836,Energy!A:A,Energy!I:I,0)</f>
        <v>0</v>
      </c>
      <c r="G1836">
        <f t="shared" si="113"/>
        <v>39419.881012951722</v>
      </c>
      <c r="H1836">
        <f t="shared" si="114"/>
        <v>33396.379404098254</v>
      </c>
      <c r="I1836" t="b">
        <f t="shared" si="115"/>
        <v>0</v>
      </c>
    </row>
    <row r="1837" spans="1:9">
      <c r="A1837" s="1">
        <v>46091.570138888892</v>
      </c>
      <c r="B1837" s="5">
        <f>_xlfn.XLOOKUP(A1837,Banks!A:A,Banks!H:H,0,-1)</f>
        <v>142.6487569691584</v>
      </c>
      <c r="C1837">
        <f>_xlfn.XLOOKUP(A1837,Energy!A:A,Energy!H:H,0,-1)</f>
        <v>5813.6903423503427</v>
      </c>
      <c r="D1837">
        <f t="shared" si="112"/>
        <v>5956.3390993195007</v>
      </c>
      <c r="E1837">
        <f>_xlfn.XLOOKUP(A1837,Banks!A:A,Banks!I:I,0)</f>
        <v>39338.224713632007</v>
      </c>
      <c r="F1837">
        <f>_xlfn.XLOOKUP(A1837,Energy!A:A,Energy!I:I,0)</f>
        <v>0</v>
      </c>
      <c r="G1837">
        <f t="shared" si="113"/>
        <v>39338.224713632007</v>
      </c>
      <c r="H1837">
        <f t="shared" si="114"/>
        <v>33381.885614312509</v>
      </c>
      <c r="I1837" t="b">
        <f t="shared" si="115"/>
        <v>0</v>
      </c>
    </row>
    <row r="1838" spans="1:9">
      <c r="A1838" s="1">
        <v>46091.570833333331</v>
      </c>
      <c r="B1838" s="5">
        <f>_xlfn.XLOOKUP(A1838,Banks!A:A,Banks!H:H,0,-1)</f>
        <v>213.18196453843979</v>
      </c>
      <c r="C1838">
        <f>_xlfn.XLOOKUP(A1838,Energy!A:A,Energy!H:H,0,-1)</f>
        <v>5813.6903423503427</v>
      </c>
      <c r="D1838">
        <f t="shared" si="112"/>
        <v>6026.8723068887821</v>
      </c>
      <c r="E1838">
        <f>_xlfn.XLOOKUP(A1838,Banks!A:A,Banks!I:I,0)</f>
        <v>39328.252367823647</v>
      </c>
      <c r="F1838">
        <f>_xlfn.XLOOKUP(A1838,Energy!A:A,Energy!I:I,0)</f>
        <v>0</v>
      </c>
      <c r="G1838">
        <f t="shared" si="113"/>
        <v>39328.252367823647</v>
      </c>
      <c r="H1838">
        <f t="shared" si="114"/>
        <v>33301.380060934862</v>
      </c>
      <c r="I1838" t="b">
        <f t="shared" si="115"/>
        <v>0</v>
      </c>
    </row>
    <row r="1839" spans="1:9">
      <c r="A1839" s="1">
        <v>46091.571527777778</v>
      </c>
      <c r="B1839" s="5">
        <f>_xlfn.XLOOKUP(A1839,Banks!A:A,Banks!H:H,0,-1)</f>
        <v>304.31210224925792</v>
      </c>
      <c r="C1839">
        <f>_xlfn.XLOOKUP(A1839,Energy!A:A,Energy!H:H,0,-1)</f>
        <v>5813.6903423503427</v>
      </c>
      <c r="D1839">
        <f t="shared" si="112"/>
        <v>6118.0024445996005</v>
      </c>
      <c r="E1839">
        <f>_xlfn.XLOOKUP(A1839,Banks!A:A,Banks!I:I,0)</f>
        <v>39230.096623308476</v>
      </c>
      <c r="F1839">
        <f>_xlfn.XLOOKUP(A1839,Energy!A:A,Energy!I:I,0)</f>
        <v>0</v>
      </c>
      <c r="G1839">
        <f t="shared" si="113"/>
        <v>39230.096623308476</v>
      </c>
      <c r="H1839">
        <f t="shared" si="114"/>
        <v>33112.094178708874</v>
      </c>
      <c r="I1839" t="b">
        <f t="shared" si="115"/>
        <v>0</v>
      </c>
    </row>
    <row r="1840" spans="1:9">
      <c r="A1840" s="1">
        <v>46091.572222222218</v>
      </c>
      <c r="B1840" s="5">
        <f>_xlfn.XLOOKUP(A1840,Banks!A:A,Banks!H:H,0,-1)</f>
        <v>270.26058474583402</v>
      </c>
      <c r="C1840">
        <f>_xlfn.XLOOKUP(A1840,Energy!A:A,Energy!H:H,0,-1)</f>
        <v>5813.6903423503427</v>
      </c>
      <c r="D1840">
        <f t="shared" si="112"/>
        <v>6083.9509270961771</v>
      </c>
      <c r="E1840">
        <f>_xlfn.XLOOKUP(A1840,Banks!A:A,Banks!I:I,0)</f>
        <v>0</v>
      </c>
      <c r="F1840">
        <f>_xlfn.XLOOKUP(A1840,Energy!A:A,Energy!I:I,0)</f>
        <v>0</v>
      </c>
      <c r="G1840">
        <f t="shared" si="113"/>
        <v>0</v>
      </c>
      <c r="H1840">
        <f t="shared" si="114"/>
        <v>-6083.9509270961771</v>
      </c>
      <c r="I1840" t="b">
        <f t="shared" si="115"/>
        <v>0</v>
      </c>
    </row>
    <row r="1841" spans="1:9">
      <c r="A1841" s="1">
        <v>46091.742361111108</v>
      </c>
      <c r="B1841" s="5">
        <f>_xlfn.XLOOKUP(A1841,Banks!A:A,Banks!H:H,0,-1)</f>
        <v>270.26058474583402</v>
      </c>
      <c r="C1841">
        <f>_xlfn.XLOOKUP(A1841,Energy!A:A,Energy!H:H,0,-1)</f>
        <v>5813.6903423503427</v>
      </c>
      <c r="D1841">
        <f t="shared" si="112"/>
        <v>6083.9509270961771</v>
      </c>
      <c r="E1841">
        <f>_xlfn.XLOOKUP(A1841,Banks!A:A,Banks!I:I,0)</f>
        <v>39375.558465269387</v>
      </c>
      <c r="F1841">
        <f>_xlfn.XLOOKUP(A1841,Energy!A:A,Energy!I:I,0)</f>
        <v>0</v>
      </c>
      <c r="G1841">
        <f t="shared" si="113"/>
        <v>39375.558465269387</v>
      </c>
      <c r="H1841">
        <f t="shared" si="114"/>
        <v>33291.607538173208</v>
      </c>
      <c r="I1841" t="b">
        <f t="shared" si="115"/>
        <v>0</v>
      </c>
    </row>
    <row r="1842" spans="1:9">
      <c r="A1842" s="1">
        <v>46091.743055555547</v>
      </c>
      <c r="B1842" s="5">
        <f>_xlfn.XLOOKUP(A1842,Banks!A:A,Banks!H:H,0,-1)</f>
        <v>537.39185228553379</v>
      </c>
      <c r="C1842">
        <f>_xlfn.XLOOKUP(A1842,Energy!A:A,Energy!H:H,0,-1)</f>
        <v>5813.6903423503427</v>
      </c>
      <c r="D1842">
        <f t="shared" si="112"/>
        <v>6351.0821946358765</v>
      </c>
      <c r="E1842">
        <f>_xlfn.XLOOKUP(A1842,Banks!A:A,Banks!I:I,0)</f>
        <v>39314.593188750303</v>
      </c>
      <c r="F1842">
        <f>_xlfn.XLOOKUP(A1842,Energy!A:A,Energy!I:I,0)</f>
        <v>0</v>
      </c>
      <c r="G1842">
        <f t="shared" si="113"/>
        <v>39314.593188750303</v>
      </c>
      <c r="H1842">
        <f t="shared" si="114"/>
        <v>32963.510994114426</v>
      </c>
      <c r="I1842" t="b">
        <f t="shared" si="115"/>
        <v>0</v>
      </c>
    </row>
    <row r="1843" spans="1:9">
      <c r="A1843" s="1">
        <v>46091.743750000001</v>
      </c>
      <c r="B1843" s="5">
        <f>_xlfn.XLOOKUP(A1843,Banks!A:A,Banks!H:H,0,-1)</f>
        <v>525.36112623526913</v>
      </c>
      <c r="C1843">
        <f>_xlfn.XLOOKUP(A1843,Energy!A:A,Energy!H:H,0,-1)</f>
        <v>5813.6903423503427</v>
      </c>
      <c r="D1843">
        <f t="shared" si="112"/>
        <v>6339.0514685856115</v>
      </c>
      <c r="E1843">
        <f>_xlfn.XLOOKUP(A1843,Banks!A:A,Banks!I:I,0)</f>
        <v>39327.965185612942</v>
      </c>
      <c r="F1843">
        <f>_xlfn.XLOOKUP(A1843,Energy!A:A,Energy!I:I,0)</f>
        <v>0</v>
      </c>
      <c r="G1843">
        <f t="shared" si="113"/>
        <v>39327.965185612942</v>
      </c>
      <c r="H1843">
        <f t="shared" si="114"/>
        <v>32988.913717027332</v>
      </c>
      <c r="I1843" t="b">
        <f t="shared" si="115"/>
        <v>0</v>
      </c>
    </row>
    <row r="1844" spans="1:9">
      <c r="A1844" s="1">
        <v>46091.744444444441</v>
      </c>
      <c r="B1844" s="5">
        <f>_xlfn.XLOOKUP(A1844,Banks!A:A,Banks!H:H,0,-1)</f>
        <v>513.74954731386254</v>
      </c>
      <c r="C1844">
        <f>_xlfn.XLOOKUP(A1844,Energy!A:A,Energy!H:H,0,-1)</f>
        <v>5813.6903423503427</v>
      </c>
      <c r="D1844">
        <f t="shared" si="112"/>
        <v>6327.4398896642051</v>
      </c>
      <c r="E1844">
        <f>_xlfn.XLOOKUP(A1844,Banks!A:A,Banks!I:I,0)</f>
        <v>39345.365547419533</v>
      </c>
      <c r="F1844">
        <f>_xlfn.XLOOKUP(A1844,Energy!A:A,Energy!I:I,0)</f>
        <v>0</v>
      </c>
      <c r="G1844">
        <f t="shared" si="113"/>
        <v>39345.365547419533</v>
      </c>
      <c r="H1844">
        <f t="shared" si="114"/>
        <v>33017.925657755331</v>
      </c>
      <c r="I1844" t="b">
        <f t="shared" si="115"/>
        <v>0</v>
      </c>
    </row>
    <row r="1845" spans="1:9">
      <c r="A1845" s="1">
        <v>46091.745138888888</v>
      </c>
      <c r="B1845" s="5">
        <f>_xlfn.XLOOKUP(A1845,Banks!A:A,Banks!H:H,0,-1)</f>
        <v>487.59235956900312</v>
      </c>
      <c r="C1845">
        <f>_xlfn.XLOOKUP(A1845,Energy!A:A,Energy!H:H,0,-1)</f>
        <v>5813.6903423503427</v>
      </c>
      <c r="D1845">
        <f t="shared" si="112"/>
        <v>6301.2827019193455</v>
      </c>
      <c r="E1845">
        <f>_xlfn.XLOOKUP(A1845,Banks!A:A,Banks!I:I,0)</f>
        <v>39351.967716425082</v>
      </c>
      <c r="F1845">
        <f>_xlfn.XLOOKUP(A1845,Energy!A:A,Energy!I:I,0)</f>
        <v>0</v>
      </c>
      <c r="G1845">
        <f t="shared" si="113"/>
        <v>39351.967716425082</v>
      </c>
      <c r="H1845">
        <f t="shared" si="114"/>
        <v>33050.68501450574</v>
      </c>
      <c r="I1845" t="b">
        <f t="shared" si="115"/>
        <v>0</v>
      </c>
    </row>
    <row r="1846" spans="1:9">
      <c r="A1846" s="1">
        <v>46091.745833333327</v>
      </c>
      <c r="B1846" s="5">
        <f>_xlfn.XLOOKUP(A1846,Banks!A:A,Banks!H:H,0,-1)</f>
        <v>562.63709416217887</v>
      </c>
      <c r="C1846">
        <f>_xlfn.XLOOKUP(A1846,Energy!A:A,Energy!H:H,0,-1)</f>
        <v>5813.6903423503427</v>
      </c>
      <c r="D1846">
        <f t="shared" si="112"/>
        <v>6376.3274365125217</v>
      </c>
      <c r="E1846">
        <f>_xlfn.XLOOKUP(A1846,Banks!A:A,Banks!I:I,0)</f>
        <v>39331.475843680149</v>
      </c>
      <c r="F1846">
        <f>_xlfn.XLOOKUP(A1846,Energy!A:A,Energy!I:I,0)</f>
        <v>0</v>
      </c>
      <c r="G1846">
        <f t="shared" si="113"/>
        <v>39331.475843680149</v>
      </c>
      <c r="H1846">
        <f t="shared" si="114"/>
        <v>32955.148407167624</v>
      </c>
      <c r="I1846" t="b">
        <f t="shared" si="115"/>
        <v>0</v>
      </c>
    </row>
    <row r="1847" spans="1:9">
      <c r="A1847" s="1">
        <v>46091.746527777781</v>
      </c>
      <c r="B1847" s="5">
        <f>_xlfn.XLOOKUP(A1847,Banks!A:A,Banks!H:H,0,-1)</f>
        <v>524.44918036704075</v>
      </c>
      <c r="C1847">
        <f>_xlfn.XLOOKUP(A1847,Energy!A:A,Energy!H:H,0,-1)</f>
        <v>5813.6903423503427</v>
      </c>
      <c r="D1847">
        <f t="shared" si="112"/>
        <v>6338.1395227173834</v>
      </c>
      <c r="E1847">
        <f>_xlfn.XLOOKUP(A1847,Banks!A:A,Banks!I:I,0)</f>
        <v>39351.450009548338</v>
      </c>
      <c r="F1847">
        <f>_xlfn.XLOOKUP(A1847,Energy!A:A,Energy!I:I,0)</f>
        <v>0</v>
      </c>
      <c r="G1847">
        <f t="shared" si="113"/>
        <v>39351.450009548338</v>
      </c>
      <c r="H1847">
        <f t="shared" si="114"/>
        <v>33013.310486830953</v>
      </c>
      <c r="I1847" t="b">
        <f t="shared" si="115"/>
        <v>0</v>
      </c>
    </row>
    <row r="1848" spans="1:9">
      <c r="A1848" s="1">
        <v>46091.74722222222</v>
      </c>
      <c r="B1848" s="5">
        <f>_xlfn.XLOOKUP(A1848,Banks!A:A,Banks!H:H,0,-1)</f>
        <v>517.25002756581648</v>
      </c>
      <c r="C1848">
        <f>_xlfn.XLOOKUP(A1848,Energy!A:A,Energy!H:H,0,-1)</f>
        <v>5813.6903423503427</v>
      </c>
      <c r="D1848">
        <f t="shared" si="112"/>
        <v>6330.9403699161594</v>
      </c>
      <c r="E1848">
        <f>_xlfn.XLOOKUP(A1848,Banks!A:A,Banks!I:I,0)</f>
        <v>39314.509359324533</v>
      </c>
      <c r="F1848">
        <f>_xlfn.XLOOKUP(A1848,Energy!A:A,Energy!I:I,0)</f>
        <v>0</v>
      </c>
      <c r="G1848">
        <f t="shared" si="113"/>
        <v>39314.509359324533</v>
      </c>
      <c r="H1848">
        <f t="shared" si="114"/>
        <v>32983.568989408377</v>
      </c>
      <c r="I1848" t="b">
        <f t="shared" si="115"/>
        <v>0</v>
      </c>
    </row>
    <row r="1849" spans="1:9">
      <c r="A1849" s="1">
        <v>46091.747916666667</v>
      </c>
      <c r="B1849" s="5">
        <f>_xlfn.XLOOKUP(A1849,Banks!A:A,Banks!H:H,0,-1)</f>
        <v>514.66149318209102</v>
      </c>
      <c r="C1849">
        <f>_xlfn.XLOOKUP(A1849,Energy!A:A,Energy!H:H,0,-1)</f>
        <v>5813.6903423503427</v>
      </c>
      <c r="D1849">
        <f t="shared" si="112"/>
        <v>6328.3518355324341</v>
      </c>
      <c r="E1849">
        <f>_xlfn.XLOOKUP(A1849,Banks!A:A,Banks!I:I,0)</f>
        <v>39321.88072348413</v>
      </c>
      <c r="F1849">
        <f>_xlfn.XLOOKUP(A1849,Energy!A:A,Energy!I:I,0)</f>
        <v>0</v>
      </c>
      <c r="G1849">
        <f t="shared" si="113"/>
        <v>39321.88072348413</v>
      </c>
      <c r="H1849">
        <f t="shared" si="114"/>
        <v>32993.528887951696</v>
      </c>
      <c r="I1849" t="b">
        <f t="shared" si="115"/>
        <v>0</v>
      </c>
    </row>
    <row r="1850" spans="1:9">
      <c r="A1850" s="1">
        <v>46091.748611111107</v>
      </c>
      <c r="B1850" s="5">
        <f>_xlfn.XLOOKUP(A1850,Banks!A:A,Banks!H:H,0,-1)</f>
        <v>544.24550956839516</v>
      </c>
      <c r="C1850">
        <f>_xlfn.XLOOKUP(A1850,Energy!A:A,Energy!H:H,0,-1)</f>
        <v>5813.6903423503427</v>
      </c>
      <c r="D1850">
        <f t="shared" si="112"/>
        <v>6357.9358519187381</v>
      </c>
      <c r="E1850">
        <f>_xlfn.XLOOKUP(A1850,Banks!A:A,Banks!I:I,0)</f>
        <v>39315.963920206872</v>
      </c>
      <c r="F1850">
        <f>_xlfn.XLOOKUP(A1850,Energy!A:A,Energy!I:I,0)</f>
        <v>0</v>
      </c>
      <c r="G1850">
        <f t="shared" si="113"/>
        <v>39315.963920206872</v>
      </c>
      <c r="H1850">
        <f t="shared" si="114"/>
        <v>32958.028068288135</v>
      </c>
      <c r="I1850" t="b">
        <f t="shared" si="115"/>
        <v>0</v>
      </c>
    </row>
    <row r="1851" spans="1:9">
      <c r="A1851" s="1">
        <v>46091.749305555553</v>
      </c>
      <c r="B1851" s="5">
        <f>_xlfn.XLOOKUP(A1851,Banks!A:A,Banks!H:H,0,-1)</f>
        <v>526.69221923236978</v>
      </c>
      <c r="C1851">
        <f>_xlfn.XLOOKUP(A1851,Energy!A:A,Energy!H:H,0,-1)</f>
        <v>5813.6903423503427</v>
      </c>
      <c r="D1851">
        <f t="shared" si="112"/>
        <v>6340.3825615827127</v>
      </c>
      <c r="E1851">
        <f>_xlfn.XLOOKUP(A1851,Banks!A:A,Banks!I:I,0)</f>
        <v>39308.50872662149</v>
      </c>
      <c r="F1851">
        <f>_xlfn.XLOOKUP(A1851,Energy!A:A,Energy!I:I,0)</f>
        <v>0</v>
      </c>
      <c r="G1851">
        <f t="shared" si="113"/>
        <v>39308.50872662149</v>
      </c>
      <c r="H1851">
        <f t="shared" si="114"/>
        <v>32968.126165038775</v>
      </c>
      <c r="I1851" t="b">
        <f t="shared" si="115"/>
        <v>0</v>
      </c>
    </row>
    <row r="1852" spans="1:9">
      <c r="A1852" s="1">
        <v>46091.75</v>
      </c>
      <c r="B1852" s="5">
        <f>_xlfn.XLOOKUP(A1852,Banks!A:A,Banks!H:H,0,-1)</f>
        <v>472.70125522717888</v>
      </c>
      <c r="C1852">
        <f>_xlfn.XLOOKUP(A1852,Energy!A:A,Energy!H:H,0,-1)</f>
        <v>5813.6903423503427</v>
      </c>
      <c r="D1852">
        <f t="shared" si="112"/>
        <v>6286.3915975775217</v>
      </c>
      <c r="E1852">
        <f>_xlfn.XLOOKUP(A1852,Banks!A:A,Banks!I:I,0)</f>
        <v>39305.599604856798</v>
      </c>
      <c r="F1852">
        <f>_xlfn.XLOOKUP(A1852,Energy!A:A,Energy!I:I,0)</f>
        <v>0</v>
      </c>
      <c r="G1852">
        <f t="shared" si="113"/>
        <v>39305.599604856798</v>
      </c>
      <c r="H1852">
        <f t="shared" si="114"/>
        <v>33019.208007279274</v>
      </c>
      <c r="I1852" t="b">
        <f t="shared" si="115"/>
        <v>0</v>
      </c>
    </row>
    <row r="1853" spans="1:9">
      <c r="A1853" s="1">
        <v>46091.750694444447</v>
      </c>
      <c r="B1853" s="5">
        <f>_xlfn.XLOOKUP(A1853,Banks!A:A,Banks!H:H,0,-1)</f>
        <v>443.9555330985994</v>
      </c>
      <c r="C1853">
        <f>_xlfn.XLOOKUP(A1853,Energy!A:A,Energy!H:H,0,-1)</f>
        <v>5813.6903423503427</v>
      </c>
      <c r="D1853">
        <f t="shared" si="112"/>
        <v>6257.6458754489422</v>
      </c>
      <c r="E1853">
        <f>_xlfn.XLOOKUP(A1853,Banks!A:A,Banks!I:I,0)</f>
        <v>39319.573138021959</v>
      </c>
      <c r="F1853">
        <f>_xlfn.XLOOKUP(A1853,Energy!A:A,Energy!I:I,0)</f>
        <v>0</v>
      </c>
      <c r="G1853">
        <f t="shared" si="113"/>
        <v>39319.573138021959</v>
      </c>
      <c r="H1853">
        <f t="shared" si="114"/>
        <v>33061.927262573015</v>
      </c>
      <c r="I1853" t="b">
        <f t="shared" si="115"/>
        <v>0</v>
      </c>
    </row>
    <row r="1854" spans="1:9">
      <c r="A1854" s="1">
        <v>46091.751388888893</v>
      </c>
      <c r="B1854" s="5">
        <f>_xlfn.XLOOKUP(A1854,Banks!A:A,Banks!H:H,0,-1)</f>
        <v>428.0788312780179</v>
      </c>
      <c r="C1854">
        <f>_xlfn.XLOOKUP(A1854,Energy!A:A,Energy!H:H,0,-1)</f>
        <v>5813.6903423503427</v>
      </c>
      <c r="D1854">
        <f t="shared" si="112"/>
        <v>6241.7691736283605</v>
      </c>
      <c r="E1854">
        <f>_xlfn.XLOOKUP(A1854,Banks!A:A,Banks!I:I,0)</f>
        <v>39328.231404212362</v>
      </c>
      <c r="F1854">
        <f>_xlfn.XLOOKUP(A1854,Energy!A:A,Energy!I:I,0)</f>
        <v>0</v>
      </c>
      <c r="G1854">
        <f t="shared" si="113"/>
        <v>39328.231404212362</v>
      </c>
      <c r="H1854">
        <f t="shared" si="114"/>
        <v>33086.462230584002</v>
      </c>
      <c r="I1854" t="b">
        <f t="shared" si="115"/>
        <v>0</v>
      </c>
    </row>
    <row r="1855" spans="1:9">
      <c r="A1855" s="1">
        <v>46091.752083333333</v>
      </c>
      <c r="B1855" s="5">
        <f>_xlfn.XLOOKUP(A1855,Banks!A:A,Banks!H:H,0,-1)</f>
        <v>391.14835886949061</v>
      </c>
      <c r="C1855">
        <f>_xlfn.XLOOKUP(A1855,Energy!A:A,Energy!H:H,0,-1)</f>
        <v>5813.6903423503427</v>
      </c>
      <c r="D1855">
        <f t="shared" si="112"/>
        <v>6204.8387012198336</v>
      </c>
      <c r="E1855">
        <f>_xlfn.XLOOKUP(A1855,Banks!A:A,Banks!I:I,0)</f>
        <v>39360.290664912391</v>
      </c>
      <c r="F1855">
        <f>_xlfn.XLOOKUP(A1855,Energy!A:A,Energy!I:I,0)</f>
        <v>0</v>
      </c>
      <c r="G1855">
        <f t="shared" si="113"/>
        <v>39360.290664912391</v>
      </c>
      <c r="H1855">
        <f t="shared" si="114"/>
        <v>33155.451963692554</v>
      </c>
      <c r="I1855" t="b">
        <f t="shared" si="115"/>
        <v>0</v>
      </c>
    </row>
    <row r="1856" spans="1:9">
      <c r="A1856" s="1">
        <v>46091.75277777778</v>
      </c>
      <c r="B1856" s="5">
        <f>_xlfn.XLOOKUP(A1856,Banks!A:A,Banks!H:H,0,-1)</f>
        <v>429.29944685937141</v>
      </c>
      <c r="C1856">
        <f>_xlfn.XLOOKUP(A1856,Energy!A:A,Energy!H:H,0,-1)</f>
        <v>5813.6903423503427</v>
      </c>
      <c r="D1856">
        <f t="shared" si="112"/>
        <v>6242.9897892097142</v>
      </c>
      <c r="E1856">
        <f>_xlfn.XLOOKUP(A1856,Banks!A:A,Banks!I:I,0)</f>
        <v>39356.087275955848</v>
      </c>
      <c r="F1856">
        <f>_xlfn.XLOOKUP(A1856,Energy!A:A,Energy!I:I,0)</f>
        <v>0</v>
      </c>
      <c r="G1856">
        <f t="shared" si="113"/>
        <v>39356.087275955848</v>
      </c>
      <c r="H1856">
        <f t="shared" si="114"/>
        <v>33113.097486746134</v>
      </c>
      <c r="I1856" t="b">
        <f t="shared" si="115"/>
        <v>0</v>
      </c>
    </row>
    <row r="1857" spans="1:9">
      <c r="A1857" s="1">
        <v>46091.753472222219</v>
      </c>
      <c r="B1857" s="5">
        <f>_xlfn.XLOOKUP(A1857,Banks!A:A,Banks!H:H,0,-1)</f>
        <v>328.97264458431829</v>
      </c>
      <c r="C1857">
        <f>_xlfn.XLOOKUP(A1857,Energy!A:A,Energy!H:H,0,-1)</f>
        <v>5813.6903423503427</v>
      </c>
      <c r="D1857">
        <f t="shared" si="112"/>
        <v>6142.6629869346607</v>
      </c>
      <c r="E1857">
        <f>_xlfn.XLOOKUP(A1857,Banks!A:A,Banks!I:I,0)</f>
        <v>39375.467270682573</v>
      </c>
      <c r="F1857">
        <f>_xlfn.XLOOKUP(A1857,Energy!A:A,Energy!I:I,0)</f>
        <v>0</v>
      </c>
      <c r="G1857">
        <f t="shared" si="113"/>
        <v>39375.467270682573</v>
      </c>
      <c r="H1857">
        <f t="shared" si="114"/>
        <v>33232.804283747915</v>
      </c>
      <c r="I1857" t="b">
        <f t="shared" si="115"/>
        <v>0</v>
      </c>
    </row>
    <row r="1858" spans="1:9">
      <c r="A1858" s="1">
        <v>46091.754166666673</v>
      </c>
      <c r="B1858" s="5">
        <f>_xlfn.XLOOKUP(A1858,Banks!A:A,Banks!H:H,0,-1)</f>
        <v>448.14700438725959</v>
      </c>
      <c r="C1858">
        <f>_xlfn.XLOOKUP(A1858,Energy!A:A,Energy!H:H,0,-1)</f>
        <v>5813.6903423503427</v>
      </c>
      <c r="D1858">
        <f t="shared" si="112"/>
        <v>6261.8373467376023</v>
      </c>
      <c r="E1858">
        <f>_xlfn.XLOOKUP(A1858,Banks!A:A,Banks!I:I,0)</f>
        <v>39359.856787461416</v>
      </c>
      <c r="F1858">
        <f>_xlfn.XLOOKUP(A1858,Energy!A:A,Energy!I:I,0)</f>
        <v>0</v>
      </c>
      <c r="G1858">
        <f t="shared" si="113"/>
        <v>39359.856787461416</v>
      </c>
      <c r="H1858">
        <f t="shared" si="114"/>
        <v>33098.019440723816</v>
      </c>
      <c r="I1858" t="b">
        <f t="shared" si="115"/>
        <v>0</v>
      </c>
    </row>
    <row r="1859" spans="1:9">
      <c r="A1859" s="1">
        <v>46091.754861111112</v>
      </c>
      <c r="B1859" s="5">
        <f>_xlfn.XLOOKUP(A1859,Banks!A:A,Banks!H:H,0,-1)</f>
        <v>394.99433463979341</v>
      </c>
      <c r="C1859">
        <f>_xlfn.XLOOKUP(A1859,Energy!A:A,Energy!H:H,0,-1)</f>
        <v>5813.6903423503427</v>
      </c>
      <c r="D1859">
        <f t="shared" ref="D1859:D1922" si="116">B1859+C1859</f>
        <v>6208.6846769901358</v>
      </c>
      <c r="E1859">
        <f>_xlfn.XLOOKUP(A1859,Banks!A:A,Banks!I:I,0)</f>
        <v>39365.004395584627</v>
      </c>
      <c r="F1859">
        <f>_xlfn.XLOOKUP(A1859,Energy!A:A,Energy!I:I,0)</f>
        <v>0</v>
      </c>
      <c r="G1859">
        <f t="shared" ref="G1859:G1922" si="117">F1859+E1859</f>
        <v>39365.004395584627</v>
      </c>
      <c r="H1859">
        <f t="shared" ref="H1859:H1922" si="118">G1859-D1859</f>
        <v>33156.319718594488</v>
      </c>
      <c r="I1859" t="b">
        <f t="shared" ref="I1859:I1922" si="119">AND(E1859&gt;0,F1859&gt;0)</f>
        <v>0</v>
      </c>
    </row>
    <row r="1860" spans="1:9">
      <c r="A1860" s="1">
        <v>46091.755555555559</v>
      </c>
      <c r="B1860" s="5">
        <f>_xlfn.XLOOKUP(A1860,Banks!A:A,Banks!H:H,0,-1)</f>
        <v>431.85115543784502</v>
      </c>
      <c r="C1860">
        <f>_xlfn.XLOOKUP(A1860,Energy!A:A,Energy!H:H,0,-1)</f>
        <v>5813.6903423503427</v>
      </c>
      <c r="D1860">
        <f t="shared" si="116"/>
        <v>6245.5414977881874</v>
      </c>
      <c r="E1860">
        <f>_xlfn.XLOOKUP(A1860,Banks!A:A,Banks!I:I,0)</f>
        <v>39364.48668870789</v>
      </c>
      <c r="F1860">
        <f>_xlfn.XLOOKUP(A1860,Energy!A:A,Energy!I:I,0)</f>
        <v>0</v>
      </c>
      <c r="G1860">
        <f t="shared" si="117"/>
        <v>39364.48668870789</v>
      </c>
      <c r="H1860">
        <f t="shared" si="118"/>
        <v>33118.945190919701</v>
      </c>
      <c r="I1860" t="b">
        <f t="shared" si="119"/>
        <v>0</v>
      </c>
    </row>
    <row r="1861" spans="1:9">
      <c r="A1861" s="1">
        <v>46091.756249999999</v>
      </c>
      <c r="B1861" s="5">
        <f>_xlfn.XLOOKUP(A1861,Banks!A:A,Banks!H:H,0,-1)</f>
        <v>352.19580242712289</v>
      </c>
      <c r="C1861">
        <f>_xlfn.XLOOKUP(A1861,Energy!A:A,Energy!H:H,0,-1)</f>
        <v>5813.6903423503427</v>
      </c>
      <c r="D1861">
        <f t="shared" si="116"/>
        <v>6165.8861447774652</v>
      </c>
      <c r="E1861">
        <f>_xlfn.XLOOKUP(A1861,Banks!A:A,Banks!I:I,0)</f>
        <v>39340.666547069399</v>
      </c>
      <c r="F1861">
        <f>_xlfn.XLOOKUP(A1861,Energy!A:A,Energy!I:I,0)</f>
        <v>0</v>
      </c>
      <c r="G1861">
        <f t="shared" si="117"/>
        <v>39340.666547069399</v>
      </c>
      <c r="H1861">
        <f t="shared" si="118"/>
        <v>33174.78040229193</v>
      </c>
      <c r="I1861" t="b">
        <f t="shared" si="119"/>
        <v>0</v>
      </c>
    </row>
    <row r="1862" spans="1:9">
      <c r="A1862" s="1">
        <v>46091.756944444453</v>
      </c>
      <c r="B1862" s="5">
        <f>_xlfn.XLOOKUP(A1862,Banks!A:A,Banks!H:H,0,-1)</f>
        <v>413.95236958342309</v>
      </c>
      <c r="C1862">
        <f>_xlfn.XLOOKUP(A1862,Energy!A:A,Energy!H:H,0,-1)</f>
        <v>5813.6903423503427</v>
      </c>
      <c r="D1862">
        <f t="shared" si="116"/>
        <v>6227.6427119337659</v>
      </c>
      <c r="E1862">
        <f>_xlfn.XLOOKUP(A1862,Banks!A:A,Banks!I:I,0)</f>
        <v>39321.461576355257</v>
      </c>
      <c r="F1862">
        <f>_xlfn.XLOOKUP(A1862,Energy!A:A,Energy!I:I,0)</f>
        <v>0</v>
      </c>
      <c r="G1862">
        <f t="shared" si="117"/>
        <v>39321.461576355257</v>
      </c>
      <c r="H1862">
        <f t="shared" si="118"/>
        <v>33093.81886442149</v>
      </c>
      <c r="I1862" t="b">
        <f t="shared" si="119"/>
        <v>0</v>
      </c>
    </row>
    <row r="1863" spans="1:9">
      <c r="A1863" s="1">
        <v>46091.757638888892</v>
      </c>
      <c r="B1863" s="5">
        <f>_xlfn.XLOOKUP(A1863,Banks!A:A,Banks!H:H,0,-1)</f>
        <v>440.52870445714927</v>
      </c>
      <c r="C1863">
        <f>_xlfn.XLOOKUP(A1863,Energy!A:A,Energy!H:H,0,-1)</f>
        <v>5813.6903423503427</v>
      </c>
      <c r="D1863">
        <f t="shared" si="116"/>
        <v>6254.2190468074923</v>
      </c>
      <c r="E1863">
        <f>_xlfn.XLOOKUP(A1863,Banks!A:A,Banks!I:I,0)</f>
        <v>39318.887772293667</v>
      </c>
      <c r="F1863">
        <f>_xlfn.XLOOKUP(A1863,Energy!A:A,Energy!I:I,0)</f>
        <v>0</v>
      </c>
      <c r="G1863">
        <f t="shared" si="117"/>
        <v>39318.887772293667</v>
      </c>
      <c r="H1863">
        <f t="shared" si="118"/>
        <v>33064.668725486175</v>
      </c>
      <c r="I1863" t="b">
        <f t="shared" si="119"/>
        <v>0</v>
      </c>
    </row>
    <row r="1864" spans="1:9">
      <c r="A1864" s="1">
        <v>46091.758333333331</v>
      </c>
      <c r="B1864" s="5">
        <f>_xlfn.XLOOKUP(A1864,Banks!A:A,Banks!H:H,0,-1)</f>
        <v>414.79963237015932</v>
      </c>
      <c r="C1864">
        <f>_xlfn.XLOOKUP(A1864,Energy!A:A,Energy!H:H,0,-1)</f>
        <v>5813.6903423503427</v>
      </c>
      <c r="D1864">
        <f t="shared" si="116"/>
        <v>6228.4899747205018</v>
      </c>
      <c r="E1864">
        <f>_xlfn.XLOOKUP(A1864,Banks!A:A,Banks!I:I,0)</f>
        <v>0</v>
      </c>
      <c r="F1864">
        <f>_xlfn.XLOOKUP(A1864,Energy!A:A,Energy!I:I,0)</f>
        <v>0</v>
      </c>
      <c r="G1864">
        <f t="shared" si="117"/>
        <v>0</v>
      </c>
      <c r="H1864">
        <f t="shared" si="118"/>
        <v>-6228.4899747205018</v>
      </c>
      <c r="I1864" t="b">
        <f t="shared" si="119"/>
        <v>0</v>
      </c>
    </row>
    <row r="1865" spans="1:9">
      <c r="A1865" s="1">
        <v>46092.5625</v>
      </c>
      <c r="B1865" s="5">
        <f>_xlfn.XLOOKUP(A1865,Banks!A:A,Banks!H:H,0,-1)</f>
        <v>414.79963237015932</v>
      </c>
      <c r="C1865">
        <f>_xlfn.XLOOKUP(A1865,Energy!A:A,Energy!H:H,0,-1)</f>
        <v>5813.6903423503427</v>
      </c>
      <c r="D1865">
        <f t="shared" si="116"/>
        <v>6228.4899747205018</v>
      </c>
      <c r="E1865">
        <f>_xlfn.XLOOKUP(A1865,Banks!A:A,Banks!I:I,0)</f>
        <v>39375.558465269387</v>
      </c>
      <c r="F1865">
        <f>_xlfn.XLOOKUP(A1865,Energy!A:A,Energy!I:I,0)</f>
        <v>0</v>
      </c>
      <c r="G1865">
        <f t="shared" si="117"/>
        <v>39375.558465269387</v>
      </c>
      <c r="H1865">
        <f t="shared" si="118"/>
        <v>33147.068490548889</v>
      </c>
      <c r="I1865" t="b">
        <f t="shared" si="119"/>
        <v>0</v>
      </c>
    </row>
    <row r="1866" spans="1:9">
      <c r="A1866" s="1">
        <v>46092.563194444447</v>
      </c>
      <c r="B1866" s="5">
        <f>_xlfn.XLOOKUP(A1866,Banks!A:A,Banks!H:H,0,-1)</f>
        <v>14.20768812143911</v>
      </c>
      <c r="C1866">
        <f>_xlfn.XLOOKUP(A1866,Energy!A:A,Energy!H:H,0,-1)</f>
        <v>5813.6903423503427</v>
      </c>
      <c r="D1866">
        <f t="shared" si="116"/>
        <v>5827.8980304717816</v>
      </c>
      <c r="E1866">
        <f>_xlfn.XLOOKUP(A1866,Banks!A:A,Banks!I:I,0)</f>
        <v>39259.478803943857</v>
      </c>
      <c r="F1866">
        <f>_xlfn.XLOOKUP(A1866,Energy!A:A,Energy!I:I,0)</f>
        <v>0</v>
      </c>
      <c r="G1866">
        <f t="shared" si="117"/>
        <v>39259.478803943857</v>
      </c>
      <c r="H1866">
        <f t="shared" si="118"/>
        <v>33431.580773472073</v>
      </c>
      <c r="I1866" t="b">
        <f t="shared" si="119"/>
        <v>0</v>
      </c>
    </row>
    <row r="1867" spans="1:9">
      <c r="A1867" s="1">
        <v>46092.563888888893</v>
      </c>
      <c r="B1867" s="5">
        <f>_xlfn.XLOOKUP(A1867,Banks!A:A,Banks!H:H,0,-1)</f>
        <v>133.98996605304109</v>
      </c>
      <c r="C1867">
        <f>_xlfn.XLOOKUP(A1867,Energy!A:A,Energy!H:H,0,-1)</f>
        <v>5813.6903423503427</v>
      </c>
      <c r="D1867">
        <f t="shared" si="116"/>
        <v>5947.6803084033836</v>
      </c>
      <c r="E1867">
        <f>_xlfn.XLOOKUP(A1867,Banks!A:A,Banks!I:I,0)</f>
        <v>39439.728482213439</v>
      </c>
      <c r="F1867">
        <f>_xlfn.XLOOKUP(A1867,Energy!A:A,Energy!I:I,0)</f>
        <v>0</v>
      </c>
      <c r="G1867">
        <f t="shared" si="117"/>
        <v>39439.728482213439</v>
      </c>
      <c r="H1867">
        <f t="shared" si="118"/>
        <v>33492.048173810057</v>
      </c>
      <c r="I1867" t="b">
        <f t="shared" si="119"/>
        <v>0</v>
      </c>
    </row>
    <row r="1868" spans="1:9">
      <c r="A1868" s="1">
        <v>46092.564583333333</v>
      </c>
      <c r="B1868" s="5">
        <f>_xlfn.XLOOKUP(A1868,Banks!A:A,Banks!H:H,0,-1)</f>
        <v>-60.574275005676327</v>
      </c>
      <c r="C1868">
        <f>_xlfn.XLOOKUP(A1868,Energy!A:A,Energy!H:H,0,-1)</f>
        <v>5813.6903423503427</v>
      </c>
      <c r="D1868">
        <f t="shared" si="116"/>
        <v>5753.1160673446666</v>
      </c>
      <c r="E1868">
        <f>_xlfn.XLOOKUP(A1868,Banks!A:A,Banks!I:I,0)</f>
        <v>39374.536242577073</v>
      </c>
      <c r="F1868">
        <f>_xlfn.XLOOKUP(A1868,Energy!A:A,Energy!I:I,0)</f>
        <v>0</v>
      </c>
      <c r="G1868">
        <f t="shared" si="117"/>
        <v>39374.536242577073</v>
      </c>
      <c r="H1868">
        <f t="shared" si="118"/>
        <v>33621.420175232408</v>
      </c>
      <c r="I1868" t="b">
        <f t="shared" si="119"/>
        <v>0</v>
      </c>
    </row>
    <row r="1869" spans="1:9">
      <c r="A1869" s="1">
        <v>46092.56527777778</v>
      </c>
      <c r="B1869" s="5">
        <f>_xlfn.XLOOKUP(A1869,Banks!A:A,Banks!H:H,0,-1)</f>
        <v>-95.352362886993546</v>
      </c>
      <c r="C1869">
        <f>_xlfn.XLOOKUP(A1869,Energy!A:A,Energy!H:H,0,-1)</f>
        <v>5813.6903423503427</v>
      </c>
      <c r="D1869">
        <f t="shared" si="116"/>
        <v>5718.3379794633493</v>
      </c>
      <c r="E1869">
        <f>_xlfn.XLOOKUP(A1869,Banks!A:A,Banks!I:I,0)</f>
        <v>39269.378688624609</v>
      </c>
      <c r="F1869">
        <f>_xlfn.XLOOKUP(A1869,Energy!A:A,Energy!I:I,0)</f>
        <v>0</v>
      </c>
      <c r="G1869">
        <f t="shared" si="117"/>
        <v>39269.378688624609</v>
      </c>
      <c r="H1869">
        <f t="shared" si="118"/>
        <v>33551.040709161258</v>
      </c>
      <c r="I1869" t="b">
        <f t="shared" si="119"/>
        <v>0</v>
      </c>
    </row>
    <row r="1870" spans="1:9">
      <c r="A1870" s="1">
        <v>46092.565972222219</v>
      </c>
      <c r="B1870" s="5">
        <f>_xlfn.XLOOKUP(A1870,Banks!A:A,Banks!H:H,0,-1)</f>
        <v>162.73032043753611</v>
      </c>
      <c r="C1870">
        <f>_xlfn.XLOOKUP(A1870,Energy!A:A,Energy!H:H,0,-1)</f>
        <v>5813.6903423503427</v>
      </c>
      <c r="D1870">
        <f t="shared" si="116"/>
        <v>5976.4206627878784</v>
      </c>
      <c r="E1870">
        <f>_xlfn.XLOOKUP(A1870,Banks!A:A,Banks!I:I,0)</f>
        <v>39345.891490849681</v>
      </c>
      <c r="F1870">
        <f>_xlfn.XLOOKUP(A1870,Energy!A:A,Energy!I:I,0)</f>
        <v>0</v>
      </c>
      <c r="G1870">
        <f t="shared" si="117"/>
        <v>39345.891490849681</v>
      </c>
      <c r="H1870">
        <f t="shared" si="118"/>
        <v>33369.4708280618</v>
      </c>
      <c r="I1870" t="b">
        <f t="shared" si="119"/>
        <v>0</v>
      </c>
    </row>
    <row r="1871" spans="1:9">
      <c r="A1871" s="1">
        <v>46092.566666666673</v>
      </c>
      <c r="B1871" s="5">
        <f>_xlfn.XLOOKUP(A1871,Banks!A:A,Banks!H:H,0,-1)</f>
        <v>288.13826827358861</v>
      </c>
      <c r="C1871">
        <f>_xlfn.XLOOKUP(A1871,Energy!A:A,Energy!H:H,0,-1)</f>
        <v>5813.6903423503427</v>
      </c>
      <c r="D1871">
        <f t="shared" si="116"/>
        <v>6101.8286106239311</v>
      </c>
      <c r="E1871">
        <f>_xlfn.XLOOKUP(A1871,Banks!A:A,Banks!I:I,0)</f>
        <v>39424.914989130579</v>
      </c>
      <c r="F1871">
        <f>_xlfn.XLOOKUP(A1871,Energy!A:A,Energy!I:I,0)</f>
        <v>0</v>
      </c>
      <c r="G1871">
        <f t="shared" si="117"/>
        <v>39424.914989130579</v>
      </c>
      <c r="H1871">
        <f t="shared" si="118"/>
        <v>33323.086378506647</v>
      </c>
      <c r="I1871" t="b">
        <f t="shared" si="119"/>
        <v>0</v>
      </c>
    </row>
    <row r="1872" spans="1:9">
      <c r="A1872" s="1">
        <v>46092.567361111112</v>
      </c>
      <c r="B1872" s="5">
        <f>_xlfn.XLOOKUP(A1872,Banks!A:A,Banks!H:H,0,-1)</f>
        <v>459.21230441718831</v>
      </c>
      <c r="C1872">
        <f>_xlfn.XLOOKUP(A1872,Energy!A:A,Energy!H:H,0,-1)</f>
        <v>5813.6903423503427</v>
      </c>
      <c r="D1872">
        <f t="shared" si="116"/>
        <v>6272.9026467675312</v>
      </c>
      <c r="E1872">
        <f>_xlfn.XLOOKUP(A1872,Banks!A:A,Banks!I:I,0)</f>
        <v>39410.720391103423</v>
      </c>
      <c r="F1872">
        <f>_xlfn.XLOOKUP(A1872,Energy!A:A,Energy!I:I,0)</f>
        <v>0</v>
      </c>
      <c r="G1872">
        <f t="shared" si="117"/>
        <v>39410.720391103423</v>
      </c>
      <c r="H1872">
        <f t="shared" si="118"/>
        <v>33137.817744335895</v>
      </c>
      <c r="I1872" t="b">
        <f t="shared" si="119"/>
        <v>0</v>
      </c>
    </row>
    <row r="1873" spans="1:9">
      <c r="A1873" s="1">
        <v>46092.568055555559</v>
      </c>
      <c r="B1873" s="5">
        <f>_xlfn.XLOOKUP(A1873,Banks!A:A,Banks!H:H,0,-1)</f>
        <v>487.23816108888388</v>
      </c>
      <c r="C1873">
        <f>_xlfn.XLOOKUP(A1873,Energy!A:A,Energy!H:H,0,-1)</f>
        <v>5813.6903423503427</v>
      </c>
      <c r="D1873">
        <f t="shared" si="116"/>
        <v>6300.9285034392269</v>
      </c>
      <c r="E1873">
        <f>_xlfn.XLOOKUP(A1873,Banks!A:A,Banks!I:I,0)</f>
        <v>39401.111177928768</v>
      </c>
      <c r="F1873">
        <f>_xlfn.XLOOKUP(A1873,Energy!A:A,Energy!I:I,0)</f>
        <v>0</v>
      </c>
      <c r="G1873">
        <f t="shared" si="117"/>
        <v>39401.111177928768</v>
      </c>
      <c r="H1873">
        <f t="shared" si="118"/>
        <v>33100.182674489537</v>
      </c>
      <c r="I1873" t="b">
        <f t="shared" si="119"/>
        <v>0</v>
      </c>
    </row>
    <row r="1874" spans="1:9">
      <c r="A1874" s="1">
        <v>46092.568749999999</v>
      </c>
      <c r="B1874" s="5">
        <f>_xlfn.XLOOKUP(A1874,Banks!A:A,Banks!H:H,0,-1)</f>
        <v>723.94001076617167</v>
      </c>
      <c r="C1874">
        <f>_xlfn.XLOOKUP(A1874,Energy!A:A,Energy!H:H,0,-1)</f>
        <v>5813.6903423503427</v>
      </c>
      <c r="D1874">
        <f t="shared" si="116"/>
        <v>6537.630353116514</v>
      </c>
      <c r="E1874">
        <f>_xlfn.XLOOKUP(A1874,Banks!A:A,Banks!I:I,0)</f>
        <v>0</v>
      </c>
      <c r="F1874">
        <f>_xlfn.XLOOKUP(A1874,Energy!A:A,Energy!I:I,0)</f>
        <v>0</v>
      </c>
      <c r="G1874">
        <f t="shared" si="117"/>
        <v>0</v>
      </c>
      <c r="H1874">
        <f t="shared" si="118"/>
        <v>-6537.630353116514</v>
      </c>
      <c r="I1874" t="b">
        <f t="shared" si="119"/>
        <v>0</v>
      </c>
    </row>
    <row r="1875" spans="1:9">
      <c r="A1875" s="1">
        <v>46093.563888888893</v>
      </c>
      <c r="B1875" s="5">
        <f>_xlfn.XLOOKUP(A1875,Banks!A:A,Banks!H:H,0,-1)</f>
        <v>723.94001076617167</v>
      </c>
      <c r="C1875">
        <f>_xlfn.XLOOKUP(A1875,Energy!A:A,Energy!H:H,0,-1)</f>
        <v>5813.6903423503427</v>
      </c>
      <c r="D1875">
        <f t="shared" si="116"/>
        <v>6537.630353116514</v>
      </c>
      <c r="E1875">
        <f>_xlfn.XLOOKUP(A1875,Banks!A:A,Banks!I:I,0)</f>
        <v>39375.558465269387</v>
      </c>
      <c r="F1875">
        <f>_xlfn.XLOOKUP(A1875,Energy!A:A,Energy!I:I,0)</f>
        <v>0</v>
      </c>
      <c r="G1875">
        <f t="shared" si="117"/>
        <v>39375.558465269387</v>
      </c>
      <c r="H1875">
        <f t="shared" si="118"/>
        <v>32837.928112152877</v>
      </c>
      <c r="I1875" t="b">
        <f t="shared" si="119"/>
        <v>0</v>
      </c>
    </row>
    <row r="1876" spans="1:9">
      <c r="A1876" s="1">
        <v>46093.564583333333</v>
      </c>
      <c r="B1876" s="5">
        <f>_xlfn.XLOOKUP(A1876,Banks!A:A,Banks!H:H,0,-1)</f>
        <v>722.59042884950281</v>
      </c>
      <c r="C1876">
        <f>_xlfn.XLOOKUP(A1876,Energy!A:A,Energy!H:H,0,-1)</f>
        <v>5813.6903423503427</v>
      </c>
      <c r="D1876">
        <f t="shared" si="116"/>
        <v>6536.2807711998457</v>
      </c>
      <c r="E1876">
        <f>_xlfn.XLOOKUP(A1876,Banks!A:A,Banks!I:I,0)</f>
        <v>39371.750604431792</v>
      </c>
      <c r="F1876">
        <f>_xlfn.XLOOKUP(A1876,Energy!A:A,Energy!I:I,0)</f>
        <v>0</v>
      </c>
      <c r="G1876">
        <f t="shared" si="117"/>
        <v>39371.750604431792</v>
      </c>
      <c r="H1876">
        <f t="shared" si="118"/>
        <v>32835.469833231946</v>
      </c>
      <c r="I1876" t="b">
        <f t="shared" si="119"/>
        <v>0</v>
      </c>
    </row>
    <row r="1877" spans="1:9">
      <c r="A1877" s="1">
        <v>46093.56527777778</v>
      </c>
      <c r="B1877" s="5">
        <f>_xlfn.XLOOKUP(A1877,Banks!A:A,Banks!H:H,0,-1)</f>
        <v>677.34452057971566</v>
      </c>
      <c r="C1877">
        <f>_xlfn.XLOOKUP(A1877,Energy!A:A,Energy!H:H,0,-1)</f>
        <v>5813.6903423503427</v>
      </c>
      <c r="D1877">
        <f t="shared" si="116"/>
        <v>6491.0348629300588</v>
      </c>
      <c r="E1877">
        <f>_xlfn.XLOOKUP(A1877,Banks!A:A,Banks!I:I,0)</f>
        <v>39356.333122760137</v>
      </c>
      <c r="F1877">
        <f>_xlfn.XLOOKUP(A1877,Energy!A:A,Energy!I:I,0)</f>
        <v>0</v>
      </c>
      <c r="G1877">
        <f t="shared" si="117"/>
        <v>39356.333122760137</v>
      </c>
      <c r="H1877">
        <f t="shared" si="118"/>
        <v>32865.29825983008</v>
      </c>
      <c r="I1877" t="b">
        <f t="shared" si="119"/>
        <v>0</v>
      </c>
    </row>
    <row r="1878" spans="1:9">
      <c r="A1878" s="1">
        <v>46093.565972222219</v>
      </c>
      <c r="B1878" s="5">
        <f>_xlfn.XLOOKUP(A1878,Banks!A:A,Banks!H:H,0,-1)</f>
        <v>581.36296538831209</v>
      </c>
      <c r="C1878">
        <f>_xlfn.XLOOKUP(A1878,Energy!A:A,Energy!H:H,0,-1)</f>
        <v>5813.6903423503427</v>
      </c>
      <c r="D1878">
        <f t="shared" si="116"/>
        <v>6395.0533077386544</v>
      </c>
      <c r="E1878">
        <f>_xlfn.XLOOKUP(A1878,Banks!A:A,Banks!I:I,0)</f>
        <v>39293.97388937974</v>
      </c>
      <c r="F1878">
        <f>_xlfn.XLOOKUP(A1878,Energy!A:A,Energy!I:I,0)</f>
        <v>0</v>
      </c>
      <c r="G1878">
        <f t="shared" si="117"/>
        <v>39293.97388937974</v>
      </c>
      <c r="H1878">
        <f t="shared" si="118"/>
        <v>32898.920581641083</v>
      </c>
      <c r="I1878" t="b">
        <f t="shared" si="119"/>
        <v>0</v>
      </c>
    </row>
    <row r="1879" spans="1:9">
      <c r="A1879" s="1">
        <v>46093.566666666673</v>
      </c>
      <c r="B1879" s="5">
        <f>_xlfn.XLOOKUP(A1879,Banks!A:A,Banks!H:H,0,-1)</f>
        <v>801.22632284886504</v>
      </c>
      <c r="C1879">
        <f>_xlfn.XLOOKUP(A1879,Energy!A:A,Energy!H:H,0,-1)</f>
        <v>5813.6903423503427</v>
      </c>
      <c r="D1879">
        <f t="shared" si="116"/>
        <v>6614.9166651992073</v>
      </c>
      <c r="E1879">
        <f>_xlfn.XLOOKUP(A1879,Banks!A:A,Banks!I:I,0)</f>
        <v>39262.234549550427</v>
      </c>
      <c r="F1879">
        <f>_xlfn.XLOOKUP(A1879,Energy!A:A,Energy!I:I,0)</f>
        <v>0</v>
      </c>
      <c r="G1879">
        <f t="shared" si="117"/>
        <v>39262.234549550427</v>
      </c>
      <c r="H1879">
        <f t="shared" si="118"/>
        <v>32647.317884351221</v>
      </c>
      <c r="I1879" t="b">
        <f t="shared" si="119"/>
        <v>0</v>
      </c>
    </row>
    <row r="1880" spans="1:9">
      <c r="A1880" s="1">
        <v>46093.567361111112</v>
      </c>
      <c r="B1880" s="5">
        <f>_xlfn.XLOOKUP(A1880,Banks!A:A,Banks!H:H,0,-1)</f>
        <v>652.39608742937298</v>
      </c>
      <c r="C1880">
        <f>_xlfn.XLOOKUP(A1880,Energy!A:A,Energy!H:H,0,-1)</f>
        <v>5813.6903423503427</v>
      </c>
      <c r="D1880">
        <f t="shared" si="116"/>
        <v>6466.0864297797161</v>
      </c>
      <c r="E1880">
        <f>_xlfn.XLOOKUP(A1880,Banks!A:A,Banks!I:I,0)</f>
        <v>39328.700591622743</v>
      </c>
      <c r="F1880">
        <f>_xlfn.XLOOKUP(A1880,Energy!A:A,Energy!I:I,0)</f>
        <v>0</v>
      </c>
      <c r="G1880">
        <f t="shared" si="117"/>
        <v>39328.700591622743</v>
      </c>
      <c r="H1880">
        <f t="shared" si="118"/>
        <v>32862.614161843027</v>
      </c>
      <c r="I1880" t="b">
        <f t="shared" si="119"/>
        <v>0</v>
      </c>
    </row>
    <row r="1881" spans="1:9">
      <c r="A1881" s="1">
        <v>46093.568055555559</v>
      </c>
      <c r="B1881" s="5">
        <f>_xlfn.XLOOKUP(A1881,Banks!A:A,Banks!H:H,0,-1)</f>
        <v>826.72322191048943</v>
      </c>
      <c r="C1881">
        <f>_xlfn.XLOOKUP(A1881,Energy!A:A,Energy!H:H,0,-1)</f>
        <v>5813.6903423503427</v>
      </c>
      <c r="D1881">
        <f t="shared" si="116"/>
        <v>6640.4135642608326</v>
      </c>
      <c r="E1881">
        <f>_xlfn.XLOOKUP(A1881,Banks!A:A,Banks!I:I,0)</f>
        <v>39387.624040807998</v>
      </c>
      <c r="F1881">
        <f>_xlfn.XLOOKUP(A1881,Energy!A:A,Energy!I:I,0)</f>
        <v>0</v>
      </c>
      <c r="G1881">
        <f t="shared" si="117"/>
        <v>39387.624040807998</v>
      </c>
      <c r="H1881">
        <f t="shared" si="118"/>
        <v>32747.210476547167</v>
      </c>
      <c r="I1881" t="b">
        <f t="shared" si="119"/>
        <v>0</v>
      </c>
    </row>
    <row r="1882" spans="1:9">
      <c r="A1882" s="1">
        <v>46093.568749999999</v>
      </c>
      <c r="B1882" s="5">
        <f>_xlfn.XLOOKUP(A1882,Banks!A:A,Banks!H:H,0,-1)</f>
        <v>839.79965076655412</v>
      </c>
      <c r="C1882">
        <f>_xlfn.XLOOKUP(A1882,Energy!A:A,Energy!H:H,0,-1)</f>
        <v>5813.6903423503427</v>
      </c>
      <c r="D1882">
        <f t="shared" si="116"/>
        <v>6653.4899931168966</v>
      </c>
      <c r="E1882">
        <f>_xlfn.XLOOKUP(A1882,Banks!A:A,Banks!I:I,0)</f>
        <v>39429.864304467068</v>
      </c>
      <c r="F1882">
        <f>_xlfn.XLOOKUP(A1882,Energy!A:A,Energy!I:I,0)</f>
        <v>0</v>
      </c>
      <c r="G1882">
        <f t="shared" si="117"/>
        <v>39429.864304467068</v>
      </c>
      <c r="H1882">
        <f t="shared" si="118"/>
        <v>32776.37431135017</v>
      </c>
      <c r="I1882" t="b">
        <f t="shared" si="119"/>
        <v>0</v>
      </c>
    </row>
    <row r="1883" spans="1:9">
      <c r="A1883" s="1">
        <v>46093.569444444453</v>
      </c>
      <c r="B1883" s="5">
        <f>_xlfn.XLOOKUP(A1883,Banks!A:A,Banks!H:H,0,-1)</f>
        <v>823.78748973712118</v>
      </c>
      <c r="C1883">
        <f>_xlfn.XLOOKUP(A1883,Energy!A:A,Energy!H:H,0,-1)</f>
        <v>5813.6903423503427</v>
      </c>
      <c r="D1883">
        <f t="shared" si="116"/>
        <v>6637.4778320874639</v>
      </c>
      <c r="E1883">
        <f>_xlfn.XLOOKUP(A1883,Banks!A:A,Banks!I:I,0)</f>
        <v>39416.755627789222</v>
      </c>
      <c r="F1883">
        <f>_xlfn.XLOOKUP(A1883,Energy!A:A,Energy!I:I,0)</f>
        <v>0</v>
      </c>
      <c r="G1883">
        <f t="shared" si="117"/>
        <v>39416.755627789222</v>
      </c>
      <c r="H1883">
        <f t="shared" si="118"/>
        <v>32779.277795701761</v>
      </c>
      <c r="I1883" t="b">
        <f t="shared" si="119"/>
        <v>0</v>
      </c>
    </row>
    <row r="1884" spans="1:9">
      <c r="A1884" s="1">
        <v>46093.570138888892</v>
      </c>
      <c r="B1884" s="5">
        <f>_xlfn.XLOOKUP(A1884,Banks!A:A,Banks!H:H,0,-1)</f>
        <v>504.45837900048571</v>
      </c>
      <c r="C1884">
        <f>_xlfn.XLOOKUP(A1884,Energy!A:A,Energy!H:H,0,-1)</f>
        <v>5813.6903423503427</v>
      </c>
      <c r="D1884">
        <f t="shared" si="116"/>
        <v>6318.1487213508281</v>
      </c>
      <c r="E1884">
        <f>_xlfn.XLOOKUP(A1884,Banks!A:A,Banks!I:I,0)</f>
        <v>39317.510361099172</v>
      </c>
      <c r="F1884">
        <f>_xlfn.XLOOKUP(A1884,Energy!A:A,Energy!I:I,0)</f>
        <v>0</v>
      </c>
      <c r="G1884">
        <f t="shared" si="117"/>
        <v>39317.510361099172</v>
      </c>
      <c r="H1884">
        <f t="shared" si="118"/>
        <v>32999.361639748342</v>
      </c>
      <c r="I1884" t="b">
        <f t="shared" si="119"/>
        <v>0</v>
      </c>
    </row>
    <row r="1885" spans="1:9">
      <c r="A1885" s="1">
        <v>46093.570833333331</v>
      </c>
      <c r="B1885" s="5">
        <f>_xlfn.XLOOKUP(A1885,Banks!A:A,Banks!H:H,0,-1)</f>
        <v>767.23412483838365</v>
      </c>
      <c r="C1885">
        <f>_xlfn.XLOOKUP(A1885,Energy!A:A,Energy!H:H,0,-1)</f>
        <v>5813.6903423503427</v>
      </c>
      <c r="D1885">
        <f t="shared" si="116"/>
        <v>6580.9244671887263</v>
      </c>
      <c r="E1885">
        <f>_xlfn.XLOOKUP(A1885,Banks!A:A,Banks!I:I,0)</f>
        <v>39358.744088013082</v>
      </c>
      <c r="F1885">
        <f>_xlfn.XLOOKUP(A1885,Energy!A:A,Energy!I:I,0)</f>
        <v>0</v>
      </c>
      <c r="G1885">
        <f t="shared" si="117"/>
        <v>39358.744088013082</v>
      </c>
      <c r="H1885">
        <f t="shared" si="118"/>
        <v>32777.819620824353</v>
      </c>
      <c r="I1885" t="b">
        <f t="shared" si="119"/>
        <v>0</v>
      </c>
    </row>
    <row r="1886" spans="1:9">
      <c r="A1886" s="1">
        <v>46093.571527777778</v>
      </c>
      <c r="B1886" s="5">
        <f>_xlfn.XLOOKUP(A1886,Banks!A:A,Banks!H:H,0,-1)</f>
        <v>841.76752671815507</v>
      </c>
      <c r="C1886">
        <f>_xlfn.XLOOKUP(A1886,Energy!A:A,Energy!H:H,0,-1)</f>
        <v>5813.6903423503427</v>
      </c>
      <c r="D1886">
        <f t="shared" si="116"/>
        <v>6655.4578690684975</v>
      </c>
      <c r="E1886">
        <f>_xlfn.XLOOKUP(A1886,Banks!A:A,Banks!I:I,0)</f>
        <v>39307.137412648721</v>
      </c>
      <c r="F1886">
        <f>_xlfn.XLOOKUP(A1886,Energy!A:A,Energy!I:I,0)</f>
        <v>0</v>
      </c>
      <c r="G1886">
        <f t="shared" si="117"/>
        <v>39307.137412648721</v>
      </c>
      <c r="H1886">
        <f t="shared" si="118"/>
        <v>32651.679543580223</v>
      </c>
      <c r="I1886" t="b">
        <f t="shared" si="119"/>
        <v>0</v>
      </c>
    </row>
    <row r="1887" spans="1:9">
      <c r="A1887" s="1">
        <v>46093.572222222218</v>
      </c>
      <c r="B1887" s="5">
        <f>_xlfn.XLOOKUP(A1887,Banks!A:A,Banks!H:H,0,-1)</f>
        <v>765.5188989808737</v>
      </c>
      <c r="C1887">
        <f>_xlfn.XLOOKUP(A1887,Energy!A:A,Energy!H:H,0,-1)</f>
        <v>5813.6903423503427</v>
      </c>
      <c r="D1887">
        <f t="shared" si="116"/>
        <v>6579.2092413312166</v>
      </c>
      <c r="E1887">
        <f>_xlfn.XLOOKUP(A1887,Banks!A:A,Banks!I:I,0)</f>
        <v>39289.764920428701</v>
      </c>
      <c r="F1887">
        <f>_xlfn.XLOOKUP(A1887,Energy!A:A,Energy!I:I,0)</f>
        <v>0</v>
      </c>
      <c r="G1887">
        <f t="shared" si="117"/>
        <v>39289.764920428701</v>
      </c>
      <c r="H1887">
        <f t="shared" si="118"/>
        <v>32710.555679097484</v>
      </c>
      <c r="I1887" t="b">
        <f t="shared" si="119"/>
        <v>0</v>
      </c>
    </row>
    <row r="1888" spans="1:9">
      <c r="A1888" s="1">
        <v>46093.572916666657</v>
      </c>
      <c r="B1888" s="5">
        <f>_xlfn.XLOOKUP(A1888,Banks!A:A,Banks!H:H,0,-1)</f>
        <v>830.65276338167996</v>
      </c>
      <c r="C1888">
        <f>_xlfn.XLOOKUP(A1888,Energy!A:A,Energy!H:H,0,-1)</f>
        <v>5813.6903423503427</v>
      </c>
      <c r="D1888">
        <f t="shared" si="116"/>
        <v>6644.3431057320231</v>
      </c>
      <c r="E1888">
        <f>_xlfn.XLOOKUP(A1888,Banks!A:A,Banks!I:I,0)</f>
        <v>0</v>
      </c>
      <c r="F1888">
        <f>_xlfn.XLOOKUP(A1888,Energy!A:A,Energy!I:I,0)</f>
        <v>0</v>
      </c>
      <c r="G1888">
        <f t="shared" si="117"/>
        <v>0</v>
      </c>
      <c r="H1888">
        <f t="shared" si="118"/>
        <v>-6644.3431057320231</v>
      </c>
      <c r="I1888" t="b">
        <f t="shared" si="119"/>
        <v>0</v>
      </c>
    </row>
    <row r="1889" spans="1:9">
      <c r="A1889" s="1">
        <v>46098.5625</v>
      </c>
      <c r="B1889" s="5">
        <f>_xlfn.XLOOKUP(A1889,Banks!A:A,Banks!H:H,0,-1)</f>
        <v>830.65276338167996</v>
      </c>
      <c r="C1889">
        <f>_xlfn.XLOOKUP(A1889,Energy!A:A,Energy!H:H,0,-1)</f>
        <v>5813.6903423503427</v>
      </c>
      <c r="D1889">
        <f t="shared" si="116"/>
        <v>6644.3431057320231</v>
      </c>
      <c r="E1889">
        <f>_xlfn.XLOOKUP(A1889,Banks!A:A,Banks!I:I,0)</f>
        <v>36288.941003751999</v>
      </c>
      <c r="F1889">
        <f>_xlfn.XLOOKUP(A1889,Energy!A:A,Energy!I:I,0)</f>
        <v>0</v>
      </c>
      <c r="G1889">
        <f t="shared" si="117"/>
        <v>36288.941003751999</v>
      </c>
      <c r="H1889">
        <f t="shared" si="118"/>
        <v>29644.597898019976</v>
      </c>
      <c r="I1889" t="b">
        <f t="shared" si="119"/>
        <v>0</v>
      </c>
    </row>
    <row r="1890" spans="1:9">
      <c r="A1890" s="1">
        <v>46098.563194444447</v>
      </c>
      <c r="B1890" s="5">
        <f>_xlfn.XLOOKUP(A1890,Banks!A:A,Banks!H:H,0,-1)</f>
        <v>665.79045931518374</v>
      </c>
      <c r="C1890">
        <f>_xlfn.XLOOKUP(A1890,Energy!A:A,Energy!H:H,0,-1)</f>
        <v>5813.6903423503427</v>
      </c>
      <c r="D1890">
        <f t="shared" si="116"/>
        <v>6479.4808016655261</v>
      </c>
      <c r="E1890">
        <f>_xlfn.XLOOKUP(A1890,Banks!A:A,Banks!I:I,0)</f>
        <v>36356.098020711681</v>
      </c>
      <c r="F1890">
        <f>_xlfn.XLOOKUP(A1890,Energy!A:A,Energy!I:I,0)</f>
        <v>0</v>
      </c>
      <c r="G1890">
        <f t="shared" si="117"/>
        <v>36356.098020711681</v>
      </c>
      <c r="H1890">
        <f t="shared" si="118"/>
        <v>29876.617219046155</v>
      </c>
      <c r="I1890" t="b">
        <f t="shared" si="119"/>
        <v>0</v>
      </c>
    </row>
    <row r="1891" spans="1:9">
      <c r="A1891" s="1">
        <v>46098.563888888893</v>
      </c>
      <c r="B1891" s="5">
        <f>_xlfn.XLOOKUP(A1891,Banks!A:A,Banks!H:H,0,-1)</f>
        <v>557.11484250561364</v>
      </c>
      <c r="C1891">
        <f>_xlfn.XLOOKUP(A1891,Energy!A:A,Energy!H:H,0,-1)</f>
        <v>5813.6903423503427</v>
      </c>
      <c r="D1891">
        <f t="shared" si="116"/>
        <v>6370.8051848559562</v>
      </c>
      <c r="E1891">
        <f>_xlfn.XLOOKUP(A1891,Banks!A:A,Banks!I:I,0)</f>
        <v>36374.414688458957</v>
      </c>
      <c r="F1891">
        <f>_xlfn.XLOOKUP(A1891,Energy!A:A,Energy!I:I,0)</f>
        <v>0</v>
      </c>
      <c r="G1891">
        <f t="shared" si="117"/>
        <v>36374.414688458957</v>
      </c>
      <c r="H1891">
        <f t="shared" si="118"/>
        <v>30003.609503603002</v>
      </c>
      <c r="I1891" t="b">
        <f t="shared" si="119"/>
        <v>0</v>
      </c>
    </row>
    <row r="1892" spans="1:9">
      <c r="A1892" s="1">
        <v>46098.564583333333</v>
      </c>
      <c r="B1892" s="5">
        <f>_xlfn.XLOOKUP(A1892,Banks!A:A,Banks!H:H,0,-1)</f>
        <v>777.84522463735311</v>
      </c>
      <c r="C1892">
        <f>_xlfn.XLOOKUP(A1892,Energy!A:A,Energy!H:H,0,-1)</f>
        <v>5813.6903423503427</v>
      </c>
      <c r="D1892">
        <f t="shared" si="116"/>
        <v>6591.5355669876953</v>
      </c>
      <c r="E1892">
        <f>_xlfn.XLOOKUP(A1892,Banks!A:A,Banks!I:I,0)</f>
        <v>36408.893091169302</v>
      </c>
      <c r="F1892">
        <f>_xlfn.XLOOKUP(A1892,Energy!A:A,Energy!I:I,0)</f>
        <v>0</v>
      </c>
      <c r="G1892">
        <f t="shared" si="117"/>
        <v>36408.893091169302</v>
      </c>
      <c r="H1892">
        <f t="shared" si="118"/>
        <v>29817.357524181607</v>
      </c>
      <c r="I1892" t="b">
        <f t="shared" si="119"/>
        <v>0</v>
      </c>
    </row>
    <row r="1893" spans="1:9">
      <c r="A1893" s="1">
        <v>46098.56527777778</v>
      </c>
      <c r="B1893" s="5">
        <f>_xlfn.XLOOKUP(A1893,Banks!A:A,Banks!H:H,0,-1)</f>
        <v>855.17691804921969</v>
      </c>
      <c r="C1893">
        <f>_xlfn.XLOOKUP(A1893,Energy!A:A,Energy!H:H,0,-1)</f>
        <v>5813.6903423503427</v>
      </c>
      <c r="D1893">
        <f t="shared" si="116"/>
        <v>6668.8672603995619</v>
      </c>
      <c r="E1893">
        <f>_xlfn.XLOOKUP(A1893,Banks!A:A,Banks!I:I,0)</f>
        <v>36338.7314626527</v>
      </c>
      <c r="F1893">
        <f>_xlfn.XLOOKUP(A1893,Energy!A:A,Energy!I:I,0)</f>
        <v>0</v>
      </c>
      <c r="G1893">
        <f t="shared" si="117"/>
        <v>36338.7314626527</v>
      </c>
      <c r="H1893">
        <f t="shared" si="118"/>
        <v>29669.864202253139</v>
      </c>
      <c r="I1893" t="b">
        <f t="shared" si="119"/>
        <v>0</v>
      </c>
    </row>
    <row r="1894" spans="1:9">
      <c r="A1894" s="1">
        <v>46098.565972222219</v>
      </c>
      <c r="B1894" s="5">
        <f>_xlfn.XLOOKUP(A1894,Banks!A:A,Banks!H:H,0,-1)</f>
        <v>802.01440892738106</v>
      </c>
      <c r="C1894">
        <f>_xlfn.XLOOKUP(A1894,Energy!A:A,Energy!H:H,0,-1)</f>
        <v>5813.6903423503427</v>
      </c>
      <c r="D1894">
        <f t="shared" si="116"/>
        <v>6615.7047512777235</v>
      </c>
      <c r="E1894">
        <f>_xlfn.XLOOKUP(A1894,Banks!A:A,Banks!I:I,0)</f>
        <v>36404.059254311287</v>
      </c>
      <c r="F1894">
        <f>_xlfn.XLOOKUP(A1894,Energy!A:A,Energy!I:I,0)</f>
        <v>0</v>
      </c>
      <c r="G1894">
        <f t="shared" si="117"/>
        <v>36404.059254311287</v>
      </c>
      <c r="H1894">
        <f t="shared" si="118"/>
        <v>29788.354503033563</v>
      </c>
      <c r="I1894" t="b">
        <f t="shared" si="119"/>
        <v>0</v>
      </c>
    </row>
    <row r="1895" spans="1:9">
      <c r="A1895" s="1">
        <v>46098.566666666673</v>
      </c>
      <c r="B1895" s="5">
        <f>_xlfn.XLOOKUP(A1895,Banks!A:A,Banks!H:H,0,-1)</f>
        <v>931.37054151926168</v>
      </c>
      <c r="C1895">
        <f>_xlfn.XLOOKUP(A1895,Energy!A:A,Energy!H:H,0,-1)</f>
        <v>5813.6903423503427</v>
      </c>
      <c r="D1895">
        <f t="shared" si="116"/>
        <v>6745.0608838696044</v>
      </c>
      <c r="E1895">
        <f>_xlfn.XLOOKUP(A1895,Banks!A:A,Banks!I:I,0)</f>
        <v>0</v>
      </c>
      <c r="F1895">
        <f>_xlfn.XLOOKUP(A1895,Energy!A:A,Energy!I:I,0)</f>
        <v>0</v>
      </c>
      <c r="G1895">
        <f t="shared" si="117"/>
        <v>0</v>
      </c>
      <c r="H1895">
        <f t="shared" si="118"/>
        <v>-6745.0608838696044</v>
      </c>
      <c r="I1895" t="b">
        <f t="shared" si="119"/>
        <v>0</v>
      </c>
    </row>
    <row r="1896" spans="1:9">
      <c r="A1896" s="1">
        <v>46098.802083333343</v>
      </c>
      <c r="B1896" s="5">
        <f>_xlfn.XLOOKUP(A1896,Banks!A:A,Banks!H:H,0,-1)</f>
        <v>931.37054151926168</v>
      </c>
      <c r="C1896">
        <f>_xlfn.XLOOKUP(A1896,Energy!A:A,Energy!H:H,0,-1)</f>
        <v>5813.6903423503427</v>
      </c>
      <c r="D1896">
        <f t="shared" si="116"/>
        <v>6745.0608838696044</v>
      </c>
      <c r="E1896">
        <f>_xlfn.XLOOKUP(A1896,Banks!A:A,Banks!I:I,0)</f>
        <v>36288.941003751999</v>
      </c>
      <c r="F1896">
        <f>_xlfn.XLOOKUP(A1896,Energy!A:A,Energy!I:I,0)</f>
        <v>0</v>
      </c>
      <c r="G1896">
        <f t="shared" si="117"/>
        <v>36288.941003751999</v>
      </c>
      <c r="H1896">
        <f t="shared" si="118"/>
        <v>29543.880119882393</v>
      </c>
      <c r="I1896" t="b">
        <f t="shared" si="119"/>
        <v>0</v>
      </c>
    </row>
    <row r="1897" spans="1:9">
      <c r="A1897" s="1">
        <v>46098.802777777782</v>
      </c>
      <c r="B1897" s="5">
        <f>_xlfn.XLOOKUP(A1897,Banks!A:A,Banks!H:H,0,-1)</f>
        <v>908.84881590481245</v>
      </c>
      <c r="C1897">
        <f>_xlfn.XLOOKUP(A1897,Energy!A:A,Energy!H:H,0,-1)</f>
        <v>5813.6903423503427</v>
      </c>
      <c r="D1897">
        <f t="shared" si="116"/>
        <v>6722.5391582551547</v>
      </c>
      <c r="E1897">
        <f>_xlfn.XLOOKUP(A1897,Banks!A:A,Banks!I:I,0)</f>
        <v>36287.867715185967</v>
      </c>
      <c r="F1897">
        <f>_xlfn.XLOOKUP(A1897,Energy!A:A,Energy!I:I,0)</f>
        <v>0</v>
      </c>
      <c r="G1897">
        <f t="shared" si="117"/>
        <v>36287.867715185967</v>
      </c>
      <c r="H1897">
        <f t="shared" si="118"/>
        <v>29565.328556930814</v>
      </c>
      <c r="I1897" t="b">
        <f t="shared" si="119"/>
        <v>0</v>
      </c>
    </row>
    <row r="1898" spans="1:9">
      <c r="A1898" s="1">
        <v>46098.803472222222</v>
      </c>
      <c r="B1898" s="5">
        <f>_xlfn.XLOOKUP(A1898,Banks!A:A,Banks!H:H,0,-1)</f>
        <v>843.94519263660129</v>
      </c>
      <c r="C1898">
        <f>_xlfn.XLOOKUP(A1898,Energy!A:A,Energy!H:H,0,-1)</f>
        <v>5813.6903423503427</v>
      </c>
      <c r="D1898">
        <f t="shared" si="116"/>
        <v>6657.6355349869436</v>
      </c>
      <c r="E1898">
        <f>_xlfn.XLOOKUP(A1898,Banks!A:A,Banks!I:I,0)</f>
        <v>36264.593820861723</v>
      </c>
      <c r="F1898">
        <f>_xlfn.XLOOKUP(A1898,Energy!A:A,Energy!I:I,0)</f>
        <v>0</v>
      </c>
      <c r="G1898">
        <f t="shared" si="117"/>
        <v>36264.593820861723</v>
      </c>
      <c r="H1898">
        <f t="shared" si="118"/>
        <v>29606.958285874778</v>
      </c>
      <c r="I1898" t="b">
        <f t="shared" si="119"/>
        <v>0</v>
      </c>
    </row>
    <row r="1899" spans="1:9">
      <c r="A1899" s="1">
        <v>46098.804166666669</v>
      </c>
      <c r="B1899" s="5">
        <f>_xlfn.XLOOKUP(A1899,Banks!A:A,Banks!H:H,0,-1)</f>
        <v>879.3550481792231</v>
      </c>
      <c r="C1899">
        <f>_xlfn.XLOOKUP(A1899,Energy!A:A,Energy!H:H,0,-1)</f>
        <v>5813.6903423503427</v>
      </c>
      <c r="D1899">
        <f t="shared" si="116"/>
        <v>6693.0453905295653</v>
      </c>
      <c r="E1899">
        <f>_xlfn.XLOOKUP(A1899,Banks!A:A,Banks!I:I,0)</f>
        <v>36285.400018197732</v>
      </c>
      <c r="F1899">
        <f>_xlfn.XLOOKUP(A1899,Energy!A:A,Energy!I:I,0)</f>
        <v>0</v>
      </c>
      <c r="G1899">
        <f t="shared" si="117"/>
        <v>36285.400018197732</v>
      </c>
      <c r="H1899">
        <f t="shared" si="118"/>
        <v>29592.354627668166</v>
      </c>
      <c r="I1899" t="b">
        <f t="shared" si="119"/>
        <v>0</v>
      </c>
    </row>
    <row r="1900" spans="1:9">
      <c r="A1900" s="1">
        <v>46098.804861111108</v>
      </c>
      <c r="B1900" s="5">
        <f>_xlfn.XLOOKUP(A1900,Banks!A:A,Banks!H:H,0,-1)</f>
        <v>860.31934362034553</v>
      </c>
      <c r="C1900">
        <f>_xlfn.XLOOKUP(A1900,Energy!A:A,Energy!H:H,0,-1)</f>
        <v>5813.6903423503427</v>
      </c>
      <c r="D1900">
        <f t="shared" si="116"/>
        <v>6674.0096859706882</v>
      </c>
      <c r="E1900">
        <f>_xlfn.XLOOKUP(A1900,Banks!A:A,Banks!I:I,0)</f>
        <v>36285.023933842829</v>
      </c>
      <c r="F1900">
        <f>_xlfn.XLOOKUP(A1900,Energy!A:A,Energy!I:I,0)</f>
        <v>0</v>
      </c>
      <c r="G1900">
        <f t="shared" si="117"/>
        <v>36285.023933842829</v>
      </c>
      <c r="H1900">
        <f t="shared" si="118"/>
        <v>29611.014247872139</v>
      </c>
      <c r="I1900" t="b">
        <f t="shared" si="119"/>
        <v>0</v>
      </c>
    </row>
    <row r="1901" spans="1:9">
      <c r="A1901" s="1">
        <v>46098.805555555547</v>
      </c>
      <c r="B1901" s="5">
        <f>_xlfn.XLOOKUP(A1901,Banks!A:A,Banks!H:H,0,-1)</f>
        <v>835.77978498463347</v>
      </c>
      <c r="C1901">
        <f>_xlfn.XLOOKUP(A1901,Energy!A:A,Energy!H:H,0,-1)</f>
        <v>5813.6903423503427</v>
      </c>
      <c r="D1901">
        <f t="shared" si="116"/>
        <v>6649.4701273349765</v>
      </c>
      <c r="E1901">
        <f>_xlfn.XLOOKUP(A1901,Banks!A:A,Banks!I:I,0)</f>
        <v>36276.684965558823</v>
      </c>
      <c r="F1901">
        <f>_xlfn.XLOOKUP(A1901,Energy!A:A,Energy!I:I,0)</f>
        <v>0</v>
      </c>
      <c r="G1901">
        <f t="shared" si="117"/>
        <v>36276.684965558823</v>
      </c>
      <c r="H1901">
        <f t="shared" si="118"/>
        <v>29627.214838223845</v>
      </c>
      <c r="I1901" t="b">
        <f t="shared" si="119"/>
        <v>0</v>
      </c>
    </row>
    <row r="1902" spans="1:9">
      <c r="A1902" s="1">
        <v>46098.806250000001</v>
      </c>
      <c r="B1902" s="5">
        <f>_xlfn.XLOOKUP(A1902,Banks!A:A,Banks!H:H,0,-1)</f>
        <v>897.33479844401268</v>
      </c>
      <c r="C1902">
        <f>_xlfn.XLOOKUP(A1902,Energy!A:A,Energy!H:H,0,-1)</f>
        <v>5813.6903423503427</v>
      </c>
      <c r="D1902">
        <f t="shared" si="116"/>
        <v>6711.0251407943551</v>
      </c>
      <c r="E1902">
        <f>_xlfn.XLOOKUP(A1902,Banks!A:A,Banks!I:I,0)</f>
        <v>36302.720194478177</v>
      </c>
      <c r="F1902">
        <f>_xlfn.XLOOKUP(A1902,Energy!A:A,Energy!I:I,0)</f>
        <v>0</v>
      </c>
      <c r="G1902">
        <f t="shared" si="117"/>
        <v>36302.720194478177</v>
      </c>
      <c r="H1902">
        <f t="shared" si="118"/>
        <v>29591.695053683823</v>
      </c>
      <c r="I1902" t="b">
        <f t="shared" si="119"/>
        <v>0</v>
      </c>
    </row>
    <row r="1903" spans="1:9">
      <c r="A1903" s="1">
        <v>46098.806944444441</v>
      </c>
      <c r="B1903" s="5">
        <f>_xlfn.XLOOKUP(A1903,Banks!A:A,Banks!H:H,0,-1)</f>
        <v>917.28904605026139</v>
      </c>
      <c r="C1903">
        <f>_xlfn.XLOOKUP(A1903,Energy!A:A,Energy!H:H,0,-1)</f>
        <v>5813.6903423503427</v>
      </c>
      <c r="D1903">
        <f t="shared" si="116"/>
        <v>6730.979388400604</v>
      </c>
      <c r="E1903">
        <f>_xlfn.XLOOKUP(A1903,Banks!A:A,Banks!I:I,0)</f>
        <v>36282.693648101318</v>
      </c>
      <c r="F1903">
        <f>_xlfn.XLOOKUP(A1903,Energy!A:A,Energy!I:I,0)</f>
        <v>0</v>
      </c>
      <c r="G1903">
        <f t="shared" si="117"/>
        <v>36282.693648101318</v>
      </c>
      <c r="H1903">
        <f t="shared" si="118"/>
        <v>29551.714259700715</v>
      </c>
      <c r="I1903" t="b">
        <f t="shared" si="119"/>
        <v>0</v>
      </c>
    </row>
    <row r="1904" spans="1:9">
      <c r="A1904" s="1">
        <v>46098.807638888888</v>
      </c>
      <c r="B1904" s="5">
        <f>_xlfn.XLOOKUP(A1904,Banks!A:A,Banks!H:H,0,-1)</f>
        <v>891.55612187371696</v>
      </c>
      <c r="C1904">
        <f>_xlfn.XLOOKUP(A1904,Energy!A:A,Energy!H:H,0,-1)</f>
        <v>5813.6903423503427</v>
      </c>
      <c r="D1904">
        <f t="shared" si="116"/>
        <v>6705.2464642240593</v>
      </c>
      <c r="E1904">
        <f>_xlfn.XLOOKUP(A1904,Banks!A:A,Banks!I:I,0)</f>
        <v>36287.840232936629</v>
      </c>
      <c r="F1904">
        <f>_xlfn.XLOOKUP(A1904,Energy!A:A,Energy!I:I,0)</f>
        <v>0</v>
      </c>
      <c r="G1904">
        <f t="shared" si="117"/>
        <v>36287.840232936629</v>
      </c>
      <c r="H1904">
        <f t="shared" si="118"/>
        <v>29582.59376871257</v>
      </c>
      <c r="I1904" t="b">
        <f t="shared" si="119"/>
        <v>0</v>
      </c>
    </row>
    <row r="1905" spans="1:9">
      <c r="A1905" s="1">
        <v>46098.808333333327</v>
      </c>
      <c r="B1905" s="5">
        <f>_xlfn.XLOOKUP(A1905,Banks!A:A,Banks!H:H,0,-1)</f>
        <v>931.64536401274268</v>
      </c>
      <c r="C1905">
        <f>_xlfn.XLOOKUP(A1905,Energy!A:A,Energy!H:H,0,-1)</f>
        <v>5813.6903423503427</v>
      </c>
      <c r="D1905">
        <f t="shared" si="116"/>
        <v>6745.3357063630856</v>
      </c>
      <c r="E1905">
        <f>_xlfn.XLOOKUP(A1905,Banks!A:A,Banks!I:I,0)</f>
        <v>36295.858081364437</v>
      </c>
      <c r="F1905">
        <f>_xlfn.XLOOKUP(A1905,Energy!A:A,Energy!I:I,0)</f>
        <v>0</v>
      </c>
      <c r="G1905">
        <f t="shared" si="117"/>
        <v>36295.858081364437</v>
      </c>
      <c r="H1905">
        <f t="shared" si="118"/>
        <v>29550.52237500135</v>
      </c>
      <c r="I1905" t="b">
        <f t="shared" si="119"/>
        <v>0</v>
      </c>
    </row>
    <row r="1906" spans="1:9">
      <c r="A1906" s="1">
        <v>46098.809027777781</v>
      </c>
      <c r="B1906" s="5">
        <f>_xlfn.XLOOKUP(A1906,Banks!A:A,Banks!H:H,0,-1)</f>
        <v>875.31938213669719</v>
      </c>
      <c r="C1906">
        <f>_xlfn.XLOOKUP(A1906,Energy!A:A,Energy!H:H,0,-1)</f>
        <v>5813.6903423503427</v>
      </c>
      <c r="D1906">
        <f t="shared" si="116"/>
        <v>6689.0097244870394</v>
      </c>
      <c r="E1906">
        <f>_xlfn.XLOOKUP(A1906,Banks!A:A,Banks!I:I,0)</f>
        <v>36270.868658761741</v>
      </c>
      <c r="F1906">
        <f>_xlfn.XLOOKUP(A1906,Energy!A:A,Energy!I:I,0)</f>
        <v>0</v>
      </c>
      <c r="G1906">
        <f t="shared" si="117"/>
        <v>36270.868658761741</v>
      </c>
      <c r="H1906">
        <f t="shared" si="118"/>
        <v>29581.8589342747</v>
      </c>
      <c r="I1906" t="b">
        <f t="shared" si="119"/>
        <v>0</v>
      </c>
    </row>
    <row r="1907" spans="1:9">
      <c r="A1907" s="1">
        <v>46098.80972222222</v>
      </c>
      <c r="B1907" s="5">
        <f>_xlfn.XLOOKUP(A1907,Banks!A:A,Banks!H:H,0,-1)</f>
        <v>903.20755058124882</v>
      </c>
      <c r="C1907">
        <f>_xlfn.XLOOKUP(A1907,Energy!A:A,Energy!H:H,0,-1)</f>
        <v>5813.6903423503427</v>
      </c>
      <c r="D1907">
        <f t="shared" si="116"/>
        <v>6716.8978929315917</v>
      </c>
      <c r="E1907">
        <f>_xlfn.XLOOKUP(A1907,Banks!A:A,Banks!I:I,0)</f>
        <v>36276.446292450652</v>
      </c>
      <c r="F1907">
        <f>_xlfn.XLOOKUP(A1907,Energy!A:A,Energy!I:I,0)</f>
        <v>0</v>
      </c>
      <c r="G1907">
        <f t="shared" si="117"/>
        <v>36276.446292450652</v>
      </c>
      <c r="H1907">
        <f t="shared" si="118"/>
        <v>29559.548399519059</v>
      </c>
      <c r="I1907" t="b">
        <f t="shared" si="119"/>
        <v>0</v>
      </c>
    </row>
    <row r="1908" spans="1:9">
      <c r="A1908" s="1">
        <v>46098.810416666667</v>
      </c>
      <c r="B1908" s="5">
        <f>_xlfn.XLOOKUP(A1908,Banks!A:A,Banks!H:H,0,-1)</f>
        <v>947.70135682318983</v>
      </c>
      <c r="C1908">
        <f>_xlfn.XLOOKUP(A1908,Energy!A:A,Energy!H:H,0,-1)</f>
        <v>5813.6903423503427</v>
      </c>
      <c r="D1908">
        <f t="shared" si="116"/>
        <v>6761.3916991735323</v>
      </c>
      <c r="E1908">
        <f>_xlfn.XLOOKUP(A1908,Banks!A:A,Banks!I:I,0)</f>
        <v>36264.758714357813</v>
      </c>
      <c r="F1908">
        <f>_xlfn.XLOOKUP(A1908,Energy!A:A,Energy!I:I,0)</f>
        <v>0</v>
      </c>
      <c r="G1908">
        <f t="shared" si="117"/>
        <v>36264.758714357813</v>
      </c>
      <c r="H1908">
        <f t="shared" si="118"/>
        <v>29503.367015184282</v>
      </c>
      <c r="I1908" t="b">
        <f t="shared" si="119"/>
        <v>0</v>
      </c>
    </row>
    <row r="1909" spans="1:9">
      <c r="A1909" s="1">
        <v>46098.811111111107</v>
      </c>
      <c r="B1909" s="5">
        <f>_xlfn.XLOOKUP(A1909,Banks!A:A,Banks!H:H,0,-1)</f>
        <v>954.99677955860761</v>
      </c>
      <c r="C1909">
        <f>_xlfn.XLOOKUP(A1909,Energy!A:A,Energy!H:H,0,-1)</f>
        <v>5813.6903423503427</v>
      </c>
      <c r="D1909">
        <f t="shared" si="116"/>
        <v>6768.6871219089498</v>
      </c>
      <c r="E1909">
        <f>_xlfn.XLOOKUP(A1909,Banks!A:A,Banks!I:I,0)</f>
        <v>0</v>
      </c>
      <c r="F1909">
        <f>_xlfn.XLOOKUP(A1909,Energy!A:A,Energy!I:I,0)</f>
        <v>0</v>
      </c>
      <c r="G1909">
        <f t="shared" si="117"/>
        <v>0</v>
      </c>
      <c r="H1909">
        <f t="shared" si="118"/>
        <v>-6768.6871219089498</v>
      </c>
      <c r="I1909" t="b">
        <f t="shared" si="119"/>
        <v>0</v>
      </c>
    </row>
    <row r="1910" spans="1:9">
      <c r="A1910" s="1">
        <v>46099.564583333333</v>
      </c>
      <c r="B1910" s="5">
        <f>_xlfn.XLOOKUP(A1910,Banks!A:A,Banks!H:H,0,-1)</f>
        <v>954.99677955860761</v>
      </c>
      <c r="C1910">
        <f>_xlfn.XLOOKUP(A1910,Energy!A:A,Energy!H:H,0,-1)</f>
        <v>5813.6903423503427</v>
      </c>
      <c r="D1910">
        <f t="shared" si="116"/>
        <v>6768.6871219089498</v>
      </c>
      <c r="E1910">
        <f>_xlfn.XLOOKUP(A1910,Banks!A:A,Banks!I:I,0)</f>
        <v>36288.941003751999</v>
      </c>
      <c r="F1910">
        <f>_xlfn.XLOOKUP(A1910,Energy!A:A,Energy!I:I,0)</f>
        <v>0</v>
      </c>
      <c r="G1910">
        <f t="shared" si="117"/>
        <v>36288.941003751999</v>
      </c>
      <c r="H1910">
        <f t="shared" si="118"/>
        <v>29520.253881843048</v>
      </c>
      <c r="I1910" t="b">
        <f t="shared" si="119"/>
        <v>0</v>
      </c>
    </row>
    <row r="1911" spans="1:9">
      <c r="A1911" s="1">
        <v>46099.56527777778</v>
      </c>
      <c r="B1911" s="5">
        <f>_xlfn.XLOOKUP(A1911,Banks!A:A,Banks!H:H,0,-1)</f>
        <v>1043.675161143484</v>
      </c>
      <c r="C1911">
        <f>_xlfn.XLOOKUP(A1911,Energy!A:A,Energy!H:H,0,-1)</f>
        <v>5813.6903423503427</v>
      </c>
      <c r="D1911">
        <f t="shared" si="116"/>
        <v>6857.3655034938265</v>
      </c>
      <c r="E1911">
        <f>_xlfn.XLOOKUP(A1911,Banks!A:A,Banks!I:I,0)</f>
        <v>36330.744772317259</v>
      </c>
      <c r="F1911">
        <f>_xlfn.XLOOKUP(A1911,Energy!A:A,Energy!I:I,0)</f>
        <v>0</v>
      </c>
      <c r="G1911">
        <f t="shared" si="117"/>
        <v>36330.744772317259</v>
      </c>
      <c r="H1911">
        <f t="shared" si="118"/>
        <v>29473.379268823432</v>
      </c>
      <c r="I1911" t="b">
        <f t="shared" si="119"/>
        <v>0</v>
      </c>
    </row>
    <row r="1912" spans="1:9">
      <c r="A1912" s="1">
        <v>46099.565972222219</v>
      </c>
      <c r="B1912" s="5">
        <f>_xlfn.XLOOKUP(A1912,Banks!A:A,Banks!H:H,0,-1)</f>
        <v>1144.432753832499</v>
      </c>
      <c r="C1912">
        <f>_xlfn.XLOOKUP(A1912,Energy!A:A,Energy!H:H,0,-1)</f>
        <v>5813.6903423503427</v>
      </c>
      <c r="D1912">
        <f t="shared" si="116"/>
        <v>6958.1230961828414</v>
      </c>
      <c r="E1912">
        <f>_xlfn.XLOOKUP(A1912,Banks!A:A,Banks!I:I,0)</f>
        <v>36295.883508573257</v>
      </c>
      <c r="F1912">
        <f>_xlfn.XLOOKUP(A1912,Energy!A:A,Energy!I:I,0)</f>
        <v>0</v>
      </c>
      <c r="G1912">
        <f t="shared" si="117"/>
        <v>36295.883508573257</v>
      </c>
      <c r="H1912">
        <f t="shared" si="118"/>
        <v>29337.760412390417</v>
      </c>
      <c r="I1912" t="b">
        <f t="shared" si="119"/>
        <v>0</v>
      </c>
    </row>
    <row r="1913" spans="1:9">
      <c r="A1913" s="1">
        <v>46099.566666666673</v>
      </c>
      <c r="B1913" s="5">
        <f>_xlfn.XLOOKUP(A1913,Banks!A:A,Banks!H:H,0,-1)</f>
        <v>1231.1810653727259</v>
      </c>
      <c r="C1913">
        <f>_xlfn.XLOOKUP(A1913,Energy!A:A,Energy!H:H,0,-1)</f>
        <v>5813.6903423503427</v>
      </c>
      <c r="D1913">
        <f t="shared" si="116"/>
        <v>7044.8714077230688</v>
      </c>
      <c r="E1913">
        <f>_xlfn.XLOOKUP(A1913,Banks!A:A,Banks!I:I,0)</f>
        <v>36258.220388599511</v>
      </c>
      <c r="F1913">
        <f>_xlfn.XLOOKUP(A1913,Energy!A:A,Energy!I:I,0)</f>
        <v>0</v>
      </c>
      <c r="G1913">
        <f t="shared" si="117"/>
        <v>36258.220388599511</v>
      </c>
      <c r="H1913">
        <f t="shared" si="118"/>
        <v>29213.348980876443</v>
      </c>
      <c r="I1913" t="b">
        <f t="shared" si="119"/>
        <v>0</v>
      </c>
    </row>
    <row r="1914" spans="1:9">
      <c r="A1914" s="1">
        <v>46099.567361111112</v>
      </c>
      <c r="B1914" s="5">
        <f>_xlfn.XLOOKUP(A1914,Banks!A:A,Banks!H:H,0,-1)</f>
        <v>1206.354144596806</v>
      </c>
      <c r="C1914">
        <f>_xlfn.XLOOKUP(A1914,Energy!A:A,Energy!H:H,0,-1)</f>
        <v>5813.6903423503427</v>
      </c>
      <c r="D1914">
        <f t="shared" si="116"/>
        <v>7020.0444869471485</v>
      </c>
      <c r="E1914">
        <f>_xlfn.XLOOKUP(A1914,Banks!A:A,Banks!I:I,0)</f>
        <v>36284.199694477837</v>
      </c>
      <c r="F1914">
        <f>_xlfn.XLOOKUP(A1914,Energy!A:A,Energy!I:I,0)</f>
        <v>0</v>
      </c>
      <c r="G1914">
        <f t="shared" si="117"/>
        <v>36284.199694477837</v>
      </c>
      <c r="H1914">
        <f t="shared" si="118"/>
        <v>29264.15520753069</v>
      </c>
      <c r="I1914" t="b">
        <f t="shared" si="119"/>
        <v>0</v>
      </c>
    </row>
    <row r="1915" spans="1:9">
      <c r="A1915" s="1">
        <v>46099.568055555559</v>
      </c>
      <c r="B1915" s="5">
        <f>_xlfn.XLOOKUP(A1915,Banks!A:A,Banks!H:H,0,-1)</f>
        <v>1104.476177502672</v>
      </c>
      <c r="C1915">
        <f>_xlfn.XLOOKUP(A1915,Energy!A:A,Energy!H:H,0,-1)</f>
        <v>5813.6903423503427</v>
      </c>
      <c r="D1915">
        <f t="shared" si="116"/>
        <v>6918.1665198530145</v>
      </c>
      <c r="E1915">
        <f>_xlfn.XLOOKUP(A1915,Banks!A:A,Banks!I:I,0)</f>
        <v>36294.768791092523</v>
      </c>
      <c r="F1915">
        <f>_xlfn.XLOOKUP(A1915,Energy!A:A,Energy!I:I,0)</f>
        <v>0</v>
      </c>
      <c r="G1915">
        <f t="shared" si="117"/>
        <v>36294.768791092523</v>
      </c>
      <c r="H1915">
        <f t="shared" si="118"/>
        <v>29376.60227123951</v>
      </c>
      <c r="I1915" t="b">
        <f t="shared" si="119"/>
        <v>0</v>
      </c>
    </row>
    <row r="1916" spans="1:9">
      <c r="A1916" s="1">
        <v>46099.568749999999</v>
      </c>
      <c r="B1916" s="5">
        <f>_xlfn.XLOOKUP(A1916,Banks!A:A,Banks!H:H,0,-1)</f>
        <v>975.539969029708</v>
      </c>
      <c r="C1916">
        <f>_xlfn.XLOOKUP(A1916,Energy!A:A,Energy!H:H,0,-1)</f>
        <v>5813.6903423503427</v>
      </c>
      <c r="D1916">
        <f t="shared" si="116"/>
        <v>6789.2303113800508</v>
      </c>
      <c r="E1916">
        <f>_xlfn.XLOOKUP(A1916,Banks!A:A,Banks!I:I,0)</f>
        <v>36320.556032787121</v>
      </c>
      <c r="F1916">
        <f>_xlfn.XLOOKUP(A1916,Energy!A:A,Energy!I:I,0)</f>
        <v>0</v>
      </c>
      <c r="G1916">
        <f t="shared" si="117"/>
        <v>36320.556032787121</v>
      </c>
      <c r="H1916">
        <f t="shared" si="118"/>
        <v>29531.325721407069</v>
      </c>
      <c r="I1916" t="b">
        <f t="shared" si="119"/>
        <v>0</v>
      </c>
    </row>
    <row r="1917" spans="1:9">
      <c r="A1917" s="1">
        <v>46099.569444444453</v>
      </c>
      <c r="B1917" s="5">
        <f>_xlfn.XLOOKUP(A1917,Banks!A:A,Banks!H:H,0,-1)</f>
        <v>869.3688424234881</v>
      </c>
      <c r="C1917">
        <f>_xlfn.XLOOKUP(A1917,Energy!A:A,Energy!H:H,0,-1)</f>
        <v>5813.6903423503427</v>
      </c>
      <c r="D1917">
        <f t="shared" si="116"/>
        <v>6683.0591847738306</v>
      </c>
      <c r="E1917">
        <f>_xlfn.XLOOKUP(A1917,Banks!A:A,Banks!I:I,0)</f>
        <v>36350.896290855067</v>
      </c>
      <c r="F1917">
        <f>_xlfn.XLOOKUP(A1917,Energy!A:A,Energy!I:I,0)</f>
        <v>0</v>
      </c>
      <c r="G1917">
        <f t="shared" si="117"/>
        <v>36350.896290855067</v>
      </c>
      <c r="H1917">
        <f t="shared" si="118"/>
        <v>29667.837106081235</v>
      </c>
      <c r="I1917" t="b">
        <f t="shared" si="119"/>
        <v>0</v>
      </c>
    </row>
    <row r="1918" spans="1:9">
      <c r="A1918" s="1">
        <v>46099.570138888892</v>
      </c>
      <c r="B1918" s="5">
        <f>_xlfn.XLOOKUP(A1918,Banks!A:A,Banks!H:H,0,-1)</f>
        <v>862.53368354284385</v>
      </c>
      <c r="C1918">
        <f>_xlfn.XLOOKUP(A1918,Energy!A:A,Energy!H:H,0,-1)</f>
        <v>5813.6903423503427</v>
      </c>
      <c r="D1918">
        <f t="shared" si="116"/>
        <v>6676.224025893187</v>
      </c>
      <c r="E1918">
        <f>_xlfn.XLOOKUP(A1918,Banks!A:A,Banks!I:I,0)</f>
        <v>36390.788845790281</v>
      </c>
      <c r="F1918">
        <f>_xlfn.XLOOKUP(A1918,Energy!A:A,Energy!I:I,0)</f>
        <v>0</v>
      </c>
      <c r="G1918">
        <f t="shared" si="117"/>
        <v>36390.788845790281</v>
      </c>
      <c r="H1918">
        <f t="shared" si="118"/>
        <v>29714.564819897096</v>
      </c>
      <c r="I1918" t="b">
        <f t="shared" si="119"/>
        <v>0</v>
      </c>
    </row>
    <row r="1919" spans="1:9">
      <c r="A1919" s="1">
        <v>46099.570833333331</v>
      </c>
      <c r="B1919" s="5">
        <f>_xlfn.XLOOKUP(A1919,Banks!A:A,Banks!H:H,0,-1)</f>
        <v>1073.14363302629</v>
      </c>
      <c r="C1919">
        <f>_xlfn.XLOOKUP(A1919,Energy!A:A,Energy!H:H,0,-1)</f>
        <v>5813.6903423503427</v>
      </c>
      <c r="D1919">
        <f t="shared" si="116"/>
        <v>6886.8339753766322</v>
      </c>
      <c r="E1919">
        <f>_xlfn.XLOOKUP(A1919,Banks!A:A,Banks!I:I,0)</f>
        <v>36405.404444546068</v>
      </c>
      <c r="F1919">
        <f>_xlfn.XLOOKUP(A1919,Energy!A:A,Energy!I:I,0)</f>
        <v>0</v>
      </c>
      <c r="G1919">
        <f t="shared" si="117"/>
        <v>36405.404444546068</v>
      </c>
      <c r="H1919">
        <f t="shared" si="118"/>
        <v>29518.570469169434</v>
      </c>
      <c r="I1919" t="b">
        <f t="shared" si="119"/>
        <v>0</v>
      </c>
    </row>
    <row r="1920" spans="1:9">
      <c r="A1920" s="1">
        <v>46099.571527777778</v>
      </c>
      <c r="B1920" s="5">
        <f>_xlfn.XLOOKUP(A1920,Banks!A:A,Banks!H:H,0,-1)</f>
        <v>1120.424956903375</v>
      </c>
      <c r="C1920">
        <f>_xlfn.XLOOKUP(A1920,Energy!A:A,Energy!H:H,0,-1)</f>
        <v>5813.6903423503427</v>
      </c>
      <c r="D1920">
        <f t="shared" si="116"/>
        <v>6934.1152992537172</v>
      </c>
      <c r="E1920">
        <f>_xlfn.XLOOKUP(A1920,Banks!A:A,Banks!I:I,0)</f>
        <v>36414.860709321489</v>
      </c>
      <c r="F1920">
        <f>_xlfn.XLOOKUP(A1920,Energy!A:A,Energy!I:I,0)</f>
        <v>0</v>
      </c>
      <c r="G1920">
        <f t="shared" si="117"/>
        <v>36414.860709321489</v>
      </c>
      <c r="H1920">
        <f t="shared" si="118"/>
        <v>29480.745410067771</v>
      </c>
      <c r="I1920" t="b">
        <f t="shared" si="119"/>
        <v>0</v>
      </c>
    </row>
    <row r="1921" spans="1:9">
      <c r="A1921" s="1">
        <v>46099.572222222218</v>
      </c>
      <c r="B1921" s="5">
        <f>_xlfn.XLOOKUP(A1921,Banks!A:A,Banks!H:H,0,-1)</f>
        <v>1079.03732740285</v>
      </c>
      <c r="C1921">
        <f>_xlfn.XLOOKUP(A1921,Energy!A:A,Energy!H:H,0,-1)</f>
        <v>5813.6903423503427</v>
      </c>
      <c r="D1921">
        <f t="shared" si="116"/>
        <v>6892.7276697531925</v>
      </c>
      <c r="E1921">
        <f>_xlfn.XLOOKUP(A1921,Banks!A:A,Banks!I:I,0)</f>
        <v>36420.336378991837</v>
      </c>
      <c r="F1921">
        <f>_xlfn.XLOOKUP(A1921,Energy!A:A,Energy!I:I,0)</f>
        <v>0</v>
      </c>
      <c r="G1921">
        <f t="shared" si="117"/>
        <v>36420.336378991837</v>
      </c>
      <c r="H1921">
        <f t="shared" si="118"/>
        <v>29527.608709238644</v>
      </c>
      <c r="I1921" t="b">
        <f t="shared" si="119"/>
        <v>0</v>
      </c>
    </row>
    <row r="1922" spans="1:9">
      <c r="A1922" s="1">
        <v>46099.572916666657</v>
      </c>
      <c r="B1922" s="5">
        <f>_xlfn.XLOOKUP(A1922,Banks!A:A,Banks!H:H,0,-1)</f>
        <v>1164.6197362329631</v>
      </c>
      <c r="C1922">
        <f>_xlfn.XLOOKUP(A1922,Energy!A:A,Energy!H:H,0,-1)</f>
        <v>5813.6903423503427</v>
      </c>
      <c r="D1922">
        <f t="shared" si="116"/>
        <v>6978.3100785833058</v>
      </c>
      <c r="E1922">
        <f>_xlfn.XLOOKUP(A1922,Banks!A:A,Banks!I:I,0)</f>
        <v>0</v>
      </c>
      <c r="F1922">
        <f>_xlfn.XLOOKUP(A1922,Energy!A:A,Energy!I:I,0)</f>
        <v>0</v>
      </c>
      <c r="G1922">
        <f t="shared" si="117"/>
        <v>0</v>
      </c>
      <c r="H1922">
        <f t="shared" si="118"/>
        <v>-6978.3100785833058</v>
      </c>
      <c r="I1922" t="b">
        <f t="shared" si="119"/>
        <v>0</v>
      </c>
    </row>
    <row r="1923" spans="1:9">
      <c r="A1923" s="1">
        <v>46101.5625</v>
      </c>
      <c r="B1923" s="5">
        <f>_xlfn.XLOOKUP(A1923,Banks!A:A,Banks!H:H,0,-1)</f>
        <v>1164.6197362329631</v>
      </c>
      <c r="C1923">
        <f>_xlfn.XLOOKUP(A1923,Energy!A:A,Energy!H:H,0,-1)</f>
        <v>5813.6903423503427</v>
      </c>
      <c r="D1923">
        <f t="shared" ref="D1923:D1986" si="120">B1923+C1923</f>
        <v>6978.3100785833058</v>
      </c>
      <c r="E1923">
        <f>_xlfn.XLOOKUP(A1923,Banks!A:A,Banks!I:I,0)</f>
        <v>36288.941003751999</v>
      </c>
      <c r="F1923">
        <f>_xlfn.XLOOKUP(A1923,Energy!A:A,Energy!I:I,0)</f>
        <v>0</v>
      </c>
      <c r="G1923">
        <f t="shared" ref="G1923:G1986" si="121">F1923+E1923</f>
        <v>36288.941003751999</v>
      </c>
      <c r="H1923">
        <f t="shared" ref="H1923:H1986" si="122">G1923-D1923</f>
        <v>29310.630925168694</v>
      </c>
      <c r="I1923" t="b">
        <f t="shared" ref="I1923:I1986" si="123">AND(E1923&gt;0,F1923&gt;0)</f>
        <v>0</v>
      </c>
    </row>
    <row r="1924" spans="1:9">
      <c r="A1924" s="1">
        <v>46101.563194444447</v>
      </c>
      <c r="B1924" s="5">
        <f>_xlfn.XLOOKUP(A1924,Banks!A:A,Banks!H:H,0,-1)</f>
        <v>1507.1922203394099</v>
      </c>
      <c r="C1924">
        <f>_xlfn.XLOOKUP(A1924,Energy!A:A,Energy!H:H,0,-1)</f>
        <v>5813.6903423503427</v>
      </c>
      <c r="D1924">
        <f t="shared" si="120"/>
        <v>7320.8825626897524</v>
      </c>
      <c r="E1924">
        <f>_xlfn.XLOOKUP(A1924,Banks!A:A,Banks!I:I,0)</f>
        <v>36216.261720202499</v>
      </c>
      <c r="F1924">
        <f>_xlfn.XLOOKUP(A1924,Energy!A:A,Energy!I:I,0)</f>
        <v>0</v>
      </c>
      <c r="G1924">
        <f t="shared" si="121"/>
        <v>36216.261720202499</v>
      </c>
      <c r="H1924">
        <f t="shared" si="122"/>
        <v>28895.379157512747</v>
      </c>
      <c r="I1924" t="b">
        <f t="shared" si="123"/>
        <v>0</v>
      </c>
    </row>
    <row r="1925" spans="1:9">
      <c r="A1925" s="1">
        <v>46101.563888888893</v>
      </c>
      <c r="B1925" s="5">
        <f>_xlfn.XLOOKUP(A1925,Banks!A:A,Banks!H:H,0,-1)</f>
        <v>1406.812256401857</v>
      </c>
      <c r="C1925">
        <f>_xlfn.XLOOKUP(A1925,Energy!A:A,Energy!H:H,0,-1)</f>
        <v>5813.6903423503427</v>
      </c>
      <c r="D1925">
        <f t="shared" si="120"/>
        <v>7220.5025987521994</v>
      </c>
      <c r="E1925">
        <f>_xlfn.XLOOKUP(A1925,Banks!A:A,Banks!I:I,0)</f>
        <v>36209.960730377992</v>
      </c>
      <c r="F1925">
        <f>_xlfn.XLOOKUP(A1925,Energy!A:A,Energy!I:I,0)</f>
        <v>0</v>
      </c>
      <c r="G1925">
        <f t="shared" si="121"/>
        <v>36209.960730377992</v>
      </c>
      <c r="H1925">
        <f t="shared" si="122"/>
        <v>28989.458131625794</v>
      </c>
      <c r="I1925" t="b">
        <f t="shared" si="123"/>
        <v>0</v>
      </c>
    </row>
    <row r="1926" spans="1:9">
      <c r="A1926" s="1">
        <v>46101.564583333333</v>
      </c>
      <c r="B1926" s="5">
        <f>_xlfn.XLOOKUP(A1926,Banks!A:A,Banks!H:H,0,-1)</f>
        <v>1420.358568003054</v>
      </c>
      <c r="C1926">
        <f>_xlfn.XLOOKUP(A1926,Energy!A:A,Energy!H:H,0,-1)</f>
        <v>5813.6903423503427</v>
      </c>
      <c r="D1926">
        <f t="shared" si="120"/>
        <v>7234.0489103533964</v>
      </c>
      <c r="E1926">
        <f>_xlfn.XLOOKUP(A1926,Banks!A:A,Banks!I:I,0)</f>
        <v>36195.451238994479</v>
      </c>
      <c r="F1926">
        <f>_xlfn.XLOOKUP(A1926,Energy!A:A,Energy!I:I,0)</f>
        <v>0</v>
      </c>
      <c r="G1926">
        <f t="shared" si="121"/>
        <v>36195.451238994479</v>
      </c>
      <c r="H1926">
        <f t="shared" si="122"/>
        <v>28961.402328641081</v>
      </c>
      <c r="I1926" t="b">
        <f t="shared" si="123"/>
        <v>0</v>
      </c>
    </row>
    <row r="1927" spans="1:9">
      <c r="A1927" s="1">
        <v>46101.56527777778</v>
      </c>
      <c r="B1927" s="5">
        <f>_xlfn.XLOOKUP(A1927,Banks!A:A,Banks!H:H,0,-1)</f>
        <v>1477.812683519059</v>
      </c>
      <c r="C1927">
        <f>_xlfn.XLOOKUP(A1927,Energy!A:A,Energy!H:H,0,-1)</f>
        <v>5813.6903423503427</v>
      </c>
      <c r="D1927">
        <f t="shared" si="120"/>
        <v>7291.5030258694014</v>
      </c>
      <c r="E1927">
        <f>_xlfn.XLOOKUP(A1927,Banks!A:A,Banks!I:I,0)</f>
        <v>36127.735795060413</v>
      </c>
      <c r="F1927">
        <f>_xlfn.XLOOKUP(A1927,Energy!A:A,Energy!I:I,0)</f>
        <v>0</v>
      </c>
      <c r="G1927">
        <f t="shared" si="121"/>
        <v>36127.735795060413</v>
      </c>
      <c r="H1927">
        <f t="shared" si="122"/>
        <v>28836.23276919101</v>
      </c>
      <c r="I1927" t="b">
        <f t="shared" si="123"/>
        <v>0</v>
      </c>
    </row>
    <row r="1928" spans="1:9">
      <c r="A1928" s="1">
        <v>46101.565972222219</v>
      </c>
      <c r="B1928" s="5">
        <f>_xlfn.XLOOKUP(A1928,Banks!A:A,Banks!H:H,0,-1)</f>
        <v>1429.68085168723</v>
      </c>
      <c r="C1928">
        <f>_xlfn.XLOOKUP(A1928,Energy!A:A,Energy!H:H,0,-1)</f>
        <v>5813.6903423503427</v>
      </c>
      <c r="D1928">
        <f t="shared" si="120"/>
        <v>7243.3711940375724</v>
      </c>
      <c r="E1928">
        <f>_xlfn.XLOOKUP(A1928,Banks!A:A,Banks!I:I,0)</f>
        <v>36052.678164619778</v>
      </c>
      <c r="F1928">
        <f>_xlfn.XLOOKUP(A1928,Energy!A:A,Energy!I:I,0)</f>
        <v>0</v>
      </c>
      <c r="G1928">
        <f t="shared" si="121"/>
        <v>36052.678164619778</v>
      </c>
      <c r="H1928">
        <f t="shared" si="122"/>
        <v>28809.306970582205</v>
      </c>
      <c r="I1928" t="b">
        <f t="shared" si="123"/>
        <v>0</v>
      </c>
    </row>
    <row r="1929" spans="1:9">
      <c r="A1929" s="1">
        <v>46101.566666666673</v>
      </c>
      <c r="B1929" s="5">
        <f>_xlfn.XLOOKUP(A1929,Banks!A:A,Banks!H:H,0,-1)</f>
        <v>1303.809068020224</v>
      </c>
      <c r="C1929">
        <f>_xlfn.XLOOKUP(A1929,Energy!A:A,Energy!H:H,0,-1)</f>
        <v>5813.6903423503427</v>
      </c>
      <c r="D1929">
        <f t="shared" si="120"/>
        <v>7117.4994103705667</v>
      </c>
      <c r="E1929">
        <f>_xlfn.XLOOKUP(A1929,Banks!A:A,Banks!I:I,0)</f>
        <v>36068.828816775393</v>
      </c>
      <c r="F1929">
        <f>_xlfn.XLOOKUP(A1929,Energy!A:A,Energy!I:I,0)</f>
        <v>0</v>
      </c>
      <c r="G1929">
        <f t="shared" si="121"/>
        <v>36068.828816775393</v>
      </c>
      <c r="H1929">
        <f t="shared" si="122"/>
        <v>28951.329406404824</v>
      </c>
      <c r="I1929" t="b">
        <f t="shared" si="123"/>
        <v>0</v>
      </c>
    </row>
    <row r="1930" spans="1:9">
      <c r="A1930" s="1">
        <v>46101.567361111112</v>
      </c>
      <c r="B1930" s="5">
        <f>_xlfn.XLOOKUP(A1930,Banks!A:A,Banks!H:H,0,-1)</f>
        <v>1405.6553111002499</v>
      </c>
      <c r="C1930">
        <f>_xlfn.XLOOKUP(A1930,Energy!A:A,Energy!H:H,0,-1)</f>
        <v>5813.6903423503427</v>
      </c>
      <c r="D1930">
        <f t="shared" si="120"/>
        <v>7219.3456534505931</v>
      </c>
      <c r="E1930">
        <f>_xlfn.XLOOKUP(A1930,Banks!A:A,Banks!I:I,0)</f>
        <v>36061.648059465377</v>
      </c>
      <c r="F1930">
        <f>_xlfn.XLOOKUP(A1930,Energy!A:A,Energy!I:I,0)</f>
        <v>0</v>
      </c>
      <c r="G1930">
        <f t="shared" si="121"/>
        <v>36061.648059465377</v>
      </c>
      <c r="H1930">
        <f t="shared" si="122"/>
        <v>28842.302406014784</v>
      </c>
      <c r="I1930" t="b">
        <f t="shared" si="123"/>
        <v>0</v>
      </c>
    </row>
    <row r="1931" spans="1:9">
      <c r="A1931" s="1">
        <v>46101.568055555559</v>
      </c>
      <c r="B1931" s="5">
        <f>_xlfn.XLOOKUP(A1931,Banks!A:A,Banks!H:H,0,-1)</f>
        <v>1230.7907759460311</v>
      </c>
      <c r="C1931">
        <f>_xlfn.XLOOKUP(A1931,Energy!A:A,Energy!H:H,0,-1)</f>
        <v>5813.6903423503427</v>
      </c>
      <c r="D1931">
        <f t="shared" si="120"/>
        <v>7044.481118296374</v>
      </c>
      <c r="E1931">
        <f>_xlfn.XLOOKUP(A1931,Banks!A:A,Banks!I:I,0)</f>
        <v>36047.337656879041</v>
      </c>
      <c r="F1931">
        <f>_xlfn.XLOOKUP(A1931,Energy!A:A,Energy!I:I,0)</f>
        <v>0</v>
      </c>
      <c r="G1931">
        <f t="shared" si="121"/>
        <v>36047.337656879041</v>
      </c>
      <c r="H1931">
        <f t="shared" si="122"/>
        <v>29002.856538582666</v>
      </c>
      <c r="I1931" t="b">
        <f t="shared" si="123"/>
        <v>0</v>
      </c>
    </row>
    <row r="1932" spans="1:9">
      <c r="A1932" s="1">
        <v>46101.568749999999</v>
      </c>
      <c r="B1932" s="5">
        <f>_xlfn.XLOOKUP(A1932,Banks!A:A,Banks!H:H,0,-1)</f>
        <v>1348.1339334190441</v>
      </c>
      <c r="C1932">
        <f>_xlfn.XLOOKUP(A1932,Energy!A:A,Energy!H:H,0,-1)</f>
        <v>5813.6903423503427</v>
      </c>
      <c r="D1932">
        <f t="shared" si="120"/>
        <v>7161.824275769387</v>
      </c>
      <c r="E1932">
        <f>_xlfn.XLOOKUP(A1932,Banks!A:A,Banks!I:I,0)</f>
        <v>36125.906300225659</v>
      </c>
      <c r="F1932">
        <f>_xlfn.XLOOKUP(A1932,Energy!A:A,Energy!I:I,0)</f>
        <v>0</v>
      </c>
      <c r="G1932">
        <f t="shared" si="121"/>
        <v>36125.906300225659</v>
      </c>
      <c r="H1932">
        <f t="shared" si="122"/>
        <v>28964.082024456271</v>
      </c>
      <c r="I1932" t="b">
        <f t="shared" si="123"/>
        <v>0</v>
      </c>
    </row>
    <row r="1933" spans="1:9">
      <c r="A1933" s="1">
        <v>46101.569444444453</v>
      </c>
      <c r="B1933" s="5">
        <f>_xlfn.XLOOKUP(A1933,Banks!A:A,Banks!H:H,0,-1)</f>
        <v>1398.7947505444449</v>
      </c>
      <c r="C1933">
        <f>_xlfn.XLOOKUP(A1933,Energy!A:A,Energy!H:H,0,-1)</f>
        <v>5813.6903423503427</v>
      </c>
      <c r="D1933">
        <f t="shared" si="120"/>
        <v>7212.4850928947872</v>
      </c>
      <c r="E1933">
        <f>_xlfn.XLOOKUP(A1933,Banks!A:A,Banks!I:I,0)</f>
        <v>36153.25721735449</v>
      </c>
      <c r="F1933">
        <f>_xlfn.XLOOKUP(A1933,Energy!A:A,Energy!I:I,0)</f>
        <v>0</v>
      </c>
      <c r="G1933">
        <f t="shared" si="121"/>
        <v>36153.25721735449</v>
      </c>
      <c r="H1933">
        <f t="shared" si="122"/>
        <v>28940.772124459705</v>
      </c>
      <c r="I1933" t="b">
        <f t="shared" si="123"/>
        <v>0</v>
      </c>
    </row>
    <row r="1934" spans="1:9">
      <c r="A1934" s="1">
        <v>46101.570138888892</v>
      </c>
      <c r="B1934" s="5">
        <f>_xlfn.XLOOKUP(A1934,Banks!A:A,Banks!H:H,0,-1)</f>
        <v>1248.1575424728801</v>
      </c>
      <c r="C1934">
        <f>_xlfn.XLOOKUP(A1934,Energy!A:A,Energy!H:H,0,-1)</f>
        <v>5813.6903423503427</v>
      </c>
      <c r="D1934">
        <f t="shared" si="120"/>
        <v>7061.8478848232226</v>
      </c>
      <c r="E1934">
        <f>_xlfn.XLOOKUP(A1934,Banks!A:A,Banks!I:I,0)</f>
        <v>36140.348529443938</v>
      </c>
      <c r="F1934">
        <f>_xlfn.XLOOKUP(A1934,Energy!A:A,Energy!I:I,0)</f>
        <v>0</v>
      </c>
      <c r="G1934">
        <f t="shared" si="121"/>
        <v>36140.348529443938</v>
      </c>
      <c r="H1934">
        <f t="shared" si="122"/>
        <v>29078.500644620715</v>
      </c>
      <c r="I1934" t="b">
        <f t="shared" si="123"/>
        <v>0</v>
      </c>
    </row>
    <row r="1935" spans="1:9">
      <c r="A1935" s="1">
        <v>46101.570833333331</v>
      </c>
      <c r="B1935" s="5">
        <f>_xlfn.XLOOKUP(A1935,Banks!A:A,Banks!H:H,0,-1)</f>
        <v>1326.1800314616401</v>
      </c>
      <c r="C1935">
        <f>_xlfn.XLOOKUP(A1935,Energy!A:A,Energy!H:H,0,-1)</f>
        <v>5813.6903423503427</v>
      </c>
      <c r="D1935">
        <f t="shared" si="120"/>
        <v>7139.870373811983</v>
      </c>
      <c r="E1935">
        <f>_xlfn.XLOOKUP(A1935,Banks!A:A,Banks!I:I,0)</f>
        <v>36152.509276500939</v>
      </c>
      <c r="F1935">
        <f>_xlfn.XLOOKUP(A1935,Energy!A:A,Energy!I:I,0)</f>
        <v>0</v>
      </c>
      <c r="G1935">
        <f t="shared" si="121"/>
        <v>36152.509276500939</v>
      </c>
      <c r="H1935">
        <f t="shared" si="122"/>
        <v>29012.638902688956</v>
      </c>
      <c r="I1935" t="b">
        <f t="shared" si="123"/>
        <v>0</v>
      </c>
    </row>
    <row r="1936" spans="1:9">
      <c r="A1936" s="1">
        <v>46101.571527777778</v>
      </c>
      <c r="B1936" s="5">
        <f>_xlfn.XLOOKUP(A1936,Banks!A:A,Banks!H:H,0,-1)</f>
        <v>1207.5858698344709</v>
      </c>
      <c r="C1936">
        <f>_xlfn.XLOOKUP(A1936,Energy!A:A,Energy!H:H,0,-1)</f>
        <v>5813.6903423503427</v>
      </c>
      <c r="D1936">
        <f t="shared" si="120"/>
        <v>7021.2762121848136</v>
      </c>
      <c r="E1936">
        <f>_xlfn.XLOOKUP(A1936,Banks!A:A,Banks!I:I,0)</f>
        <v>36187.334206768282</v>
      </c>
      <c r="F1936">
        <f>_xlfn.XLOOKUP(A1936,Energy!A:A,Energy!I:I,0)</f>
        <v>0</v>
      </c>
      <c r="G1936">
        <f t="shared" si="121"/>
        <v>36187.334206768282</v>
      </c>
      <c r="H1936">
        <f t="shared" si="122"/>
        <v>29166.057994583469</v>
      </c>
      <c r="I1936" t="b">
        <f t="shared" si="123"/>
        <v>0</v>
      </c>
    </row>
    <row r="1937" spans="1:9">
      <c r="A1937" s="1">
        <v>46101.572222222218</v>
      </c>
      <c r="B1937" s="5">
        <f>_xlfn.XLOOKUP(A1937,Banks!A:A,Banks!H:H,0,-1)</f>
        <v>1169.5431824896541</v>
      </c>
      <c r="C1937">
        <f>_xlfn.XLOOKUP(A1937,Energy!A:A,Energy!H:H,0,-1)</f>
        <v>5813.6903423503427</v>
      </c>
      <c r="D1937">
        <f t="shared" si="120"/>
        <v>6983.2335248399968</v>
      </c>
      <c r="E1937">
        <f>_xlfn.XLOOKUP(A1937,Banks!A:A,Banks!I:I,0)</f>
        <v>36186.613170780824</v>
      </c>
      <c r="F1937">
        <f>_xlfn.XLOOKUP(A1937,Energy!A:A,Energy!I:I,0)</f>
        <v>0</v>
      </c>
      <c r="G1937">
        <f t="shared" si="121"/>
        <v>36186.613170780824</v>
      </c>
      <c r="H1937">
        <f t="shared" si="122"/>
        <v>29203.379645940826</v>
      </c>
      <c r="I1937" t="b">
        <f t="shared" si="123"/>
        <v>0</v>
      </c>
    </row>
    <row r="1938" spans="1:9">
      <c r="A1938" s="1">
        <v>46101.572916666657</v>
      </c>
      <c r="B1938" s="5">
        <f>_xlfn.XLOOKUP(A1938,Banks!A:A,Banks!H:H,0,-1)</f>
        <v>1106.950345728628</v>
      </c>
      <c r="C1938">
        <f>_xlfn.XLOOKUP(A1938,Energy!A:A,Energy!H:H,0,-1)</f>
        <v>5813.6903423503427</v>
      </c>
      <c r="D1938">
        <f t="shared" si="120"/>
        <v>6920.6406880789709</v>
      </c>
      <c r="E1938">
        <f>_xlfn.XLOOKUP(A1938,Banks!A:A,Banks!I:I,0)</f>
        <v>36256.744621206628</v>
      </c>
      <c r="F1938">
        <f>_xlfn.XLOOKUP(A1938,Energy!A:A,Energy!I:I,0)</f>
        <v>0</v>
      </c>
      <c r="G1938">
        <f t="shared" si="121"/>
        <v>36256.744621206628</v>
      </c>
      <c r="H1938">
        <f t="shared" si="122"/>
        <v>29336.103933127655</v>
      </c>
      <c r="I1938" t="b">
        <f t="shared" si="123"/>
        <v>0</v>
      </c>
    </row>
    <row r="1939" spans="1:9">
      <c r="A1939" s="1">
        <v>46101.573611111111</v>
      </c>
      <c r="B1939" s="5">
        <f>_xlfn.XLOOKUP(A1939,Banks!A:A,Banks!H:H,0,-1)</f>
        <v>1077.0462000790519</v>
      </c>
      <c r="C1939">
        <f>_xlfn.XLOOKUP(A1939,Energy!A:A,Energy!H:H,0,-1)</f>
        <v>5813.6903423503427</v>
      </c>
      <c r="D1939">
        <f t="shared" si="120"/>
        <v>6890.7365424293948</v>
      </c>
      <c r="E1939">
        <f>_xlfn.XLOOKUP(A1939,Banks!A:A,Banks!I:I,0)</f>
        <v>36230.101287632213</v>
      </c>
      <c r="F1939">
        <f>_xlfn.XLOOKUP(A1939,Energy!A:A,Energy!I:I,0)</f>
        <v>0</v>
      </c>
      <c r="G1939">
        <f t="shared" si="121"/>
        <v>36230.101287632213</v>
      </c>
      <c r="H1939">
        <f t="shared" si="122"/>
        <v>29339.364745202816</v>
      </c>
      <c r="I1939" t="b">
        <f t="shared" si="123"/>
        <v>0</v>
      </c>
    </row>
    <row r="1940" spans="1:9">
      <c r="A1940" s="1">
        <v>46101.574305555558</v>
      </c>
      <c r="B1940" s="5">
        <f>_xlfn.XLOOKUP(A1940,Banks!A:A,Banks!H:H,0,-1)</f>
        <v>1152.0016064523791</v>
      </c>
      <c r="C1940">
        <f>_xlfn.XLOOKUP(A1940,Energy!A:A,Energy!H:H,0,-1)</f>
        <v>5813.6903423503427</v>
      </c>
      <c r="D1940">
        <f t="shared" si="120"/>
        <v>6965.6919488027215</v>
      </c>
      <c r="E1940">
        <f>_xlfn.XLOOKUP(A1940,Banks!A:A,Banks!I:I,0)</f>
        <v>36262.311122610627</v>
      </c>
      <c r="F1940">
        <f>_xlfn.XLOOKUP(A1940,Energy!A:A,Energy!I:I,0)</f>
        <v>0</v>
      </c>
      <c r="G1940">
        <f t="shared" si="121"/>
        <v>36262.311122610627</v>
      </c>
      <c r="H1940">
        <f t="shared" si="122"/>
        <v>29296.619173807907</v>
      </c>
      <c r="I1940" t="b">
        <f t="shared" si="123"/>
        <v>0</v>
      </c>
    </row>
    <row r="1941" spans="1:9">
      <c r="A1941" s="1">
        <v>46101.574999999997</v>
      </c>
      <c r="B1941" s="5">
        <f>_xlfn.XLOOKUP(A1941,Banks!A:A,Banks!H:H,0,-1)</f>
        <v>1056.6258394293941</v>
      </c>
      <c r="C1941">
        <f>_xlfn.XLOOKUP(A1941,Energy!A:A,Energy!H:H,0,-1)</f>
        <v>5813.6903423503427</v>
      </c>
      <c r="D1941">
        <f t="shared" si="120"/>
        <v>6870.3161817797372</v>
      </c>
      <c r="E1941">
        <f>_xlfn.XLOOKUP(A1941,Banks!A:A,Banks!I:I,0)</f>
        <v>36246.679719946776</v>
      </c>
      <c r="F1941">
        <f>_xlfn.XLOOKUP(A1941,Energy!A:A,Energy!I:I,0)</f>
        <v>0</v>
      </c>
      <c r="G1941">
        <f t="shared" si="121"/>
        <v>36246.679719946776</v>
      </c>
      <c r="H1941">
        <f t="shared" si="122"/>
        <v>29376.363538167039</v>
      </c>
      <c r="I1941" t="b">
        <f t="shared" si="123"/>
        <v>0</v>
      </c>
    </row>
    <row r="1942" spans="1:9">
      <c r="A1942" s="1">
        <v>46101.575694444437</v>
      </c>
      <c r="B1942" s="5">
        <f>_xlfn.XLOOKUP(A1942,Banks!A:A,Banks!H:H,0,-1)</f>
        <v>1246.7047518230299</v>
      </c>
      <c r="C1942">
        <f>_xlfn.XLOOKUP(A1942,Energy!A:A,Energy!H:H,0,-1)</f>
        <v>5813.6903423503427</v>
      </c>
      <c r="D1942">
        <f t="shared" si="120"/>
        <v>7060.3950941733729</v>
      </c>
      <c r="E1942">
        <f>_xlfn.XLOOKUP(A1942,Banks!A:A,Banks!I:I,0)</f>
        <v>36243.370493536488</v>
      </c>
      <c r="F1942">
        <f>_xlfn.XLOOKUP(A1942,Energy!A:A,Energy!I:I,0)</f>
        <v>0</v>
      </c>
      <c r="G1942">
        <f t="shared" si="121"/>
        <v>36243.370493536488</v>
      </c>
      <c r="H1942">
        <f t="shared" si="122"/>
        <v>29182.975399363117</v>
      </c>
      <c r="I1942" t="b">
        <f t="shared" si="123"/>
        <v>0</v>
      </c>
    </row>
    <row r="1943" spans="1:9">
      <c r="A1943" s="1">
        <v>46101.576388888891</v>
      </c>
      <c r="B1943" s="5">
        <f>_xlfn.XLOOKUP(A1943,Banks!A:A,Banks!H:H,0,-1)</f>
        <v>1239.951738612398</v>
      </c>
      <c r="C1943">
        <f>_xlfn.XLOOKUP(A1943,Energy!A:A,Energy!H:H,0,-1)</f>
        <v>5813.6903423503427</v>
      </c>
      <c r="D1943">
        <f t="shared" si="120"/>
        <v>7053.6420809627407</v>
      </c>
      <c r="E1943">
        <f>_xlfn.XLOOKUP(A1943,Banks!A:A,Banks!I:I,0)</f>
        <v>36162.813623857102</v>
      </c>
      <c r="F1943">
        <f>_xlfn.XLOOKUP(A1943,Energy!A:A,Energy!I:I,0)</f>
        <v>0</v>
      </c>
      <c r="G1943">
        <f t="shared" si="121"/>
        <v>36162.813623857102</v>
      </c>
      <c r="H1943">
        <f t="shared" si="122"/>
        <v>29109.171542894361</v>
      </c>
      <c r="I1943" t="b">
        <f t="shared" si="123"/>
        <v>0</v>
      </c>
    </row>
    <row r="1944" spans="1:9">
      <c r="A1944" s="1">
        <v>46101.57708333333</v>
      </c>
      <c r="B1944" s="5">
        <f>_xlfn.XLOOKUP(A1944,Banks!A:A,Banks!H:H,0,-1)</f>
        <v>1155.122462740429</v>
      </c>
      <c r="C1944">
        <f>_xlfn.XLOOKUP(A1944,Energy!A:A,Energy!H:H,0,-1)</f>
        <v>5813.6903423503427</v>
      </c>
      <c r="D1944">
        <f t="shared" si="120"/>
        <v>6968.8128050907717</v>
      </c>
      <c r="E1944">
        <f>_xlfn.XLOOKUP(A1944,Banks!A:A,Banks!I:I,0)</f>
        <v>36156.179020904958</v>
      </c>
      <c r="F1944">
        <f>_xlfn.XLOOKUP(A1944,Energy!A:A,Energy!I:I,0)</f>
        <v>0</v>
      </c>
      <c r="G1944">
        <f t="shared" si="121"/>
        <v>36156.179020904958</v>
      </c>
      <c r="H1944">
        <f t="shared" si="122"/>
        <v>29187.366215814185</v>
      </c>
      <c r="I1944" t="b">
        <f t="shared" si="123"/>
        <v>0</v>
      </c>
    </row>
    <row r="1945" spans="1:9">
      <c r="A1945" s="1">
        <v>46101.577777777777</v>
      </c>
      <c r="B1945" s="5">
        <f>_xlfn.XLOOKUP(A1945,Banks!A:A,Banks!H:H,0,-1)</f>
        <v>1134.4330534298169</v>
      </c>
      <c r="C1945">
        <f>_xlfn.XLOOKUP(A1945,Energy!A:A,Energy!H:H,0,-1)</f>
        <v>5813.6903423503427</v>
      </c>
      <c r="D1945">
        <f t="shared" si="120"/>
        <v>6948.1233957801596</v>
      </c>
      <c r="E1945">
        <f>_xlfn.XLOOKUP(A1945,Banks!A:A,Banks!I:I,0)</f>
        <v>36158.928640524333</v>
      </c>
      <c r="F1945">
        <f>_xlfn.XLOOKUP(A1945,Energy!A:A,Energy!I:I,0)</f>
        <v>0</v>
      </c>
      <c r="G1945">
        <f t="shared" si="121"/>
        <v>36158.928640524333</v>
      </c>
      <c r="H1945">
        <f t="shared" si="122"/>
        <v>29210.805244744173</v>
      </c>
      <c r="I1945" t="b">
        <f t="shared" si="123"/>
        <v>0</v>
      </c>
    </row>
    <row r="1946" spans="1:9">
      <c r="A1946" s="1">
        <v>46101.578472222223</v>
      </c>
      <c r="B1946" s="5">
        <f>_xlfn.XLOOKUP(A1946,Banks!A:A,Banks!H:H,0,-1)</f>
        <v>1188.8335748229929</v>
      </c>
      <c r="C1946">
        <f>_xlfn.XLOOKUP(A1946,Energy!A:A,Energy!H:H,0,-1)</f>
        <v>5813.6903423503427</v>
      </c>
      <c r="D1946">
        <f t="shared" si="120"/>
        <v>7002.5239171733356</v>
      </c>
      <c r="E1946">
        <f>_xlfn.XLOOKUP(A1946,Banks!A:A,Banks!I:I,0)</f>
        <v>36200.802501469727</v>
      </c>
      <c r="F1946">
        <f>_xlfn.XLOOKUP(A1946,Energy!A:A,Energy!I:I,0)</f>
        <v>0</v>
      </c>
      <c r="G1946">
        <f t="shared" si="121"/>
        <v>36200.802501469727</v>
      </c>
      <c r="H1946">
        <f t="shared" si="122"/>
        <v>29198.278584296393</v>
      </c>
      <c r="I1946" t="b">
        <f t="shared" si="123"/>
        <v>0</v>
      </c>
    </row>
    <row r="1947" spans="1:9">
      <c r="A1947" s="1">
        <v>46101.57916666667</v>
      </c>
      <c r="B1947" s="5">
        <f>_xlfn.XLOOKUP(A1947,Banks!A:A,Banks!H:H,0,-1)</f>
        <v>1173.686459748837</v>
      </c>
      <c r="C1947">
        <f>_xlfn.XLOOKUP(A1947,Energy!A:A,Energy!H:H,0,-1)</f>
        <v>5813.6903423503427</v>
      </c>
      <c r="D1947">
        <f t="shared" si="120"/>
        <v>6987.3768020991793</v>
      </c>
      <c r="E1947">
        <f>_xlfn.XLOOKUP(A1947,Banks!A:A,Banks!I:I,0)</f>
        <v>36221.879333640158</v>
      </c>
      <c r="F1947">
        <f>_xlfn.XLOOKUP(A1947,Energy!A:A,Energy!I:I,0)</f>
        <v>0</v>
      </c>
      <c r="G1947">
        <f t="shared" si="121"/>
        <v>36221.879333640158</v>
      </c>
      <c r="H1947">
        <f t="shared" si="122"/>
        <v>29234.50253154098</v>
      </c>
      <c r="I1947" t="b">
        <f t="shared" si="123"/>
        <v>0</v>
      </c>
    </row>
    <row r="1948" spans="1:9">
      <c r="A1948" s="1">
        <v>46101.579861111109</v>
      </c>
      <c r="B1948" s="5">
        <f>_xlfn.XLOOKUP(A1948,Banks!A:A,Banks!H:H,0,-1)</f>
        <v>1056.087742107545</v>
      </c>
      <c r="C1948">
        <f>_xlfn.XLOOKUP(A1948,Energy!A:A,Energy!H:H,0,-1)</f>
        <v>5813.6903423503427</v>
      </c>
      <c r="D1948">
        <f t="shared" si="120"/>
        <v>6869.7780844578874</v>
      </c>
      <c r="E1948">
        <f>_xlfn.XLOOKUP(A1948,Banks!A:A,Banks!I:I,0)</f>
        <v>36219.0220945564</v>
      </c>
      <c r="F1948">
        <f>_xlfn.XLOOKUP(A1948,Energy!A:A,Energy!I:I,0)</f>
        <v>0</v>
      </c>
      <c r="G1948">
        <f t="shared" si="121"/>
        <v>36219.0220945564</v>
      </c>
      <c r="H1948">
        <f t="shared" si="122"/>
        <v>29349.244010098511</v>
      </c>
      <c r="I1948" t="b">
        <f t="shared" si="123"/>
        <v>0</v>
      </c>
    </row>
    <row r="1949" spans="1:9">
      <c r="A1949" s="1">
        <v>46101.580555555563</v>
      </c>
      <c r="B1949" s="5">
        <f>_xlfn.XLOOKUP(A1949,Banks!A:A,Banks!H:H,0,-1)</f>
        <v>1076.9116757485911</v>
      </c>
      <c r="C1949">
        <f>_xlfn.XLOOKUP(A1949,Energy!A:A,Energy!H:H,0,-1)</f>
        <v>5813.6903423503427</v>
      </c>
      <c r="D1949">
        <f t="shared" si="120"/>
        <v>6890.6020180989335</v>
      </c>
      <c r="E1949">
        <f>_xlfn.XLOOKUP(A1949,Banks!A:A,Banks!I:I,0)</f>
        <v>36223.186881284608</v>
      </c>
      <c r="F1949">
        <f>_xlfn.XLOOKUP(A1949,Energy!A:A,Energy!I:I,0)</f>
        <v>0</v>
      </c>
      <c r="G1949">
        <f t="shared" si="121"/>
        <v>36223.186881284608</v>
      </c>
      <c r="H1949">
        <f t="shared" si="122"/>
        <v>29332.584863185675</v>
      </c>
      <c r="I1949" t="b">
        <f t="shared" si="123"/>
        <v>0</v>
      </c>
    </row>
    <row r="1950" spans="1:9">
      <c r="A1950" s="1">
        <v>46101.581250000003</v>
      </c>
      <c r="B1950" s="5">
        <f>_xlfn.XLOOKUP(A1950,Banks!A:A,Banks!H:H,0,-1)</f>
        <v>1219.246809364691</v>
      </c>
      <c r="C1950">
        <f>_xlfn.XLOOKUP(A1950,Energy!A:A,Energy!H:H,0,-1)</f>
        <v>5813.6903423503427</v>
      </c>
      <c r="D1950">
        <f t="shared" si="120"/>
        <v>7032.9371517150339</v>
      </c>
      <c r="E1950">
        <f>_xlfn.XLOOKUP(A1950,Banks!A:A,Banks!I:I,0)</f>
        <v>0</v>
      </c>
      <c r="F1950">
        <f>_xlfn.XLOOKUP(A1950,Energy!A:A,Energy!I:I,0)</f>
        <v>0</v>
      </c>
      <c r="G1950">
        <f t="shared" si="121"/>
        <v>0</v>
      </c>
      <c r="H1950">
        <f t="shared" si="122"/>
        <v>-7032.9371517150339</v>
      </c>
      <c r="I1950" t="b">
        <f t="shared" si="123"/>
        <v>0</v>
      </c>
    </row>
    <row r="1951" spans="1:9">
      <c r="A1951" s="1">
        <v>46101.826388888891</v>
      </c>
      <c r="B1951" s="5">
        <f>_xlfn.XLOOKUP(A1951,Banks!A:A,Banks!H:H,0,-1)</f>
        <v>1219.246809364691</v>
      </c>
      <c r="C1951">
        <f>_xlfn.XLOOKUP(A1951,Energy!A:A,Energy!H:H,0,-1)</f>
        <v>5813.6903423503427</v>
      </c>
      <c r="D1951">
        <f t="shared" si="120"/>
        <v>7032.9371517150339</v>
      </c>
      <c r="E1951">
        <f>_xlfn.XLOOKUP(A1951,Banks!A:A,Banks!I:I,0)</f>
        <v>36288.941003751999</v>
      </c>
      <c r="F1951">
        <f>_xlfn.XLOOKUP(A1951,Energy!A:A,Energy!I:I,0)</f>
        <v>0</v>
      </c>
      <c r="G1951">
        <f t="shared" si="121"/>
        <v>36288.941003751999</v>
      </c>
      <c r="H1951">
        <f t="shared" si="122"/>
        <v>29256.003852036964</v>
      </c>
      <c r="I1951" t="b">
        <f t="shared" si="123"/>
        <v>0</v>
      </c>
    </row>
    <row r="1952" spans="1:9">
      <c r="A1952" s="1">
        <v>46101.82708333333</v>
      </c>
      <c r="B1952" s="5">
        <f>_xlfn.XLOOKUP(A1952,Banks!A:A,Banks!H:H,0,-1)</f>
        <v>1248.014709147943</v>
      </c>
      <c r="C1952">
        <f>_xlfn.XLOOKUP(A1952,Energy!A:A,Energy!H:H,0,-1)</f>
        <v>5813.6903423503427</v>
      </c>
      <c r="D1952">
        <f t="shared" si="120"/>
        <v>7061.7050514982857</v>
      </c>
      <c r="E1952">
        <f>_xlfn.XLOOKUP(A1952,Banks!A:A,Banks!I:I,0)</f>
        <v>36332.890778771813</v>
      </c>
      <c r="F1952">
        <f>_xlfn.XLOOKUP(A1952,Energy!A:A,Energy!I:I,0)</f>
        <v>0</v>
      </c>
      <c r="G1952">
        <f t="shared" si="121"/>
        <v>36332.890778771813</v>
      </c>
      <c r="H1952">
        <f t="shared" si="122"/>
        <v>29271.185727273529</v>
      </c>
      <c r="I1952" t="b">
        <f t="shared" si="123"/>
        <v>0</v>
      </c>
    </row>
    <row r="1953" spans="1:9">
      <c r="A1953" s="1">
        <v>46101.827777777777</v>
      </c>
      <c r="B1953" s="5">
        <f>_xlfn.XLOOKUP(A1953,Banks!A:A,Banks!H:H,0,-1)</f>
        <v>1292.2551231622781</v>
      </c>
      <c r="C1953">
        <f>_xlfn.XLOOKUP(A1953,Energy!A:A,Energy!H:H,0,-1)</f>
        <v>5813.6903423503427</v>
      </c>
      <c r="D1953">
        <f t="shared" si="120"/>
        <v>7105.945465512621</v>
      </c>
      <c r="E1953">
        <f>_xlfn.XLOOKUP(A1953,Banks!A:A,Banks!I:I,0)</f>
        <v>36366.045531160307</v>
      </c>
      <c r="F1953">
        <f>_xlfn.XLOOKUP(A1953,Energy!A:A,Energy!I:I,0)</f>
        <v>0</v>
      </c>
      <c r="G1953">
        <f t="shared" si="121"/>
        <v>36366.045531160307</v>
      </c>
      <c r="H1953">
        <f t="shared" si="122"/>
        <v>29260.100065647686</v>
      </c>
      <c r="I1953" t="b">
        <f t="shared" si="123"/>
        <v>0</v>
      </c>
    </row>
    <row r="1954" spans="1:9">
      <c r="A1954" s="1">
        <v>46101.828472222223</v>
      </c>
      <c r="B1954" s="5">
        <f>_xlfn.XLOOKUP(A1954,Banks!A:A,Banks!H:H,0,-1)</f>
        <v>1357.218405806585</v>
      </c>
      <c r="C1954">
        <f>_xlfn.XLOOKUP(A1954,Energy!A:A,Energy!H:H,0,-1)</f>
        <v>5813.6903423503427</v>
      </c>
      <c r="D1954">
        <f t="shared" si="120"/>
        <v>7170.9087481569277</v>
      </c>
      <c r="E1954">
        <f>_xlfn.XLOOKUP(A1954,Banks!A:A,Banks!I:I,0)</f>
        <v>36389.455331797319</v>
      </c>
      <c r="F1954">
        <f>_xlfn.XLOOKUP(A1954,Energy!A:A,Energy!I:I,0)</f>
        <v>0</v>
      </c>
      <c r="G1954">
        <f t="shared" si="121"/>
        <v>36389.455331797319</v>
      </c>
      <c r="H1954">
        <f t="shared" si="122"/>
        <v>29218.546583640389</v>
      </c>
      <c r="I1954" t="b">
        <f t="shared" si="123"/>
        <v>0</v>
      </c>
    </row>
    <row r="1955" spans="1:9">
      <c r="A1955" s="1">
        <v>46101.82916666667</v>
      </c>
      <c r="B1955" s="5">
        <f>_xlfn.XLOOKUP(A1955,Banks!A:A,Banks!H:H,0,-1)</f>
        <v>1381.4323236051689</v>
      </c>
      <c r="C1955">
        <f>_xlfn.XLOOKUP(A1955,Energy!A:A,Energy!H:H,0,-1)</f>
        <v>5813.6903423503427</v>
      </c>
      <c r="D1955">
        <f t="shared" si="120"/>
        <v>7195.1226659555114</v>
      </c>
      <c r="E1955">
        <f>_xlfn.XLOOKUP(A1955,Banks!A:A,Banks!I:I,0)</f>
        <v>36467.21812411397</v>
      </c>
      <c r="F1955">
        <f>_xlfn.XLOOKUP(A1955,Energy!A:A,Energy!I:I,0)</f>
        <v>0</v>
      </c>
      <c r="G1955">
        <f t="shared" si="121"/>
        <v>36467.21812411397</v>
      </c>
      <c r="H1955">
        <f t="shared" si="122"/>
        <v>29272.095458158459</v>
      </c>
      <c r="I1955" t="b">
        <f t="shared" si="123"/>
        <v>0</v>
      </c>
    </row>
    <row r="1956" spans="1:9">
      <c r="A1956" s="1">
        <v>46101.829861111109</v>
      </c>
      <c r="B1956" s="5">
        <f>_xlfn.XLOOKUP(A1956,Banks!A:A,Banks!H:H,0,-1)</f>
        <v>1154.2651525256749</v>
      </c>
      <c r="C1956">
        <f>_xlfn.XLOOKUP(A1956,Energy!A:A,Energy!H:H,0,-1)</f>
        <v>5813.6903423503427</v>
      </c>
      <c r="D1956">
        <f t="shared" si="120"/>
        <v>6967.9554948760178</v>
      </c>
      <c r="E1956">
        <f>_xlfn.XLOOKUP(A1956,Banks!A:A,Banks!I:I,0)</f>
        <v>36439.146596744962</v>
      </c>
      <c r="F1956">
        <f>_xlfn.XLOOKUP(A1956,Energy!A:A,Energy!I:I,0)</f>
        <v>0</v>
      </c>
      <c r="G1956">
        <f t="shared" si="121"/>
        <v>36439.146596744962</v>
      </c>
      <c r="H1956">
        <f t="shared" si="122"/>
        <v>29471.191101868942</v>
      </c>
      <c r="I1956" t="b">
        <f t="shared" si="123"/>
        <v>0</v>
      </c>
    </row>
    <row r="1957" spans="1:9">
      <c r="A1957" s="1">
        <v>46101.830555555563</v>
      </c>
      <c r="B1957" s="5">
        <f>_xlfn.XLOOKUP(A1957,Banks!A:A,Banks!H:H,0,-1)</f>
        <v>984.29478190292446</v>
      </c>
      <c r="C1957">
        <f>_xlfn.XLOOKUP(A1957,Energy!A:A,Energy!H:H,0,-1)</f>
        <v>5813.6903423503427</v>
      </c>
      <c r="D1957">
        <f t="shared" si="120"/>
        <v>6797.9851242532668</v>
      </c>
      <c r="E1957">
        <f>_xlfn.XLOOKUP(A1957,Banks!A:A,Banks!I:I,0)</f>
        <v>36394.735378512283</v>
      </c>
      <c r="F1957">
        <f>_xlfn.XLOOKUP(A1957,Energy!A:A,Energy!I:I,0)</f>
        <v>0</v>
      </c>
      <c r="G1957">
        <f t="shared" si="121"/>
        <v>36394.735378512283</v>
      </c>
      <c r="H1957">
        <f t="shared" si="122"/>
        <v>29596.750254259015</v>
      </c>
      <c r="I1957" t="b">
        <f t="shared" si="123"/>
        <v>0</v>
      </c>
    </row>
    <row r="1958" spans="1:9">
      <c r="A1958" s="1">
        <v>46101.831250000003</v>
      </c>
      <c r="B1958" s="5">
        <f>_xlfn.XLOOKUP(A1958,Banks!A:A,Banks!H:H,0,-1)</f>
        <v>1160.1422420974341</v>
      </c>
      <c r="C1958">
        <f>_xlfn.XLOOKUP(A1958,Energy!A:A,Energy!H:H,0,-1)</f>
        <v>5813.6903423503427</v>
      </c>
      <c r="D1958">
        <f t="shared" si="120"/>
        <v>6973.8325844477768</v>
      </c>
      <c r="E1958">
        <f>_xlfn.XLOOKUP(A1958,Banks!A:A,Banks!I:I,0)</f>
        <v>36471.573446983697</v>
      </c>
      <c r="F1958">
        <f>_xlfn.XLOOKUP(A1958,Energy!A:A,Energy!I:I,0)</f>
        <v>0</v>
      </c>
      <c r="G1958">
        <f t="shared" si="121"/>
        <v>36471.573446983697</v>
      </c>
      <c r="H1958">
        <f t="shared" si="122"/>
        <v>29497.74086253592</v>
      </c>
      <c r="I1958" t="b">
        <f t="shared" si="123"/>
        <v>0</v>
      </c>
    </row>
    <row r="1959" spans="1:9">
      <c r="A1959" s="1">
        <v>46101.831944444442</v>
      </c>
      <c r="B1959" s="5">
        <f>_xlfn.XLOOKUP(A1959,Banks!A:A,Banks!H:H,0,-1)</f>
        <v>1186.742200299155</v>
      </c>
      <c r="C1959">
        <f>_xlfn.XLOOKUP(A1959,Energy!A:A,Energy!H:H,0,-1)</f>
        <v>5813.6903423503427</v>
      </c>
      <c r="D1959">
        <f t="shared" si="120"/>
        <v>7000.4325426494979</v>
      </c>
      <c r="E1959">
        <f>_xlfn.XLOOKUP(A1959,Banks!A:A,Banks!I:I,0)</f>
        <v>36494.255345470949</v>
      </c>
      <c r="F1959">
        <f>_xlfn.XLOOKUP(A1959,Energy!A:A,Energy!I:I,0)</f>
        <v>0</v>
      </c>
      <c r="G1959">
        <f t="shared" si="121"/>
        <v>36494.255345470949</v>
      </c>
      <c r="H1959">
        <f t="shared" si="122"/>
        <v>29493.822802821451</v>
      </c>
      <c r="I1959" t="b">
        <f t="shared" si="123"/>
        <v>0</v>
      </c>
    </row>
    <row r="1960" spans="1:9">
      <c r="A1960" s="1">
        <v>46101.832638888889</v>
      </c>
      <c r="B1960" s="5">
        <f>_xlfn.XLOOKUP(A1960,Banks!A:A,Banks!H:H,0,-1)</f>
        <v>1133.611921137114</v>
      </c>
      <c r="C1960">
        <f>_xlfn.XLOOKUP(A1960,Energy!A:A,Energy!H:H,0,-1)</f>
        <v>5813.6903423503427</v>
      </c>
      <c r="D1960">
        <f t="shared" si="120"/>
        <v>6947.3022634874569</v>
      </c>
      <c r="E1960">
        <f>_xlfn.XLOOKUP(A1960,Banks!A:A,Banks!I:I,0)</f>
        <v>36452.377857314139</v>
      </c>
      <c r="F1960">
        <f>_xlfn.XLOOKUP(A1960,Energy!A:A,Energy!I:I,0)</f>
        <v>0</v>
      </c>
      <c r="G1960">
        <f t="shared" si="121"/>
        <v>36452.377857314139</v>
      </c>
      <c r="H1960">
        <f t="shared" si="122"/>
        <v>29505.075593826681</v>
      </c>
      <c r="I1960" t="b">
        <f t="shared" si="123"/>
        <v>0</v>
      </c>
    </row>
    <row r="1961" spans="1:9">
      <c r="A1961" s="1">
        <v>46104.52847222222</v>
      </c>
      <c r="B1961" s="5">
        <f>_xlfn.XLOOKUP(A1961,Banks!A:A,Banks!H:H,0,-1)</f>
        <v>1133.611921137114</v>
      </c>
      <c r="C1961">
        <f>_xlfn.XLOOKUP(A1961,Energy!A:A,Energy!H:H,0,-1)</f>
        <v>5813.6903423503427</v>
      </c>
      <c r="D1961">
        <f t="shared" si="120"/>
        <v>6947.3022634874569</v>
      </c>
      <c r="E1961">
        <f>_xlfn.XLOOKUP(A1961,Banks!A:A,Banks!I:I,0)</f>
        <v>36452.377857314139</v>
      </c>
      <c r="F1961">
        <f>_xlfn.XLOOKUP(A1961,Energy!A:A,Energy!I:I,0)</f>
        <v>0</v>
      </c>
      <c r="G1961">
        <f t="shared" si="121"/>
        <v>36452.377857314139</v>
      </c>
      <c r="H1961">
        <f t="shared" si="122"/>
        <v>29505.075593826681</v>
      </c>
      <c r="I1961" t="b">
        <f t="shared" si="123"/>
        <v>0</v>
      </c>
    </row>
    <row r="1962" spans="1:9">
      <c r="A1962" s="1">
        <v>46104.5625</v>
      </c>
      <c r="B1962" s="5">
        <f>_xlfn.XLOOKUP(A1962,Banks!A:A,Banks!H:H,0,-1)</f>
        <v>2280.9195471750072</v>
      </c>
      <c r="C1962">
        <f>_xlfn.XLOOKUP(A1962,Energy!A:A,Energy!H:H,0,-1)</f>
        <v>5813.6903423503427</v>
      </c>
      <c r="D1962">
        <f t="shared" si="120"/>
        <v>8094.6098895253499</v>
      </c>
      <c r="E1962">
        <f>_xlfn.XLOOKUP(A1962,Banks!A:A,Banks!I:I,0)</f>
        <v>37341.591842703521</v>
      </c>
      <c r="F1962">
        <f>_xlfn.XLOOKUP(A1962,Energy!A:A,Energy!I:I,0)</f>
        <v>0</v>
      </c>
      <c r="G1962">
        <f t="shared" si="121"/>
        <v>37341.591842703521</v>
      </c>
      <c r="H1962">
        <f t="shared" si="122"/>
        <v>29246.981953178172</v>
      </c>
      <c r="I1962" t="b">
        <f t="shared" si="123"/>
        <v>0</v>
      </c>
    </row>
    <row r="1963" spans="1:9">
      <c r="A1963" s="1">
        <v>46104.563194444447</v>
      </c>
      <c r="B1963" s="5">
        <f>_xlfn.XLOOKUP(A1963,Banks!A:A,Banks!H:H,0,-1)</f>
        <v>1899.68153024972</v>
      </c>
      <c r="C1963">
        <f>_xlfn.XLOOKUP(A1963,Energy!A:A,Energy!H:H,0,-1)</f>
        <v>5813.6903423503427</v>
      </c>
      <c r="D1963">
        <f t="shared" si="120"/>
        <v>7713.3718726000625</v>
      </c>
      <c r="E1963">
        <f>_xlfn.XLOOKUP(A1963,Banks!A:A,Banks!I:I,0)</f>
        <v>37192.424230561533</v>
      </c>
      <c r="F1963">
        <f>_xlfn.XLOOKUP(A1963,Energy!A:A,Energy!I:I,0)</f>
        <v>0</v>
      </c>
      <c r="G1963">
        <f t="shared" si="121"/>
        <v>37192.424230561533</v>
      </c>
      <c r="H1963">
        <f t="shared" si="122"/>
        <v>29479.052357961471</v>
      </c>
      <c r="I1963" t="b">
        <f t="shared" si="123"/>
        <v>0</v>
      </c>
    </row>
    <row r="1964" spans="1:9">
      <c r="A1964" s="1">
        <v>46104.563888888893</v>
      </c>
      <c r="B1964" s="5">
        <f>_xlfn.XLOOKUP(A1964,Banks!A:A,Banks!H:H,0,-1)</f>
        <v>2038.446697639338</v>
      </c>
      <c r="C1964">
        <f>_xlfn.XLOOKUP(A1964,Energy!A:A,Energy!H:H,0,-1)</f>
        <v>5813.6903423503427</v>
      </c>
      <c r="D1964">
        <f t="shared" si="120"/>
        <v>7852.1370399896805</v>
      </c>
      <c r="E1964">
        <f>_xlfn.XLOOKUP(A1964,Banks!A:A,Banks!I:I,0)</f>
        <v>37070.864865156203</v>
      </c>
      <c r="F1964">
        <f>_xlfn.XLOOKUP(A1964,Energy!A:A,Energy!I:I,0)</f>
        <v>0</v>
      </c>
      <c r="G1964">
        <f t="shared" si="121"/>
        <v>37070.864865156203</v>
      </c>
      <c r="H1964">
        <f t="shared" si="122"/>
        <v>29218.727825166523</v>
      </c>
      <c r="I1964" t="b">
        <f t="shared" si="123"/>
        <v>0</v>
      </c>
    </row>
    <row r="1965" spans="1:9">
      <c r="A1965" s="1">
        <v>46104.564583333333</v>
      </c>
      <c r="B1965" s="5">
        <f>_xlfn.XLOOKUP(A1965,Banks!A:A,Banks!H:H,0,-1)</f>
        <v>1849.433939278161</v>
      </c>
      <c r="C1965">
        <f>_xlfn.XLOOKUP(A1965,Energy!A:A,Energy!H:H,0,-1)</f>
        <v>5813.6903423503427</v>
      </c>
      <c r="D1965">
        <f t="shared" si="120"/>
        <v>7663.1242816285039</v>
      </c>
      <c r="E1965">
        <f>_xlfn.XLOOKUP(A1965,Banks!A:A,Banks!I:I,0)</f>
        <v>37033.062313483962</v>
      </c>
      <c r="F1965">
        <f>_xlfn.XLOOKUP(A1965,Energy!A:A,Energy!I:I,0)</f>
        <v>0</v>
      </c>
      <c r="G1965">
        <f t="shared" si="121"/>
        <v>37033.062313483962</v>
      </c>
      <c r="H1965">
        <f t="shared" si="122"/>
        <v>29369.938031855458</v>
      </c>
      <c r="I1965" t="b">
        <f t="shared" si="123"/>
        <v>0</v>
      </c>
    </row>
    <row r="1966" spans="1:9">
      <c r="A1966" s="1">
        <v>46104.56527777778</v>
      </c>
      <c r="B1966" s="5">
        <f>_xlfn.XLOOKUP(A1966,Banks!A:A,Banks!H:H,0,-1)</f>
        <v>1791.9585898557159</v>
      </c>
      <c r="C1966">
        <f>_xlfn.XLOOKUP(A1966,Energy!A:A,Energy!H:H,0,-1)</f>
        <v>5813.6903423503427</v>
      </c>
      <c r="D1966">
        <f t="shared" si="120"/>
        <v>7605.6489322060588</v>
      </c>
      <c r="E1966">
        <f>_xlfn.XLOOKUP(A1966,Banks!A:A,Banks!I:I,0)</f>
        <v>37035.456769076991</v>
      </c>
      <c r="F1966">
        <f>_xlfn.XLOOKUP(A1966,Energy!A:A,Energy!I:I,0)</f>
        <v>0</v>
      </c>
      <c r="G1966">
        <f t="shared" si="121"/>
        <v>37035.456769076991</v>
      </c>
      <c r="H1966">
        <f t="shared" si="122"/>
        <v>29429.807836870932</v>
      </c>
      <c r="I1966" t="b">
        <f t="shared" si="123"/>
        <v>0</v>
      </c>
    </row>
    <row r="1967" spans="1:9">
      <c r="A1967" s="1">
        <v>46104.565972222219</v>
      </c>
      <c r="B1967" s="5">
        <f>_xlfn.XLOOKUP(A1967,Banks!A:A,Banks!H:H,0,-1)</f>
        <v>1762.345856078002</v>
      </c>
      <c r="C1967">
        <f>_xlfn.XLOOKUP(A1967,Energy!A:A,Energy!H:H,0,-1)</f>
        <v>5813.6903423503427</v>
      </c>
      <c r="D1967">
        <f t="shared" si="120"/>
        <v>7576.0361984283445</v>
      </c>
      <c r="E1967">
        <f>_xlfn.XLOOKUP(A1967,Banks!A:A,Banks!I:I,0)</f>
        <v>37036.478985060203</v>
      </c>
      <c r="F1967">
        <f>_xlfn.XLOOKUP(A1967,Energy!A:A,Energy!I:I,0)</f>
        <v>0</v>
      </c>
      <c r="G1967">
        <f t="shared" si="121"/>
        <v>37036.478985060203</v>
      </c>
      <c r="H1967">
        <f t="shared" si="122"/>
        <v>29460.442786631858</v>
      </c>
      <c r="I1967" t="b">
        <f t="shared" si="123"/>
        <v>0</v>
      </c>
    </row>
    <row r="1968" spans="1:9">
      <c r="A1968" s="1">
        <v>46104.566666666673</v>
      </c>
      <c r="B1968" s="5">
        <f>_xlfn.XLOOKUP(A1968,Banks!A:A,Banks!H:H,0,-1)</f>
        <v>1984.1930355171551</v>
      </c>
      <c r="C1968">
        <f>_xlfn.XLOOKUP(A1968,Energy!A:A,Energy!H:H,0,-1)</f>
        <v>5813.6903423503427</v>
      </c>
      <c r="D1968">
        <f t="shared" si="120"/>
        <v>7797.883377867498</v>
      </c>
      <c r="E1968">
        <f>_xlfn.XLOOKUP(A1968,Banks!A:A,Banks!I:I,0)</f>
        <v>37060.014132731761</v>
      </c>
      <c r="F1968">
        <f>_xlfn.XLOOKUP(A1968,Energy!A:A,Energy!I:I,0)</f>
        <v>0</v>
      </c>
      <c r="G1968">
        <f t="shared" si="121"/>
        <v>37060.014132731761</v>
      </c>
      <c r="H1968">
        <f t="shared" si="122"/>
        <v>29262.130754864265</v>
      </c>
      <c r="I1968" t="b">
        <f t="shared" si="123"/>
        <v>0</v>
      </c>
    </row>
    <row r="1969" spans="1:9">
      <c r="A1969" s="1">
        <v>46104.567361111112</v>
      </c>
      <c r="B1969" s="5">
        <f>_xlfn.XLOOKUP(A1969,Banks!A:A,Banks!H:H,0,-1)</f>
        <v>2026.335145191357</v>
      </c>
      <c r="C1969">
        <f>_xlfn.XLOOKUP(A1969,Energy!A:A,Energy!H:H,0,-1)</f>
        <v>5813.6903423503427</v>
      </c>
      <c r="D1969">
        <f t="shared" si="120"/>
        <v>7840.0254875416995</v>
      </c>
      <c r="E1969">
        <f>_xlfn.XLOOKUP(A1969,Banks!A:A,Banks!I:I,0)</f>
        <v>37075.387317405373</v>
      </c>
      <c r="F1969">
        <f>_xlfn.XLOOKUP(A1969,Energy!A:A,Energy!I:I,0)</f>
        <v>0</v>
      </c>
      <c r="G1969">
        <f t="shared" si="121"/>
        <v>37075.387317405373</v>
      </c>
      <c r="H1969">
        <f t="shared" si="122"/>
        <v>29235.361829863672</v>
      </c>
      <c r="I1969" t="b">
        <f t="shared" si="123"/>
        <v>0</v>
      </c>
    </row>
    <row r="1970" spans="1:9">
      <c r="A1970" s="1">
        <v>46104.568055555559</v>
      </c>
      <c r="B1970" s="5">
        <f>_xlfn.XLOOKUP(A1970,Banks!A:A,Banks!H:H,0,-1)</f>
        <v>1996.016851902061</v>
      </c>
      <c r="C1970">
        <f>_xlfn.XLOOKUP(A1970,Energy!A:A,Energy!H:H,0,-1)</f>
        <v>5813.6903423503427</v>
      </c>
      <c r="D1970">
        <f t="shared" si="120"/>
        <v>7809.7071942524035</v>
      </c>
      <c r="E1970">
        <f>_xlfn.XLOOKUP(A1970,Banks!A:A,Banks!I:I,0)</f>
        <v>37128.354142026932</v>
      </c>
      <c r="F1970">
        <f>_xlfn.XLOOKUP(A1970,Energy!A:A,Energy!I:I,0)</f>
        <v>0</v>
      </c>
      <c r="G1970">
        <f t="shared" si="121"/>
        <v>37128.354142026932</v>
      </c>
      <c r="H1970">
        <f t="shared" si="122"/>
        <v>29318.646947774527</v>
      </c>
      <c r="I1970" t="b">
        <f t="shared" si="123"/>
        <v>0</v>
      </c>
    </row>
    <row r="1971" spans="1:9">
      <c r="A1971" s="1">
        <v>46104.568749999999</v>
      </c>
      <c r="B1971" s="5">
        <f>_xlfn.XLOOKUP(A1971,Banks!A:A,Banks!H:H,0,-1)</f>
        <v>1984.8105835926169</v>
      </c>
      <c r="C1971">
        <f>_xlfn.XLOOKUP(A1971,Energy!A:A,Energy!H:H,0,-1)</f>
        <v>5813.6903423503427</v>
      </c>
      <c r="D1971">
        <f t="shared" si="120"/>
        <v>7798.5009259429598</v>
      </c>
      <c r="E1971">
        <f>_xlfn.XLOOKUP(A1971,Banks!A:A,Banks!I:I,0)</f>
        <v>37178.19860890571</v>
      </c>
      <c r="F1971">
        <f>_xlfn.XLOOKUP(A1971,Energy!A:A,Energy!I:I,0)</f>
        <v>0</v>
      </c>
      <c r="G1971">
        <f t="shared" si="121"/>
        <v>37178.19860890571</v>
      </c>
      <c r="H1971">
        <f t="shared" si="122"/>
        <v>29379.697682962749</v>
      </c>
      <c r="I1971" t="b">
        <f t="shared" si="123"/>
        <v>0</v>
      </c>
    </row>
    <row r="1972" spans="1:9">
      <c r="A1972" s="1">
        <v>46104.569444444453</v>
      </c>
      <c r="B1972" s="5">
        <f>_xlfn.XLOOKUP(A1972,Banks!A:A,Banks!H:H,0,-1)</f>
        <v>1968.1542362573209</v>
      </c>
      <c r="C1972">
        <f>_xlfn.XLOOKUP(A1972,Energy!A:A,Energy!H:H,0,-1)</f>
        <v>5813.6903423503427</v>
      </c>
      <c r="D1972">
        <f t="shared" si="120"/>
        <v>7781.8445786076636</v>
      </c>
      <c r="E1972">
        <f>_xlfn.XLOOKUP(A1972,Banks!A:A,Banks!I:I,0)</f>
        <v>37129.726381636741</v>
      </c>
      <c r="F1972">
        <f>_xlfn.XLOOKUP(A1972,Energy!A:A,Energy!I:I,0)</f>
        <v>0</v>
      </c>
      <c r="G1972">
        <f t="shared" si="121"/>
        <v>37129.726381636741</v>
      </c>
      <c r="H1972">
        <f t="shared" si="122"/>
        <v>29347.881803029079</v>
      </c>
      <c r="I1972" t="b">
        <f t="shared" si="123"/>
        <v>0</v>
      </c>
    </row>
    <row r="1973" spans="1:9">
      <c r="A1973" s="1">
        <v>46104.570138888892</v>
      </c>
      <c r="B1973" s="5">
        <f>_xlfn.XLOOKUP(A1973,Banks!A:A,Banks!H:H,0,-1)</f>
        <v>1967.86650019429</v>
      </c>
      <c r="C1973">
        <f>_xlfn.XLOOKUP(A1973,Energy!A:A,Energy!H:H,0,-1)</f>
        <v>5813.6903423503427</v>
      </c>
      <c r="D1973">
        <f t="shared" si="120"/>
        <v>7781.5568425446327</v>
      </c>
      <c r="E1973">
        <f>_xlfn.XLOOKUP(A1973,Banks!A:A,Banks!I:I,0)</f>
        <v>37202.588843181067</v>
      </c>
      <c r="F1973">
        <f>_xlfn.XLOOKUP(A1973,Energy!A:A,Energy!I:I,0)</f>
        <v>0</v>
      </c>
      <c r="G1973">
        <f t="shared" si="121"/>
        <v>37202.588843181067</v>
      </c>
      <c r="H1973">
        <f t="shared" si="122"/>
        <v>29421.032000636435</v>
      </c>
      <c r="I1973" t="b">
        <f t="shared" si="123"/>
        <v>0</v>
      </c>
    </row>
    <row r="1974" spans="1:9">
      <c r="A1974" s="1">
        <v>46104.570833333331</v>
      </c>
      <c r="B1974" s="5">
        <f>_xlfn.XLOOKUP(A1974,Banks!A:A,Banks!H:H,0,-1)</f>
        <v>2004.1223331993981</v>
      </c>
      <c r="C1974">
        <f>_xlfn.XLOOKUP(A1974,Energy!A:A,Energy!H:H,0,-1)</f>
        <v>5813.6903423503427</v>
      </c>
      <c r="D1974">
        <f t="shared" si="120"/>
        <v>7817.8126755497406</v>
      </c>
      <c r="E1974">
        <f>_xlfn.XLOOKUP(A1974,Banks!A:A,Banks!I:I,0)</f>
        <v>37272.342874430899</v>
      </c>
      <c r="F1974">
        <f>_xlfn.XLOOKUP(A1974,Energy!A:A,Energy!I:I,0)</f>
        <v>0</v>
      </c>
      <c r="G1974">
        <f t="shared" si="121"/>
        <v>37272.342874430899</v>
      </c>
      <c r="H1974">
        <f t="shared" si="122"/>
        <v>29454.530198881159</v>
      </c>
      <c r="I1974" t="b">
        <f t="shared" si="123"/>
        <v>0</v>
      </c>
    </row>
    <row r="1975" spans="1:9">
      <c r="A1975" s="1">
        <v>46104.571527777778</v>
      </c>
      <c r="B1975" s="5">
        <f>_xlfn.XLOOKUP(A1975,Banks!A:A,Banks!H:H,0,-1)</f>
        <v>1884.278653260076</v>
      </c>
      <c r="C1975">
        <f>_xlfn.XLOOKUP(A1975,Energy!A:A,Energy!H:H,0,-1)</f>
        <v>5813.6903423503427</v>
      </c>
      <c r="D1975">
        <f t="shared" si="120"/>
        <v>7697.9689956104185</v>
      </c>
      <c r="E1975">
        <f>_xlfn.XLOOKUP(A1975,Banks!A:A,Banks!I:I,0)</f>
        <v>37206.705562010487</v>
      </c>
      <c r="F1975">
        <f>_xlfn.XLOOKUP(A1975,Energy!A:A,Energy!I:I,0)</f>
        <v>0</v>
      </c>
      <c r="G1975">
        <f t="shared" si="121"/>
        <v>37206.705562010487</v>
      </c>
      <c r="H1975">
        <f t="shared" si="122"/>
        <v>29508.736566400068</v>
      </c>
      <c r="I1975" t="b">
        <f t="shared" si="123"/>
        <v>0</v>
      </c>
    </row>
    <row r="1976" spans="1:9">
      <c r="A1976" s="1">
        <v>46104.572222222218</v>
      </c>
      <c r="B1976" s="5">
        <f>_xlfn.XLOOKUP(A1976,Banks!A:A,Banks!H:H,0,-1)</f>
        <v>2069.3733519067682</v>
      </c>
      <c r="C1976">
        <f>_xlfn.XLOOKUP(A1976,Energy!A:A,Energy!H:H,0,-1)</f>
        <v>5813.6903423503427</v>
      </c>
      <c r="D1976">
        <f t="shared" si="120"/>
        <v>7883.0636942571109</v>
      </c>
      <c r="E1976">
        <f>_xlfn.XLOOKUP(A1976,Banks!A:A,Banks!I:I,0)</f>
        <v>37222.890213523562</v>
      </c>
      <c r="F1976">
        <f>_xlfn.XLOOKUP(A1976,Energy!A:A,Energy!I:I,0)</f>
        <v>0</v>
      </c>
      <c r="G1976">
        <f t="shared" si="121"/>
        <v>37222.890213523562</v>
      </c>
      <c r="H1976">
        <f t="shared" si="122"/>
        <v>29339.826519266451</v>
      </c>
      <c r="I1976" t="b">
        <f t="shared" si="123"/>
        <v>0</v>
      </c>
    </row>
    <row r="1977" spans="1:9">
      <c r="A1977" s="1">
        <v>46104.572916666657</v>
      </c>
      <c r="B1977" s="5">
        <f>_xlfn.XLOOKUP(A1977,Banks!A:A,Banks!H:H,0,-1)</f>
        <v>1570.2264739566911</v>
      </c>
      <c r="C1977">
        <f>_xlfn.XLOOKUP(A1977,Energy!A:A,Energy!H:H,0,-1)</f>
        <v>5813.6903423503427</v>
      </c>
      <c r="D1977">
        <f t="shared" si="120"/>
        <v>7383.9168163070335</v>
      </c>
      <c r="E1977">
        <f>_xlfn.XLOOKUP(A1977,Banks!A:A,Banks!I:I,0)</f>
        <v>0</v>
      </c>
      <c r="F1977">
        <f>_xlfn.XLOOKUP(A1977,Energy!A:A,Energy!I:I,0)</f>
        <v>0</v>
      </c>
      <c r="G1977">
        <f t="shared" si="121"/>
        <v>0</v>
      </c>
      <c r="H1977">
        <f t="shared" si="122"/>
        <v>-7383.9168163070335</v>
      </c>
      <c r="I1977" t="b">
        <f t="shared" si="123"/>
        <v>0</v>
      </c>
    </row>
    <row r="1978" spans="1:9">
      <c r="A1978" s="1">
        <v>46105.5625</v>
      </c>
      <c r="B1978" s="5">
        <f>_xlfn.XLOOKUP(A1978,Banks!A:A,Banks!H:H,0,-1)</f>
        <v>1570.2264739566911</v>
      </c>
      <c r="C1978">
        <f>_xlfn.XLOOKUP(A1978,Energy!A:A,Energy!H:H,0,-1)</f>
        <v>5813.6903423503427</v>
      </c>
      <c r="D1978">
        <f t="shared" si="120"/>
        <v>7383.9168163070335</v>
      </c>
      <c r="E1978">
        <f>_xlfn.XLOOKUP(A1978,Banks!A:A,Banks!I:I,0)</f>
        <v>36288.941003751999</v>
      </c>
      <c r="F1978">
        <f>_xlfn.XLOOKUP(A1978,Energy!A:A,Energy!I:I,0)</f>
        <v>0</v>
      </c>
      <c r="G1978">
        <f t="shared" si="121"/>
        <v>36288.941003751999</v>
      </c>
      <c r="H1978">
        <f t="shared" si="122"/>
        <v>28905.024187444964</v>
      </c>
      <c r="I1978" t="b">
        <f t="shared" si="123"/>
        <v>0</v>
      </c>
    </row>
    <row r="1979" spans="1:9">
      <c r="A1979" s="1">
        <v>46105.563194444447</v>
      </c>
      <c r="B1979" s="5">
        <f>_xlfn.XLOOKUP(A1979,Banks!A:A,Banks!H:H,0,-1)</f>
        <v>1375.7576613591109</v>
      </c>
      <c r="C1979">
        <f>_xlfn.XLOOKUP(A1979,Energy!A:A,Energy!H:H,0,-1)</f>
        <v>5813.6903423503427</v>
      </c>
      <c r="D1979">
        <f t="shared" si="120"/>
        <v>7189.4480037094536</v>
      </c>
      <c r="E1979">
        <f>_xlfn.XLOOKUP(A1979,Banks!A:A,Banks!I:I,0)</f>
        <v>36270.687926770501</v>
      </c>
      <c r="F1979">
        <f>_xlfn.XLOOKUP(A1979,Energy!A:A,Energy!I:I,0)</f>
        <v>0</v>
      </c>
      <c r="G1979">
        <f t="shared" si="121"/>
        <v>36270.687926770501</v>
      </c>
      <c r="H1979">
        <f t="shared" si="122"/>
        <v>29081.239923061046</v>
      </c>
      <c r="I1979" t="b">
        <f t="shared" si="123"/>
        <v>0</v>
      </c>
    </row>
    <row r="1980" spans="1:9">
      <c r="A1980" s="1">
        <v>46105.563888888893</v>
      </c>
      <c r="B1980" s="5">
        <f>_xlfn.XLOOKUP(A1980,Banks!A:A,Banks!H:H,0,-1)</f>
        <v>1447.2268941581499</v>
      </c>
      <c r="C1980">
        <f>_xlfn.XLOOKUP(A1980,Energy!A:A,Energy!H:H,0,-1)</f>
        <v>5813.6903423503427</v>
      </c>
      <c r="D1980">
        <f t="shared" si="120"/>
        <v>7260.9172365084924</v>
      </c>
      <c r="E1980">
        <f>_xlfn.XLOOKUP(A1980,Banks!A:A,Banks!I:I,0)</f>
        <v>36340.023601431683</v>
      </c>
      <c r="F1980">
        <f>_xlfn.XLOOKUP(A1980,Energy!A:A,Energy!I:I,0)</f>
        <v>0</v>
      </c>
      <c r="G1980">
        <f t="shared" si="121"/>
        <v>36340.023601431683</v>
      </c>
      <c r="H1980">
        <f t="shared" si="122"/>
        <v>29079.106364923191</v>
      </c>
      <c r="I1980" t="b">
        <f t="shared" si="123"/>
        <v>0</v>
      </c>
    </row>
    <row r="1981" spans="1:9">
      <c r="A1981" s="1">
        <v>46105.564583333333</v>
      </c>
      <c r="B1981" s="5">
        <f>_xlfn.XLOOKUP(A1981,Banks!A:A,Banks!H:H,0,-1)</f>
        <v>1477.8457883010301</v>
      </c>
      <c r="C1981">
        <f>_xlfn.XLOOKUP(A1981,Energy!A:A,Energy!H:H,0,-1)</f>
        <v>5813.6903423503427</v>
      </c>
      <c r="D1981">
        <f t="shared" si="120"/>
        <v>7291.5361306513732</v>
      </c>
      <c r="E1981">
        <f>_xlfn.XLOOKUP(A1981,Banks!A:A,Banks!I:I,0)</f>
        <v>36377.108408567277</v>
      </c>
      <c r="F1981">
        <f>_xlfn.XLOOKUP(A1981,Energy!A:A,Energy!I:I,0)</f>
        <v>0</v>
      </c>
      <c r="G1981">
        <f t="shared" si="121"/>
        <v>36377.108408567277</v>
      </c>
      <c r="H1981">
        <f t="shared" si="122"/>
        <v>29085.572277915904</v>
      </c>
      <c r="I1981" t="b">
        <f t="shared" si="123"/>
        <v>0</v>
      </c>
    </row>
    <row r="1982" spans="1:9">
      <c r="A1982" s="1">
        <v>46105.56527777778</v>
      </c>
      <c r="B1982" s="5">
        <f>_xlfn.XLOOKUP(A1982,Banks!A:A,Banks!H:H,0,-1)</f>
        <v>1357.2949830868131</v>
      </c>
      <c r="C1982">
        <f>_xlfn.XLOOKUP(A1982,Energy!A:A,Energy!H:H,0,-1)</f>
        <v>5813.6903423503427</v>
      </c>
      <c r="D1982">
        <f t="shared" si="120"/>
        <v>7170.9853254371556</v>
      </c>
      <c r="E1982">
        <f>_xlfn.XLOOKUP(A1982,Banks!A:A,Banks!I:I,0)</f>
        <v>36342.677904755437</v>
      </c>
      <c r="F1982">
        <f>_xlfn.XLOOKUP(A1982,Energy!A:A,Energy!I:I,0)</f>
        <v>0</v>
      </c>
      <c r="G1982">
        <f t="shared" si="121"/>
        <v>36342.677904755437</v>
      </c>
      <c r="H1982">
        <f t="shared" si="122"/>
        <v>29171.692579318282</v>
      </c>
      <c r="I1982" t="b">
        <f t="shared" si="123"/>
        <v>0</v>
      </c>
    </row>
    <row r="1983" spans="1:9">
      <c r="A1983" s="1">
        <v>46105.565972222219</v>
      </c>
      <c r="B1983" s="5">
        <f>_xlfn.XLOOKUP(A1983,Banks!A:A,Banks!H:H,0,-1)</f>
        <v>1507.131208607758</v>
      </c>
      <c r="C1983">
        <f>_xlfn.XLOOKUP(A1983,Energy!A:A,Energy!H:H,0,-1)</f>
        <v>5813.6903423503427</v>
      </c>
      <c r="D1983">
        <f t="shared" si="120"/>
        <v>7320.8215509581005</v>
      </c>
      <c r="E1983">
        <f>_xlfn.XLOOKUP(A1983,Banks!A:A,Banks!I:I,0)</f>
        <v>36372.645149859622</v>
      </c>
      <c r="F1983">
        <f>_xlfn.XLOOKUP(A1983,Energy!A:A,Energy!I:I,0)</f>
        <v>0</v>
      </c>
      <c r="G1983">
        <f t="shared" si="121"/>
        <v>36372.645149859622</v>
      </c>
      <c r="H1983">
        <f t="shared" si="122"/>
        <v>29051.823598901523</v>
      </c>
      <c r="I1983" t="b">
        <f t="shared" si="123"/>
        <v>0</v>
      </c>
    </row>
    <row r="1984" spans="1:9">
      <c r="A1984" s="1">
        <v>46105.566666666673</v>
      </c>
      <c r="B1984" s="5">
        <f>_xlfn.XLOOKUP(A1984,Banks!A:A,Banks!H:H,0,-1)</f>
        <v>1446.595840662847</v>
      </c>
      <c r="C1984">
        <f>_xlfn.XLOOKUP(A1984,Energy!A:A,Energy!H:H,0,-1)</f>
        <v>5813.6903423503427</v>
      </c>
      <c r="D1984">
        <f t="shared" si="120"/>
        <v>7260.2861830131897</v>
      </c>
      <c r="E1984">
        <f>_xlfn.XLOOKUP(A1984,Banks!A:A,Banks!I:I,0)</f>
        <v>36374.298533295987</v>
      </c>
      <c r="F1984">
        <f>_xlfn.XLOOKUP(A1984,Energy!A:A,Energy!I:I,0)</f>
        <v>0</v>
      </c>
      <c r="G1984">
        <f t="shared" si="121"/>
        <v>36374.298533295987</v>
      </c>
      <c r="H1984">
        <f t="shared" si="122"/>
        <v>29114.012350282799</v>
      </c>
      <c r="I1984" t="b">
        <f t="shared" si="123"/>
        <v>0</v>
      </c>
    </row>
    <row r="1985" spans="1:9">
      <c r="A1985" s="1">
        <v>46105.567361111112</v>
      </c>
      <c r="B1985" s="5">
        <f>_xlfn.XLOOKUP(A1985,Banks!A:A,Banks!H:H,0,-1)</f>
        <v>1523.95865545626</v>
      </c>
      <c r="C1985">
        <f>_xlfn.XLOOKUP(A1985,Energy!A:A,Energy!H:H,0,-1)</f>
        <v>5813.6903423503427</v>
      </c>
      <c r="D1985">
        <f t="shared" si="120"/>
        <v>7337.6489978066029</v>
      </c>
      <c r="E1985">
        <f>_xlfn.XLOOKUP(A1985,Banks!A:A,Banks!I:I,0)</f>
        <v>36465.453609894073</v>
      </c>
      <c r="F1985">
        <f>_xlfn.XLOOKUP(A1985,Energy!A:A,Energy!I:I,0)</f>
        <v>0</v>
      </c>
      <c r="G1985">
        <f t="shared" si="121"/>
        <v>36465.453609894073</v>
      </c>
      <c r="H1985">
        <f t="shared" si="122"/>
        <v>29127.804612087471</v>
      </c>
      <c r="I1985" t="b">
        <f t="shared" si="123"/>
        <v>0</v>
      </c>
    </row>
    <row r="1986" spans="1:9">
      <c r="A1986" s="1">
        <v>46105.568055555559</v>
      </c>
      <c r="B1986" s="5">
        <f>_xlfn.XLOOKUP(A1986,Banks!A:A,Banks!H:H,0,-1)</f>
        <v>1607.29049164097</v>
      </c>
      <c r="C1986">
        <f>_xlfn.XLOOKUP(A1986,Energy!A:A,Energy!H:H,0,-1)</f>
        <v>5813.6903423503427</v>
      </c>
      <c r="D1986">
        <f t="shared" si="120"/>
        <v>7420.9808339913125</v>
      </c>
      <c r="E1986">
        <f>_xlfn.XLOOKUP(A1986,Banks!A:A,Banks!I:I,0)</f>
        <v>36526.841462463388</v>
      </c>
      <c r="F1986">
        <f>_xlfn.XLOOKUP(A1986,Energy!A:A,Energy!I:I,0)</f>
        <v>0</v>
      </c>
      <c r="G1986">
        <f t="shared" si="121"/>
        <v>36526.841462463388</v>
      </c>
      <c r="H1986">
        <f t="shared" si="122"/>
        <v>29105.860628472074</v>
      </c>
      <c r="I1986" t="b">
        <f t="shared" si="123"/>
        <v>0</v>
      </c>
    </row>
    <row r="1987" spans="1:9">
      <c r="A1987" s="1">
        <v>46105.568749999999</v>
      </c>
      <c r="B1987" s="5">
        <f>_xlfn.XLOOKUP(A1987,Banks!A:A,Banks!H:H,0,-1)</f>
        <v>1444.9249258162561</v>
      </c>
      <c r="C1987">
        <f>_xlfn.XLOOKUP(A1987,Energy!A:A,Energy!H:H,0,-1)</f>
        <v>5813.6903423503427</v>
      </c>
      <c r="D1987">
        <f t="shared" ref="D1987:D2050" si="124">B1987+C1987</f>
        <v>7258.615268166599</v>
      </c>
      <c r="E1987">
        <f>_xlfn.XLOOKUP(A1987,Banks!A:A,Banks!I:I,0)</f>
        <v>36484.048006529432</v>
      </c>
      <c r="F1987">
        <f>_xlfn.XLOOKUP(A1987,Energy!A:A,Energy!I:I,0)</f>
        <v>0</v>
      </c>
      <c r="G1987">
        <f t="shared" ref="G1987:G2050" si="125">F1987+E1987</f>
        <v>36484.048006529432</v>
      </c>
      <c r="H1987">
        <f t="shared" ref="H1987:H2050" si="126">G1987-D1987</f>
        <v>29225.432738362833</v>
      </c>
      <c r="I1987" t="b">
        <f t="shared" ref="I1987:I2050" si="127">AND(E1987&gt;0,F1987&gt;0)</f>
        <v>0</v>
      </c>
    </row>
    <row r="1988" spans="1:9">
      <c r="A1988" s="1">
        <v>46105.569444444453</v>
      </c>
      <c r="B1988" s="5">
        <f>_xlfn.XLOOKUP(A1988,Banks!A:A,Banks!H:H,0,-1)</f>
        <v>1545.6438954992609</v>
      </c>
      <c r="C1988">
        <f>_xlfn.XLOOKUP(A1988,Energy!A:A,Energy!H:H,0,-1)</f>
        <v>5813.6903423503427</v>
      </c>
      <c r="D1988">
        <f t="shared" si="124"/>
        <v>7359.3342378496036</v>
      </c>
      <c r="E1988">
        <f>_xlfn.XLOOKUP(A1988,Banks!A:A,Banks!I:I,0)</f>
        <v>36493.871457697023</v>
      </c>
      <c r="F1988">
        <f>_xlfn.XLOOKUP(A1988,Energy!A:A,Energy!I:I,0)</f>
        <v>0</v>
      </c>
      <c r="G1988">
        <f t="shared" si="125"/>
        <v>36493.871457697023</v>
      </c>
      <c r="H1988">
        <f t="shared" si="126"/>
        <v>29134.537219847422</v>
      </c>
      <c r="I1988" t="b">
        <f t="shared" si="127"/>
        <v>0</v>
      </c>
    </row>
    <row r="1989" spans="1:9">
      <c r="A1989" s="1">
        <v>46105.570138888892</v>
      </c>
      <c r="B1989" s="5">
        <f>_xlfn.XLOOKUP(A1989,Banks!A:A,Banks!H:H,0,-1)</f>
        <v>1422.906317314221</v>
      </c>
      <c r="C1989">
        <f>_xlfn.XLOOKUP(A1989,Energy!A:A,Energy!H:H,0,-1)</f>
        <v>5813.6903423503427</v>
      </c>
      <c r="D1989">
        <f t="shared" si="124"/>
        <v>7236.596659664564</v>
      </c>
      <c r="E1989">
        <f>_xlfn.XLOOKUP(A1989,Banks!A:A,Banks!I:I,0)</f>
        <v>36445.243142265659</v>
      </c>
      <c r="F1989">
        <f>_xlfn.XLOOKUP(A1989,Energy!A:A,Energy!I:I,0)</f>
        <v>0</v>
      </c>
      <c r="G1989">
        <f t="shared" si="125"/>
        <v>36445.243142265659</v>
      </c>
      <c r="H1989">
        <f t="shared" si="126"/>
        <v>29208.646482601096</v>
      </c>
      <c r="I1989" t="b">
        <f t="shared" si="127"/>
        <v>0</v>
      </c>
    </row>
    <row r="1990" spans="1:9">
      <c r="A1990" s="1">
        <v>46105.570833333331</v>
      </c>
      <c r="B1990" s="5">
        <f>_xlfn.XLOOKUP(A1990,Banks!A:A,Banks!H:H,0,-1)</f>
        <v>1491.5577236471231</v>
      </c>
      <c r="C1990">
        <f>_xlfn.XLOOKUP(A1990,Energy!A:A,Energy!H:H,0,-1)</f>
        <v>5813.6903423503427</v>
      </c>
      <c r="D1990">
        <f t="shared" si="124"/>
        <v>7305.2480659974663</v>
      </c>
      <c r="E1990">
        <f>_xlfn.XLOOKUP(A1990,Banks!A:A,Banks!I:I,0)</f>
        <v>36534.655937171643</v>
      </c>
      <c r="F1990">
        <f>_xlfn.XLOOKUP(A1990,Energy!A:A,Energy!I:I,0)</f>
        <v>0</v>
      </c>
      <c r="G1990">
        <f t="shared" si="125"/>
        <v>36534.655937171643</v>
      </c>
      <c r="H1990">
        <f t="shared" si="126"/>
        <v>29229.407871174175</v>
      </c>
      <c r="I1990" t="b">
        <f t="shared" si="127"/>
        <v>0</v>
      </c>
    </row>
    <row r="1991" spans="1:9">
      <c r="A1991" s="1">
        <v>46105.571527777778</v>
      </c>
      <c r="B1991" s="5">
        <f>_xlfn.XLOOKUP(A1991,Banks!A:A,Banks!H:H,0,-1)</f>
        <v>1528.3678848206659</v>
      </c>
      <c r="C1991">
        <f>_xlfn.XLOOKUP(A1991,Energy!A:A,Energy!H:H,0,-1)</f>
        <v>5813.6903423503427</v>
      </c>
      <c r="D1991">
        <f t="shared" si="124"/>
        <v>7342.0582271710082</v>
      </c>
      <c r="E1991">
        <f>_xlfn.XLOOKUP(A1991,Banks!A:A,Banks!I:I,0)</f>
        <v>36548.898197919007</v>
      </c>
      <c r="F1991">
        <f>_xlfn.XLOOKUP(A1991,Energy!A:A,Energy!I:I,0)</f>
        <v>0</v>
      </c>
      <c r="G1991">
        <f t="shared" si="125"/>
        <v>36548.898197919007</v>
      </c>
      <c r="H1991">
        <f t="shared" si="126"/>
        <v>29206.839970747998</v>
      </c>
      <c r="I1991" t="b">
        <f t="shared" si="127"/>
        <v>0</v>
      </c>
    </row>
    <row r="1992" spans="1:9">
      <c r="A1992" s="1">
        <v>46105.572222222218</v>
      </c>
      <c r="B1992" s="5">
        <f>_xlfn.XLOOKUP(A1992,Banks!A:A,Banks!H:H,0,-1)</f>
        <v>1553.1686363660699</v>
      </c>
      <c r="C1992">
        <f>_xlfn.XLOOKUP(A1992,Energy!A:A,Energy!H:H,0,-1)</f>
        <v>5813.6903423503427</v>
      </c>
      <c r="D1992">
        <f t="shared" si="124"/>
        <v>7366.8589787164128</v>
      </c>
      <c r="E1992">
        <f>_xlfn.XLOOKUP(A1992,Banks!A:A,Banks!I:I,0)</f>
        <v>36512.576977152057</v>
      </c>
      <c r="F1992">
        <f>_xlfn.XLOOKUP(A1992,Energy!A:A,Energy!I:I,0)</f>
        <v>0</v>
      </c>
      <c r="G1992">
        <f t="shared" si="125"/>
        <v>36512.576977152057</v>
      </c>
      <c r="H1992">
        <f t="shared" si="126"/>
        <v>29145.717998435644</v>
      </c>
      <c r="I1992" t="b">
        <f t="shared" si="127"/>
        <v>0</v>
      </c>
    </row>
    <row r="1993" spans="1:9">
      <c r="A1993" s="1">
        <v>46105.572916666657</v>
      </c>
      <c r="B1993" s="5">
        <f>_xlfn.XLOOKUP(A1993,Banks!A:A,Banks!H:H,0,-1)</f>
        <v>1598.5790831804391</v>
      </c>
      <c r="C1993">
        <f>_xlfn.XLOOKUP(A1993,Energy!A:A,Energy!H:H,0,-1)</f>
        <v>5813.6903423503427</v>
      </c>
      <c r="D1993">
        <f t="shared" si="124"/>
        <v>7412.2694255307815</v>
      </c>
      <c r="E1993">
        <f>_xlfn.XLOOKUP(A1993,Banks!A:A,Banks!I:I,0)</f>
        <v>36525.099180771271</v>
      </c>
      <c r="F1993">
        <f>_xlfn.XLOOKUP(A1993,Energy!A:A,Energy!I:I,0)</f>
        <v>0</v>
      </c>
      <c r="G1993">
        <f t="shared" si="125"/>
        <v>36525.099180771271</v>
      </c>
      <c r="H1993">
        <f t="shared" si="126"/>
        <v>29112.829755240491</v>
      </c>
      <c r="I1993" t="b">
        <f t="shared" si="127"/>
        <v>0</v>
      </c>
    </row>
    <row r="1994" spans="1:9">
      <c r="A1994" s="1">
        <v>46105.573611111111</v>
      </c>
      <c r="B1994" s="5">
        <f>_xlfn.XLOOKUP(A1994,Banks!A:A,Banks!H:H,0,-1)</f>
        <v>1524.2165845183749</v>
      </c>
      <c r="C1994">
        <f>_xlfn.XLOOKUP(A1994,Energy!A:A,Energy!H:H,0,-1)</f>
        <v>5813.6903423503427</v>
      </c>
      <c r="D1994">
        <f t="shared" si="124"/>
        <v>7337.9069268687181</v>
      </c>
      <c r="E1994">
        <f>_xlfn.XLOOKUP(A1994,Banks!A:A,Banks!I:I,0)</f>
        <v>36527.427252320544</v>
      </c>
      <c r="F1994">
        <f>_xlfn.XLOOKUP(A1994,Energy!A:A,Energy!I:I,0)</f>
        <v>0</v>
      </c>
      <c r="G1994">
        <f t="shared" si="125"/>
        <v>36527.427252320544</v>
      </c>
      <c r="H1994">
        <f t="shared" si="126"/>
        <v>29189.520325451827</v>
      </c>
      <c r="I1994" t="b">
        <f t="shared" si="127"/>
        <v>0</v>
      </c>
    </row>
    <row r="1995" spans="1:9">
      <c r="A1995" s="1">
        <v>46105.574305555558</v>
      </c>
      <c r="B1995" s="5">
        <f>_xlfn.XLOOKUP(A1995,Banks!A:A,Banks!H:H,0,-1)</f>
        <v>1606.734877542583</v>
      </c>
      <c r="C1995">
        <f>_xlfn.XLOOKUP(A1995,Energy!A:A,Energy!H:H,0,-1)</f>
        <v>5813.6903423503427</v>
      </c>
      <c r="D1995">
        <f t="shared" si="124"/>
        <v>7420.4252198929262</v>
      </c>
      <c r="E1995">
        <f>_xlfn.XLOOKUP(A1995,Banks!A:A,Banks!I:I,0)</f>
        <v>36509.529768362023</v>
      </c>
      <c r="F1995">
        <f>_xlfn.XLOOKUP(A1995,Energy!A:A,Energy!I:I,0)</f>
        <v>0</v>
      </c>
      <c r="G1995">
        <f t="shared" si="125"/>
        <v>36509.529768362023</v>
      </c>
      <c r="H1995">
        <f t="shared" si="126"/>
        <v>29089.104548469099</v>
      </c>
      <c r="I1995" t="b">
        <f t="shared" si="127"/>
        <v>0</v>
      </c>
    </row>
    <row r="1996" spans="1:9">
      <c r="A1996" s="1">
        <v>46105.574999999997</v>
      </c>
      <c r="B1996" s="5">
        <f>_xlfn.XLOOKUP(A1996,Banks!A:A,Banks!H:H,0,-1)</f>
        <v>1617.1551319830021</v>
      </c>
      <c r="C1996">
        <f>_xlfn.XLOOKUP(A1996,Energy!A:A,Energy!H:H,0,-1)</f>
        <v>5813.6903423503427</v>
      </c>
      <c r="D1996">
        <f t="shared" si="124"/>
        <v>7430.845474333345</v>
      </c>
      <c r="E1996">
        <f>_xlfn.XLOOKUP(A1996,Banks!A:A,Banks!I:I,0)</f>
        <v>0</v>
      </c>
      <c r="F1996">
        <f>_xlfn.XLOOKUP(A1996,Energy!A:A,Energy!I:I,0)</f>
        <v>0</v>
      </c>
      <c r="G1996">
        <f t="shared" si="125"/>
        <v>0</v>
      </c>
      <c r="H1996">
        <f t="shared" si="126"/>
        <v>-7430.845474333345</v>
      </c>
      <c r="I1996" t="b">
        <f t="shared" si="127"/>
        <v>0</v>
      </c>
    </row>
    <row r="1997" spans="1:9">
      <c r="A1997" s="1">
        <v>46106.622916666667</v>
      </c>
      <c r="B1997" s="5">
        <f>_xlfn.XLOOKUP(A1997,Banks!A:A,Banks!H:H,0,-1)</f>
        <v>1617.1551319830021</v>
      </c>
      <c r="C1997">
        <f>_xlfn.XLOOKUP(A1997,Energy!A:A,Energy!H:H,0,-1)</f>
        <v>5813.6903423503427</v>
      </c>
      <c r="D1997">
        <f t="shared" si="124"/>
        <v>7430.845474333345</v>
      </c>
      <c r="E1997">
        <f>_xlfn.XLOOKUP(A1997,Banks!A:A,Banks!I:I,0)</f>
        <v>36288.941003751999</v>
      </c>
      <c r="F1997">
        <f>_xlfn.XLOOKUP(A1997,Energy!A:A,Energy!I:I,0)</f>
        <v>0</v>
      </c>
      <c r="G1997">
        <f t="shared" si="125"/>
        <v>36288.941003751999</v>
      </c>
      <c r="H1997">
        <f t="shared" si="126"/>
        <v>28858.095529418653</v>
      </c>
      <c r="I1997" t="b">
        <f t="shared" si="127"/>
        <v>0</v>
      </c>
    </row>
    <row r="1998" spans="1:9">
      <c r="A1998" s="1">
        <v>46106.623611111107</v>
      </c>
      <c r="B1998" s="5">
        <f>_xlfn.XLOOKUP(A1998,Banks!A:A,Banks!H:H,0,-1)</f>
        <v>1581.8996795902331</v>
      </c>
      <c r="C1998">
        <f>_xlfn.XLOOKUP(A1998,Energy!A:A,Energy!H:H,0,-1)</f>
        <v>5813.6903423503427</v>
      </c>
      <c r="D1998">
        <f t="shared" si="124"/>
        <v>7395.5900219405758</v>
      </c>
      <c r="E1998">
        <f>_xlfn.XLOOKUP(A1998,Banks!A:A,Banks!I:I,0)</f>
        <v>36285.949590529097</v>
      </c>
      <c r="F1998">
        <f>_xlfn.XLOOKUP(A1998,Energy!A:A,Energy!I:I,0)</f>
        <v>0</v>
      </c>
      <c r="G1998">
        <f t="shared" si="125"/>
        <v>36285.949590529097</v>
      </c>
      <c r="H1998">
        <f t="shared" si="126"/>
        <v>28890.359568588523</v>
      </c>
      <c r="I1998" t="b">
        <f t="shared" si="127"/>
        <v>0</v>
      </c>
    </row>
    <row r="1999" spans="1:9">
      <c r="A1999" s="1">
        <v>46106.624305555553</v>
      </c>
      <c r="B1999" s="5">
        <f>_xlfn.XLOOKUP(A1999,Banks!A:A,Banks!H:H,0,-1)</f>
        <v>1566.9426134757621</v>
      </c>
      <c r="C1999">
        <f>_xlfn.XLOOKUP(A1999,Energy!A:A,Energy!H:H,0,-1)</f>
        <v>5813.6903423503427</v>
      </c>
      <c r="D1999">
        <f t="shared" si="124"/>
        <v>7380.632955826105</v>
      </c>
      <c r="E1999">
        <f>_xlfn.XLOOKUP(A1999,Banks!A:A,Banks!I:I,0)</f>
        <v>36278.898500050549</v>
      </c>
      <c r="F1999">
        <f>_xlfn.XLOOKUP(A1999,Energy!A:A,Energy!I:I,0)</f>
        <v>0</v>
      </c>
      <c r="G1999">
        <f t="shared" si="125"/>
        <v>36278.898500050549</v>
      </c>
      <c r="H1999">
        <f t="shared" si="126"/>
        <v>28898.265544224443</v>
      </c>
      <c r="I1999" t="b">
        <f t="shared" si="127"/>
        <v>0</v>
      </c>
    </row>
    <row r="2000" spans="1:9">
      <c r="A2000" s="1">
        <v>46106.625</v>
      </c>
      <c r="B2000" s="5">
        <f>_xlfn.XLOOKUP(A2000,Banks!A:A,Banks!H:H,0,-1)</f>
        <v>1532.578522490124</v>
      </c>
      <c r="C2000">
        <f>_xlfn.XLOOKUP(A2000,Energy!A:A,Energy!H:H,0,-1)</f>
        <v>5813.6903423503427</v>
      </c>
      <c r="D2000">
        <f t="shared" si="124"/>
        <v>7346.2688648404664</v>
      </c>
      <c r="E2000">
        <f>_xlfn.XLOOKUP(A2000,Banks!A:A,Banks!I:I,0)</f>
        <v>36305.85632565058</v>
      </c>
      <c r="F2000">
        <f>_xlfn.XLOOKUP(A2000,Energy!A:A,Energy!I:I,0)</f>
        <v>0</v>
      </c>
      <c r="G2000">
        <f t="shared" si="125"/>
        <v>36305.85632565058</v>
      </c>
      <c r="H2000">
        <f t="shared" si="126"/>
        <v>28959.587460810115</v>
      </c>
      <c r="I2000" t="b">
        <f t="shared" si="127"/>
        <v>0</v>
      </c>
    </row>
    <row r="2001" spans="1:9">
      <c r="A2001" s="1">
        <v>46106.625694444447</v>
      </c>
      <c r="B2001" s="5">
        <f>_xlfn.XLOOKUP(A2001,Banks!A:A,Banks!H:H,0,-1)</f>
        <v>1614.12769906227</v>
      </c>
      <c r="C2001">
        <f>_xlfn.XLOOKUP(A2001,Energy!A:A,Energy!H:H,0,-1)</f>
        <v>5813.6903423503427</v>
      </c>
      <c r="D2001">
        <f t="shared" si="124"/>
        <v>7427.8180414126127</v>
      </c>
      <c r="E2001">
        <f>_xlfn.XLOOKUP(A2001,Banks!A:A,Banks!I:I,0)</f>
        <v>36276.156485400883</v>
      </c>
      <c r="F2001">
        <f>_xlfn.XLOOKUP(A2001,Energy!A:A,Energy!I:I,0)</f>
        <v>0</v>
      </c>
      <c r="G2001">
        <f t="shared" si="125"/>
        <v>36276.156485400883</v>
      </c>
      <c r="H2001">
        <f t="shared" si="126"/>
        <v>28848.338443988272</v>
      </c>
      <c r="I2001" t="b">
        <f t="shared" si="127"/>
        <v>0</v>
      </c>
    </row>
    <row r="2002" spans="1:9">
      <c r="A2002" s="1">
        <v>46106.626388888893</v>
      </c>
      <c r="B2002" s="5">
        <f>_xlfn.XLOOKUP(A2002,Banks!A:A,Banks!H:H,0,-1)</f>
        <v>1532.2206082714481</v>
      </c>
      <c r="C2002">
        <f>_xlfn.XLOOKUP(A2002,Energy!A:A,Energy!H:H,0,-1)</f>
        <v>5813.6903423503427</v>
      </c>
      <c r="D2002">
        <f t="shared" si="124"/>
        <v>7345.910950621791</v>
      </c>
      <c r="E2002">
        <f>_xlfn.XLOOKUP(A2002,Banks!A:A,Banks!I:I,0)</f>
        <v>36255.715389987061</v>
      </c>
      <c r="F2002">
        <f>_xlfn.XLOOKUP(A2002,Energy!A:A,Energy!I:I,0)</f>
        <v>0</v>
      </c>
      <c r="G2002">
        <f t="shared" si="125"/>
        <v>36255.715389987061</v>
      </c>
      <c r="H2002">
        <f t="shared" si="126"/>
        <v>28909.804439365271</v>
      </c>
      <c r="I2002" t="b">
        <f t="shared" si="127"/>
        <v>0</v>
      </c>
    </row>
    <row r="2003" spans="1:9">
      <c r="A2003" s="1">
        <v>46106.627083333333</v>
      </c>
      <c r="B2003" s="5">
        <f>_xlfn.XLOOKUP(A2003,Banks!A:A,Banks!H:H,0,-1)</f>
        <v>1642.9726541545949</v>
      </c>
      <c r="C2003">
        <f>_xlfn.XLOOKUP(A2003,Energy!A:A,Energy!H:H,0,-1)</f>
        <v>5813.6903423503427</v>
      </c>
      <c r="D2003">
        <f t="shared" si="124"/>
        <v>7456.6629965049378</v>
      </c>
      <c r="E2003">
        <f>_xlfn.XLOOKUP(A2003,Banks!A:A,Banks!I:I,0)</f>
        <v>36267.039993148603</v>
      </c>
      <c r="F2003">
        <f>_xlfn.XLOOKUP(A2003,Energy!A:A,Energy!I:I,0)</f>
        <v>0</v>
      </c>
      <c r="G2003">
        <f t="shared" si="125"/>
        <v>36267.039993148603</v>
      </c>
      <c r="H2003">
        <f t="shared" si="126"/>
        <v>28810.376996643667</v>
      </c>
      <c r="I2003" t="b">
        <f t="shared" si="127"/>
        <v>0</v>
      </c>
    </row>
    <row r="2004" spans="1:9">
      <c r="A2004" s="1">
        <v>46106.62777777778</v>
      </c>
      <c r="B2004" s="5">
        <f>_xlfn.XLOOKUP(A2004,Banks!A:A,Banks!H:H,0,-1)</f>
        <v>1668.4345448672011</v>
      </c>
      <c r="C2004">
        <f>_xlfn.XLOOKUP(A2004,Energy!A:A,Energy!H:H,0,-1)</f>
        <v>5813.6903423503427</v>
      </c>
      <c r="D2004">
        <f t="shared" si="124"/>
        <v>7482.1248872175438</v>
      </c>
      <c r="E2004">
        <f>_xlfn.XLOOKUP(A2004,Banks!A:A,Banks!I:I,0)</f>
        <v>36258.600113772263</v>
      </c>
      <c r="F2004">
        <f>_xlfn.XLOOKUP(A2004,Energy!A:A,Energy!I:I,0)</f>
        <v>0</v>
      </c>
      <c r="G2004">
        <f t="shared" si="125"/>
        <v>36258.600113772263</v>
      </c>
      <c r="H2004">
        <f t="shared" si="126"/>
        <v>28776.475226554721</v>
      </c>
      <c r="I2004" t="b">
        <f t="shared" si="127"/>
        <v>0</v>
      </c>
    </row>
    <row r="2005" spans="1:9">
      <c r="A2005" s="1">
        <v>46106.628472222219</v>
      </c>
      <c r="B2005" s="5">
        <f>_xlfn.XLOOKUP(A2005,Banks!A:A,Banks!H:H,0,-1)</f>
        <v>1682.2152733811199</v>
      </c>
      <c r="C2005">
        <f>_xlfn.XLOOKUP(A2005,Energy!A:A,Energy!H:H,0,-1)</f>
        <v>5813.6903423503427</v>
      </c>
      <c r="D2005">
        <f t="shared" si="124"/>
        <v>7495.9056157314626</v>
      </c>
      <c r="E2005">
        <f>_xlfn.XLOOKUP(A2005,Banks!A:A,Banks!I:I,0)</f>
        <v>0</v>
      </c>
      <c r="F2005">
        <f>_xlfn.XLOOKUP(A2005,Energy!A:A,Energy!I:I,0)</f>
        <v>0</v>
      </c>
      <c r="G2005">
        <f t="shared" si="125"/>
        <v>0</v>
      </c>
      <c r="H2005">
        <f t="shared" si="126"/>
        <v>-7495.9056157314626</v>
      </c>
      <c r="I2005" t="b">
        <f t="shared" si="127"/>
        <v>0</v>
      </c>
    </row>
    <row r="2006" spans="1:9">
      <c r="A2006" s="1">
        <v>46107.563194444447</v>
      </c>
      <c r="B2006" s="5">
        <f>_xlfn.XLOOKUP(A2006,Banks!A:A,Banks!H:H,0,-1)</f>
        <v>1682.2152733811199</v>
      </c>
      <c r="C2006">
        <f>_xlfn.XLOOKUP(A2006,Energy!A:A,Energy!H:H,0,-1)</f>
        <v>5813.6903423503427</v>
      </c>
      <c r="D2006">
        <f t="shared" si="124"/>
        <v>7495.9056157314626</v>
      </c>
      <c r="E2006">
        <f>_xlfn.XLOOKUP(A2006,Banks!A:A,Banks!I:I,0)</f>
        <v>36288.941003751999</v>
      </c>
      <c r="F2006">
        <f>_xlfn.XLOOKUP(A2006,Energy!A:A,Energy!I:I,0)</f>
        <v>0</v>
      </c>
      <c r="G2006">
        <f t="shared" si="125"/>
        <v>36288.941003751999</v>
      </c>
      <c r="H2006">
        <f t="shared" si="126"/>
        <v>28793.035388020537</v>
      </c>
      <c r="I2006" t="b">
        <f t="shared" si="127"/>
        <v>0</v>
      </c>
    </row>
    <row r="2007" spans="1:9">
      <c r="A2007" s="1">
        <v>46107.563888888893</v>
      </c>
      <c r="B2007" s="5">
        <f>_xlfn.XLOOKUP(A2007,Banks!A:A,Banks!H:H,0,-1)</f>
        <v>1813.461376019558</v>
      </c>
      <c r="C2007">
        <f>_xlfn.XLOOKUP(A2007,Energy!A:A,Energy!H:H,0,-1)</f>
        <v>5813.6903423503427</v>
      </c>
      <c r="D2007">
        <f t="shared" si="124"/>
        <v>7627.1517183699007</v>
      </c>
      <c r="E2007">
        <f>_xlfn.XLOOKUP(A2007,Banks!A:A,Banks!I:I,0)</f>
        <v>36285.152222223798</v>
      </c>
      <c r="F2007">
        <f>_xlfn.XLOOKUP(A2007,Energy!A:A,Energy!I:I,0)</f>
        <v>0</v>
      </c>
      <c r="G2007">
        <f t="shared" si="125"/>
        <v>36285.152222223798</v>
      </c>
      <c r="H2007">
        <f t="shared" si="126"/>
        <v>28658.000503853898</v>
      </c>
      <c r="I2007" t="b">
        <f t="shared" si="127"/>
        <v>0</v>
      </c>
    </row>
    <row r="2008" spans="1:9">
      <c r="A2008" s="1">
        <v>46107.564583333333</v>
      </c>
      <c r="B2008" s="5">
        <f>_xlfn.XLOOKUP(A2008,Banks!A:A,Banks!H:H,0,-1)</f>
        <v>1622.5602490351159</v>
      </c>
      <c r="C2008">
        <f>_xlfn.XLOOKUP(A2008,Energy!A:A,Energy!H:H,0,-1)</f>
        <v>5813.6903423503427</v>
      </c>
      <c r="D2008">
        <f t="shared" si="124"/>
        <v>7436.2505913854584</v>
      </c>
      <c r="E2008">
        <f>_xlfn.XLOOKUP(A2008,Banks!A:A,Banks!I:I,0)</f>
        <v>36240.296885258933</v>
      </c>
      <c r="F2008">
        <f>_xlfn.XLOOKUP(A2008,Energy!A:A,Energy!I:I,0)</f>
        <v>0</v>
      </c>
      <c r="G2008">
        <f t="shared" si="125"/>
        <v>36240.296885258933</v>
      </c>
      <c r="H2008">
        <f t="shared" si="126"/>
        <v>28804.046293873474</v>
      </c>
      <c r="I2008" t="b">
        <f t="shared" si="127"/>
        <v>0</v>
      </c>
    </row>
    <row r="2009" spans="1:9">
      <c r="A2009" s="1">
        <v>46107.56527777778</v>
      </c>
      <c r="B2009" s="5">
        <f>_xlfn.XLOOKUP(A2009,Banks!A:A,Banks!H:H,0,-1)</f>
        <v>1585.844616933271</v>
      </c>
      <c r="C2009">
        <f>_xlfn.XLOOKUP(A2009,Energy!A:A,Energy!H:H,0,-1)</f>
        <v>5813.6903423503427</v>
      </c>
      <c r="D2009">
        <f t="shared" si="124"/>
        <v>7399.5349592836137</v>
      </c>
      <c r="E2009">
        <f>_xlfn.XLOOKUP(A2009,Banks!A:A,Banks!I:I,0)</f>
        <v>36212.928424134639</v>
      </c>
      <c r="F2009">
        <f>_xlfn.XLOOKUP(A2009,Energy!A:A,Energy!I:I,0)</f>
        <v>0</v>
      </c>
      <c r="G2009">
        <f t="shared" si="125"/>
        <v>36212.928424134639</v>
      </c>
      <c r="H2009">
        <f t="shared" si="126"/>
        <v>28813.393464851026</v>
      </c>
      <c r="I2009" t="b">
        <f t="shared" si="127"/>
        <v>0</v>
      </c>
    </row>
    <row r="2010" spans="1:9">
      <c r="A2010" s="1">
        <v>46107.565972222219</v>
      </c>
      <c r="B2010" s="5">
        <f>_xlfn.XLOOKUP(A2010,Banks!A:A,Banks!H:H,0,-1)</f>
        <v>1738.4546085190709</v>
      </c>
      <c r="C2010">
        <f>_xlfn.XLOOKUP(A2010,Energy!A:A,Energy!H:H,0,-1)</f>
        <v>5813.6903423503427</v>
      </c>
      <c r="D2010">
        <f t="shared" si="124"/>
        <v>7552.1449508694132</v>
      </c>
      <c r="E2010">
        <f>_xlfn.XLOOKUP(A2010,Banks!A:A,Banks!I:I,0)</f>
        <v>36163.349083636087</v>
      </c>
      <c r="F2010">
        <f>_xlfn.XLOOKUP(A2010,Energy!A:A,Energy!I:I,0)</f>
        <v>0</v>
      </c>
      <c r="G2010">
        <f t="shared" si="125"/>
        <v>36163.349083636087</v>
      </c>
      <c r="H2010">
        <f t="shared" si="126"/>
        <v>28611.204132766674</v>
      </c>
      <c r="I2010" t="b">
        <f t="shared" si="127"/>
        <v>0</v>
      </c>
    </row>
    <row r="2011" spans="1:9">
      <c r="A2011" s="1">
        <v>46107.566666666673</v>
      </c>
      <c r="B2011" s="5">
        <f>_xlfn.XLOOKUP(A2011,Banks!A:A,Banks!H:H,0,-1)</f>
        <v>1822.5489134599411</v>
      </c>
      <c r="C2011">
        <f>_xlfn.XLOOKUP(A2011,Energy!A:A,Energy!H:H,0,-1)</f>
        <v>5813.6903423503427</v>
      </c>
      <c r="D2011">
        <f t="shared" si="124"/>
        <v>7636.2392558102838</v>
      </c>
      <c r="E2011">
        <f>_xlfn.XLOOKUP(A2011,Banks!A:A,Banks!I:I,0)</f>
        <v>36160.142609920353</v>
      </c>
      <c r="F2011">
        <f>_xlfn.XLOOKUP(A2011,Energy!A:A,Energy!I:I,0)</f>
        <v>0</v>
      </c>
      <c r="G2011">
        <f t="shared" si="125"/>
        <v>36160.142609920353</v>
      </c>
      <c r="H2011">
        <f t="shared" si="126"/>
        <v>28523.903354110069</v>
      </c>
      <c r="I2011" t="b">
        <f t="shared" si="127"/>
        <v>0</v>
      </c>
    </row>
    <row r="2012" spans="1:9">
      <c r="A2012" s="1">
        <v>46107.567361111112</v>
      </c>
      <c r="B2012" s="5">
        <f>_xlfn.XLOOKUP(A2012,Banks!A:A,Banks!H:H,0,-1)</f>
        <v>1863.3860752771959</v>
      </c>
      <c r="C2012">
        <f>_xlfn.XLOOKUP(A2012,Energy!A:A,Energy!H:H,0,-1)</f>
        <v>5813.6903423503427</v>
      </c>
      <c r="D2012">
        <f t="shared" si="124"/>
        <v>7677.0764176275388</v>
      </c>
      <c r="E2012">
        <f>_xlfn.XLOOKUP(A2012,Banks!A:A,Banks!I:I,0)</f>
        <v>36168.310042283789</v>
      </c>
      <c r="F2012">
        <f>_xlfn.XLOOKUP(A2012,Energy!A:A,Energy!I:I,0)</f>
        <v>0</v>
      </c>
      <c r="G2012">
        <f t="shared" si="125"/>
        <v>36168.310042283789</v>
      </c>
      <c r="H2012">
        <f t="shared" si="126"/>
        <v>28491.233624656248</v>
      </c>
      <c r="I2012" t="b">
        <f t="shared" si="127"/>
        <v>0</v>
      </c>
    </row>
    <row r="2013" spans="1:9">
      <c r="A2013" s="1">
        <v>46107.568055555559</v>
      </c>
      <c r="B2013" s="5">
        <f>_xlfn.XLOOKUP(A2013,Banks!A:A,Banks!H:H,0,-1)</f>
        <v>1894.8962321227159</v>
      </c>
      <c r="C2013">
        <f>_xlfn.XLOOKUP(A2013,Energy!A:A,Energy!H:H,0,-1)</f>
        <v>5813.6903423503427</v>
      </c>
      <c r="D2013">
        <f t="shared" si="124"/>
        <v>7708.5865744730581</v>
      </c>
      <c r="E2013">
        <f>_xlfn.XLOOKUP(A2013,Banks!A:A,Banks!I:I,0)</f>
        <v>36157.924294732962</v>
      </c>
      <c r="F2013">
        <f>_xlfn.XLOOKUP(A2013,Energy!A:A,Energy!I:I,0)</f>
        <v>0</v>
      </c>
      <c r="G2013">
        <f t="shared" si="125"/>
        <v>36157.924294732962</v>
      </c>
      <c r="H2013">
        <f t="shared" si="126"/>
        <v>28449.337720259904</v>
      </c>
      <c r="I2013" t="b">
        <f t="shared" si="127"/>
        <v>0</v>
      </c>
    </row>
    <row r="2014" spans="1:9">
      <c r="A2014" s="1">
        <v>46107.568749999999</v>
      </c>
      <c r="B2014" s="5">
        <f>_xlfn.XLOOKUP(A2014,Banks!A:A,Banks!H:H,0,-1)</f>
        <v>1815.805742379865</v>
      </c>
      <c r="C2014">
        <f>_xlfn.XLOOKUP(A2014,Energy!A:A,Energy!H:H,0,-1)</f>
        <v>5813.6903423503427</v>
      </c>
      <c r="D2014">
        <f t="shared" si="124"/>
        <v>7629.4960847302082</v>
      </c>
      <c r="E2014">
        <f>_xlfn.XLOOKUP(A2014,Banks!A:A,Banks!I:I,0)</f>
        <v>36125.41841786445</v>
      </c>
      <c r="F2014">
        <f>_xlfn.XLOOKUP(A2014,Energy!A:A,Energy!I:I,0)</f>
        <v>0</v>
      </c>
      <c r="G2014">
        <f t="shared" si="125"/>
        <v>36125.41841786445</v>
      </c>
      <c r="H2014">
        <f t="shared" si="126"/>
        <v>28495.922333134244</v>
      </c>
      <c r="I2014" t="b">
        <f t="shared" si="127"/>
        <v>0</v>
      </c>
    </row>
    <row r="2015" spans="1:9">
      <c r="A2015" s="1">
        <v>46107.569444444453</v>
      </c>
      <c r="B2015" s="5">
        <f>_xlfn.XLOOKUP(A2015,Banks!A:A,Banks!H:H,0,-1)</f>
        <v>1749.9747196557271</v>
      </c>
      <c r="C2015">
        <f>_xlfn.XLOOKUP(A2015,Energy!A:A,Energy!H:H,0,-1)</f>
        <v>5813.6903423503427</v>
      </c>
      <c r="D2015">
        <f t="shared" si="124"/>
        <v>7563.66506200607</v>
      </c>
      <c r="E2015">
        <f>_xlfn.XLOOKUP(A2015,Banks!A:A,Banks!I:I,0)</f>
        <v>36192.353552135333</v>
      </c>
      <c r="F2015">
        <f>_xlfn.XLOOKUP(A2015,Energy!A:A,Energy!I:I,0)</f>
        <v>0</v>
      </c>
      <c r="G2015">
        <f t="shared" si="125"/>
        <v>36192.353552135333</v>
      </c>
      <c r="H2015">
        <f t="shared" si="126"/>
        <v>28628.688490129265</v>
      </c>
      <c r="I2015" t="b">
        <f t="shared" si="127"/>
        <v>0</v>
      </c>
    </row>
    <row r="2016" spans="1:9">
      <c r="A2016" s="1">
        <v>46107.570138888892</v>
      </c>
      <c r="B2016" s="5">
        <f>_xlfn.XLOOKUP(A2016,Banks!A:A,Banks!H:H,0,-1)</f>
        <v>1737.1815953097639</v>
      </c>
      <c r="C2016">
        <f>_xlfn.XLOOKUP(A2016,Energy!A:A,Energy!H:H,0,-1)</f>
        <v>5813.6903423503427</v>
      </c>
      <c r="D2016">
        <f t="shared" si="124"/>
        <v>7550.8719376601066</v>
      </c>
      <c r="E2016">
        <f>_xlfn.XLOOKUP(A2016,Banks!A:A,Banks!I:I,0)</f>
        <v>36206.482706186071</v>
      </c>
      <c r="F2016">
        <f>_xlfn.XLOOKUP(A2016,Energy!A:A,Energy!I:I,0)</f>
        <v>0</v>
      </c>
      <c r="G2016">
        <f t="shared" si="125"/>
        <v>36206.482706186071</v>
      </c>
      <c r="H2016">
        <f t="shared" si="126"/>
        <v>28655.610768525963</v>
      </c>
      <c r="I2016" t="b">
        <f t="shared" si="127"/>
        <v>0</v>
      </c>
    </row>
    <row r="2017" spans="1:9">
      <c r="A2017" s="1">
        <v>46107.570833333331</v>
      </c>
      <c r="B2017" s="5">
        <f>_xlfn.XLOOKUP(A2017,Banks!A:A,Banks!H:H,0,-1)</f>
        <v>1859.239330478674</v>
      </c>
      <c r="C2017">
        <f>_xlfn.XLOOKUP(A2017,Energy!A:A,Energy!H:H,0,-1)</f>
        <v>5813.6903423503427</v>
      </c>
      <c r="D2017">
        <f t="shared" si="124"/>
        <v>7672.9296728290165</v>
      </c>
      <c r="E2017">
        <f>_xlfn.XLOOKUP(A2017,Banks!A:A,Banks!I:I,0)</f>
        <v>36290.970257331632</v>
      </c>
      <c r="F2017">
        <f>_xlfn.XLOOKUP(A2017,Energy!A:A,Energy!I:I,0)</f>
        <v>0</v>
      </c>
      <c r="G2017">
        <f t="shared" si="125"/>
        <v>36290.970257331632</v>
      </c>
      <c r="H2017">
        <f t="shared" si="126"/>
        <v>28618.040584502614</v>
      </c>
      <c r="I2017" t="b">
        <f t="shared" si="127"/>
        <v>0</v>
      </c>
    </row>
    <row r="2018" spans="1:9">
      <c r="A2018" s="1">
        <v>46107.571527777778</v>
      </c>
      <c r="B2018" s="5">
        <f>_xlfn.XLOOKUP(A2018,Banks!A:A,Banks!H:H,0,-1)</f>
        <v>1925.9274236023</v>
      </c>
      <c r="C2018">
        <f>_xlfn.XLOOKUP(A2018,Energy!A:A,Energy!H:H,0,-1)</f>
        <v>5813.6903423503427</v>
      </c>
      <c r="D2018">
        <f t="shared" si="124"/>
        <v>7739.6177659526429</v>
      </c>
      <c r="E2018">
        <f>_xlfn.XLOOKUP(A2018,Banks!A:A,Banks!I:I,0)</f>
        <v>36310.98298752433</v>
      </c>
      <c r="F2018">
        <f>_xlfn.XLOOKUP(A2018,Energy!A:A,Energy!I:I,0)</f>
        <v>0</v>
      </c>
      <c r="G2018">
        <f t="shared" si="125"/>
        <v>36310.98298752433</v>
      </c>
      <c r="H2018">
        <f t="shared" si="126"/>
        <v>28571.365221571687</v>
      </c>
      <c r="I2018" t="b">
        <f t="shared" si="127"/>
        <v>0</v>
      </c>
    </row>
    <row r="2019" spans="1:9">
      <c r="A2019" s="1">
        <v>46107.572222222218</v>
      </c>
      <c r="B2019" s="5">
        <f>_xlfn.XLOOKUP(A2019,Banks!A:A,Banks!H:H,0,-1)</f>
        <v>1892.2234688291369</v>
      </c>
      <c r="C2019">
        <f>_xlfn.XLOOKUP(A2019,Energy!A:A,Energy!H:H,0,-1)</f>
        <v>5813.6903423503427</v>
      </c>
      <c r="D2019">
        <f t="shared" si="124"/>
        <v>7705.91381117948</v>
      </c>
      <c r="E2019">
        <f>_xlfn.XLOOKUP(A2019,Banks!A:A,Banks!I:I,0)</f>
        <v>0</v>
      </c>
      <c r="F2019">
        <f>_xlfn.XLOOKUP(A2019,Energy!A:A,Energy!I:I,0)</f>
        <v>0</v>
      </c>
      <c r="G2019">
        <f t="shared" si="125"/>
        <v>0</v>
      </c>
      <c r="H2019">
        <f t="shared" si="126"/>
        <v>-7705.91381117948</v>
      </c>
      <c r="I2019" t="b">
        <f t="shared" si="127"/>
        <v>0</v>
      </c>
    </row>
    <row r="2020" spans="1:9">
      <c r="A2020" s="1">
        <v>46107.781944444447</v>
      </c>
      <c r="B2020" s="5">
        <f>_xlfn.XLOOKUP(A2020,Banks!A:A,Banks!H:H,0,-1)</f>
        <v>1892.2234688291369</v>
      </c>
      <c r="C2020">
        <f>_xlfn.XLOOKUP(A2020,Energy!A:A,Energy!H:H,0,-1)</f>
        <v>5813.6903423503427</v>
      </c>
      <c r="D2020">
        <f t="shared" si="124"/>
        <v>7705.91381117948</v>
      </c>
      <c r="E2020">
        <f>_xlfn.XLOOKUP(A2020,Banks!A:A,Banks!I:I,0)</f>
        <v>0</v>
      </c>
      <c r="F2020">
        <f>_xlfn.XLOOKUP(A2020,Energy!A:A,Energy!I:I,0)</f>
        <v>44412.436372626988</v>
      </c>
      <c r="G2020">
        <f t="shared" si="125"/>
        <v>44412.436372626988</v>
      </c>
      <c r="H2020">
        <f t="shared" si="126"/>
        <v>36706.522561447506</v>
      </c>
      <c r="I2020" t="b">
        <f t="shared" si="127"/>
        <v>0</v>
      </c>
    </row>
    <row r="2021" spans="1:9">
      <c r="A2021" s="1">
        <v>46107.782638888893</v>
      </c>
      <c r="B2021" s="5">
        <f>_xlfn.XLOOKUP(A2021,Banks!A:A,Banks!H:H,0,-1)</f>
        <v>1892.2234688291369</v>
      </c>
      <c r="C2021">
        <f>_xlfn.XLOOKUP(A2021,Energy!A:A,Energy!H:H,0,-1)</f>
        <v>5662.305592668381</v>
      </c>
      <c r="D2021">
        <f t="shared" si="124"/>
        <v>7554.5290614975183</v>
      </c>
      <c r="E2021">
        <f>_xlfn.XLOOKUP(A2021,Banks!A:A,Banks!I:I,0)</f>
        <v>0</v>
      </c>
      <c r="F2021">
        <f>_xlfn.XLOOKUP(A2021,Energy!A:A,Energy!I:I,0)</f>
        <v>44382.159422690602</v>
      </c>
      <c r="G2021">
        <f t="shared" si="125"/>
        <v>44382.159422690602</v>
      </c>
      <c r="H2021">
        <f t="shared" si="126"/>
        <v>36827.630361193085</v>
      </c>
      <c r="I2021" t="b">
        <f t="shared" si="127"/>
        <v>0</v>
      </c>
    </row>
    <row r="2022" spans="1:9">
      <c r="A2022" s="1">
        <v>46107.783333333333</v>
      </c>
      <c r="B2022" s="5">
        <f>_xlfn.XLOOKUP(A2022,Banks!A:A,Banks!H:H,0,-1)</f>
        <v>1892.2234688291369</v>
      </c>
      <c r="C2022">
        <f>_xlfn.XLOOKUP(A2022,Energy!A:A,Energy!H:H,0,-1)</f>
        <v>5741.2889403285417</v>
      </c>
      <c r="D2022">
        <f t="shared" si="124"/>
        <v>7633.5124091576781</v>
      </c>
      <c r="E2022">
        <f>_xlfn.XLOOKUP(A2022,Banks!A:A,Banks!I:I,0)</f>
        <v>0</v>
      </c>
      <c r="F2022">
        <f>_xlfn.XLOOKUP(A2022,Energy!A:A,Energy!I:I,0)</f>
        <v>44397.95609222263</v>
      </c>
      <c r="G2022">
        <f t="shared" si="125"/>
        <v>44397.95609222263</v>
      </c>
      <c r="H2022">
        <f t="shared" si="126"/>
        <v>36764.44368306495</v>
      </c>
      <c r="I2022" t="b">
        <f t="shared" si="127"/>
        <v>0</v>
      </c>
    </row>
    <row r="2023" spans="1:9">
      <c r="A2023" s="1">
        <v>46107.78402777778</v>
      </c>
      <c r="B2023" s="5">
        <f>_xlfn.XLOOKUP(A2023,Banks!A:A,Banks!H:H,0,-1)</f>
        <v>1892.2234688291369</v>
      </c>
      <c r="C2023">
        <f>_xlfn.XLOOKUP(A2023,Energy!A:A,Energy!H:H,0,-1)</f>
        <v>5682.0514295834209</v>
      </c>
      <c r="D2023">
        <f t="shared" si="124"/>
        <v>7574.2748984125574</v>
      </c>
      <c r="E2023">
        <f>_xlfn.XLOOKUP(A2023,Banks!A:A,Banks!I:I,0)</f>
        <v>0</v>
      </c>
      <c r="F2023">
        <f>_xlfn.XLOOKUP(A2023,Energy!A:A,Energy!I:I,0)</f>
        <v>44386.108590073607</v>
      </c>
      <c r="G2023">
        <f t="shared" si="125"/>
        <v>44386.108590073607</v>
      </c>
      <c r="H2023">
        <f t="shared" si="126"/>
        <v>36811.83369166105</v>
      </c>
      <c r="I2023" t="b">
        <f t="shared" si="127"/>
        <v>0</v>
      </c>
    </row>
    <row r="2024" spans="1:9">
      <c r="A2024" s="1">
        <v>46107.784722222219</v>
      </c>
      <c r="B2024" s="5">
        <f>_xlfn.XLOOKUP(A2024,Banks!A:A,Banks!H:H,0,-1)</f>
        <v>1892.2234688291369</v>
      </c>
      <c r="C2024">
        <f>_xlfn.XLOOKUP(A2024,Energy!A:A,Energy!H:H,0,-1)</f>
        <v>6022.9436698239251</v>
      </c>
      <c r="D2024">
        <f t="shared" si="124"/>
        <v>7915.1671386530616</v>
      </c>
      <c r="E2024">
        <f>_xlfn.XLOOKUP(A2024,Banks!A:A,Banks!I:I,0)</f>
        <v>0</v>
      </c>
      <c r="F2024">
        <f>_xlfn.XLOOKUP(A2024,Energy!A:A,Energy!I:I,0)</f>
        <v>44344.257924578887</v>
      </c>
      <c r="G2024">
        <f t="shared" si="125"/>
        <v>44344.257924578887</v>
      </c>
      <c r="H2024">
        <f t="shared" si="126"/>
        <v>36429.09078592583</v>
      </c>
      <c r="I2024" t="b">
        <f t="shared" si="127"/>
        <v>0</v>
      </c>
    </row>
    <row r="2025" spans="1:9">
      <c r="A2025" s="1">
        <v>46107.785416666673</v>
      </c>
      <c r="B2025" s="5">
        <f>_xlfn.XLOOKUP(A2025,Banks!A:A,Banks!H:H,0,-1)</f>
        <v>1892.2234688291369</v>
      </c>
      <c r="C2025">
        <f>_xlfn.XLOOKUP(A2025,Energy!A:A,Energy!H:H,0,-1)</f>
        <v>5966.9971318979751</v>
      </c>
      <c r="D2025">
        <f t="shared" si="124"/>
        <v>7859.2206007271125</v>
      </c>
      <c r="E2025">
        <f>_xlfn.XLOOKUP(A2025,Banks!A:A,Banks!I:I,0)</f>
        <v>0</v>
      </c>
      <c r="F2025">
        <f>_xlfn.XLOOKUP(A2025,Energy!A:A,Energy!I:I,0)</f>
        <v>44333.068616993703</v>
      </c>
      <c r="G2025">
        <f t="shared" si="125"/>
        <v>44333.068616993703</v>
      </c>
      <c r="H2025">
        <f t="shared" si="126"/>
        <v>36473.848016266595</v>
      </c>
      <c r="I2025" t="b">
        <f t="shared" si="127"/>
        <v>0</v>
      </c>
    </row>
    <row r="2026" spans="1:9">
      <c r="A2026" s="1">
        <v>46107.786111111112</v>
      </c>
      <c r="B2026" s="5">
        <f>_xlfn.XLOOKUP(A2026,Banks!A:A,Banks!H:H,0,-1)</f>
        <v>1892.2234688291369</v>
      </c>
      <c r="C2026">
        <f>_xlfn.XLOOKUP(A2026,Energy!A:A,Energy!H:H,0,-1)</f>
        <v>5966.9971318979751</v>
      </c>
      <c r="D2026">
        <f t="shared" si="124"/>
        <v>7859.2206007271125</v>
      </c>
      <c r="E2026">
        <f>_xlfn.XLOOKUP(A2026,Banks!A:A,Banks!I:I,0)</f>
        <v>0</v>
      </c>
      <c r="F2026">
        <f>_xlfn.XLOOKUP(A2026,Energy!A:A,Energy!I:I,0)</f>
        <v>44333.068616993703</v>
      </c>
      <c r="G2026">
        <f t="shared" si="125"/>
        <v>44333.068616993703</v>
      </c>
      <c r="H2026">
        <f t="shared" si="126"/>
        <v>36473.848016266595</v>
      </c>
      <c r="I2026" t="b">
        <f t="shared" si="127"/>
        <v>0</v>
      </c>
    </row>
    <row r="2027" spans="1:9">
      <c r="A2027" s="1">
        <v>46107.786805555559</v>
      </c>
      <c r="B2027" s="5">
        <f>_xlfn.XLOOKUP(A2027,Banks!A:A,Banks!H:H,0,-1)</f>
        <v>1892.2234688291369</v>
      </c>
      <c r="C2027">
        <f>_xlfn.XLOOKUP(A2027,Energy!A:A,Energy!H:H,0,-1)</f>
        <v>5983.4519959938452</v>
      </c>
      <c r="D2027">
        <f t="shared" si="124"/>
        <v>7875.6754648229817</v>
      </c>
      <c r="E2027">
        <f>_xlfn.XLOOKUP(A2027,Banks!A:A,Banks!I:I,0)</f>
        <v>0</v>
      </c>
      <c r="F2027">
        <f>_xlfn.XLOOKUP(A2027,Energy!A:A,Energy!I:I,0)</f>
        <v>44336.35958981287</v>
      </c>
      <c r="G2027">
        <f t="shared" si="125"/>
        <v>44336.35958981287</v>
      </c>
      <c r="H2027">
        <f t="shared" si="126"/>
        <v>36460.684124989886</v>
      </c>
      <c r="I2027" t="b">
        <f t="shared" si="127"/>
        <v>0</v>
      </c>
    </row>
    <row r="2028" spans="1:9">
      <c r="A2028" s="1">
        <v>46107.787499999999</v>
      </c>
      <c r="B2028" s="5">
        <f>_xlfn.XLOOKUP(A2028,Banks!A:A,Banks!H:H,0,-1)</f>
        <v>1892.2234688291369</v>
      </c>
      <c r="C2028">
        <f>_xlfn.XLOOKUP(A2028,Energy!A:A,Energy!H:H,0,-1)</f>
        <v>6009.779778547244</v>
      </c>
      <c r="D2028">
        <f t="shared" si="124"/>
        <v>7902.0032473763804</v>
      </c>
      <c r="E2028">
        <f>_xlfn.XLOOKUP(A2028,Banks!A:A,Banks!I:I,0)</f>
        <v>0</v>
      </c>
      <c r="F2028">
        <f>_xlfn.XLOOKUP(A2028,Energy!A:A,Energy!I:I,0)</f>
        <v>44341.625146323553</v>
      </c>
      <c r="G2028">
        <f t="shared" si="125"/>
        <v>44341.625146323553</v>
      </c>
      <c r="H2028">
        <f t="shared" si="126"/>
        <v>36439.621898947174</v>
      </c>
      <c r="I2028" t="b">
        <f t="shared" si="127"/>
        <v>0</v>
      </c>
    </row>
    <row r="2029" spans="1:9">
      <c r="A2029" s="1">
        <v>46107.788194444453</v>
      </c>
      <c r="B2029" s="5">
        <f>_xlfn.XLOOKUP(A2029,Banks!A:A,Banks!H:H,0,-1)</f>
        <v>1892.2234688291369</v>
      </c>
      <c r="C2029">
        <f>_xlfn.XLOOKUP(A2029,Energy!A:A,Energy!H:H,0,-1)</f>
        <v>6098.6360446649151</v>
      </c>
      <c r="D2029">
        <f t="shared" si="124"/>
        <v>7990.8595134940515</v>
      </c>
      <c r="E2029">
        <f>_xlfn.XLOOKUP(A2029,Banks!A:A,Banks!I:I,0)</f>
        <v>0</v>
      </c>
      <c r="F2029">
        <f>_xlfn.XLOOKUP(A2029,Energy!A:A,Energy!I:I,0)</f>
        <v>44359.396399547091</v>
      </c>
      <c r="G2029">
        <f t="shared" si="125"/>
        <v>44359.396399547091</v>
      </c>
      <c r="H2029">
        <f t="shared" si="126"/>
        <v>36368.536886053043</v>
      </c>
      <c r="I2029" t="b">
        <f t="shared" si="127"/>
        <v>0</v>
      </c>
    </row>
    <row r="2030" spans="1:9">
      <c r="A2030" s="1">
        <v>46107.788888888892</v>
      </c>
      <c r="B2030" s="5">
        <f>_xlfn.XLOOKUP(A2030,Banks!A:A,Banks!H:H,0,-1)</f>
        <v>1892.2234688291369</v>
      </c>
      <c r="C2030">
        <f>_xlfn.XLOOKUP(A2030,Energy!A:A,Energy!H:H,0,-1)</f>
        <v>6154.5825825908651</v>
      </c>
      <c r="D2030">
        <f t="shared" si="124"/>
        <v>8046.8060514200024</v>
      </c>
      <c r="E2030">
        <f>_xlfn.XLOOKUP(A2030,Banks!A:A,Banks!I:I,0)</f>
        <v>0</v>
      </c>
      <c r="F2030">
        <f>_xlfn.XLOOKUP(A2030,Energy!A:A,Energy!I:I,0)</f>
        <v>44370.585707132283</v>
      </c>
      <c r="G2030">
        <f t="shared" si="125"/>
        <v>44370.585707132283</v>
      </c>
      <c r="H2030">
        <f t="shared" si="126"/>
        <v>36323.779655712278</v>
      </c>
      <c r="I2030" t="b">
        <f t="shared" si="127"/>
        <v>0</v>
      </c>
    </row>
    <row r="2031" spans="1:9">
      <c r="A2031" s="1">
        <v>46107.789583333331</v>
      </c>
      <c r="B2031" s="5">
        <f>_xlfn.XLOOKUP(A2031,Banks!A:A,Banks!H:H,0,-1)</f>
        <v>1892.2234688291369</v>
      </c>
      <c r="C2031">
        <f>_xlfn.XLOOKUP(A2031,Energy!A:A,Energy!H:H,0,-1)</f>
        <v>6099.5934648344492</v>
      </c>
      <c r="D2031">
        <f t="shared" si="124"/>
        <v>7991.8169336635856</v>
      </c>
      <c r="E2031">
        <f>_xlfn.XLOOKUP(A2031,Banks!A:A,Banks!I:I,0)</f>
        <v>0</v>
      </c>
      <c r="F2031">
        <f>_xlfn.XLOOKUP(A2031,Energy!A:A,Energy!I:I,0)</f>
        <v>0</v>
      </c>
      <c r="G2031">
        <f t="shared" si="125"/>
        <v>0</v>
      </c>
      <c r="H2031">
        <f t="shared" si="126"/>
        <v>-7991.8169336635856</v>
      </c>
      <c r="I2031" t="b">
        <f t="shared" si="127"/>
        <v>0</v>
      </c>
    </row>
    <row r="2032" spans="1:9">
      <c r="A2032" s="1">
        <v>46108.657638888893</v>
      </c>
      <c r="B2032" s="5">
        <f>_xlfn.XLOOKUP(A2032,Banks!A:A,Banks!H:H,0,-1)</f>
        <v>1892.2234688291369</v>
      </c>
      <c r="C2032">
        <f>_xlfn.XLOOKUP(A2032,Energy!A:A,Energy!H:H,0,-1)</f>
        <v>6099.5934648344492</v>
      </c>
      <c r="D2032">
        <f t="shared" si="124"/>
        <v>7991.8169336635856</v>
      </c>
      <c r="E2032">
        <f>_xlfn.XLOOKUP(A2032,Banks!A:A,Banks!I:I,0)</f>
        <v>0</v>
      </c>
      <c r="F2032">
        <f>_xlfn.XLOOKUP(A2032,Energy!A:A,Energy!I:I,0)</f>
        <v>44412.436372626988</v>
      </c>
      <c r="G2032">
        <f t="shared" si="125"/>
        <v>44412.436372626988</v>
      </c>
      <c r="H2032">
        <f t="shared" si="126"/>
        <v>36420.619438963404</v>
      </c>
      <c r="I2032" t="b">
        <f t="shared" si="127"/>
        <v>0</v>
      </c>
    </row>
    <row r="2033" spans="1:9">
      <c r="A2033" s="1">
        <v>46108.658333333333</v>
      </c>
      <c r="B2033" s="5">
        <f>_xlfn.XLOOKUP(A2033,Banks!A:A,Banks!H:H,0,-1)</f>
        <v>1892.2234688291369</v>
      </c>
      <c r="C2033">
        <f>_xlfn.XLOOKUP(A2033,Energy!A:A,Energy!H:H,0,-1)</f>
        <v>6121.4548635664796</v>
      </c>
      <c r="D2033">
        <f t="shared" si="124"/>
        <v>8013.678332395617</v>
      </c>
      <c r="E2033">
        <f>_xlfn.XLOOKUP(A2033,Banks!A:A,Banks!I:I,0)</f>
        <v>0</v>
      </c>
      <c r="F2033">
        <f>_xlfn.XLOOKUP(A2033,Energy!A:A,Energy!I:I,0)</f>
        <v>44416.808652373409</v>
      </c>
      <c r="G2033">
        <f t="shared" si="125"/>
        <v>44416.808652373409</v>
      </c>
      <c r="H2033">
        <f t="shared" si="126"/>
        <v>36403.13031997779</v>
      </c>
      <c r="I2033" t="b">
        <f t="shared" si="127"/>
        <v>0</v>
      </c>
    </row>
    <row r="2034" spans="1:9">
      <c r="A2034" s="1">
        <v>46108.65902777778</v>
      </c>
      <c r="B2034" s="5">
        <f>_xlfn.XLOOKUP(A2034,Banks!A:A,Banks!H:H,0,-1)</f>
        <v>1892.2234688291369</v>
      </c>
      <c r="C2034">
        <f>_xlfn.XLOOKUP(A2034,Energy!A:A,Energy!H:H,0,-1)</f>
        <v>6129.4044631054066</v>
      </c>
      <c r="D2034">
        <f t="shared" si="124"/>
        <v>8021.6279319345431</v>
      </c>
      <c r="E2034">
        <f>_xlfn.XLOOKUP(A2034,Banks!A:A,Banks!I:I,0)</f>
        <v>0</v>
      </c>
      <c r="F2034">
        <f>_xlfn.XLOOKUP(A2034,Energy!A:A,Energy!I:I,0)</f>
        <v>44418.398572281178</v>
      </c>
      <c r="G2034">
        <f t="shared" si="125"/>
        <v>44418.398572281178</v>
      </c>
      <c r="H2034">
        <f t="shared" si="126"/>
        <v>36396.770640346636</v>
      </c>
      <c r="I2034" t="b">
        <f t="shared" si="127"/>
        <v>0</v>
      </c>
    </row>
    <row r="2035" spans="1:9">
      <c r="A2035" s="1">
        <v>46108.659722222219</v>
      </c>
      <c r="B2035" s="5">
        <f>_xlfn.XLOOKUP(A2035,Banks!A:A,Banks!H:H,0,-1)</f>
        <v>1892.2234688291369</v>
      </c>
      <c r="C2035">
        <f>_xlfn.XLOOKUP(A2035,Energy!A:A,Energy!H:H,0,-1)</f>
        <v>6129.4044631054066</v>
      </c>
      <c r="D2035">
        <f t="shared" si="124"/>
        <v>8021.6279319345431</v>
      </c>
      <c r="E2035">
        <f>_xlfn.XLOOKUP(A2035,Banks!A:A,Banks!I:I,0)</f>
        <v>0</v>
      </c>
      <c r="F2035">
        <f>_xlfn.XLOOKUP(A2035,Energy!A:A,Energy!I:I,0)</f>
        <v>44418.398572281178</v>
      </c>
      <c r="G2035">
        <f t="shared" si="125"/>
        <v>44418.398572281178</v>
      </c>
      <c r="H2035">
        <f t="shared" si="126"/>
        <v>36396.770640346636</v>
      </c>
      <c r="I2035" t="b">
        <f t="shared" si="127"/>
        <v>0</v>
      </c>
    </row>
    <row r="2036" spans="1:9">
      <c r="A2036" s="1">
        <v>46108.660416666673</v>
      </c>
      <c r="B2036" s="5">
        <f>_xlfn.XLOOKUP(A2036,Banks!A:A,Banks!H:H,0,-1)</f>
        <v>1892.2234688291369</v>
      </c>
      <c r="C2036">
        <f>_xlfn.XLOOKUP(A2036,Energy!A:A,Energy!H:H,0,-1)</f>
        <v>6196.9760591862596</v>
      </c>
      <c r="D2036">
        <f t="shared" si="124"/>
        <v>8089.1995280153969</v>
      </c>
      <c r="E2036">
        <f>_xlfn.XLOOKUP(A2036,Banks!A:A,Banks!I:I,0)</f>
        <v>0</v>
      </c>
      <c r="F2036">
        <f>_xlfn.XLOOKUP(A2036,Energy!A:A,Energy!I:I,0)</f>
        <v>44431.912891497363</v>
      </c>
      <c r="G2036">
        <f t="shared" si="125"/>
        <v>44431.912891497363</v>
      </c>
      <c r="H2036">
        <f t="shared" si="126"/>
        <v>36342.713363481962</v>
      </c>
      <c r="I2036" t="b">
        <f t="shared" si="127"/>
        <v>0</v>
      </c>
    </row>
    <row r="2037" spans="1:9">
      <c r="A2037" s="1">
        <v>46108.661111111112</v>
      </c>
      <c r="B2037" s="5">
        <f>_xlfn.XLOOKUP(A2037,Banks!A:A,Banks!H:H,0,-1)</f>
        <v>1892.2234688291369</v>
      </c>
      <c r="C2037">
        <f>_xlfn.XLOOKUP(A2037,Energy!A:A,Energy!H:H,0,-1)</f>
        <v>5933.0754391164901</v>
      </c>
      <c r="D2037">
        <f t="shared" si="124"/>
        <v>7825.2989079456274</v>
      </c>
      <c r="E2037">
        <f>_xlfn.XLOOKUP(A2037,Banks!A:A,Banks!I:I,0)</f>
        <v>0</v>
      </c>
      <c r="F2037">
        <f>_xlfn.XLOOKUP(A2037,Energy!A:A,Energy!I:I,0)</f>
        <v>44484.693015511322</v>
      </c>
      <c r="G2037">
        <f t="shared" si="125"/>
        <v>44484.693015511322</v>
      </c>
      <c r="H2037">
        <f t="shared" si="126"/>
        <v>36659.394107565691</v>
      </c>
      <c r="I2037" t="b">
        <f t="shared" si="127"/>
        <v>0</v>
      </c>
    </row>
    <row r="2038" spans="1:9">
      <c r="A2038" s="1">
        <v>46108.661805555559</v>
      </c>
      <c r="B2038" s="5">
        <f>_xlfn.XLOOKUP(A2038,Banks!A:A,Banks!H:H,0,-1)</f>
        <v>1892.2234688291369</v>
      </c>
      <c r="C2038">
        <f>_xlfn.XLOOKUP(A2038,Energy!A:A,Energy!H:H,0,-1)</f>
        <v>5933.0754391164901</v>
      </c>
      <c r="D2038">
        <f t="shared" si="124"/>
        <v>7825.2989079456274</v>
      </c>
      <c r="E2038">
        <f>_xlfn.XLOOKUP(A2038,Banks!A:A,Banks!I:I,0)</f>
        <v>0</v>
      </c>
      <c r="F2038">
        <f>_xlfn.XLOOKUP(A2038,Energy!A:A,Energy!I:I,0)</f>
        <v>44484.693015511322</v>
      </c>
      <c r="G2038">
        <f t="shared" si="125"/>
        <v>44484.693015511322</v>
      </c>
      <c r="H2038">
        <f t="shared" si="126"/>
        <v>36659.394107565691</v>
      </c>
      <c r="I2038" t="b">
        <f t="shared" si="127"/>
        <v>0</v>
      </c>
    </row>
    <row r="2039" spans="1:9">
      <c r="A2039" s="1">
        <v>46108.662499999999</v>
      </c>
      <c r="B2039" s="5">
        <f>_xlfn.XLOOKUP(A2039,Banks!A:A,Banks!H:H,0,-1)</f>
        <v>1892.2234688291369</v>
      </c>
      <c r="C2039">
        <f>_xlfn.XLOOKUP(A2039,Energy!A:A,Energy!H:H,0,-1)</f>
        <v>6053.6877938252592</v>
      </c>
      <c r="D2039">
        <f t="shared" si="124"/>
        <v>7945.9112626543956</v>
      </c>
      <c r="E2039">
        <f>_xlfn.XLOOKUP(A2039,Banks!A:A,Banks!I:I,0)</f>
        <v>0</v>
      </c>
      <c r="F2039">
        <f>_xlfn.XLOOKUP(A2039,Energy!A:A,Energy!I:I,0)</f>
        <v>44446.261265399487</v>
      </c>
      <c r="G2039">
        <f t="shared" si="125"/>
        <v>44446.261265399487</v>
      </c>
      <c r="H2039">
        <f t="shared" si="126"/>
        <v>36500.350002745094</v>
      </c>
      <c r="I2039" t="b">
        <f t="shared" si="127"/>
        <v>0</v>
      </c>
    </row>
    <row r="2040" spans="1:9">
      <c r="A2040" s="1">
        <v>46108.663194444453</v>
      </c>
      <c r="B2040" s="5">
        <f>_xlfn.XLOOKUP(A2040,Banks!A:A,Banks!H:H,0,-1)</f>
        <v>1892.2234688291369</v>
      </c>
      <c r="C2040">
        <f>_xlfn.XLOOKUP(A2040,Energy!A:A,Energy!H:H,0,-1)</f>
        <v>5959.2048557755998</v>
      </c>
      <c r="D2040">
        <f t="shared" si="124"/>
        <v>7851.4283246047362</v>
      </c>
      <c r="E2040">
        <f>_xlfn.XLOOKUP(A2040,Banks!A:A,Banks!I:I,0)</f>
        <v>0</v>
      </c>
      <c r="F2040">
        <f>_xlfn.XLOOKUP(A2040,Energy!A:A,Energy!I:I,0)</f>
        <v>44465.157853009427</v>
      </c>
      <c r="G2040">
        <f t="shared" si="125"/>
        <v>44465.157853009427</v>
      </c>
      <c r="H2040">
        <f t="shared" si="126"/>
        <v>36613.729528404692</v>
      </c>
      <c r="I2040" t="b">
        <f t="shared" si="127"/>
        <v>0</v>
      </c>
    </row>
    <row r="2041" spans="1:9">
      <c r="A2041" s="1">
        <v>46108.663888888892</v>
      </c>
      <c r="B2041" s="5">
        <f>_xlfn.XLOOKUP(A2041,Banks!A:A,Banks!H:H,0,-1)</f>
        <v>1892.2234688291369</v>
      </c>
      <c r="C2041">
        <f>_xlfn.XLOOKUP(A2041,Energy!A:A,Energy!H:H,0,-1)</f>
        <v>5931.3812573893601</v>
      </c>
      <c r="D2041">
        <f t="shared" si="124"/>
        <v>7823.6047262184966</v>
      </c>
      <c r="E2041">
        <f>_xlfn.XLOOKUP(A2041,Banks!A:A,Banks!I:I,0)</f>
        <v>0</v>
      </c>
      <c r="F2041">
        <f>_xlfn.XLOOKUP(A2041,Energy!A:A,Energy!I:I,0)</f>
        <v>44459.593133332179</v>
      </c>
      <c r="G2041">
        <f t="shared" si="125"/>
        <v>44459.593133332179</v>
      </c>
      <c r="H2041">
        <f t="shared" si="126"/>
        <v>36635.988407113684</v>
      </c>
      <c r="I2041" t="b">
        <f t="shared" si="127"/>
        <v>0</v>
      </c>
    </row>
    <row r="2042" spans="1:9">
      <c r="A2042" s="1">
        <v>46108.664583333331</v>
      </c>
      <c r="B2042" s="5">
        <f>_xlfn.XLOOKUP(A2042,Banks!A:A,Banks!H:H,0,-1)</f>
        <v>1892.2234688291369</v>
      </c>
      <c r="C2042">
        <f>_xlfn.XLOOKUP(A2042,Energy!A:A,Energy!H:H,0,-1)</f>
        <v>5931.3812573893601</v>
      </c>
      <c r="D2042">
        <f t="shared" si="124"/>
        <v>7823.6047262184966</v>
      </c>
      <c r="E2042">
        <f>_xlfn.XLOOKUP(A2042,Banks!A:A,Banks!I:I,0)</f>
        <v>0</v>
      </c>
      <c r="F2042">
        <f>_xlfn.XLOOKUP(A2042,Energy!A:A,Energy!I:I,0)</f>
        <v>44459.593133332179</v>
      </c>
      <c r="G2042">
        <f t="shared" si="125"/>
        <v>44459.593133332179</v>
      </c>
      <c r="H2042">
        <f t="shared" si="126"/>
        <v>36635.988407113684</v>
      </c>
      <c r="I2042" t="b">
        <f t="shared" si="127"/>
        <v>0</v>
      </c>
    </row>
    <row r="2043" spans="1:9">
      <c r="A2043" s="1">
        <v>46108.665277777778</v>
      </c>
      <c r="B2043" s="5">
        <f>_xlfn.XLOOKUP(A2043,Banks!A:A,Banks!H:H,0,-1)</f>
        <v>1892.2234688291369</v>
      </c>
      <c r="C2043">
        <f>_xlfn.XLOOKUP(A2043,Energy!A:A,Energy!H:H,0,-1)</f>
        <v>5931.3812573893601</v>
      </c>
      <c r="D2043">
        <f t="shared" si="124"/>
        <v>7823.6047262184966</v>
      </c>
      <c r="E2043">
        <f>_xlfn.XLOOKUP(A2043,Banks!A:A,Banks!I:I,0)</f>
        <v>0</v>
      </c>
      <c r="F2043">
        <f>_xlfn.XLOOKUP(A2043,Energy!A:A,Energy!I:I,0)</f>
        <v>44459.593133332179</v>
      </c>
      <c r="G2043">
        <f t="shared" si="125"/>
        <v>44459.593133332179</v>
      </c>
      <c r="H2043">
        <f t="shared" si="126"/>
        <v>36635.988407113684</v>
      </c>
      <c r="I2043" t="b">
        <f t="shared" si="127"/>
        <v>0</v>
      </c>
    </row>
    <row r="2044" spans="1:9">
      <c r="A2044" s="1">
        <v>46108.665972222218</v>
      </c>
      <c r="B2044" s="5">
        <f>_xlfn.XLOOKUP(A2044,Banks!A:A,Banks!H:H,0,-1)</f>
        <v>1892.2234688291369</v>
      </c>
      <c r="C2044">
        <f>_xlfn.XLOOKUP(A2044,Energy!A:A,Energy!H:H,0,-1)</f>
        <v>5885.6710600405586</v>
      </c>
      <c r="D2044">
        <f t="shared" si="124"/>
        <v>7777.8945288696959</v>
      </c>
      <c r="E2044">
        <f>_xlfn.XLOOKUP(A2044,Banks!A:A,Banks!I:I,0)</f>
        <v>0</v>
      </c>
      <c r="F2044">
        <f>_xlfn.XLOOKUP(A2044,Energy!A:A,Energy!I:I,0)</f>
        <v>44450.451093862423</v>
      </c>
      <c r="G2044">
        <f t="shared" si="125"/>
        <v>44450.451093862423</v>
      </c>
      <c r="H2044">
        <f t="shared" si="126"/>
        <v>36672.55656499273</v>
      </c>
      <c r="I2044" t="b">
        <f t="shared" si="127"/>
        <v>0</v>
      </c>
    </row>
    <row r="2045" spans="1:9">
      <c r="A2045" s="1">
        <v>46108.666666666657</v>
      </c>
      <c r="B2045" s="5">
        <f>_xlfn.XLOOKUP(A2045,Banks!A:A,Banks!H:H,0,-1)</f>
        <v>1892.2234688291369</v>
      </c>
      <c r="C2045">
        <f>_xlfn.XLOOKUP(A2045,Energy!A:A,Energy!H:H,0,-1)</f>
        <v>5885.6710600405586</v>
      </c>
      <c r="D2045">
        <f t="shared" si="124"/>
        <v>7777.8945288696959</v>
      </c>
      <c r="E2045">
        <f>_xlfn.XLOOKUP(A2045,Banks!A:A,Banks!I:I,0)</f>
        <v>0</v>
      </c>
      <c r="F2045">
        <f>_xlfn.XLOOKUP(A2045,Energy!A:A,Energy!I:I,0)</f>
        <v>44450.451093862423</v>
      </c>
      <c r="G2045">
        <f t="shared" si="125"/>
        <v>44450.451093862423</v>
      </c>
      <c r="H2045">
        <f t="shared" si="126"/>
        <v>36672.55656499273</v>
      </c>
      <c r="I2045" t="b">
        <f t="shared" si="127"/>
        <v>0</v>
      </c>
    </row>
    <row r="2046" spans="1:9">
      <c r="A2046" s="1">
        <v>46108.667361111111</v>
      </c>
      <c r="B2046" s="5">
        <f>_xlfn.XLOOKUP(A2046,Banks!A:A,Banks!H:H,0,-1)</f>
        <v>1892.2234688291369</v>
      </c>
      <c r="C2046">
        <f>_xlfn.XLOOKUP(A2046,Energy!A:A,Energy!H:H,0,-1)</f>
        <v>5999.7021921694613</v>
      </c>
      <c r="D2046">
        <f t="shared" si="124"/>
        <v>7891.9256609985987</v>
      </c>
      <c r="E2046">
        <f>_xlfn.XLOOKUP(A2046,Banks!A:A,Banks!I:I,0)</f>
        <v>0</v>
      </c>
      <c r="F2046">
        <f>_xlfn.XLOOKUP(A2046,Energy!A:A,Energy!I:I,0)</f>
        <v>44427.64486743664</v>
      </c>
      <c r="G2046">
        <f t="shared" si="125"/>
        <v>44427.64486743664</v>
      </c>
      <c r="H2046">
        <f t="shared" si="126"/>
        <v>36535.719206438043</v>
      </c>
      <c r="I2046" t="b">
        <f t="shared" si="127"/>
        <v>0</v>
      </c>
    </row>
    <row r="2047" spans="1:9">
      <c r="A2047" s="1">
        <v>46108.668055555558</v>
      </c>
      <c r="B2047" s="5">
        <f>_xlfn.XLOOKUP(A2047,Banks!A:A,Banks!H:H,0,-1)</f>
        <v>1892.2234688291369</v>
      </c>
      <c r="C2047">
        <f>_xlfn.XLOOKUP(A2047,Energy!A:A,Energy!H:H,0,-1)</f>
        <v>5961.9415943595768</v>
      </c>
      <c r="D2047">
        <f t="shared" si="124"/>
        <v>7854.1650631887132</v>
      </c>
      <c r="E2047">
        <f>_xlfn.XLOOKUP(A2047,Banks!A:A,Banks!I:I,0)</f>
        <v>0</v>
      </c>
      <c r="F2047">
        <f>_xlfn.XLOOKUP(A2047,Energy!A:A,Energy!I:I,0)</f>
        <v>44420.09274787466</v>
      </c>
      <c r="G2047">
        <f t="shared" si="125"/>
        <v>44420.09274787466</v>
      </c>
      <c r="H2047">
        <f t="shared" si="126"/>
        <v>36565.927684685943</v>
      </c>
      <c r="I2047" t="b">
        <f t="shared" si="127"/>
        <v>0</v>
      </c>
    </row>
    <row r="2048" spans="1:9">
      <c r="A2048" s="1">
        <v>46108.668749999997</v>
      </c>
      <c r="B2048" s="5">
        <f>_xlfn.XLOOKUP(A2048,Banks!A:A,Banks!H:H,0,-1)</f>
        <v>1892.2234688291369</v>
      </c>
      <c r="C2048">
        <f>_xlfn.XLOOKUP(A2048,Energy!A:A,Energy!H:H,0,-1)</f>
        <v>5961.9415943595768</v>
      </c>
      <c r="D2048">
        <f t="shared" si="124"/>
        <v>7854.1650631887132</v>
      </c>
      <c r="E2048">
        <f>_xlfn.XLOOKUP(A2048,Banks!A:A,Banks!I:I,0)</f>
        <v>0</v>
      </c>
      <c r="F2048">
        <f>_xlfn.XLOOKUP(A2048,Energy!A:A,Energy!I:I,0)</f>
        <v>44420.09274787466</v>
      </c>
      <c r="G2048">
        <f t="shared" si="125"/>
        <v>44420.09274787466</v>
      </c>
      <c r="H2048">
        <f t="shared" si="126"/>
        <v>36565.927684685943</v>
      </c>
      <c r="I2048" t="b">
        <f t="shared" si="127"/>
        <v>0</v>
      </c>
    </row>
    <row r="2049" spans="1:9">
      <c r="A2049" s="1">
        <v>46108.669444444437</v>
      </c>
      <c r="B2049" s="5">
        <f>_xlfn.XLOOKUP(A2049,Banks!A:A,Banks!H:H,0,-1)</f>
        <v>1892.2234688291369</v>
      </c>
      <c r="C2049">
        <f>_xlfn.XLOOKUP(A2049,Energy!A:A,Energy!H:H,0,-1)</f>
        <v>5867.8496189647503</v>
      </c>
      <c r="D2049">
        <f t="shared" si="124"/>
        <v>7760.0730877938877</v>
      </c>
      <c r="E2049">
        <f>_xlfn.XLOOKUP(A2049,Banks!A:A,Banks!I:I,0)</f>
        <v>0</v>
      </c>
      <c r="F2049">
        <f>_xlfn.XLOOKUP(A2049,Energy!A:A,Energy!I:I,0)</f>
        <v>44432.551463322481</v>
      </c>
      <c r="G2049">
        <f t="shared" si="125"/>
        <v>44432.551463322481</v>
      </c>
      <c r="H2049">
        <f t="shared" si="126"/>
        <v>36672.47837552859</v>
      </c>
      <c r="I2049" t="b">
        <f t="shared" si="127"/>
        <v>0</v>
      </c>
    </row>
    <row r="2050" spans="1:9">
      <c r="A2050" s="1">
        <v>46108.670138888891</v>
      </c>
      <c r="B2050" s="5">
        <f>_xlfn.XLOOKUP(A2050,Banks!A:A,Banks!H:H,0,-1)</f>
        <v>1892.2234688291369</v>
      </c>
      <c r="C2050">
        <f>_xlfn.XLOOKUP(A2050,Energy!A:A,Energy!H:H,0,-1)</f>
        <v>5867.8496189647503</v>
      </c>
      <c r="D2050">
        <f t="shared" si="124"/>
        <v>7760.0730877938877</v>
      </c>
      <c r="E2050">
        <f>_xlfn.XLOOKUP(A2050,Banks!A:A,Banks!I:I,0)</f>
        <v>0</v>
      </c>
      <c r="F2050">
        <f>_xlfn.XLOOKUP(A2050,Energy!A:A,Energy!I:I,0)</f>
        <v>44432.551463322481</v>
      </c>
      <c r="G2050">
        <f t="shared" si="125"/>
        <v>44432.551463322481</v>
      </c>
      <c r="H2050">
        <f t="shared" si="126"/>
        <v>36672.47837552859</v>
      </c>
      <c r="I2050" t="b">
        <f t="shared" si="127"/>
        <v>0</v>
      </c>
    </row>
    <row r="2051" spans="1:9">
      <c r="A2051" s="1">
        <v>46108.67083333333</v>
      </c>
      <c r="B2051" s="5">
        <f>_xlfn.XLOOKUP(A2051,Banks!A:A,Banks!H:H,0,-1)</f>
        <v>1892.2234688291369</v>
      </c>
      <c r="C2051">
        <f>_xlfn.XLOOKUP(A2051,Energy!A:A,Energy!H:H,0,-1)</f>
        <v>5867.8496189647503</v>
      </c>
      <c r="D2051">
        <f t="shared" ref="D2051:D2114" si="128">B2051+C2051</f>
        <v>7760.0730877938877</v>
      </c>
      <c r="E2051">
        <f>_xlfn.XLOOKUP(A2051,Banks!A:A,Banks!I:I,0)</f>
        <v>0</v>
      </c>
      <c r="F2051">
        <f>_xlfn.XLOOKUP(A2051,Energy!A:A,Energy!I:I,0)</f>
        <v>44432.551463322481</v>
      </c>
      <c r="G2051">
        <f t="shared" ref="G2051:G2114" si="129">F2051+E2051</f>
        <v>44432.551463322481</v>
      </c>
      <c r="H2051">
        <f t="shared" ref="H2051:H2114" si="130">G2051-D2051</f>
        <v>36672.47837552859</v>
      </c>
      <c r="I2051" t="b">
        <f t="shared" ref="I2051:I2114" si="131">AND(E2051&gt;0,F2051&gt;0)</f>
        <v>0</v>
      </c>
    </row>
    <row r="2052" spans="1:9">
      <c r="A2052" s="1">
        <v>46108.671527777777</v>
      </c>
      <c r="B2052" s="5">
        <f>_xlfn.XLOOKUP(A2052,Banks!A:A,Banks!H:H,0,-1)</f>
        <v>1892.2234688291369</v>
      </c>
      <c r="C2052">
        <f>_xlfn.XLOOKUP(A2052,Energy!A:A,Energy!H:H,0,-1)</f>
        <v>5867.8496189647503</v>
      </c>
      <c r="D2052">
        <f t="shared" si="128"/>
        <v>7760.0730877938877</v>
      </c>
      <c r="E2052">
        <f>_xlfn.XLOOKUP(A2052,Banks!A:A,Banks!I:I,0)</f>
        <v>0</v>
      </c>
      <c r="F2052">
        <f>_xlfn.XLOOKUP(A2052,Energy!A:A,Energy!I:I,0)</f>
        <v>44432.551463322481</v>
      </c>
      <c r="G2052">
        <f t="shared" si="129"/>
        <v>44432.551463322481</v>
      </c>
      <c r="H2052">
        <f t="shared" si="130"/>
        <v>36672.47837552859</v>
      </c>
      <c r="I2052" t="b">
        <f t="shared" si="131"/>
        <v>0</v>
      </c>
    </row>
    <row r="2053" spans="1:9">
      <c r="A2053" s="1">
        <v>46108.672222222223</v>
      </c>
      <c r="B2053" s="5">
        <f>_xlfn.XLOOKUP(A2053,Banks!A:A,Banks!H:H,0,-1)</f>
        <v>1892.2234688291369</v>
      </c>
      <c r="C2053">
        <f>_xlfn.XLOOKUP(A2053,Energy!A:A,Energy!H:H,0,-1)</f>
        <v>5814.1898220770217</v>
      </c>
      <c r="D2053">
        <f t="shared" si="128"/>
        <v>7706.4132909061591</v>
      </c>
      <c r="E2053">
        <f>_xlfn.XLOOKUP(A2053,Banks!A:A,Banks!I:I,0)</f>
        <v>0</v>
      </c>
      <c r="F2053">
        <f>_xlfn.XLOOKUP(A2053,Energy!A:A,Energy!I:I,0)</f>
        <v>44421.819503944942</v>
      </c>
      <c r="G2053">
        <f t="shared" si="129"/>
        <v>44421.819503944942</v>
      </c>
      <c r="H2053">
        <f t="shared" si="130"/>
        <v>36715.406213038783</v>
      </c>
      <c r="I2053" t="b">
        <f t="shared" si="131"/>
        <v>0</v>
      </c>
    </row>
    <row r="2054" spans="1:9">
      <c r="A2054" s="1">
        <v>46108.67291666667</v>
      </c>
      <c r="B2054" s="5">
        <f>_xlfn.XLOOKUP(A2054,Banks!A:A,Banks!H:H,0,-1)</f>
        <v>1892.2234688291369</v>
      </c>
      <c r="C2054">
        <f>_xlfn.XLOOKUP(A2054,Energy!A:A,Energy!H:H,0,-1)</f>
        <v>5816.1772219617505</v>
      </c>
      <c r="D2054">
        <f t="shared" si="128"/>
        <v>7708.4006907908879</v>
      </c>
      <c r="E2054">
        <f>_xlfn.XLOOKUP(A2054,Banks!A:A,Banks!I:I,0)</f>
        <v>0</v>
      </c>
      <c r="F2054">
        <f>_xlfn.XLOOKUP(A2054,Energy!A:A,Energy!I:I,0)</f>
        <v>44422.216983921877</v>
      </c>
      <c r="G2054">
        <f t="shared" si="129"/>
        <v>44422.216983921877</v>
      </c>
      <c r="H2054">
        <f t="shared" si="130"/>
        <v>36713.816293130993</v>
      </c>
      <c r="I2054" t="b">
        <f t="shared" si="131"/>
        <v>0</v>
      </c>
    </row>
    <row r="2055" spans="1:9">
      <c r="A2055" s="1">
        <v>46108.673611111109</v>
      </c>
      <c r="B2055" s="5">
        <f>_xlfn.XLOOKUP(A2055,Banks!A:A,Banks!H:H,0,-1)</f>
        <v>1892.2234688291369</v>
      </c>
      <c r="C2055">
        <f>_xlfn.XLOOKUP(A2055,Energy!A:A,Energy!H:H,0,-1)</f>
        <v>5907.4021276648909</v>
      </c>
      <c r="D2055">
        <f t="shared" si="128"/>
        <v>7799.6255964940283</v>
      </c>
      <c r="E2055">
        <f>_xlfn.XLOOKUP(A2055,Banks!A:A,Banks!I:I,0)</f>
        <v>0</v>
      </c>
      <c r="F2055">
        <f>_xlfn.XLOOKUP(A2055,Energy!A:A,Energy!I:I,0)</f>
        <v>44403.972002781258</v>
      </c>
      <c r="G2055">
        <f t="shared" si="129"/>
        <v>44403.972002781258</v>
      </c>
      <c r="H2055">
        <f t="shared" si="130"/>
        <v>36604.34640628723</v>
      </c>
      <c r="I2055" t="b">
        <f t="shared" si="131"/>
        <v>0</v>
      </c>
    </row>
    <row r="2056" spans="1:9">
      <c r="A2056" s="1">
        <v>46108.674305555563</v>
      </c>
      <c r="B2056" s="5">
        <f>_xlfn.XLOOKUP(A2056,Banks!A:A,Banks!H:H,0,-1)</f>
        <v>1892.2234688291369</v>
      </c>
      <c r="C2056">
        <f>_xlfn.XLOOKUP(A2056,Energy!A:A,Energy!H:H,0,-1)</f>
        <v>5871.6289297397352</v>
      </c>
      <c r="D2056">
        <f t="shared" si="128"/>
        <v>7763.8523985688716</v>
      </c>
      <c r="E2056">
        <f>_xlfn.XLOOKUP(A2056,Banks!A:A,Banks!I:I,0)</f>
        <v>0</v>
      </c>
      <c r="F2056">
        <f>_xlfn.XLOOKUP(A2056,Energy!A:A,Energy!I:I,0)</f>
        <v>44396.817363196227</v>
      </c>
      <c r="G2056">
        <f t="shared" si="129"/>
        <v>44396.817363196227</v>
      </c>
      <c r="H2056">
        <f t="shared" si="130"/>
        <v>36632.964964627354</v>
      </c>
      <c r="I2056" t="b">
        <f t="shared" si="131"/>
        <v>0</v>
      </c>
    </row>
    <row r="2057" spans="1:9">
      <c r="A2057" s="1">
        <v>46108.675000000003</v>
      </c>
      <c r="B2057" s="5">
        <f>_xlfn.XLOOKUP(A2057,Banks!A:A,Banks!H:H,0,-1)</f>
        <v>1892.2234688291369</v>
      </c>
      <c r="C2057">
        <f>_xlfn.XLOOKUP(A2057,Energy!A:A,Energy!H:H,0,-1)</f>
        <v>5774.5395688796598</v>
      </c>
      <c r="D2057">
        <f t="shared" si="128"/>
        <v>7666.7630377087971</v>
      </c>
      <c r="E2057">
        <f>_xlfn.XLOOKUP(A2057,Banks!A:A,Banks!I:I,0)</f>
        <v>0</v>
      </c>
      <c r="F2057">
        <f>_xlfn.XLOOKUP(A2057,Energy!A:A,Energy!I:I,0)</f>
        <v>44432.134434446089</v>
      </c>
      <c r="G2057">
        <f t="shared" si="129"/>
        <v>44432.134434446089</v>
      </c>
      <c r="H2057">
        <f t="shared" si="130"/>
        <v>36765.37139673729</v>
      </c>
      <c r="I2057" t="b">
        <f t="shared" si="131"/>
        <v>0</v>
      </c>
    </row>
    <row r="2058" spans="1:9">
      <c r="A2058" s="1">
        <v>46108.675694444442</v>
      </c>
      <c r="B2058" s="5">
        <f>_xlfn.XLOOKUP(A2058,Banks!A:A,Banks!H:H,0,-1)</f>
        <v>1892.2234688291369</v>
      </c>
      <c r="C2058">
        <f>_xlfn.XLOOKUP(A2058,Energy!A:A,Energy!H:H,0,-1)</f>
        <v>5784.4765683033047</v>
      </c>
      <c r="D2058">
        <f t="shared" si="128"/>
        <v>7676.7000371324411</v>
      </c>
      <c r="E2058">
        <f>_xlfn.XLOOKUP(A2058,Banks!A:A,Banks!I:I,0)</f>
        <v>0</v>
      </c>
      <c r="F2058">
        <f>_xlfn.XLOOKUP(A2058,Energy!A:A,Energy!I:I,0)</f>
        <v>44434.121834330821</v>
      </c>
      <c r="G2058">
        <f t="shared" si="129"/>
        <v>44434.121834330821</v>
      </c>
      <c r="H2058">
        <f t="shared" si="130"/>
        <v>36757.421797198382</v>
      </c>
      <c r="I2058" t="b">
        <f t="shared" si="131"/>
        <v>0</v>
      </c>
    </row>
    <row r="2059" spans="1:9">
      <c r="A2059" s="1">
        <v>46108.676388888889</v>
      </c>
      <c r="B2059" s="5">
        <f>_xlfn.XLOOKUP(A2059,Banks!A:A,Banks!H:H,0,-1)</f>
        <v>1892.2234688291369</v>
      </c>
      <c r="C2059">
        <f>_xlfn.XLOOKUP(A2059,Energy!A:A,Energy!H:H,0,-1)</f>
        <v>5784.4765683033047</v>
      </c>
      <c r="D2059">
        <f t="shared" si="128"/>
        <v>7676.7000371324411</v>
      </c>
      <c r="E2059">
        <f>_xlfn.XLOOKUP(A2059,Banks!A:A,Banks!I:I,0)</f>
        <v>0</v>
      </c>
      <c r="F2059">
        <f>_xlfn.XLOOKUP(A2059,Energy!A:A,Energy!I:I,0)</f>
        <v>44434.121834330821</v>
      </c>
      <c r="G2059">
        <f t="shared" si="129"/>
        <v>44434.121834330821</v>
      </c>
      <c r="H2059">
        <f t="shared" si="130"/>
        <v>36757.421797198382</v>
      </c>
      <c r="I2059" t="b">
        <f t="shared" si="131"/>
        <v>0</v>
      </c>
    </row>
    <row r="2060" spans="1:9">
      <c r="A2060" s="1">
        <v>46108.677083333343</v>
      </c>
      <c r="B2060" s="5">
        <f>_xlfn.XLOOKUP(A2060,Banks!A:A,Banks!H:H,0,-1)</f>
        <v>1892.2234688291369</v>
      </c>
      <c r="C2060">
        <f>_xlfn.XLOOKUP(A2060,Energy!A:A,Energy!H:H,0,-1)</f>
        <v>5784.4765683033047</v>
      </c>
      <c r="D2060">
        <f t="shared" si="128"/>
        <v>7676.7000371324411</v>
      </c>
      <c r="E2060">
        <f>_xlfn.XLOOKUP(A2060,Banks!A:A,Banks!I:I,0)</f>
        <v>0</v>
      </c>
      <c r="F2060">
        <f>_xlfn.XLOOKUP(A2060,Energy!A:A,Energy!I:I,0)</f>
        <v>44434.121834330821</v>
      </c>
      <c r="G2060">
        <f t="shared" si="129"/>
        <v>44434.121834330821</v>
      </c>
      <c r="H2060">
        <f t="shared" si="130"/>
        <v>36757.421797198382</v>
      </c>
      <c r="I2060" t="b">
        <f t="shared" si="131"/>
        <v>0</v>
      </c>
    </row>
    <row r="2061" spans="1:9">
      <c r="A2061" s="1">
        <v>46108.677777777782</v>
      </c>
      <c r="B2061" s="5">
        <f>_xlfn.XLOOKUP(A2061,Banks!A:A,Banks!H:H,0,-1)</f>
        <v>1892.2234688291369</v>
      </c>
      <c r="C2061">
        <f>_xlfn.XLOOKUP(A2061,Energy!A:A,Energy!H:H,0,-1)</f>
        <v>5805.2953948443565</v>
      </c>
      <c r="D2061">
        <f t="shared" si="128"/>
        <v>7697.5188636734929</v>
      </c>
      <c r="E2061">
        <f>_xlfn.XLOOKUP(A2061,Banks!A:A,Banks!I:I,0)</f>
        <v>0</v>
      </c>
      <c r="F2061">
        <f>_xlfn.XLOOKUP(A2061,Energy!A:A,Energy!I:I,0)</f>
        <v>44429.163109068722</v>
      </c>
      <c r="G2061">
        <f t="shared" si="129"/>
        <v>44429.163109068722</v>
      </c>
      <c r="H2061">
        <f t="shared" si="130"/>
        <v>36731.644245395233</v>
      </c>
      <c r="I2061" t="b">
        <f t="shared" si="131"/>
        <v>0</v>
      </c>
    </row>
    <row r="2062" spans="1:9">
      <c r="A2062" s="1">
        <v>46108.678472222222</v>
      </c>
      <c r="B2062" s="5">
        <f>_xlfn.XLOOKUP(A2062,Banks!A:A,Banks!H:H,0,-1)</f>
        <v>1892.2234688291369</v>
      </c>
      <c r="C2062">
        <f>_xlfn.XLOOKUP(A2062,Energy!A:A,Energy!H:H,0,-1)</f>
        <v>5801.3205950748979</v>
      </c>
      <c r="D2062">
        <f t="shared" si="128"/>
        <v>7693.5440639040353</v>
      </c>
      <c r="E2062">
        <f>_xlfn.XLOOKUP(A2062,Banks!A:A,Banks!I:I,0)</f>
        <v>0</v>
      </c>
      <c r="F2062">
        <f>_xlfn.XLOOKUP(A2062,Energy!A:A,Energy!I:I,0)</f>
        <v>44428.368149114824</v>
      </c>
      <c r="G2062">
        <f t="shared" si="129"/>
        <v>44428.368149114824</v>
      </c>
      <c r="H2062">
        <f t="shared" si="130"/>
        <v>36734.824085210785</v>
      </c>
      <c r="I2062" t="b">
        <f t="shared" si="131"/>
        <v>0</v>
      </c>
    </row>
    <row r="2063" spans="1:9">
      <c r="A2063" s="1">
        <v>46108.679166666669</v>
      </c>
      <c r="B2063" s="5">
        <f>_xlfn.XLOOKUP(A2063,Banks!A:A,Banks!H:H,0,-1)</f>
        <v>1892.2234688291369</v>
      </c>
      <c r="C2063">
        <f>_xlfn.XLOOKUP(A2063,Energy!A:A,Energy!H:H,0,-1)</f>
        <v>5801.3205950748979</v>
      </c>
      <c r="D2063">
        <f t="shared" si="128"/>
        <v>7693.5440639040353</v>
      </c>
      <c r="E2063">
        <f>_xlfn.XLOOKUP(A2063,Banks!A:A,Banks!I:I,0)</f>
        <v>0</v>
      </c>
      <c r="F2063">
        <f>_xlfn.XLOOKUP(A2063,Energy!A:A,Energy!I:I,0)</f>
        <v>44428.368149114824</v>
      </c>
      <c r="G2063">
        <f t="shared" si="129"/>
        <v>44428.368149114824</v>
      </c>
      <c r="H2063">
        <f t="shared" si="130"/>
        <v>36734.824085210785</v>
      </c>
      <c r="I2063" t="b">
        <f t="shared" si="131"/>
        <v>0</v>
      </c>
    </row>
    <row r="2064" spans="1:9">
      <c r="A2064" s="1">
        <v>46108.679861111108</v>
      </c>
      <c r="B2064" s="5">
        <f>_xlfn.XLOOKUP(A2064,Banks!A:A,Banks!H:H,0,-1)</f>
        <v>1892.2234688291369</v>
      </c>
      <c r="C2064">
        <f>_xlfn.XLOOKUP(A2064,Energy!A:A,Energy!H:H,0,-1)</f>
        <v>5801.3205950748979</v>
      </c>
      <c r="D2064">
        <f t="shared" si="128"/>
        <v>7693.5440639040353</v>
      </c>
      <c r="E2064">
        <f>_xlfn.XLOOKUP(A2064,Banks!A:A,Banks!I:I,0)</f>
        <v>0</v>
      </c>
      <c r="F2064">
        <f>_xlfn.XLOOKUP(A2064,Energy!A:A,Energy!I:I,0)</f>
        <v>44428.368149114824</v>
      </c>
      <c r="G2064">
        <f t="shared" si="129"/>
        <v>44428.368149114824</v>
      </c>
      <c r="H2064">
        <f t="shared" si="130"/>
        <v>36734.824085210785</v>
      </c>
      <c r="I2064" t="b">
        <f t="shared" si="131"/>
        <v>0</v>
      </c>
    </row>
    <row r="2065" spans="1:9">
      <c r="A2065" s="1">
        <v>46108.680555555547</v>
      </c>
      <c r="B2065" s="5">
        <f>_xlfn.XLOOKUP(A2065,Banks!A:A,Banks!H:H,0,-1)</f>
        <v>1892.2234688291369</v>
      </c>
      <c r="C2065">
        <f>_xlfn.XLOOKUP(A2065,Energy!A:A,Energy!H:H,0,-1)</f>
        <v>5821.3515657963126</v>
      </c>
      <c r="D2065">
        <f t="shared" si="128"/>
        <v>7713.5750346254499</v>
      </c>
      <c r="E2065">
        <f>_xlfn.XLOOKUP(A2065,Banks!A:A,Banks!I:I,0)</f>
        <v>0</v>
      </c>
      <c r="F2065">
        <f>_xlfn.XLOOKUP(A2065,Energy!A:A,Energy!I:I,0)</f>
        <v>0</v>
      </c>
      <c r="G2065">
        <f t="shared" si="129"/>
        <v>0</v>
      </c>
      <c r="H2065">
        <f t="shared" si="130"/>
        <v>-7713.5750346254499</v>
      </c>
      <c r="I2065" t="b">
        <f t="shared" si="131"/>
        <v>0</v>
      </c>
    </row>
    <row r="2066" spans="1:9">
      <c r="A2066" s="1">
        <v>46108.68472222222</v>
      </c>
      <c r="B2066" s="5">
        <f>_xlfn.XLOOKUP(A2066,Banks!A:A,Banks!H:H,0,-1)</f>
        <v>1892.2234688291369</v>
      </c>
      <c r="C2066">
        <f>_xlfn.XLOOKUP(A2066,Energy!A:A,Energy!H:H,0,-1)</f>
        <v>5821.3515657963126</v>
      </c>
      <c r="D2066">
        <f t="shared" si="128"/>
        <v>7713.5750346254499</v>
      </c>
      <c r="E2066">
        <f>_xlfn.XLOOKUP(A2066,Banks!A:A,Banks!I:I,0)</f>
        <v>38083.630989762059</v>
      </c>
      <c r="F2066">
        <f>_xlfn.XLOOKUP(A2066,Energy!A:A,Energy!I:I,0)</f>
        <v>0</v>
      </c>
      <c r="G2066">
        <f t="shared" si="129"/>
        <v>38083.630989762059</v>
      </c>
      <c r="H2066">
        <f t="shared" si="130"/>
        <v>30370.05595513661</v>
      </c>
      <c r="I2066" t="b">
        <f t="shared" si="131"/>
        <v>0</v>
      </c>
    </row>
    <row r="2067" spans="1:9">
      <c r="A2067" s="1">
        <v>46108.685416666667</v>
      </c>
      <c r="B2067" s="5">
        <f>_xlfn.XLOOKUP(A2067,Banks!A:A,Banks!H:H,0,-1)</f>
        <v>1832.5402862104529</v>
      </c>
      <c r="C2067">
        <f>_xlfn.XLOOKUP(A2067,Energy!A:A,Energy!H:H,0,-1)</f>
        <v>5821.3515657963126</v>
      </c>
      <c r="D2067">
        <f t="shared" si="128"/>
        <v>7653.8918520067655</v>
      </c>
      <c r="E2067">
        <f>_xlfn.XLOOKUP(A2067,Banks!A:A,Banks!I:I,0)</f>
        <v>38079.532879595361</v>
      </c>
      <c r="F2067">
        <f>_xlfn.XLOOKUP(A2067,Energy!A:A,Energy!I:I,0)</f>
        <v>0</v>
      </c>
      <c r="G2067">
        <f t="shared" si="129"/>
        <v>38079.532879595361</v>
      </c>
      <c r="H2067">
        <f t="shared" si="130"/>
        <v>30425.641027588594</v>
      </c>
      <c r="I2067" t="b">
        <f t="shared" si="131"/>
        <v>0</v>
      </c>
    </row>
    <row r="2068" spans="1:9">
      <c r="A2068" s="1">
        <v>46108.686111111107</v>
      </c>
      <c r="B2068" s="5">
        <f>_xlfn.XLOOKUP(A2068,Banks!A:A,Banks!H:H,0,-1)</f>
        <v>1753.2607876991481</v>
      </c>
      <c r="C2068">
        <f>_xlfn.XLOOKUP(A2068,Energy!A:A,Energy!H:H,0,-1)</f>
        <v>5821.3515657963126</v>
      </c>
      <c r="D2068">
        <f t="shared" si="128"/>
        <v>7574.6123534954604</v>
      </c>
      <c r="E2068">
        <f>_xlfn.XLOOKUP(A2068,Banks!A:A,Banks!I:I,0)</f>
        <v>38079.354032607189</v>
      </c>
      <c r="F2068">
        <f>_xlfn.XLOOKUP(A2068,Energy!A:A,Energy!I:I,0)</f>
        <v>0</v>
      </c>
      <c r="G2068">
        <f t="shared" si="129"/>
        <v>38079.354032607189</v>
      </c>
      <c r="H2068">
        <f t="shared" si="130"/>
        <v>30504.741679111728</v>
      </c>
      <c r="I2068" t="b">
        <f t="shared" si="131"/>
        <v>0</v>
      </c>
    </row>
    <row r="2069" spans="1:9">
      <c r="A2069" s="1">
        <v>46108.686805555553</v>
      </c>
      <c r="B2069" s="5">
        <f>_xlfn.XLOOKUP(A2069,Banks!A:A,Banks!H:H,0,-1)</f>
        <v>1938.552901739808</v>
      </c>
      <c r="C2069">
        <f>_xlfn.XLOOKUP(A2069,Energy!A:A,Energy!H:H,0,-1)</f>
        <v>5821.3515657963126</v>
      </c>
      <c r="D2069">
        <f t="shared" si="128"/>
        <v>7759.9044675361201</v>
      </c>
      <c r="E2069">
        <f>_xlfn.XLOOKUP(A2069,Banks!A:A,Banks!I:I,0)</f>
        <v>38124.250981772369</v>
      </c>
      <c r="F2069">
        <f>_xlfn.XLOOKUP(A2069,Energy!A:A,Energy!I:I,0)</f>
        <v>0</v>
      </c>
      <c r="G2069">
        <f t="shared" si="129"/>
        <v>38124.250981772369</v>
      </c>
      <c r="H2069">
        <f t="shared" si="130"/>
        <v>30364.346514236247</v>
      </c>
      <c r="I2069" t="b">
        <f t="shared" si="131"/>
        <v>0</v>
      </c>
    </row>
    <row r="2070" spans="1:9">
      <c r="A2070" s="1">
        <v>46108.6875</v>
      </c>
      <c r="B2070" s="5">
        <f>_xlfn.XLOOKUP(A2070,Banks!A:A,Banks!H:H,0,-1)</f>
        <v>1796.9160549879491</v>
      </c>
      <c r="C2070">
        <f>_xlfn.XLOOKUP(A2070,Energy!A:A,Energy!H:H,0,-1)</f>
        <v>5821.3515657963126</v>
      </c>
      <c r="D2070">
        <f t="shared" si="128"/>
        <v>7618.2676207842615</v>
      </c>
      <c r="E2070">
        <f>_xlfn.XLOOKUP(A2070,Banks!A:A,Banks!I:I,0)</f>
        <v>38111.600665136088</v>
      </c>
      <c r="F2070">
        <f>_xlfn.XLOOKUP(A2070,Energy!A:A,Energy!I:I,0)</f>
        <v>0</v>
      </c>
      <c r="G2070">
        <f t="shared" si="129"/>
        <v>38111.600665136088</v>
      </c>
      <c r="H2070">
        <f t="shared" si="130"/>
        <v>30493.333044351828</v>
      </c>
      <c r="I2070" t="b">
        <f t="shared" si="131"/>
        <v>0</v>
      </c>
    </row>
    <row r="2071" spans="1:9">
      <c r="A2071" s="1">
        <v>46108.688194444447</v>
      </c>
      <c r="B2071" s="5">
        <f>_xlfn.XLOOKUP(A2071,Banks!A:A,Banks!H:H,0,-1)</f>
        <v>1913.612524203781</v>
      </c>
      <c r="C2071">
        <f>_xlfn.XLOOKUP(A2071,Energy!A:A,Energy!H:H,0,-1)</f>
        <v>5821.3515657963126</v>
      </c>
      <c r="D2071">
        <f t="shared" si="128"/>
        <v>7734.9640900000941</v>
      </c>
      <c r="E2071">
        <f>_xlfn.XLOOKUP(A2071,Banks!A:A,Banks!I:I,0)</f>
        <v>38131.020695800733</v>
      </c>
      <c r="F2071">
        <f>_xlfn.XLOOKUP(A2071,Energy!A:A,Energy!I:I,0)</f>
        <v>0</v>
      </c>
      <c r="G2071">
        <f t="shared" si="129"/>
        <v>38131.020695800733</v>
      </c>
      <c r="H2071">
        <f t="shared" si="130"/>
        <v>30396.056605800637</v>
      </c>
      <c r="I2071" t="b">
        <f t="shared" si="131"/>
        <v>0</v>
      </c>
    </row>
    <row r="2072" spans="1:9">
      <c r="A2072" s="1">
        <v>46108.688888888893</v>
      </c>
      <c r="B2072" s="5">
        <f>_xlfn.XLOOKUP(A2072,Banks!A:A,Banks!H:H,0,-1)</f>
        <v>2000.0160150395291</v>
      </c>
      <c r="C2072">
        <f>_xlfn.XLOOKUP(A2072,Energy!A:A,Energy!H:H,0,-1)</f>
        <v>5821.3515657963126</v>
      </c>
      <c r="D2072">
        <f t="shared" si="128"/>
        <v>7821.3675808358421</v>
      </c>
      <c r="E2072">
        <f>_xlfn.XLOOKUP(A2072,Banks!A:A,Banks!I:I,0)</f>
        <v>38120.866551718223</v>
      </c>
      <c r="F2072">
        <f>_xlfn.XLOOKUP(A2072,Energy!A:A,Energy!I:I,0)</f>
        <v>0</v>
      </c>
      <c r="G2072">
        <f t="shared" si="129"/>
        <v>38120.866551718223</v>
      </c>
      <c r="H2072">
        <f t="shared" si="130"/>
        <v>30299.498970882381</v>
      </c>
      <c r="I2072" t="b">
        <f t="shared" si="131"/>
        <v>0</v>
      </c>
    </row>
    <row r="2073" spans="1:9">
      <c r="A2073" s="1">
        <v>46108.689583333333</v>
      </c>
      <c r="B2073" s="5">
        <f>_xlfn.XLOOKUP(A2073,Banks!A:A,Banks!H:H,0,-1)</f>
        <v>1970.61300199993</v>
      </c>
      <c r="C2073">
        <f>_xlfn.XLOOKUP(A2073,Energy!A:A,Energy!H:H,0,-1)</f>
        <v>5821.3515657963126</v>
      </c>
      <c r="D2073">
        <f t="shared" si="128"/>
        <v>7791.9645677962426</v>
      </c>
      <c r="E2073">
        <f>_xlfn.XLOOKUP(A2073,Banks!A:A,Banks!I:I,0)</f>
        <v>38087.551106860643</v>
      </c>
      <c r="F2073">
        <f>_xlfn.XLOOKUP(A2073,Energy!A:A,Energy!I:I,0)</f>
        <v>0</v>
      </c>
      <c r="G2073">
        <f t="shared" si="129"/>
        <v>38087.551106860643</v>
      </c>
      <c r="H2073">
        <f t="shared" si="130"/>
        <v>30295.586539064399</v>
      </c>
      <c r="I2073" t="b">
        <f t="shared" si="131"/>
        <v>0</v>
      </c>
    </row>
    <row r="2074" spans="1:9">
      <c r="A2074" s="1">
        <v>46108.69027777778</v>
      </c>
      <c r="B2074" s="5">
        <f>_xlfn.XLOOKUP(A2074,Banks!A:A,Banks!H:H,0,-1)</f>
        <v>1890.443538148113</v>
      </c>
      <c r="C2074">
        <f>_xlfn.XLOOKUP(A2074,Energy!A:A,Energy!H:H,0,-1)</f>
        <v>5821.3515657963126</v>
      </c>
      <c r="D2074">
        <f t="shared" si="128"/>
        <v>7711.7951039444251</v>
      </c>
      <c r="E2074">
        <f>_xlfn.XLOOKUP(A2074,Banks!A:A,Banks!I:I,0)</f>
        <v>38091.113529982897</v>
      </c>
      <c r="F2074">
        <f>_xlfn.XLOOKUP(A2074,Energy!A:A,Energy!I:I,0)</f>
        <v>0</v>
      </c>
      <c r="G2074">
        <f t="shared" si="129"/>
        <v>38091.113529982897</v>
      </c>
      <c r="H2074">
        <f t="shared" si="130"/>
        <v>30379.318426038473</v>
      </c>
      <c r="I2074" t="b">
        <f t="shared" si="131"/>
        <v>0</v>
      </c>
    </row>
    <row r="2075" spans="1:9">
      <c r="A2075" s="1">
        <v>46108.690972222219</v>
      </c>
      <c r="B2075" s="5">
        <f>_xlfn.XLOOKUP(A2075,Banks!A:A,Banks!H:H,0,-1)</f>
        <v>1890.443538148113</v>
      </c>
      <c r="C2075">
        <f>_xlfn.XLOOKUP(A2075,Energy!A:A,Energy!H:H,0,-1)</f>
        <v>5821.3515657963126</v>
      </c>
      <c r="D2075">
        <f t="shared" si="128"/>
        <v>7711.7951039444251</v>
      </c>
      <c r="E2075">
        <f>_xlfn.XLOOKUP(A2075,Banks!A:A,Banks!I:I,0)</f>
        <v>38091.113529982897</v>
      </c>
      <c r="F2075">
        <f>_xlfn.XLOOKUP(A2075,Energy!A:A,Energy!I:I,0)</f>
        <v>0</v>
      </c>
      <c r="G2075">
        <f t="shared" si="129"/>
        <v>38091.113529982897</v>
      </c>
      <c r="H2075">
        <f t="shared" si="130"/>
        <v>30379.318426038473</v>
      </c>
      <c r="I2075" t="b">
        <f t="shared" si="131"/>
        <v>0</v>
      </c>
    </row>
    <row r="2076" spans="1:9">
      <c r="A2076" s="1">
        <v>46108.691666666673</v>
      </c>
      <c r="B2076" s="5">
        <f>_xlfn.XLOOKUP(A2076,Banks!A:A,Banks!H:H,0,-1)</f>
        <v>1940.328562820499</v>
      </c>
      <c r="C2076">
        <f>_xlfn.XLOOKUP(A2076,Energy!A:A,Energy!H:H,0,-1)</f>
        <v>5821.3515657963126</v>
      </c>
      <c r="D2076">
        <f t="shared" si="128"/>
        <v>7761.680128616812</v>
      </c>
      <c r="E2076">
        <f>_xlfn.XLOOKUP(A2076,Banks!A:A,Banks!I:I,0)</f>
        <v>38097.171271738851</v>
      </c>
      <c r="F2076">
        <f>_xlfn.XLOOKUP(A2076,Energy!A:A,Energy!I:I,0)</f>
        <v>0</v>
      </c>
      <c r="G2076">
        <f t="shared" si="129"/>
        <v>38097.171271738851</v>
      </c>
      <c r="H2076">
        <f t="shared" si="130"/>
        <v>30335.491143122039</v>
      </c>
      <c r="I2076" t="b">
        <f t="shared" si="131"/>
        <v>0</v>
      </c>
    </row>
    <row r="2077" spans="1:9">
      <c r="A2077" s="1">
        <v>46108.692361111112</v>
      </c>
      <c r="B2077" s="5">
        <f>_xlfn.XLOOKUP(A2077,Banks!A:A,Banks!H:H,0,-1)</f>
        <v>1991.9935181738949</v>
      </c>
      <c r="C2077">
        <f>_xlfn.XLOOKUP(A2077,Energy!A:A,Energy!H:H,0,-1)</f>
        <v>5821.3515657963126</v>
      </c>
      <c r="D2077">
        <f t="shared" si="128"/>
        <v>7813.3450839702073</v>
      </c>
      <c r="E2077">
        <f>_xlfn.XLOOKUP(A2077,Banks!A:A,Banks!I:I,0)</f>
        <v>38095.746473273961</v>
      </c>
      <c r="F2077">
        <f>_xlfn.XLOOKUP(A2077,Energy!A:A,Energy!I:I,0)</f>
        <v>0</v>
      </c>
      <c r="G2077">
        <f t="shared" si="129"/>
        <v>38095.746473273961</v>
      </c>
      <c r="H2077">
        <f t="shared" si="130"/>
        <v>30282.401389303755</v>
      </c>
      <c r="I2077" t="b">
        <f t="shared" si="131"/>
        <v>0</v>
      </c>
    </row>
    <row r="2078" spans="1:9">
      <c r="A2078" s="1">
        <v>46108.693055555559</v>
      </c>
      <c r="B2078" s="5">
        <f>_xlfn.XLOOKUP(A2078,Banks!A:A,Banks!H:H,0,-1)</f>
        <v>1911.819784721745</v>
      </c>
      <c r="C2078">
        <f>_xlfn.XLOOKUP(A2078,Energy!A:A,Energy!H:H,0,-1)</f>
        <v>5821.3515657963126</v>
      </c>
      <c r="D2078">
        <f t="shared" si="128"/>
        <v>7733.1713505180578</v>
      </c>
      <c r="E2078">
        <f>_xlfn.XLOOKUP(A2078,Banks!A:A,Banks!I:I,0)</f>
        <v>38079.711726583533</v>
      </c>
      <c r="F2078">
        <f>_xlfn.XLOOKUP(A2078,Energy!A:A,Energy!I:I,0)</f>
        <v>0</v>
      </c>
      <c r="G2078">
        <f t="shared" si="129"/>
        <v>38079.711726583533</v>
      </c>
      <c r="H2078">
        <f t="shared" si="130"/>
        <v>30346.540376065474</v>
      </c>
      <c r="I2078" t="b">
        <f t="shared" si="131"/>
        <v>0</v>
      </c>
    </row>
    <row r="2079" spans="1:9">
      <c r="A2079" s="1">
        <v>46108.693749999999</v>
      </c>
      <c r="B2079" s="5">
        <f>_xlfn.XLOOKUP(A2079,Banks!A:A,Banks!H:H,0,-1)</f>
        <v>1959.9120699120949</v>
      </c>
      <c r="C2079">
        <f>_xlfn.XLOOKUP(A2079,Energy!A:A,Energy!H:H,0,-1)</f>
        <v>5821.3515657963126</v>
      </c>
      <c r="D2079">
        <f t="shared" si="128"/>
        <v>7781.2636357084075</v>
      </c>
      <c r="E2079">
        <f>_xlfn.XLOOKUP(A2079,Banks!A:A,Banks!I:I,0)</f>
        <v>38034.460499122288</v>
      </c>
      <c r="F2079">
        <f>_xlfn.XLOOKUP(A2079,Energy!A:A,Energy!I:I,0)</f>
        <v>0</v>
      </c>
      <c r="G2079">
        <f t="shared" si="129"/>
        <v>38034.460499122288</v>
      </c>
      <c r="H2079">
        <f t="shared" si="130"/>
        <v>30253.196863413879</v>
      </c>
      <c r="I2079" t="b">
        <f t="shared" si="131"/>
        <v>0</v>
      </c>
    </row>
    <row r="2080" spans="1:9">
      <c r="A2080" s="1">
        <v>46108.694444444453</v>
      </c>
      <c r="B2080" s="5">
        <f>_xlfn.XLOOKUP(A2080,Banks!A:A,Banks!H:H,0,-1)</f>
        <v>2028.499175536245</v>
      </c>
      <c r="C2080">
        <f>_xlfn.XLOOKUP(A2080,Energy!A:A,Energy!H:H,0,-1)</f>
        <v>5821.3515657963126</v>
      </c>
      <c r="D2080">
        <f t="shared" si="128"/>
        <v>7849.8507413325578</v>
      </c>
      <c r="E2080">
        <f>_xlfn.XLOOKUP(A2080,Banks!A:A,Banks!I:I,0)</f>
        <v>38020.74307799746</v>
      </c>
      <c r="F2080">
        <f>_xlfn.XLOOKUP(A2080,Energy!A:A,Energy!I:I,0)</f>
        <v>0</v>
      </c>
      <c r="G2080">
        <f t="shared" si="129"/>
        <v>38020.74307799746</v>
      </c>
      <c r="H2080">
        <f t="shared" si="130"/>
        <v>30170.892336664903</v>
      </c>
      <c r="I2080" t="b">
        <f t="shared" si="131"/>
        <v>0</v>
      </c>
    </row>
    <row r="2081" spans="1:9">
      <c r="A2081" s="1">
        <v>46108.695138888892</v>
      </c>
      <c r="B2081" s="5">
        <f>_xlfn.XLOOKUP(A2081,Banks!A:A,Banks!H:H,0,-1)</f>
        <v>1966.150366496345</v>
      </c>
      <c r="C2081">
        <f>_xlfn.XLOOKUP(A2081,Energy!A:A,Energy!H:H,0,-1)</f>
        <v>5821.3515657963126</v>
      </c>
      <c r="D2081">
        <f t="shared" si="128"/>
        <v>7787.5019322926573</v>
      </c>
      <c r="E2081">
        <f>_xlfn.XLOOKUP(A2081,Banks!A:A,Banks!I:I,0)</f>
        <v>38047.465947974713</v>
      </c>
      <c r="F2081">
        <f>_xlfn.XLOOKUP(A2081,Energy!A:A,Energy!I:I,0)</f>
        <v>0</v>
      </c>
      <c r="G2081">
        <f t="shared" si="129"/>
        <v>38047.465947974713</v>
      </c>
      <c r="H2081">
        <f t="shared" si="130"/>
        <v>30259.964015682057</v>
      </c>
      <c r="I2081" t="b">
        <f t="shared" si="131"/>
        <v>0</v>
      </c>
    </row>
    <row r="2082" spans="1:9">
      <c r="A2082" s="1">
        <v>46108.695833333331</v>
      </c>
      <c r="B2082" s="5">
        <f>_xlfn.XLOOKUP(A2082,Banks!A:A,Banks!H:H,0,-1)</f>
        <v>1969.7144974587391</v>
      </c>
      <c r="C2082">
        <f>_xlfn.XLOOKUP(A2082,Energy!A:A,Energy!H:H,0,-1)</f>
        <v>5821.3515657963126</v>
      </c>
      <c r="D2082">
        <f t="shared" si="128"/>
        <v>7791.0660632550516</v>
      </c>
      <c r="E2082">
        <f>_xlfn.XLOOKUP(A2082,Banks!A:A,Banks!I:I,0)</f>
        <v>38052.098037345713</v>
      </c>
      <c r="F2082">
        <f>_xlfn.XLOOKUP(A2082,Energy!A:A,Energy!I:I,0)</f>
        <v>0</v>
      </c>
      <c r="G2082">
        <f t="shared" si="129"/>
        <v>38052.098037345713</v>
      </c>
      <c r="H2082">
        <f t="shared" si="130"/>
        <v>30261.031974090663</v>
      </c>
      <c r="I2082" t="b">
        <f t="shared" si="131"/>
        <v>0</v>
      </c>
    </row>
    <row r="2083" spans="1:9">
      <c r="A2083" s="1">
        <v>46108.696527777778</v>
      </c>
      <c r="B2083" s="5">
        <f>_xlfn.XLOOKUP(A2083,Banks!A:A,Banks!H:H,0,-1)</f>
        <v>1960.814844053619</v>
      </c>
      <c r="C2083">
        <f>_xlfn.XLOOKUP(A2083,Energy!A:A,Energy!H:H,0,-1)</f>
        <v>5821.3515657963126</v>
      </c>
      <c r="D2083">
        <f t="shared" si="128"/>
        <v>7782.1664098499314</v>
      </c>
      <c r="E2083">
        <f>_xlfn.XLOOKUP(A2083,Banks!A:A,Banks!I:I,0)</f>
        <v>38089.510738449913</v>
      </c>
      <c r="F2083">
        <f>_xlfn.XLOOKUP(A2083,Energy!A:A,Energy!I:I,0)</f>
        <v>0</v>
      </c>
      <c r="G2083">
        <f t="shared" si="129"/>
        <v>38089.510738449913</v>
      </c>
      <c r="H2083">
        <f t="shared" si="130"/>
        <v>30307.344328599982</v>
      </c>
      <c r="I2083" t="b">
        <f t="shared" si="131"/>
        <v>0</v>
      </c>
    </row>
    <row r="2084" spans="1:9">
      <c r="A2084" s="1">
        <v>46108.697222222218</v>
      </c>
      <c r="B2084" s="5">
        <f>_xlfn.XLOOKUP(A2084,Banks!A:A,Banks!H:H,0,-1)</f>
        <v>2013.592006212511</v>
      </c>
      <c r="C2084">
        <f>_xlfn.XLOOKUP(A2084,Energy!A:A,Energy!H:H,0,-1)</f>
        <v>5821.3515657963126</v>
      </c>
      <c r="D2084">
        <f t="shared" si="128"/>
        <v>7834.943572008824</v>
      </c>
      <c r="E2084">
        <f>_xlfn.XLOOKUP(A2084,Banks!A:A,Banks!I:I,0)</f>
        <v>0</v>
      </c>
      <c r="F2084">
        <f>_xlfn.XLOOKUP(A2084,Energy!A:A,Energy!I:I,0)</f>
        <v>0</v>
      </c>
      <c r="G2084">
        <f t="shared" si="129"/>
        <v>0</v>
      </c>
      <c r="H2084">
        <f t="shared" si="130"/>
        <v>-7834.943572008824</v>
      </c>
      <c r="I2084" t="b">
        <f t="shared" si="131"/>
        <v>0</v>
      </c>
    </row>
    <row r="2085" spans="1:9">
      <c r="A2085" s="1">
        <v>46112.675694444442</v>
      </c>
      <c r="B2085" s="5">
        <f>_xlfn.XLOOKUP(A2085,Banks!A:A,Banks!H:H,0,-1)</f>
        <v>2013.592006212511</v>
      </c>
      <c r="C2085">
        <f>_xlfn.XLOOKUP(A2085,Energy!A:A,Energy!H:H,0,-1)</f>
        <v>5821.3515657963126</v>
      </c>
      <c r="D2085">
        <f t="shared" si="128"/>
        <v>7834.943572008824</v>
      </c>
      <c r="E2085">
        <f>_xlfn.XLOOKUP(A2085,Banks!A:A,Banks!I:I,0)</f>
        <v>0</v>
      </c>
      <c r="F2085">
        <f>_xlfn.XLOOKUP(A2085,Energy!A:A,Energy!I:I,0)</f>
        <v>44412.436372626988</v>
      </c>
      <c r="G2085">
        <f t="shared" si="129"/>
        <v>44412.436372626988</v>
      </c>
      <c r="H2085">
        <f t="shared" si="130"/>
        <v>36577.492800618165</v>
      </c>
      <c r="I2085" t="b">
        <f t="shared" si="131"/>
        <v>0</v>
      </c>
    </row>
    <row r="2086" spans="1:9">
      <c r="A2086" s="1">
        <v>46112.676388888889</v>
      </c>
      <c r="B2086" s="5">
        <f>_xlfn.XLOOKUP(A2086,Banks!A:A,Banks!H:H,0,-1)</f>
        <v>2013.592006212511</v>
      </c>
      <c r="C2086">
        <f>_xlfn.XLOOKUP(A2086,Energy!A:A,Energy!H:H,0,-1)</f>
        <v>5883.3463103085996</v>
      </c>
      <c r="D2086">
        <f t="shared" si="128"/>
        <v>7896.9383165211111</v>
      </c>
      <c r="E2086">
        <f>_xlfn.XLOOKUP(A2086,Banks!A:A,Banks!I:I,0)</f>
        <v>0</v>
      </c>
      <c r="F2086">
        <f>_xlfn.XLOOKUP(A2086,Energy!A:A,Energy!I:I,0)</f>
        <v>44184.184525023287</v>
      </c>
      <c r="G2086">
        <f t="shared" si="129"/>
        <v>44184.184525023287</v>
      </c>
      <c r="H2086">
        <f t="shared" si="130"/>
        <v>36287.246208502176</v>
      </c>
      <c r="I2086" t="b">
        <f t="shared" si="131"/>
        <v>0</v>
      </c>
    </row>
    <row r="2087" spans="1:9">
      <c r="A2087" s="1">
        <v>46112.677083333343</v>
      </c>
      <c r="B2087" s="5">
        <f>_xlfn.XLOOKUP(A2087,Banks!A:A,Banks!H:H,0,-1)</f>
        <v>2013.592006212511</v>
      </c>
      <c r="C2087">
        <f>_xlfn.XLOOKUP(A2087,Energy!A:A,Energy!H:H,0,-1)</f>
        <v>5935.9933587723281</v>
      </c>
      <c r="D2087">
        <f t="shared" si="128"/>
        <v>7949.5853649848395</v>
      </c>
      <c r="E2087">
        <f>_xlfn.XLOOKUP(A2087,Banks!A:A,Banks!I:I,0)</f>
        <v>0</v>
      </c>
      <c r="F2087">
        <f>_xlfn.XLOOKUP(A2087,Energy!A:A,Energy!I:I,0)</f>
        <v>44194.713934716041</v>
      </c>
      <c r="G2087">
        <f t="shared" si="129"/>
        <v>44194.713934716041</v>
      </c>
      <c r="H2087">
        <f t="shared" si="130"/>
        <v>36245.128569731198</v>
      </c>
      <c r="I2087" t="b">
        <f t="shared" si="131"/>
        <v>0</v>
      </c>
    </row>
    <row r="2088" spans="1:9">
      <c r="A2088" s="1">
        <v>46112.677777777782</v>
      </c>
      <c r="B2088" s="5">
        <f>_xlfn.XLOOKUP(A2088,Banks!A:A,Banks!H:H,0,-1)</f>
        <v>2013.592006212511</v>
      </c>
      <c r="C2088">
        <f>_xlfn.XLOOKUP(A2088,Energy!A:A,Energy!H:H,0,-1)</f>
        <v>5779.956304415181</v>
      </c>
      <c r="D2088">
        <f t="shared" si="128"/>
        <v>7793.5483106276915</v>
      </c>
      <c r="E2088">
        <f>_xlfn.XLOOKUP(A2088,Banks!A:A,Banks!I:I,0)</f>
        <v>0</v>
      </c>
      <c r="F2088">
        <f>_xlfn.XLOOKUP(A2088,Energy!A:A,Energy!I:I,0)</f>
        <v>44144.318420468691</v>
      </c>
      <c r="G2088">
        <f t="shared" si="129"/>
        <v>44144.318420468691</v>
      </c>
      <c r="H2088">
        <f t="shared" si="130"/>
        <v>36350.770109841003</v>
      </c>
      <c r="I2088" t="b">
        <f t="shared" si="131"/>
        <v>0</v>
      </c>
    </row>
    <row r="2089" spans="1:9">
      <c r="A2089" s="1">
        <v>46112.678472222222</v>
      </c>
      <c r="B2089" s="5">
        <f>_xlfn.XLOOKUP(A2089,Banks!A:A,Banks!H:H,0,-1)</f>
        <v>2013.592006212511</v>
      </c>
      <c r="C2089">
        <f>_xlfn.XLOOKUP(A2089,Energy!A:A,Energy!H:H,0,-1)</f>
        <v>5759.1000887760174</v>
      </c>
      <c r="D2089">
        <f t="shared" si="128"/>
        <v>7772.692094988528</v>
      </c>
      <c r="E2089">
        <f>_xlfn.XLOOKUP(A2089,Banks!A:A,Banks!I:I,0)</f>
        <v>0</v>
      </c>
      <c r="F2089">
        <f>_xlfn.XLOOKUP(A2089,Energy!A:A,Energy!I:I,0)</f>
        <v>44090.577910286433</v>
      </c>
      <c r="G2089">
        <f t="shared" si="129"/>
        <v>44090.577910286433</v>
      </c>
      <c r="H2089">
        <f t="shared" si="130"/>
        <v>36317.885815297908</v>
      </c>
      <c r="I2089" t="b">
        <f t="shared" si="131"/>
        <v>0</v>
      </c>
    </row>
    <row r="2090" spans="1:9">
      <c r="A2090" s="1">
        <v>46112.679166666669</v>
      </c>
      <c r="B2090" s="5">
        <f>_xlfn.XLOOKUP(A2090,Banks!A:A,Banks!H:H,0,-1)</f>
        <v>2013.592006212511</v>
      </c>
      <c r="C2090">
        <f>_xlfn.XLOOKUP(A2090,Energy!A:A,Energy!H:H,0,-1)</f>
        <v>5989.4309258047897</v>
      </c>
      <c r="D2090">
        <f t="shared" si="128"/>
        <v>8003.0229320173003</v>
      </c>
      <c r="E2090">
        <f>_xlfn.XLOOKUP(A2090,Banks!A:A,Banks!I:I,0)</f>
        <v>0</v>
      </c>
      <c r="F2090">
        <f>_xlfn.XLOOKUP(A2090,Energy!A:A,Energy!I:I,0)</f>
        <v>44136.644077692203</v>
      </c>
      <c r="G2090">
        <f t="shared" si="129"/>
        <v>44136.644077692203</v>
      </c>
      <c r="H2090">
        <f t="shared" si="130"/>
        <v>36133.621145674901</v>
      </c>
      <c r="I2090" t="b">
        <f t="shared" si="131"/>
        <v>0</v>
      </c>
    </row>
    <row r="2091" spans="1:9">
      <c r="A2091" s="1">
        <v>46112.679861111108</v>
      </c>
      <c r="B2091" s="5">
        <f>_xlfn.XLOOKUP(A2091,Banks!A:A,Banks!H:H,0,-1)</f>
        <v>2013.592006212511</v>
      </c>
      <c r="C2091">
        <f>_xlfn.XLOOKUP(A2091,Energy!A:A,Energy!H:H,0,-1)</f>
        <v>5820.6498329625429</v>
      </c>
      <c r="D2091">
        <f t="shared" si="128"/>
        <v>7834.2418391750543</v>
      </c>
      <c r="E2091">
        <f>_xlfn.XLOOKUP(A2091,Banks!A:A,Banks!I:I,0)</f>
        <v>0</v>
      </c>
      <c r="F2091">
        <f>_xlfn.XLOOKUP(A2091,Energy!A:A,Energy!I:I,0)</f>
        <v>44220.414992301172</v>
      </c>
      <c r="G2091">
        <f t="shared" si="129"/>
        <v>44220.414992301172</v>
      </c>
      <c r="H2091">
        <f t="shared" si="130"/>
        <v>36386.173153126118</v>
      </c>
      <c r="I2091" t="b">
        <f t="shared" si="131"/>
        <v>0</v>
      </c>
    </row>
    <row r="2092" spans="1:9">
      <c r="A2092" s="1">
        <v>46112.680555555547</v>
      </c>
      <c r="B2092" s="5">
        <f>_xlfn.XLOOKUP(A2092,Banks!A:A,Banks!H:H,0,-1)</f>
        <v>2013.592006212511</v>
      </c>
      <c r="C2092">
        <f>_xlfn.XLOOKUP(A2092,Energy!A:A,Energy!H:H,0,-1)</f>
        <v>5939.1056920059173</v>
      </c>
      <c r="D2092">
        <f t="shared" si="128"/>
        <v>7952.6976982184278</v>
      </c>
      <c r="E2092">
        <f>_xlfn.XLOOKUP(A2092,Banks!A:A,Banks!I:I,0)</f>
        <v>0</v>
      </c>
      <c r="F2092">
        <f>_xlfn.XLOOKUP(A2092,Energy!A:A,Energy!I:I,0)</f>
        <v>44244.106164109849</v>
      </c>
      <c r="G2092">
        <f t="shared" si="129"/>
        <v>44244.106164109849</v>
      </c>
      <c r="H2092">
        <f t="shared" si="130"/>
        <v>36291.408465891422</v>
      </c>
      <c r="I2092" t="b">
        <f t="shared" si="131"/>
        <v>0</v>
      </c>
    </row>
    <row r="2093" spans="1:9">
      <c r="A2093" s="1">
        <v>46112.681250000001</v>
      </c>
      <c r="B2093" s="5">
        <f>_xlfn.XLOOKUP(A2093,Banks!A:A,Banks!H:H,0,-1)</f>
        <v>2013.592006212511</v>
      </c>
      <c r="C2093">
        <f>_xlfn.XLOOKUP(A2093,Energy!A:A,Energy!H:H,0,-1)</f>
        <v>5862.6238090973466</v>
      </c>
      <c r="D2093">
        <f t="shared" si="128"/>
        <v>7876.2158153098571</v>
      </c>
      <c r="E2093">
        <f>_xlfn.XLOOKUP(A2093,Banks!A:A,Banks!I:I,0)</f>
        <v>0</v>
      </c>
      <c r="F2093">
        <f>_xlfn.XLOOKUP(A2093,Energy!A:A,Energy!I:I,0)</f>
        <v>44212.020197074213</v>
      </c>
      <c r="G2093">
        <f t="shared" si="129"/>
        <v>44212.020197074213</v>
      </c>
      <c r="H2093">
        <f t="shared" si="130"/>
        <v>36335.804381764356</v>
      </c>
      <c r="I2093" t="b">
        <f t="shared" si="131"/>
        <v>0</v>
      </c>
    </row>
    <row r="2094" spans="1:9">
      <c r="A2094" s="1">
        <v>46112.681944444441</v>
      </c>
      <c r="B2094" s="5">
        <f>_xlfn.XLOOKUP(A2094,Banks!A:A,Banks!H:H,0,-1)</f>
        <v>2013.592006212511</v>
      </c>
      <c r="C2094">
        <f>_xlfn.XLOOKUP(A2094,Energy!A:A,Energy!H:H,0,-1)</f>
        <v>6057.7816510725424</v>
      </c>
      <c r="D2094">
        <f t="shared" si="128"/>
        <v>8071.3736572850539</v>
      </c>
      <c r="E2094">
        <f>_xlfn.XLOOKUP(A2094,Banks!A:A,Banks!I:I,0)</f>
        <v>0</v>
      </c>
      <c r="F2094">
        <f>_xlfn.XLOOKUP(A2094,Energy!A:A,Energy!I:I,0)</f>
        <v>0</v>
      </c>
      <c r="G2094">
        <f t="shared" si="129"/>
        <v>0</v>
      </c>
      <c r="H2094">
        <f t="shared" si="130"/>
        <v>-8071.3736572850539</v>
      </c>
      <c r="I2094" t="b">
        <f t="shared" si="131"/>
        <v>0</v>
      </c>
    </row>
    <row r="2095" spans="1:9">
      <c r="A2095" s="1">
        <v>46112.736111111109</v>
      </c>
      <c r="B2095" s="5">
        <f>_xlfn.XLOOKUP(A2095,Banks!A:A,Banks!H:H,0,-1)</f>
        <v>2013.592006212511</v>
      </c>
      <c r="C2095">
        <f>_xlfn.XLOOKUP(A2095,Energy!A:A,Energy!H:H,0,-1)</f>
        <v>6057.7816510725424</v>
      </c>
      <c r="D2095">
        <f t="shared" si="128"/>
        <v>8071.3736572850539</v>
      </c>
      <c r="E2095">
        <f>_xlfn.XLOOKUP(A2095,Banks!A:A,Banks!I:I,0)</f>
        <v>38083.630989762059</v>
      </c>
      <c r="F2095">
        <f>_xlfn.XLOOKUP(A2095,Energy!A:A,Energy!I:I,0)</f>
        <v>44412.436372626988</v>
      </c>
      <c r="G2095">
        <f t="shared" si="129"/>
        <v>82496.067362389047</v>
      </c>
      <c r="H2095">
        <f t="shared" si="130"/>
        <v>74424.693705104</v>
      </c>
      <c r="I2095" t="b">
        <f t="shared" si="131"/>
        <v>1</v>
      </c>
    </row>
    <row r="2096" spans="1:9">
      <c r="A2096" s="1">
        <v>46112.736805555563</v>
      </c>
      <c r="B2096" s="5">
        <f>_xlfn.XLOOKUP(A2096,Banks!A:A,Banks!H:H,0,-1)</f>
        <v>2211.7948200260421</v>
      </c>
      <c r="C2096">
        <f>_xlfn.XLOOKUP(A2096,Energy!A:A,Energy!H:H,0,-1)</f>
        <v>6797.3597732611624</v>
      </c>
      <c r="D2096">
        <f t="shared" si="128"/>
        <v>9009.154593287205</v>
      </c>
      <c r="E2096">
        <f>_xlfn.XLOOKUP(A2096,Banks!A:A,Banks!I:I,0)</f>
        <v>38227.669812553759</v>
      </c>
      <c r="F2096">
        <f>_xlfn.XLOOKUP(A2096,Energy!A:A,Energy!I:I,0)</f>
        <v>44287.064077358162</v>
      </c>
      <c r="G2096">
        <f t="shared" si="129"/>
        <v>82514.73388991192</v>
      </c>
      <c r="H2096">
        <f t="shared" si="130"/>
        <v>73505.57929662471</v>
      </c>
      <c r="I2096" t="b">
        <f t="shared" si="131"/>
        <v>1</v>
      </c>
    </row>
    <row r="2097" spans="1:9">
      <c r="A2097" s="1">
        <v>46112.737500000003</v>
      </c>
      <c r="B2097" s="5">
        <f>_xlfn.XLOOKUP(A2097,Banks!A:A,Banks!H:H,0,-1)</f>
        <v>1993.863588477908</v>
      </c>
      <c r="C2097">
        <f>_xlfn.XLOOKUP(A2097,Energy!A:A,Energy!H:H,0,-1)</f>
        <v>6865.210353409444</v>
      </c>
      <c r="D2097">
        <f t="shared" si="128"/>
        <v>8859.0739418873527</v>
      </c>
      <c r="E2097">
        <f>_xlfn.XLOOKUP(A2097,Banks!A:A,Banks!I:I,0)</f>
        <v>38292.348428496429</v>
      </c>
      <c r="F2097">
        <f>_xlfn.XLOOKUP(A2097,Energy!A:A,Energy!I:I,0)</f>
        <v>44151.494768179233</v>
      </c>
      <c r="G2097">
        <f t="shared" si="129"/>
        <v>82443.843196675662</v>
      </c>
      <c r="H2097">
        <f t="shared" si="130"/>
        <v>73584.769254788305</v>
      </c>
      <c r="I2097" t="b">
        <f t="shared" si="131"/>
        <v>1</v>
      </c>
    </row>
    <row r="2098" spans="1:9">
      <c r="A2098" s="1">
        <v>46112.738194444442</v>
      </c>
      <c r="B2098" s="5">
        <f>_xlfn.XLOOKUP(A2098,Banks!A:A,Banks!H:H,0,-1)</f>
        <v>2138.861171851524</v>
      </c>
      <c r="C2098">
        <f>_xlfn.XLOOKUP(A2098,Energy!A:A,Energy!H:H,0,-1)</f>
        <v>6952.4850900381189</v>
      </c>
      <c r="D2098">
        <f t="shared" si="128"/>
        <v>9091.3462618896428</v>
      </c>
      <c r="E2098">
        <f>_xlfn.XLOOKUP(A2098,Banks!A:A,Banks!I:I,0)</f>
        <v>38263.348911821697</v>
      </c>
      <c r="F2098">
        <f>_xlfn.XLOOKUP(A2098,Energy!A:A,Energy!I:I,0)</f>
        <v>44054.475129669168</v>
      </c>
      <c r="G2098">
        <f t="shared" si="129"/>
        <v>82317.824041490865</v>
      </c>
      <c r="H2098">
        <f t="shared" si="130"/>
        <v>73226.47777960122</v>
      </c>
      <c r="I2098" t="b">
        <f t="shared" si="131"/>
        <v>1</v>
      </c>
    </row>
    <row r="2099" spans="1:9">
      <c r="A2099" s="1">
        <v>46112.738888888889</v>
      </c>
      <c r="B2099" s="5">
        <f>_xlfn.XLOOKUP(A2099,Banks!A:A,Banks!H:H,0,-1)</f>
        <v>2250.974926869028</v>
      </c>
      <c r="C2099">
        <f>_xlfn.XLOOKUP(A2099,Energy!A:A,Energy!H:H,0,-1)</f>
        <v>6982.7160546074247</v>
      </c>
      <c r="D2099">
        <f t="shared" si="128"/>
        <v>9233.6909814764531</v>
      </c>
      <c r="E2099">
        <f>_xlfn.XLOOKUP(A2099,Banks!A:A,Banks!I:I,0)</f>
        <v>0</v>
      </c>
      <c r="F2099">
        <f>_xlfn.XLOOKUP(A2099,Energy!A:A,Energy!I:I,0)</f>
        <v>44048.428936755306</v>
      </c>
      <c r="G2099">
        <f t="shared" si="129"/>
        <v>44048.428936755306</v>
      </c>
      <c r="H2099">
        <f t="shared" si="130"/>
        <v>34814.737955278855</v>
      </c>
      <c r="I2099" t="b">
        <f t="shared" si="131"/>
        <v>0</v>
      </c>
    </row>
    <row r="2100" spans="1:9">
      <c r="A2100" s="1">
        <v>46112.739583333343</v>
      </c>
      <c r="B2100" s="5">
        <f>_xlfn.XLOOKUP(A2100,Banks!A:A,Banks!H:H,0,-1)</f>
        <v>2250.974926869028</v>
      </c>
      <c r="C2100">
        <f>_xlfn.XLOOKUP(A2100,Energy!A:A,Energy!H:H,0,-1)</f>
        <v>7310.9204057427214</v>
      </c>
      <c r="D2100">
        <f t="shared" si="128"/>
        <v>9561.8953326117498</v>
      </c>
      <c r="E2100">
        <f>_xlfn.XLOOKUP(A2100,Banks!A:A,Banks!I:I,0)</f>
        <v>0</v>
      </c>
      <c r="F2100">
        <f>_xlfn.XLOOKUP(A2100,Energy!A:A,Energy!I:I,0)</f>
        <v>44114.06980698237</v>
      </c>
      <c r="G2100">
        <f t="shared" si="129"/>
        <v>44114.06980698237</v>
      </c>
      <c r="H2100">
        <f t="shared" si="130"/>
        <v>34552.174474370622</v>
      </c>
      <c r="I2100" t="b">
        <f t="shared" si="131"/>
        <v>0</v>
      </c>
    </row>
    <row r="2101" spans="1:9">
      <c r="A2101" s="1">
        <v>46112.740277777782</v>
      </c>
      <c r="B2101" s="5">
        <f>_xlfn.XLOOKUP(A2101,Banks!A:A,Banks!H:H,0,-1)</f>
        <v>2250.974926869028</v>
      </c>
      <c r="C2101">
        <f>_xlfn.XLOOKUP(A2101,Energy!A:A,Energy!H:H,0,-1)</f>
        <v>6730.0086709468333</v>
      </c>
      <c r="D2101">
        <f t="shared" si="128"/>
        <v>8980.9835978158608</v>
      </c>
      <c r="E2101">
        <f>_xlfn.XLOOKUP(A2101,Banks!A:A,Banks!I:I,0)</f>
        <v>0</v>
      </c>
      <c r="F2101">
        <f>_xlfn.XLOOKUP(A2101,Energy!A:A,Energy!I:I,0)</f>
        <v>0</v>
      </c>
      <c r="G2101">
        <f t="shared" si="129"/>
        <v>0</v>
      </c>
      <c r="H2101">
        <f t="shared" si="130"/>
        <v>-8980.9835978158608</v>
      </c>
      <c r="I2101" t="b">
        <f t="shared" si="131"/>
        <v>0</v>
      </c>
    </row>
    <row r="2102" spans="1:9">
      <c r="A2102" s="1">
        <v>46113.789583333331</v>
      </c>
      <c r="B2102" s="5">
        <f>_xlfn.XLOOKUP(A2102,Banks!A:A,Banks!H:H,0,-1)</f>
        <v>2250.974926869028</v>
      </c>
      <c r="C2102">
        <f>_xlfn.XLOOKUP(A2102,Energy!A:A,Energy!H:H,0,-1)</f>
        <v>6730.0086709468333</v>
      </c>
      <c r="D2102">
        <f t="shared" si="128"/>
        <v>8980.9835978158608</v>
      </c>
      <c r="E2102">
        <f>_xlfn.XLOOKUP(A2102,Banks!A:A,Banks!I:I,0)</f>
        <v>38083.630989762059</v>
      </c>
      <c r="F2102">
        <f>_xlfn.XLOOKUP(A2102,Energy!A:A,Energy!I:I,0)</f>
        <v>0</v>
      </c>
      <c r="G2102">
        <f t="shared" si="129"/>
        <v>38083.630989762059</v>
      </c>
      <c r="H2102">
        <f t="shared" si="130"/>
        <v>29102.647391946201</v>
      </c>
      <c r="I2102" t="b">
        <f t="shared" si="131"/>
        <v>0</v>
      </c>
    </row>
    <row r="2103" spans="1:9">
      <c r="A2103" s="1">
        <v>46113.790277777778</v>
      </c>
      <c r="B2103" s="5">
        <f>_xlfn.XLOOKUP(A2103,Banks!A:A,Banks!H:H,0,-1)</f>
        <v>2241.5168733364412</v>
      </c>
      <c r="C2103">
        <f>_xlfn.XLOOKUP(A2103,Energy!A:A,Energy!H:H,0,-1)</f>
        <v>6730.0086709468333</v>
      </c>
      <c r="D2103">
        <f t="shared" si="128"/>
        <v>8971.5255442832749</v>
      </c>
      <c r="E2103">
        <f>_xlfn.XLOOKUP(A2103,Banks!A:A,Banks!I:I,0)</f>
        <v>38081.739379055543</v>
      </c>
      <c r="F2103">
        <f>_xlfn.XLOOKUP(A2103,Energy!A:A,Energy!I:I,0)</f>
        <v>0</v>
      </c>
      <c r="G2103">
        <f t="shared" si="129"/>
        <v>38081.739379055543</v>
      </c>
      <c r="H2103">
        <f t="shared" si="130"/>
        <v>29110.213834772268</v>
      </c>
      <c r="I2103" t="b">
        <f t="shared" si="131"/>
        <v>0</v>
      </c>
    </row>
    <row r="2104" spans="1:9">
      <c r="A2104" s="1">
        <v>46113.790972222218</v>
      </c>
      <c r="B2104" s="5">
        <f>_xlfn.XLOOKUP(A2104,Banks!A:A,Banks!H:H,0,-1)</f>
        <v>2374.459521952127</v>
      </c>
      <c r="C2104">
        <f>_xlfn.XLOOKUP(A2104,Energy!A:A,Energy!H:H,0,-1)</f>
        <v>6730.0086709468333</v>
      </c>
      <c r="D2104">
        <f t="shared" si="128"/>
        <v>9104.4681928989594</v>
      </c>
      <c r="E2104">
        <f>_xlfn.XLOOKUP(A2104,Banks!A:A,Banks!I:I,0)</f>
        <v>38055.150849332407</v>
      </c>
      <c r="F2104">
        <f>_xlfn.XLOOKUP(A2104,Energy!A:A,Energy!I:I,0)</f>
        <v>0</v>
      </c>
      <c r="G2104">
        <f t="shared" si="129"/>
        <v>38055.150849332407</v>
      </c>
      <c r="H2104">
        <f t="shared" si="130"/>
        <v>28950.682656433448</v>
      </c>
      <c r="I2104" t="b">
        <f t="shared" si="131"/>
        <v>0</v>
      </c>
    </row>
    <row r="2105" spans="1:9">
      <c r="A2105" s="1">
        <v>46113.791666666657</v>
      </c>
      <c r="B2105" s="5">
        <f>_xlfn.XLOOKUP(A2105,Banks!A:A,Banks!H:H,0,-1)</f>
        <v>2371.816196570318</v>
      </c>
      <c r="C2105">
        <f>_xlfn.XLOOKUP(A2105,Energy!A:A,Energy!H:H,0,-1)</f>
        <v>6730.0086709468333</v>
      </c>
      <c r="D2105">
        <f t="shared" si="128"/>
        <v>9101.8248675171508</v>
      </c>
      <c r="E2105">
        <f>_xlfn.XLOOKUP(A2105,Banks!A:A,Banks!I:I,0)</f>
        <v>38044.329850169663</v>
      </c>
      <c r="F2105">
        <f>_xlfn.XLOOKUP(A2105,Energy!A:A,Energy!I:I,0)</f>
        <v>0</v>
      </c>
      <c r="G2105">
        <f t="shared" si="129"/>
        <v>38044.329850169663</v>
      </c>
      <c r="H2105">
        <f t="shared" si="130"/>
        <v>28942.504982652514</v>
      </c>
      <c r="I2105" t="b">
        <f t="shared" si="131"/>
        <v>0</v>
      </c>
    </row>
    <row r="2106" spans="1:9">
      <c r="A2106" s="1">
        <v>46113.792361111111</v>
      </c>
      <c r="B2106" s="5">
        <f>_xlfn.XLOOKUP(A2106,Banks!A:A,Banks!H:H,0,-1)</f>
        <v>2376.7473906398109</v>
      </c>
      <c r="C2106">
        <f>_xlfn.XLOOKUP(A2106,Energy!A:A,Energy!H:H,0,-1)</f>
        <v>6730.0086709468333</v>
      </c>
      <c r="D2106">
        <f t="shared" si="128"/>
        <v>9106.7560615866441</v>
      </c>
      <c r="E2106">
        <f>_xlfn.XLOOKUP(A2106,Banks!A:A,Banks!I:I,0)</f>
        <v>0</v>
      </c>
      <c r="F2106">
        <f>_xlfn.XLOOKUP(A2106,Energy!A:A,Energy!I:I,0)</f>
        <v>0</v>
      </c>
      <c r="G2106">
        <f t="shared" si="129"/>
        <v>0</v>
      </c>
      <c r="H2106">
        <f t="shared" si="130"/>
        <v>-9106.7560615866441</v>
      </c>
      <c r="I2106" t="b">
        <f t="shared" si="131"/>
        <v>0</v>
      </c>
    </row>
    <row r="2107" spans="1:9">
      <c r="A2107" s="1">
        <v>46113.804166666669</v>
      </c>
      <c r="B2107" s="5">
        <f>_xlfn.XLOOKUP(A2107,Banks!A:A,Banks!H:H,0,-1)</f>
        <v>2376.7473906398109</v>
      </c>
      <c r="C2107">
        <f>_xlfn.XLOOKUP(A2107,Energy!A:A,Energy!H:H,0,-1)</f>
        <v>6730.0086709468333</v>
      </c>
      <c r="D2107">
        <f t="shared" si="128"/>
        <v>9106.7560615866441</v>
      </c>
      <c r="E2107">
        <f>_xlfn.XLOOKUP(A2107,Banks!A:A,Banks!I:I,0)</f>
        <v>0</v>
      </c>
      <c r="F2107">
        <f>_xlfn.XLOOKUP(A2107,Energy!A:A,Energy!I:I,0)</f>
        <v>44412.436372626988</v>
      </c>
      <c r="G2107">
        <f t="shared" si="129"/>
        <v>44412.436372626988</v>
      </c>
      <c r="H2107">
        <f t="shared" si="130"/>
        <v>35305.680311040342</v>
      </c>
      <c r="I2107" t="b">
        <f t="shared" si="131"/>
        <v>0</v>
      </c>
    </row>
    <row r="2108" spans="1:9">
      <c r="A2108" s="1">
        <v>46113.804861111108</v>
      </c>
      <c r="B2108" s="5">
        <f>_xlfn.XLOOKUP(A2108,Banks!A:A,Banks!H:H,0,-1)</f>
        <v>2376.7473906398109</v>
      </c>
      <c r="C2108">
        <f>_xlfn.XLOOKUP(A2108,Energy!A:A,Energy!H:H,0,-1)</f>
        <v>6948.2660186861895</v>
      </c>
      <c r="D2108">
        <f t="shared" si="128"/>
        <v>9325.0134093260003</v>
      </c>
      <c r="E2108">
        <f>_xlfn.XLOOKUP(A2108,Banks!A:A,Banks!I:I,0)</f>
        <v>0</v>
      </c>
      <c r="F2108">
        <f>_xlfn.XLOOKUP(A2108,Energy!A:A,Energy!I:I,0)</f>
        <v>44456.087842174857</v>
      </c>
      <c r="G2108">
        <f t="shared" si="129"/>
        <v>44456.087842174857</v>
      </c>
      <c r="H2108">
        <f t="shared" si="130"/>
        <v>35131.074432848858</v>
      </c>
      <c r="I2108" t="b">
        <f t="shared" si="131"/>
        <v>0</v>
      </c>
    </row>
    <row r="2109" spans="1:9">
      <c r="A2109" s="1">
        <v>46113.805555555547</v>
      </c>
      <c r="B2109" s="5">
        <f>_xlfn.XLOOKUP(A2109,Banks!A:A,Banks!H:H,0,-1)</f>
        <v>2376.7473906398109</v>
      </c>
      <c r="C2109">
        <f>_xlfn.XLOOKUP(A2109,Energy!A:A,Energy!H:H,0,-1)</f>
        <v>6984.0392819559293</v>
      </c>
      <c r="D2109">
        <f t="shared" si="128"/>
        <v>9360.7866725957392</v>
      </c>
      <c r="E2109">
        <f>_xlfn.XLOOKUP(A2109,Banks!A:A,Banks!I:I,0)</f>
        <v>0</v>
      </c>
      <c r="F2109">
        <f>_xlfn.XLOOKUP(A2109,Energy!A:A,Energy!I:I,0)</f>
        <v>0</v>
      </c>
      <c r="G2109">
        <f t="shared" si="129"/>
        <v>0</v>
      </c>
      <c r="H2109">
        <f t="shared" si="130"/>
        <v>-9360.7866725957392</v>
      </c>
      <c r="I2109" t="b">
        <f t="shared" si="131"/>
        <v>0</v>
      </c>
    </row>
    <row r="2110" spans="1:9">
      <c r="A2110" s="1">
        <v>46118.607638888891</v>
      </c>
      <c r="B2110" s="5">
        <f>_xlfn.XLOOKUP(A2110,Banks!A:A,Banks!H:H,0,-1)</f>
        <v>2376.7473906398109</v>
      </c>
      <c r="C2110">
        <f>_xlfn.XLOOKUP(A2110,Energy!A:A,Energy!H:H,0,-1)</f>
        <v>6984.0392819559293</v>
      </c>
      <c r="D2110">
        <f t="shared" si="128"/>
        <v>9360.7866725957392</v>
      </c>
      <c r="E2110">
        <f>_xlfn.XLOOKUP(A2110,Banks!A:A,Banks!I:I,0)</f>
        <v>38083.630989762059</v>
      </c>
      <c r="F2110">
        <f>_xlfn.XLOOKUP(A2110,Energy!A:A,Energy!I:I,0)</f>
        <v>0</v>
      </c>
      <c r="G2110">
        <f t="shared" si="129"/>
        <v>38083.630989762059</v>
      </c>
      <c r="H2110">
        <f t="shared" si="130"/>
        <v>28722.84431716632</v>
      </c>
      <c r="I2110" t="b">
        <f t="shared" si="131"/>
        <v>0</v>
      </c>
    </row>
    <row r="2111" spans="1:9">
      <c r="A2111" s="1">
        <v>46118.60833333333</v>
      </c>
      <c r="B2111" s="5">
        <f>_xlfn.XLOOKUP(A2111,Banks!A:A,Banks!H:H,0,-1)</f>
        <v>2414.253250930487</v>
      </c>
      <c r="C2111">
        <f>_xlfn.XLOOKUP(A2111,Energy!A:A,Energy!H:H,0,-1)</f>
        <v>6984.0392819559293</v>
      </c>
      <c r="D2111">
        <f t="shared" si="128"/>
        <v>9398.2925328864167</v>
      </c>
      <c r="E2111">
        <f>_xlfn.XLOOKUP(A2111,Banks!A:A,Banks!I:I,0)</f>
        <v>38076.129817703921</v>
      </c>
      <c r="F2111">
        <f>_xlfn.XLOOKUP(A2111,Energy!A:A,Energy!I:I,0)</f>
        <v>0</v>
      </c>
      <c r="G2111">
        <f t="shared" si="129"/>
        <v>38076.129817703921</v>
      </c>
      <c r="H2111">
        <f t="shared" si="130"/>
        <v>28677.837284817506</v>
      </c>
      <c r="I2111" t="b">
        <f t="shared" si="131"/>
        <v>0</v>
      </c>
    </row>
    <row r="2112" spans="1:9">
      <c r="A2112" s="1">
        <v>46118.609027777777</v>
      </c>
      <c r="B2112" s="5">
        <f>_xlfn.XLOOKUP(A2112,Banks!A:A,Banks!H:H,0,-1)</f>
        <v>2461.1355762938229</v>
      </c>
      <c r="C2112">
        <f>_xlfn.XLOOKUP(A2112,Energy!A:A,Energy!H:H,0,-1)</f>
        <v>6984.0392819559293</v>
      </c>
      <c r="D2112">
        <f t="shared" si="128"/>
        <v>9445.174858249753</v>
      </c>
      <c r="E2112">
        <f>_xlfn.XLOOKUP(A2112,Banks!A:A,Banks!I:I,0)</f>
        <v>38066.753352631247</v>
      </c>
      <c r="F2112">
        <f>_xlfn.XLOOKUP(A2112,Energy!A:A,Energy!I:I,0)</f>
        <v>0</v>
      </c>
      <c r="G2112">
        <f t="shared" si="129"/>
        <v>38066.753352631247</v>
      </c>
      <c r="H2112">
        <f t="shared" si="130"/>
        <v>28621.578494381494</v>
      </c>
      <c r="I2112" t="b">
        <f t="shared" si="131"/>
        <v>0</v>
      </c>
    </row>
    <row r="2113" spans="1:9">
      <c r="A2113" s="1">
        <v>46118.609722222223</v>
      </c>
      <c r="B2113" s="5">
        <f>_xlfn.XLOOKUP(A2113,Banks!A:A,Banks!H:H,0,-1)</f>
        <v>2642.3627229394142</v>
      </c>
      <c r="C2113">
        <f>_xlfn.XLOOKUP(A2113,Energy!A:A,Energy!H:H,0,-1)</f>
        <v>6984.0392819559293</v>
      </c>
      <c r="D2113">
        <f t="shared" si="128"/>
        <v>9626.4020048953425</v>
      </c>
      <c r="E2113">
        <f>_xlfn.XLOOKUP(A2113,Banks!A:A,Banks!I:I,0)</f>
        <v>38133.003470192911</v>
      </c>
      <c r="F2113">
        <f>_xlfn.XLOOKUP(A2113,Energy!A:A,Energy!I:I,0)</f>
        <v>0</v>
      </c>
      <c r="G2113">
        <f t="shared" si="129"/>
        <v>38133.003470192911</v>
      </c>
      <c r="H2113">
        <f t="shared" si="130"/>
        <v>28506.601465297568</v>
      </c>
      <c r="I2113" t="b">
        <f t="shared" si="131"/>
        <v>0</v>
      </c>
    </row>
    <row r="2114" spans="1:9">
      <c r="A2114" s="1">
        <v>46118.61041666667</v>
      </c>
      <c r="B2114" s="5">
        <f>_xlfn.XLOOKUP(A2114,Banks!A:A,Banks!H:H,0,-1)</f>
        <v>2436.0804913407278</v>
      </c>
      <c r="C2114">
        <f>_xlfn.XLOOKUP(A2114,Energy!A:A,Energy!H:H,0,-1)</f>
        <v>6984.0392819559293</v>
      </c>
      <c r="D2114">
        <f t="shared" si="128"/>
        <v>9420.1197732966575</v>
      </c>
      <c r="E2114">
        <f>_xlfn.XLOOKUP(A2114,Banks!A:A,Banks!I:I,0)</f>
        <v>38174.259916512638</v>
      </c>
      <c r="F2114">
        <f>_xlfn.XLOOKUP(A2114,Energy!A:A,Energy!I:I,0)</f>
        <v>0</v>
      </c>
      <c r="G2114">
        <f t="shared" si="129"/>
        <v>38174.259916512638</v>
      </c>
      <c r="H2114">
        <f t="shared" si="130"/>
        <v>28754.14014321598</v>
      </c>
      <c r="I2114" t="b">
        <f t="shared" si="131"/>
        <v>0</v>
      </c>
    </row>
    <row r="2115" spans="1:9">
      <c r="A2115" s="1">
        <v>46118.611111111109</v>
      </c>
      <c r="B2115" s="5">
        <f>_xlfn.XLOOKUP(A2115,Banks!A:A,Banks!H:H,0,-1)</f>
        <v>2529.8451420673978</v>
      </c>
      <c r="C2115">
        <f>_xlfn.XLOOKUP(A2115,Energy!A:A,Energy!H:H,0,-1)</f>
        <v>6984.0392819559293</v>
      </c>
      <c r="D2115">
        <f t="shared" ref="D2115:D2178" si="132">B2115+C2115</f>
        <v>9513.8844240233266</v>
      </c>
      <c r="E2115">
        <f>_xlfn.XLOOKUP(A2115,Banks!A:A,Banks!I:I,0)</f>
        <v>38155.506986367312</v>
      </c>
      <c r="F2115">
        <f>_xlfn.XLOOKUP(A2115,Energy!A:A,Energy!I:I,0)</f>
        <v>0</v>
      </c>
      <c r="G2115">
        <f t="shared" ref="G2115:G2178" si="133">F2115+E2115</f>
        <v>38155.506986367312</v>
      </c>
      <c r="H2115">
        <f t="shared" ref="H2115:H2178" si="134">G2115-D2115</f>
        <v>28641.622562343986</v>
      </c>
      <c r="I2115" t="b">
        <f t="shared" ref="I2115:I2178" si="135">AND(E2115&gt;0,F2115&gt;0)</f>
        <v>0</v>
      </c>
    </row>
    <row r="2116" spans="1:9">
      <c r="A2116" s="1">
        <v>46118.611805555563</v>
      </c>
      <c r="B2116" s="5">
        <f>_xlfn.XLOOKUP(A2116,Banks!A:A,Banks!H:H,0,-1)</f>
        <v>2679.8685832300898</v>
      </c>
      <c r="C2116">
        <f>_xlfn.XLOOKUP(A2116,Energy!A:A,Energy!H:H,0,-1)</f>
        <v>6984.0392819559293</v>
      </c>
      <c r="D2116">
        <f t="shared" si="132"/>
        <v>9663.9078651860182</v>
      </c>
      <c r="E2116">
        <f>_xlfn.XLOOKUP(A2116,Banks!A:A,Banks!I:I,0)</f>
        <v>38125.502298134779</v>
      </c>
      <c r="F2116">
        <f>_xlfn.XLOOKUP(A2116,Energy!A:A,Energy!I:I,0)</f>
        <v>0</v>
      </c>
      <c r="G2116">
        <f t="shared" si="133"/>
        <v>38125.502298134779</v>
      </c>
      <c r="H2116">
        <f t="shared" si="134"/>
        <v>28461.594432948761</v>
      </c>
      <c r="I2116" t="b">
        <f t="shared" si="135"/>
        <v>0</v>
      </c>
    </row>
    <row r="2117" spans="1:9">
      <c r="A2117" s="1">
        <v>46118.612500000003</v>
      </c>
      <c r="B2117" s="5">
        <f>_xlfn.XLOOKUP(A2117,Banks!A:A,Banks!H:H,0,-1)</f>
        <v>2529.8451420673978</v>
      </c>
      <c r="C2117">
        <f>_xlfn.XLOOKUP(A2117,Energy!A:A,Energy!H:H,0,-1)</f>
        <v>6984.0392819559293</v>
      </c>
      <c r="D2117">
        <f t="shared" si="132"/>
        <v>9513.8844240233266</v>
      </c>
      <c r="E2117">
        <f>_xlfn.XLOOKUP(A2117,Banks!A:A,Banks!I:I,0)</f>
        <v>38155.506986367312</v>
      </c>
      <c r="F2117">
        <f>_xlfn.XLOOKUP(A2117,Energy!A:A,Energy!I:I,0)</f>
        <v>0</v>
      </c>
      <c r="G2117">
        <f t="shared" si="133"/>
        <v>38155.506986367312</v>
      </c>
      <c r="H2117">
        <f t="shared" si="134"/>
        <v>28641.622562343986</v>
      </c>
      <c r="I2117" t="b">
        <f t="shared" si="135"/>
        <v>0</v>
      </c>
    </row>
    <row r="2118" spans="1:9">
      <c r="A2118" s="1">
        <v>46118.613194444442</v>
      </c>
      <c r="B2118" s="5">
        <f>_xlfn.XLOOKUP(A2118,Banks!A:A,Banks!H:H,0,-1)</f>
        <v>2567.3510023580752</v>
      </c>
      <c r="C2118">
        <f>_xlfn.XLOOKUP(A2118,Energy!A:A,Energy!H:H,0,-1)</f>
        <v>6984.0392819559293</v>
      </c>
      <c r="D2118">
        <f t="shared" si="132"/>
        <v>9551.390284314004</v>
      </c>
      <c r="E2118">
        <f>_xlfn.XLOOKUP(A2118,Banks!A:A,Banks!I:I,0)</f>
        <v>38148.005814309166</v>
      </c>
      <c r="F2118">
        <f>_xlfn.XLOOKUP(A2118,Energy!A:A,Energy!I:I,0)</f>
        <v>0</v>
      </c>
      <c r="G2118">
        <f t="shared" si="133"/>
        <v>38148.005814309166</v>
      </c>
      <c r="H2118">
        <f t="shared" si="134"/>
        <v>28596.615529995164</v>
      </c>
      <c r="I2118" t="b">
        <f t="shared" si="135"/>
        <v>0</v>
      </c>
    </row>
    <row r="2119" spans="1:9">
      <c r="A2119" s="1">
        <v>46118.613888888889</v>
      </c>
      <c r="B2119" s="5">
        <f>_xlfn.XLOOKUP(A2119,Banks!A:A,Banks!H:H,0,-1)</f>
        <v>2675.0048549687222</v>
      </c>
      <c r="C2119">
        <f>_xlfn.XLOOKUP(A2119,Energy!A:A,Energy!H:H,0,-1)</f>
        <v>6984.0392819559293</v>
      </c>
      <c r="D2119">
        <f t="shared" si="132"/>
        <v>9659.044136924651</v>
      </c>
      <c r="E2119">
        <f>_xlfn.XLOOKUP(A2119,Banks!A:A,Banks!I:I,0)</f>
        <v>0</v>
      </c>
      <c r="F2119">
        <f>_xlfn.XLOOKUP(A2119,Energy!A:A,Energy!I:I,0)</f>
        <v>0</v>
      </c>
      <c r="G2119">
        <f t="shared" si="133"/>
        <v>0</v>
      </c>
      <c r="H2119">
        <f t="shared" si="134"/>
        <v>-9659.044136924651</v>
      </c>
      <c r="I2119" t="b">
        <f t="shared" si="135"/>
        <v>0</v>
      </c>
    </row>
    <row r="2120" spans="1:9">
      <c r="A2120" s="1">
        <v>46118.8125</v>
      </c>
      <c r="B2120" s="5">
        <f>_xlfn.XLOOKUP(A2120,Banks!A:A,Banks!H:H,0,-1)</f>
        <v>2675.0048549687222</v>
      </c>
      <c r="C2120">
        <f>_xlfn.XLOOKUP(A2120,Energy!A:A,Energy!H:H,0,-1)</f>
        <v>6984.0392819559293</v>
      </c>
      <c r="D2120">
        <f t="shared" si="132"/>
        <v>9659.044136924651</v>
      </c>
      <c r="E2120">
        <f>_xlfn.XLOOKUP(A2120,Banks!A:A,Banks!I:I,0)</f>
        <v>0</v>
      </c>
      <c r="F2120">
        <f>_xlfn.XLOOKUP(A2120,Energy!A:A,Energy!I:I,0)</f>
        <v>44412.436372626988</v>
      </c>
      <c r="G2120">
        <f t="shared" si="133"/>
        <v>44412.436372626988</v>
      </c>
      <c r="H2120">
        <f t="shared" si="134"/>
        <v>34753.39223570234</v>
      </c>
      <c r="I2120" t="b">
        <f t="shared" si="135"/>
        <v>0</v>
      </c>
    </row>
    <row r="2121" spans="1:9">
      <c r="A2121" s="1">
        <v>46118.813194444447</v>
      </c>
      <c r="B2121" s="5">
        <f>_xlfn.XLOOKUP(A2121,Banks!A:A,Banks!H:H,0,-1)</f>
        <v>2675.0048549687222</v>
      </c>
      <c r="C2121">
        <f>_xlfn.XLOOKUP(A2121,Energy!A:A,Energy!H:H,0,-1)</f>
        <v>7132.6683082706513</v>
      </c>
      <c r="D2121">
        <f t="shared" si="132"/>
        <v>9807.673163239373</v>
      </c>
      <c r="E2121">
        <f>_xlfn.XLOOKUP(A2121,Banks!A:A,Banks!I:I,0)</f>
        <v>0</v>
      </c>
      <c r="F2121">
        <f>_xlfn.XLOOKUP(A2121,Energy!A:A,Energy!I:I,0)</f>
        <v>44386.852211596808</v>
      </c>
      <c r="G2121">
        <f t="shared" si="133"/>
        <v>44386.852211596808</v>
      </c>
      <c r="H2121">
        <f t="shared" si="134"/>
        <v>34579.179048357437</v>
      </c>
      <c r="I2121" t="b">
        <f t="shared" si="135"/>
        <v>0</v>
      </c>
    </row>
    <row r="2122" spans="1:9">
      <c r="A2122" s="1">
        <v>46118.813888888893</v>
      </c>
      <c r="B2122" s="5">
        <f>_xlfn.XLOOKUP(A2122,Banks!A:A,Banks!H:H,0,-1)</f>
        <v>2675.0048549687222</v>
      </c>
      <c r="C2122">
        <f>_xlfn.XLOOKUP(A2122,Energy!A:A,Energy!H:H,0,-1)</f>
        <v>7132.6683082706513</v>
      </c>
      <c r="D2122">
        <f t="shared" si="132"/>
        <v>9807.673163239373</v>
      </c>
      <c r="E2122">
        <f>_xlfn.XLOOKUP(A2122,Banks!A:A,Banks!I:I,0)</f>
        <v>0</v>
      </c>
      <c r="F2122">
        <f>_xlfn.XLOOKUP(A2122,Energy!A:A,Energy!I:I,0)</f>
        <v>44386.852211596808</v>
      </c>
      <c r="G2122">
        <f t="shared" si="133"/>
        <v>44386.852211596808</v>
      </c>
      <c r="H2122">
        <f t="shared" si="134"/>
        <v>34579.179048357437</v>
      </c>
      <c r="I2122" t="b">
        <f t="shared" si="135"/>
        <v>0</v>
      </c>
    </row>
    <row r="2123" spans="1:9">
      <c r="A2123" s="1">
        <v>46118.814583333333</v>
      </c>
      <c r="B2123" s="5">
        <f>_xlfn.XLOOKUP(A2123,Banks!A:A,Banks!H:H,0,-1)</f>
        <v>2675.0048549687222</v>
      </c>
      <c r="C2123">
        <f>_xlfn.XLOOKUP(A2123,Energy!A:A,Energy!H:H,0,-1)</f>
        <v>7132.6683082706513</v>
      </c>
      <c r="D2123">
        <f t="shared" si="132"/>
        <v>9807.673163239373</v>
      </c>
      <c r="E2123">
        <f>_xlfn.XLOOKUP(A2123,Banks!A:A,Banks!I:I,0)</f>
        <v>0</v>
      </c>
      <c r="F2123">
        <f>_xlfn.XLOOKUP(A2123,Energy!A:A,Energy!I:I,0)</f>
        <v>44386.852211596808</v>
      </c>
      <c r="G2123">
        <f t="shared" si="133"/>
        <v>44386.852211596808</v>
      </c>
      <c r="H2123">
        <f t="shared" si="134"/>
        <v>34579.179048357437</v>
      </c>
      <c r="I2123" t="b">
        <f t="shared" si="135"/>
        <v>0</v>
      </c>
    </row>
    <row r="2124" spans="1:9">
      <c r="A2124" s="1">
        <v>46118.81527777778</v>
      </c>
      <c r="B2124" s="5">
        <f>_xlfn.XLOOKUP(A2124,Banks!A:A,Banks!H:H,0,-1)</f>
        <v>2675.0048549687222</v>
      </c>
      <c r="C2124">
        <f>_xlfn.XLOOKUP(A2124,Energy!A:A,Energy!H:H,0,-1)</f>
        <v>7132.6683082706513</v>
      </c>
      <c r="D2124">
        <f t="shared" si="132"/>
        <v>9807.673163239373</v>
      </c>
      <c r="E2124">
        <f>_xlfn.XLOOKUP(A2124,Banks!A:A,Banks!I:I,0)</f>
        <v>0</v>
      </c>
      <c r="F2124">
        <f>_xlfn.XLOOKUP(A2124,Energy!A:A,Energy!I:I,0)</f>
        <v>44386.852211596808</v>
      </c>
      <c r="G2124">
        <f t="shared" si="133"/>
        <v>44386.852211596808</v>
      </c>
      <c r="H2124">
        <f t="shared" si="134"/>
        <v>34579.179048357437</v>
      </c>
      <c r="I2124" t="b">
        <f t="shared" si="135"/>
        <v>0</v>
      </c>
    </row>
    <row r="2125" spans="1:9">
      <c r="A2125" s="1">
        <v>46118.815972222219</v>
      </c>
      <c r="B2125" s="5">
        <f>_xlfn.XLOOKUP(A2125,Banks!A:A,Banks!H:H,0,-1)</f>
        <v>2675.0048549687222</v>
      </c>
      <c r="C2125">
        <f>_xlfn.XLOOKUP(A2125,Energy!A:A,Energy!H:H,0,-1)</f>
        <v>7132.6683082706513</v>
      </c>
      <c r="D2125">
        <f t="shared" si="132"/>
        <v>9807.673163239373</v>
      </c>
      <c r="E2125">
        <f>_xlfn.XLOOKUP(A2125,Banks!A:A,Banks!I:I,0)</f>
        <v>0</v>
      </c>
      <c r="F2125">
        <f>_xlfn.XLOOKUP(A2125,Energy!A:A,Energy!I:I,0)</f>
        <v>44386.852211596808</v>
      </c>
      <c r="G2125">
        <f t="shared" si="133"/>
        <v>44386.852211596808</v>
      </c>
      <c r="H2125">
        <f t="shared" si="134"/>
        <v>34579.179048357437</v>
      </c>
      <c r="I2125" t="b">
        <f t="shared" si="135"/>
        <v>0</v>
      </c>
    </row>
    <row r="2126" spans="1:9">
      <c r="A2126" s="1">
        <v>46118.816666666673</v>
      </c>
      <c r="B2126" s="5">
        <f>_xlfn.XLOOKUP(A2126,Banks!A:A,Banks!H:H,0,-1)</f>
        <v>2675.0048549687222</v>
      </c>
      <c r="C2126">
        <f>_xlfn.XLOOKUP(A2126,Energy!A:A,Energy!H:H,0,-1)</f>
        <v>7132.6683082706513</v>
      </c>
      <c r="D2126">
        <f t="shared" si="132"/>
        <v>9807.673163239373</v>
      </c>
      <c r="E2126">
        <f>_xlfn.XLOOKUP(A2126,Banks!A:A,Banks!I:I,0)</f>
        <v>0</v>
      </c>
      <c r="F2126">
        <f>_xlfn.XLOOKUP(A2126,Energy!A:A,Energy!I:I,0)</f>
        <v>44386.852211596808</v>
      </c>
      <c r="G2126">
        <f t="shared" si="133"/>
        <v>44386.852211596808</v>
      </c>
      <c r="H2126">
        <f t="shared" si="134"/>
        <v>34579.179048357437</v>
      </c>
      <c r="I2126" t="b">
        <f t="shared" si="135"/>
        <v>0</v>
      </c>
    </row>
    <row r="2127" spans="1:9">
      <c r="A2127" s="1">
        <v>46118.817361111112</v>
      </c>
      <c r="B2127" s="5">
        <f>_xlfn.XLOOKUP(A2127,Banks!A:A,Banks!H:H,0,-1)</f>
        <v>2675.0048549687222</v>
      </c>
      <c r="C2127">
        <f>_xlfn.XLOOKUP(A2127,Energy!A:A,Energy!H:H,0,-1)</f>
        <v>7035.3396688007879</v>
      </c>
      <c r="D2127">
        <f t="shared" si="132"/>
        <v>9710.3445237695105</v>
      </c>
      <c r="E2127">
        <f>_xlfn.XLOOKUP(A2127,Banks!A:A,Banks!I:I,0)</f>
        <v>0</v>
      </c>
      <c r="F2127">
        <f>_xlfn.XLOOKUP(A2127,Energy!A:A,Energy!I:I,0)</f>
        <v>44367.386483702838</v>
      </c>
      <c r="G2127">
        <f t="shared" si="133"/>
        <v>44367.386483702838</v>
      </c>
      <c r="H2127">
        <f t="shared" si="134"/>
        <v>34657.041959933325</v>
      </c>
      <c r="I2127" t="b">
        <f t="shared" si="135"/>
        <v>0</v>
      </c>
    </row>
    <row r="2128" spans="1:9">
      <c r="A2128" s="1">
        <v>46118.818055555559</v>
      </c>
      <c r="B2128" s="5">
        <f>_xlfn.XLOOKUP(A2128,Banks!A:A,Banks!H:H,0,-1)</f>
        <v>2675.0048549687222</v>
      </c>
      <c r="C2128">
        <f>_xlfn.XLOOKUP(A2128,Energy!A:A,Energy!H:H,0,-1)</f>
        <v>6990.400321187627</v>
      </c>
      <c r="D2128">
        <f t="shared" si="132"/>
        <v>9665.4051761563496</v>
      </c>
      <c r="E2128">
        <f>_xlfn.XLOOKUP(A2128,Banks!A:A,Banks!I:I,0)</f>
        <v>0</v>
      </c>
      <c r="F2128">
        <f>_xlfn.XLOOKUP(A2128,Energy!A:A,Energy!I:I,0)</f>
        <v>44376.374353225467</v>
      </c>
      <c r="G2128">
        <f t="shared" si="133"/>
        <v>44376.374353225467</v>
      </c>
      <c r="H2128">
        <f t="shared" si="134"/>
        <v>34710.969177069113</v>
      </c>
      <c r="I2128" t="b">
        <f t="shared" si="135"/>
        <v>0</v>
      </c>
    </row>
    <row r="2129" spans="1:9">
      <c r="A2129" s="1">
        <v>46118.818749999999</v>
      </c>
      <c r="B2129" s="5">
        <f>_xlfn.XLOOKUP(A2129,Banks!A:A,Banks!H:H,0,-1)</f>
        <v>2675.0048549687222</v>
      </c>
      <c r="C2129">
        <f>_xlfn.XLOOKUP(A2129,Energy!A:A,Energy!H:H,0,-1)</f>
        <v>6990.400321187627</v>
      </c>
      <c r="D2129">
        <f t="shared" si="132"/>
        <v>9665.4051761563496</v>
      </c>
      <c r="E2129">
        <f>_xlfn.XLOOKUP(A2129,Banks!A:A,Banks!I:I,0)</f>
        <v>0</v>
      </c>
      <c r="F2129">
        <f>_xlfn.XLOOKUP(A2129,Energy!A:A,Energy!I:I,0)</f>
        <v>44376.374353225467</v>
      </c>
      <c r="G2129">
        <f t="shared" si="133"/>
        <v>44376.374353225467</v>
      </c>
      <c r="H2129">
        <f t="shared" si="134"/>
        <v>34710.969177069113</v>
      </c>
      <c r="I2129" t="b">
        <f t="shared" si="135"/>
        <v>0</v>
      </c>
    </row>
    <row r="2130" spans="1:9">
      <c r="A2130" s="1">
        <v>46118.819444444453</v>
      </c>
      <c r="B2130" s="5">
        <f>_xlfn.XLOOKUP(A2130,Banks!A:A,Banks!H:H,0,-1)</f>
        <v>2675.0048549687222</v>
      </c>
      <c r="C2130">
        <f>_xlfn.XLOOKUP(A2130,Energy!A:A,Energy!H:H,0,-1)</f>
        <v>6990.400321187627</v>
      </c>
      <c r="D2130">
        <f t="shared" si="132"/>
        <v>9665.4051761563496</v>
      </c>
      <c r="E2130">
        <f>_xlfn.XLOOKUP(A2130,Banks!A:A,Banks!I:I,0)</f>
        <v>0</v>
      </c>
      <c r="F2130">
        <f>_xlfn.XLOOKUP(A2130,Energy!A:A,Energy!I:I,0)</f>
        <v>44376.374353225467</v>
      </c>
      <c r="G2130">
        <f t="shared" si="133"/>
        <v>44376.374353225467</v>
      </c>
      <c r="H2130">
        <f t="shared" si="134"/>
        <v>34710.969177069113</v>
      </c>
      <c r="I2130" t="b">
        <f t="shared" si="135"/>
        <v>0</v>
      </c>
    </row>
    <row r="2131" spans="1:9">
      <c r="A2131" s="1">
        <v>46118.820138888892</v>
      </c>
      <c r="B2131" s="5">
        <f>_xlfn.XLOOKUP(A2131,Banks!A:A,Banks!H:H,0,-1)</f>
        <v>2675.0048549687222</v>
      </c>
      <c r="C2131">
        <f>_xlfn.XLOOKUP(A2131,Energy!A:A,Energy!H:H,0,-1)</f>
        <v>6930.2969555184027</v>
      </c>
      <c r="D2131">
        <f t="shared" si="132"/>
        <v>9605.3018104871244</v>
      </c>
      <c r="E2131">
        <f>_xlfn.XLOOKUP(A2131,Banks!A:A,Banks!I:I,0)</f>
        <v>0</v>
      </c>
      <c r="F2131">
        <f>_xlfn.XLOOKUP(A2131,Energy!A:A,Energy!I:I,0)</f>
        <v>44376.798422507592</v>
      </c>
      <c r="G2131">
        <f t="shared" si="133"/>
        <v>44376.798422507592</v>
      </c>
      <c r="H2131">
        <f t="shared" si="134"/>
        <v>34771.49661202047</v>
      </c>
      <c r="I2131" t="b">
        <f t="shared" si="135"/>
        <v>0</v>
      </c>
    </row>
    <row r="2132" spans="1:9">
      <c r="A2132" s="1">
        <v>46118.820833333331</v>
      </c>
      <c r="B2132" s="5">
        <f>_xlfn.XLOOKUP(A2132,Banks!A:A,Banks!H:H,0,-1)</f>
        <v>2675.0048549687222</v>
      </c>
      <c r="C2132">
        <f>_xlfn.XLOOKUP(A2132,Energy!A:A,Energy!H:H,0,-1)</f>
        <v>6951.0381928783236</v>
      </c>
      <c r="D2132">
        <f t="shared" si="132"/>
        <v>9626.0430478470462</v>
      </c>
      <c r="E2132">
        <f>_xlfn.XLOOKUP(A2132,Banks!A:A,Banks!I:I,0)</f>
        <v>0</v>
      </c>
      <c r="F2132">
        <f>_xlfn.XLOOKUP(A2132,Energy!A:A,Energy!I:I,0)</f>
        <v>44372.650175035596</v>
      </c>
      <c r="G2132">
        <f t="shared" si="133"/>
        <v>44372.650175035596</v>
      </c>
      <c r="H2132">
        <f t="shared" si="134"/>
        <v>34746.607127188552</v>
      </c>
      <c r="I2132" t="b">
        <f t="shared" si="135"/>
        <v>0</v>
      </c>
    </row>
    <row r="2133" spans="1:9">
      <c r="A2133" s="1">
        <v>46118.821527777778</v>
      </c>
      <c r="B2133" s="5">
        <f>_xlfn.XLOOKUP(A2133,Banks!A:A,Banks!H:H,0,-1)</f>
        <v>2675.0048549687222</v>
      </c>
      <c r="C2133">
        <f>_xlfn.XLOOKUP(A2133,Energy!A:A,Energy!H:H,0,-1)</f>
        <v>6978.6931760248999</v>
      </c>
      <c r="D2133">
        <f t="shared" si="132"/>
        <v>9653.6980309936225</v>
      </c>
      <c r="E2133">
        <f>_xlfn.XLOOKUP(A2133,Banks!A:A,Banks!I:I,0)</f>
        <v>0</v>
      </c>
      <c r="F2133">
        <f>_xlfn.XLOOKUP(A2133,Energy!A:A,Energy!I:I,0)</f>
        <v>44367.119178406283</v>
      </c>
      <c r="G2133">
        <f t="shared" si="133"/>
        <v>44367.119178406283</v>
      </c>
      <c r="H2133">
        <f t="shared" si="134"/>
        <v>34713.421147412664</v>
      </c>
      <c r="I2133" t="b">
        <f t="shared" si="135"/>
        <v>0</v>
      </c>
    </row>
    <row r="2134" spans="1:9">
      <c r="A2134" s="1">
        <v>46118.822222222218</v>
      </c>
      <c r="B2134" s="5">
        <f>_xlfn.XLOOKUP(A2134,Banks!A:A,Banks!H:H,0,-1)</f>
        <v>2675.0048549687222</v>
      </c>
      <c r="C2134">
        <f>_xlfn.XLOOKUP(A2134,Energy!A:A,Energy!H:H,0,-1)</f>
        <v>6978.6931760248999</v>
      </c>
      <c r="D2134">
        <f t="shared" si="132"/>
        <v>9653.6980309936225</v>
      </c>
      <c r="E2134">
        <f>_xlfn.XLOOKUP(A2134,Banks!A:A,Banks!I:I,0)</f>
        <v>0</v>
      </c>
      <c r="F2134">
        <f>_xlfn.XLOOKUP(A2134,Energy!A:A,Energy!I:I,0)</f>
        <v>44367.119178406283</v>
      </c>
      <c r="G2134">
        <f t="shared" si="133"/>
        <v>44367.119178406283</v>
      </c>
      <c r="H2134">
        <f t="shared" si="134"/>
        <v>34713.421147412664</v>
      </c>
      <c r="I2134" t="b">
        <f t="shared" si="135"/>
        <v>0</v>
      </c>
    </row>
    <row r="2135" spans="1:9">
      <c r="A2135" s="1">
        <v>46118.822916666657</v>
      </c>
      <c r="B2135" s="5">
        <f>_xlfn.XLOOKUP(A2135,Banks!A:A,Banks!H:H,0,-1)</f>
        <v>2675.0048549687222</v>
      </c>
      <c r="C2135">
        <f>_xlfn.XLOOKUP(A2135,Energy!A:A,Energy!H:H,0,-1)</f>
        <v>6978.6931760248999</v>
      </c>
      <c r="D2135">
        <f t="shared" si="132"/>
        <v>9653.6980309936225</v>
      </c>
      <c r="E2135">
        <f>_xlfn.XLOOKUP(A2135,Banks!A:A,Banks!I:I,0)</f>
        <v>0</v>
      </c>
      <c r="F2135">
        <f>_xlfn.XLOOKUP(A2135,Energy!A:A,Energy!I:I,0)</f>
        <v>44367.119178406283</v>
      </c>
      <c r="G2135">
        <f t="shared" si="133"/>
        <v>44367.119178406283</v>
      </c>
      <c r="H2135">
        <f t="shared" si="134"/>
        <v>34713.421147412664</v>
      </c>
      <c r="I2135" t="b">
        <f t="shared" si="135"/>
        <v>0</v>
      </c>
    </row>
    <row r="2136" spans="1:9">
      <c r="A2136" s="1">
        <v>46118.823611111111</v>
      </c>
      <c r="B2136" s="5">
        <f>_xlfn.XLOOKUP(A2136,Banks!A:A,Banks!H:H,0,-1)</f>
        <v>2675.0048549687222</v>
      </c>
      <c r="C2136">
        <f>_xlfn.XLOOKUP(A2136,Energy!A:A,Energy!H:H,0,-1)</f>
        <v>6949.7016663955801</v>
      </c>
      <c r="D2136">
        <f t="shared" si="132"/>
        <v>9624.7065213643018</v>
      </c>
      <c r="E2136">
        <f>_xlfn.XLOOKUP(A2136,Banks!A:A,Banks!I:I,0)</f>
        <v>0</v>
      </c>
      <c r="F2136">
        <f>_xlfn.XLOOKUP(A2136,Energy!A:A,Energy!I:I,0)</f>
        <v>44361.320876480422</v>
      </c>
      <c r="G2136">
        <f t="shared" si="133"/>
        <v>44361.320876480422</v>
      </c>
      <c r="H2136">
        <f t="shared" si="134"/>
        <v>34736.614355116122</v>
      </c>
      <c r="I2136" t="b">
        <f t="shared" si="135"/>
        <v>0</v>
      </c>
    </row>
    <row r="2137" spans="1:9">
      <c r="A2137" s="1">
        <v>46118.824305555558</v>
      </c>
      <c r="B2137" s="5">
        <f>_xlfn.XLOOKUP(A2137,Banks!A:A,Banks!H:H,0,-1)</f>
        <v>2675.0048549687222</v>
      </c>
      <c r="C2137">
        <f>_xlfn.XLOOKUP(A2137,Energy!A:A,Energy!H:H,0,-1)</f>
        <v>6949.7016663955801</v>
      </c>
      <c r="D2137">
        <f t="shared" si="132"/>
        <v>9624.7065213643018</v>
      </c>
      <c r="E2137">
        <f>_xlfn.XLOOKUP(A2137,Banks!A:A,Banks!I:I,0)</f>
        <v>0</v>
      </c>
      <c r="F2137">
        <f>_xlfn.XLOOKUP(A2137,Energy!A:A,Energy!I:I,0)</f>
        <v>44361.320876480422</v>
      </c>
      <c r="G2137">
        <f t="shared" si="133"/>
        <v>44361.320876480422</v>
      </c>
      <c r="H2137">
        <f t="shared" si="134"/>
        <v>34736.614355116122</v>
      </c>
      <c r="I2137" t="b">
        <f t="shared" si="135"/>
        <v>0</v>
      </c>
    </row>
    <row r="2138" spans="1:9">
      <c r="A2138" s="1">
        <v>46118.824999999997</v>
      </c>
      <c r="B2138" s="5">
        <f>_xlfn.XLOOKUP(A2138,Banks!A:A,Banks!H:H,0,-1)</f>
        <v>2675.0048549687222</v>
      </c>
      <c r="C2138">
        <f>_xlfn.XLOOKUP(A2138,Energy!A:A,Energy!H:H,0,-1)</f>
        <v>6949.7016663955801</v>
      </c>
      <c r="D2138">
        <f t="shared" si="132"/>
        <v>9624.7065213643018</v>
      </c>
      <c r="E2138">
        <f>_xlfn.XLOOKUP(A2138,Banks!A:A,Banks!I:I,0)</f>
        <v>0</v>
      </c>
      <c r="F2138">
        <f>_xlfn.XLOOKUP(A2138,Energy!A:A,Energy!I:I,0)</f>
        <v>44361.320876480422</v>
      </c>
      <c r="G2138">
        <f t="shared" si="133"/>
        <v>44361.320876480422</v>
      </c>
      <c r="H2138">
        <f t="shared" si="134"/>
        <v>34736.614355116122</v>
      </c>
      <c r="I2138" t="b">
        <f t="shared" si="135"/>
        <v>0</v>
      </c>
    </row>
    <row r="2139" spans="1:9">
      <c r="A2139" s="1">
        <v>46118.825694444437</v>
      </c>
      <c r="B2139" s="5">
        <f>_xlfn.XLOOKUP(A2139,Banks!A:A,Banks!H:H,0,-1)</f>
        <v>2675.0048549687222</v>
      </c>
      <c r="C2139">
        <f>_xlfn.XLOOKUP(A2139,Energy!A:A,Energy!H:H,0,-1)</f>
        <v>6922.0466832490047</v>
      </c>
      <c r="D2139">
        <f t="shared" si="132"/>
        <v>9597.0515382177273</v>
      </c>
      <c r="E2139">
        <f>_xlfn.XLOOKUP(A2139,Banks!A:A,Banks!I:I,0)</f>
        <v>0</v>
      </c>
      <c r="F2139">
        <f>_xlfn.XLOOKUP(A2139,Energy!A:A,Energy!I:I,0)</f>
        <v>44366.851873109743</v>
      </c>
      <c r="G2139">
        <f t="shared" si="133"/>
        <v>44366.851873109743</v>
      </c>
      <c r="H2139">
        <f t="shared" si="134"/>
        <v>34769.800334892017</v>
      </c>
      <c r="I2139" t="b">
        <f t="shared" si="135"/>
        <v>0</v>
      </c>
    </row>
    <row r="2140" spans="1:9">
      <c r="A2140" s="1">
        <v>46118.826388888891</v>
      </c>
      <c r="B2140" s="5">
        <f>_xlfn.XLOOKUP(A2140,Banks!A:A,Banks!H:H,0,-1)</f>
        <v>2675.0048549687222</v>
      </c>
      <c r="C2140">
        <f>_xlfn.XLOOKUP(A2140,Energy!A:A,Energy!H:H,0,-1)</f>
        <v>6897.8485729957656</v>
      </c>
      <c r="D2140">
        <f t="shared" si="132"/>
        <v>9572.8534279644882</v>
      </c>
      <c r="E2140">
        <f>_xlfn.XLOOKUP(A2140,Banks!A:A,Banks!I:I,0)</f>
        <v>0</v>
      </c>
      <c r="F2140">
        <f>_xlfn.XLOOKUP(A2140,Energy!A:A,Energy!I:I,0)</f>
        <v>44371.69149516039</v>
      </c>
      <c r="G2140">
        <f t="shared" si="133"/>
        <v>44371.69149516039</v>
      </c>
      <c r="H2140">
        <f t="shared" si="134"/>
        <v>34798.838067195902</v>
      </c>
      <c r="I2140" t="b">
        <f t="shared" si="135"/>
        <v>0</v>
      </c>
    </row>
    <row r="2141" spans="1:9">
      <c r="A2141" s="1">
        <v>46118.82708333333</v>
      </c>
      <c r="B2141" s="5">
        <f>_xlfn.XLOOKUP(A2141,Banks!A:A,Banks!H:H,0,-1)</f>
        <v>2675.0048549687222</v>
      </c>
      <c r="C2141">
        <f>_xlfn.XLOOKUP(A2141,Energy!A:A,Energy!H:H,0,-1)</f>
        <v>6897.8485729957656</v>
      </c>
      <c r="D2141">
        <f t="shared" si="132"/>
        <v>9572.8534279644882</v>
      </c>
      <c r="E2141">
        <f>_xlfn.XLOOKUP(A2141,Banks!A:A,Banks!I:I,0)</f>
        <v>0</v>
      </c>
      <c r="F2141">
        <f>_xlfn.XLOOKUP(A2141,Energy!A:A,Energy!I:I,0)</f>
        <v>44371.69149516039</v>
      </c>
      <c r="G2141">
        <f t="shared" si="133"/>
        <v>44371.69149516039</v>
      </c>
      <c r="H2141">
        <f t="shared" si="134"/>
        <v>34798.838067195902</v>
      </c>
      <c r="I2141" t="b">
        <f t="shared" si="135"/>
        <v>0</v>
      </c>
    </row>
    <row r="2142" spans="1:9">
      <c r="A2142" s="1">
        <v>46118.827777777777</v>
      </c>
      <c r="B2142" s="5">
        <f>_xlfn.XLOOKUP(A2142,Banks!A:A,Banks!H:H,0,-1)</f>
        <v>2675.0048549687222</v>
      </c>
      <c r="C2142">
        <f>_xlfn.XLOOKUP(A2142,Energy!A:A,Energy!H:H,0,-1)</f>
        <v>6918.5898103556874</v>
      </c>
      <c r="D2142">
        <f t="shared" si="132"/>
        <v>9593.59466532441</v>
      </c>
      <c r="E2142">
        <f>_xlfn.XLOOKUP(A2142,Banks!A:A,Banks!I:I,0)</f>
        <v>0</v>
      </c>
      <c r="F2142">
        <f>_xlfn.XLOOKUP(A2142,Energy!A:A,Energy!I:I,0)</f>
        <v>44367.543247688402</v>
      </c>
      <c r="G2142">
        <f t="shared" si="133"/>
        <v>44367.543247688402</v>
      </c>
      <c r="H2142">
        <f t="shared" si="134"/>
        <v>34773.948582363992</v>
      </c>
      <c r="I2142" t="b">
        <f t="shared" si="135"/>
        <v>0</v>
      </c>
    </row>
    <row r="2143" spans="1:9">
      <c r="A2143" s="1">
        <v>46118.828472222223</v>
      </c>
      <c r="B2143" s="5">
        <f>_xlfn.XLOOKUP(A2143,Banks!A:A,Banks!H:H,0,-1)</f>
        <v>2675.0048549687222</v>
      </c>
      <c r="C2143">
        <f>_xlfn.XLOOKUP(A2143,Energy!A:A,Energy!H:H,0,-1)</f>
        <v>6918.5898103556874</v>
      </c>
      <c r="D2143">
        <f t="shared" si="132"/>
        <v>9593.59466532441</v>
      </c>
      <c r="E2143">
        <f>_xlfn.XLOOKUP(A2143,Banks!A:A,Banks!I:I,0)</f>
        <v>0</v>
      </c>
      <c r="F2143">
        <f>_xlfn.XLOOKUP(A2143,Energy!A:A,Energy!I:I,0)</f>
        <v>44367.543247688402</v>
      </c>
      <c r="G2143">
        <f t="shared" si="133"/>
        <v>44367.543247688402</v>
      </c>
      <c r="H2143">
        <f t="shared" si="134"/>
        <v>34773.948582363992</v>
      </c>
      <c r="I2143" t="b">
        <f t="shared" si="135"/>
        <v>0</v>
      </c>
    </row>
    <row r="2144" spans="1:9">
      <c r="A2144" s="1">
        <v>46118.82916666667</v>
      </c>
      <c r="B2144" s="5">
        <f>_xlfn.XLOOKUP(A2144,Banks!A:A,Banks!H:H,0,-1)</f>
        <v>2675.0048549687222</v>
      </c>
      <c r="C2144">
        <f>_xlfn.XLOOKUP(A2144,Energy!A:A,Energy!H:H,0,-1)</f>
        <v>6956.6154121822137</v>
      </c>
      <c r="D2144">
        <f t="shared" si="132"/>
        <v>9631.6202671509363</v>
      </c>
      <c r="E2144">
        <f>_xlfn.XLOOKUP(A2144,Banks!A:A,Banks!I:I,0)</f>
        <v>0</v>
      </c>
      <c r="F2144">
        <f>_xlfn.XLOOKUP(A2144,Energy!A:A,Energy!I:I,0)</f>
        <v>44359.93812732309</v>
      </c>
      <c r="G2144">
        <f t="shared" si="133"/>
        <v>44359.93812732309</v>
      </c>
      <c r="H2144">
        <f t="shared" si="134"/>
        <v>34728.317860172152</v>
      </c>
      <c r="I2144" t="b">
        <f t="shared" si="135"/>
        <v>0</v>
      </c>
    </row>
    <row r="2145" spans="1:9">
      <c r="A2145" s="1">
        <v>46118.829861111109</v>
      </c>
      <c r="B2145" s="5">
        <f>_xlfn.XLOOKUP(A2145,Banks!A:A,Banks!H:H,0,-1)</f>
        <v>2675.0048549687222</v>
      </c>
      <c r="C2145">
        <f>_xlfn.XLOOKUP(A2145,Energy!A:A,Energy!H:H,0,-1)</f>
        <v>6956.6154121822137</v>
      </c>
      <c r="D2145">
        <f t="shared" si="132"/>
        <v>9631.6202671509363</v>
      </c>
      <c r="E2145">
        <f>_xlfn.XLOOKUP(A2145,Banks!A:A,Banks!I:I,0)</f>
        <v>0</v>
      </c>
      <c r="F2145">
        <f>_xlfn.XLOOKUP(A2145,Energy!A:A,Energy!I:I,0)</f>
        <v>44359.93812732309</v>
      </c>
      <c r="G2145">
        <f t="shared" si="133"/>
        <v>44359.93812732309</v>
      </c>
      <c r="H2145">
        <f t="shared" si="134"/>
        <v>34728.317860172152</v>
      </c>
      <c r="I2145" t="b">
        <f t="shared" si="135"/>
        <v>0</v>
      </c>
    </row>
    <row r="2146" spans="1:9">
      <c r="A2146" s="1">
        <v>46118.830555555563</v>
      </c>
      <c r="B2146" s="5">
        <f>_xlfn.XLOOKUP(A2146,Banks!A:A,Banks!H:H,0,-1)</f>
        <v>2675.0048549687222</v>
      </c>
      <c r="C2146">
        <f>_xlfn.XLOOKUP(A2146,Energy!A:A,Energy!H:H,0,-1)</f>
        <v>6956.6154121822137</v>
      </c>
      <c r="D2146">
        <f t="shared" si="132"/>
        <v>9631.6202671509363</v>
      </c>
      <c r="E2146">
        <f>_xlfn.XLOOKUP(A2146,Banks!A:A,Banks!I:I,0)</f>
        <v>0</v>
      </c>
      <c r="F2146">
        <f>_xlfn.XLOOKUP(A2146,Energy!A:A,Energy!I:I,0)</f>
        <v>44359.93812732309</v>
      </c>
      <c r="G2146">
        <f t="shared" si="133"/>
        <v>44359.93812732309</v>
      </c>
      <c r="H2146">
        <f t="shared" si="134"/>
        <v>34728.317860172152</v>
      </c>
      <c r="I2146" t="b">
        <f t="shared" si="135"/>
        <v>0</v>
      </c>
    </row>
    <row r="2147" spans="1:9">
      <c r="A2147" s="1">
        <v>46118.831250000003</v>
      </c>
      <c r="B2147" s="5">
        <f>_xlfn.XLOOKUP(A2147,Banks!A:A,Banks!H:H,0,-1)</f>
        <v>2675.0048549687222</v>
      </c>
      <c r="C2147">
        <f>_xlfn.XLOOKUP(A2147,Energy!A:A,Energy!H:H,0,-1)</f>
        <v>6956.6154121822137</v>
      </c>
      <c r="D2147">
        <f t="shared" si="132"/>
        <v>9631.6202671509363</v>
      </c>
      <c r="E2147">
        <f>_xlfn.XLOOKUP(A2147,Banks!A:A,Banks!I:I,0)</f>
        <v>0</v>
      </c>
      <c r="F2147">
        <f>_xlfn.XLOOKUP(A2147,Energy!A:A,Energy!I:I,0)</f>
        <v>44359.93812732309</v>
      </c>
      <c r="G2147">
        <f t="shared" si="133"/>
        <v>44359.93812732309</v>
      </c>
      <c r="H2147">
        <f t="shared" si="134"/>
        <v>34728.317860172152</v>
      </c>
      <c r="I2147" t="b">
        <f t="shared" si="135"/>
        <v>0</v>
      </c>
    </row>
    <row r="2148" spans="1:9">
      <c r="A2148" s="1">
        <v>46118.831944444442</v>
      </c>
      <c r="B2148" s="5">
        <f>_xlfn.XLOOKUP(A2148,Banks!A:A,Banks!H:H,0,-1)</f>
        <v>2675.0048549687222</v>
      </c>
      <c r="C2148">
        <f>_xlfn.XLOOKUP(A2148,Energy!A:A,Energy!H:H,0,-1)</f>
        <v>6915.1329374623701</v>
      </c>
      <c r="D2148">
        <f t="shared" si="132"/>
        <v>9590.1377924310927</v>
      </c>
      <c r="E2148">
        <f>_xlfn.XLOOKUP(A2148,Banks!A:A,Banks!I:I,0)</f>
        <v>0</v>
      </c>
      <c r="F2148">
        <f>_xlfn.XLOOKUP(A2148,Energy!A:A,Energy!I:I,0)</f>
        <v>44368.234622267068</v>
      </c>
      <c r="G2148">
        <f t="shared" si="133"/>
        <v>44368.234622267068</v>
      </c>
      <c r="H2148">
        <f t="shared" si="134"/>
        <v>34778.096829835973</v>
      </c>
      <c r="I2148" t="b">
        <f t="shared" si="135"/>
        <v>0</v>
      </c>
    </row>
    <row r="2149" spans="1:9">
      <c r="A2149" s="1">
        <v>46118.832638888889</v>
      </c>
      <c r="B2149" s="5">
        <f>_xlfn.XLOOKUP(A2149,Banks!A:A,Banks!H:H,0,-1)</f>
        <v>2675.0048549687222</v>
      </c>
      <c r="C2149">
        <f>_xlfn.XLOOKUP(A2149,Energy!A:A,Energy!H:H,0,-1)</f>
        <v>6911.6760645690538</v>
      </c>
      <c r="D2149">
        <f t="shared" si="132"/>
        <v>9586.6809195377755</v>
      </c>
      <c r="E2149">
        <f>_xlfn.XLOOKUP(A2149,Banks!A:A,Banks!I:I,0)</f>
        <v>0</v>
      </c>
      <c r="F2149">
        <f>_xlfn.XLOOKUP(A2149,Energy!A:A,Energy!I:I,0)</f>
        <v>44368.925996845734</v>
      </c>
      <c r="G2149">
        <f t="shared" si="133"/>
        <v>44368.925996845734</v>
      </c>
      <c r="H2149">
        <f t="shared" si="134"/>
        <v>34782.245077307962</v>
      </c>
      <c r="I2149" t="b">
        <f t="shared" si="135"/>
        <v>0</v>
      </c>
    </row>
    <row r="2150" spans="1:9">
      <c r="A2150" s="1">
        <v>46118.833333333343</v>
      </c>
      <c r="B2150" s="5">
        <f>_xlfn.XLOOKUP(A2150,Banks!A:A,Banks!H:H,0,-1)</f>
        <v>2675.0048549687222</v>
      </c>
      <c r="C2150">
        <f>_xlfn.XLOOKUP(A2150,Energy!A:A,Energy!H:H,0,-1)</f>
        <v>6922.0466832490047</v>
      </c>
      <c r="D2150">
        <f t="shared" si="132"/>
        <v>9597.0515382177273</v>
      </c>
      <c r="E2150">
        <f>_xlfn.XLOOKUP(A2150,Banks!A:A,Banks!I:I,0)</f>
        <v>0</v>
      </c>
      <c r="F2150">
        <f>_xlfn.XLOOKUP(A2150,Energy!A:A,Energy!I:I,0)</f>
        <v>44366.851873109743</v>
      </c>
      <c r="G2150">
        <f t="shared" si="133"/>
        <v>44366.851873109743</v>
      </c>
      <c r="H2150">
        <f t="shared" si="134"/>
        <v>34769.800334892017</v>
      </c>
      <c r="I2150" t="b">
        <f t="shared" si="135"/>
        <v>0</v>
      </c>
    </row>
    <row r="2151" spans="1:9">
      <c r="A2151" s="1">
        <v>46118.834027777782</v>
      </c>
      <c r="B2151" s="5">
        <f>_xlfn.XLOOKUP(A2151,Banks!A:A,Banks!H:H,0,-1)</f>
        <v>2675.0048549687222</v>
      </c>
      <c r="C2151">
        <f>_xlfn.XLOOKUP(A2151,Energy!A:A,Energy!H:H,0,-1)</f>
        <v>6924.5788700634712</v>
      </c>
      <c r="D2151">
        <f t="shared" si="132"/>
        <v>9599.5837250321929</v>
      </c>
      <c r="E2151">
        <f>_xlfn.XLOOKUP(A2151,Banks!A:A,Banks!I:I,0)</f>
        <v>0</v>
      </c>
      <c r="F2151">
        <f>_xlfn.XLOOKUP(A2151,Energy!A:A,Energy!I:I,0)</f>
        <v>0</v>
      </c>
      <c r="G2151">
        <f t="shared" si="133"/>
        <v>0</v>
      </c>
      <c r="H2151">
        <f t="shared" si="134"/>
        <v>-9599.5837250321929</v>
      </c>
      <c r="I2151" t="b">
        <f t="shared" si="135"/>
        <v>0</v>
      </c>
    </row>
    <row r="2152" spans="1:9">
      <c r="A2152" s="1">
        <v>46119.604861111111</v>
      </c>
      <c r="B2152" s="5">
        <f>_xlfn.XLOOKUP(A2152,Banks!A:A,Banks!H:H,0,-1)</f>
        <v>2675.0048549687222</v>
      </c>
      <c r="C2152">
        <f>_xlfn.XLOOKUP(A2152,Energy!A:A,Energy!H:H,0,-1)</f>
        <v>6924.5788700634712</v>
      </c>
      <c r="D2152">
        <f t="shared" si="132"/>
        <v>9599.5837250321929</v>
      </c>
      <c r="E2152">
        <f>_xlfn.XLOOKUP(A2152,Banks!A:A,Banks!I:I,0)</f>
        <v>0</v>
      </c>
      <c r="F2152">
        <f>_xlfn.XLOOKUP(A2152,Energy!A:A,Energy!I:I,0)</f>
        <v>44412.436372626988</v>
      </c>
      <c r="G2152">
        <f t="shared" si="133"/>
        <v>44412.436372626988</v>
      </c>
      <c r="H2152">
        <f t="shared" si="134"/>
        <v>34812.852647594795</v>
      </c>
      <c r="I2152" t="b">
        <f t="shared" si="135"/>
        <v>0</v>
      </c>
    </row>
    <row r="2153" spans="1:9">
      <c r="A2153" s="1">
        <v>46119.605555555558</v>
      </c>
      <c r="B2153" s="5">
        <f>_xlfn.XLOOKUP(A2153,Banks!A:A,Banks!H:H,0,-1)</f>
        <v>2675.0048549687222</v>
      </c>
      <c r="C2153">
        <f>_xlfn.XLOOKUP(A2153,Energy!A:A,Energy!H:H,0,-1)</f>
        <v>7247.9875827728547</v>
      </c>
      <c r="D2153">
        <f t="shared" si="132"/>
        <v>9922.9924377415773</v>
      </c>
      <c r="E2153">
        <f>_xlfn.XLOOKUP(A2153,Banks!A:A,Banks!I:I,0)</f>
        <v>0</v>
      </c>
      <c r="F2153">
        <f>_xlfn.XLOOKUP(A2153,Energy!A:A,Energy!I:I,0)</f>
        <v>44477.118115168872</v>
      </c>
      <c r="G2153">
        <f t="shared" si="133"/>
        <v>44477.118115168872</v>
      </c>
      <c r="H2153">
        <f t="shared" si="134"/>
        <v>34554.125677427292</v>
      </c>
      <c r="I2153" t="b">
        <f t="shared" si="135"/>
        <v>0</v>
      </c>
    </row>
    <row r="2154" spans="1:9">
      <c r="A2154" s="1">
        <v>46119.606249999997</v>
      </c>
      <c r="B2154" s="5">
        <f>_xlfn.XLOOKUP(A2154,Banks!A:A,Banks!H:H,0,-1)</f>
        <v>2675.0048549687222</v>
      </c>
      <c r="C2154">
        <f>_xlfn.XLOOKUP(A2154,Energy!A:A,Energy!H:H,0,-1)</f>
        <v>8052.9940524516887</v>
      </c>
      <c r="D2154">
        <f t="shared" si="132"/>
        <v>10727.998907420411</v>
      </c>
      <c r="E2154">
        <f>_xlfn.XLOOKUP(A2154,Banks!A:A,Banks!I:I,0)</f>
        <v>0</v>
      </c>
      <c r="F2154">
        <f>_xlfn.XLOOKUP(A2154,Energy!A:A,Energy!I:I,0)</f>
        <v>44638.119409104627</v>
      </c>
      <c r="G2154">
        <f t="shared" si="133"/>
        <v>44638.119409104627</v>
      </c>
      <c r="H2154">
        <f t="shared" si="134"/>
        <v>33910.120501684214</v>
      </c>
      <c r="I2154" t="b">
        <f t="shared" si="135"/>
        <v>0</v>
      </c>
    </row>
    <row r="2155" spans="1:9">
      <c r="A2155" s="1">
        <v>46119.606944444437</v>
      </c>
      <c r="B2155" s="5">
        <f>_xlfn.XLOOKUP(A2155,Banks!A:A,Banks!H:H,0,-1)</f>
        <v>2675.0048549687222</v>
      </c>
      <c r="C2155">
        <f>_xlfn.XLOOKUP(A2155,Energy!A:A,Energy!H:H,0,-1)</f>
        <v>8302.5812111730647</v>
      </c>
      <c r="D2155">
        <f t="shared" si="132"/>
        <v>10977.586066141786</v>
      </c>
      <c r="E2155">
        <f>_xlfn.XLOOKUP(A2155,Banks!A:A,Banks!I:I,0)</f>
        <v>0</v>
      </c>
      <c r="F2155">
        <f>_xlfn.XLOOKUP(A2155,Energy!A:A,Energy!I:I,0)</f>
        <v>44688.036840848923</v>
      </c>
      <c r="G2155">
        <f t="shared" si="133"/>
        <v>44688.036840848923</v>
      </c>
      <c r="H2155">
        <f t="shared" si="134"/>
        <v>33710.450774707133</v>
      </c>
      <c r="I2155" t="b">
        <f t="shared" si="135"/>
        <v>0</v>
      </c>
    </row>
    <row r="2156" spans="1:9">
      <c r="A2156" s="1">
        <v>46119.607638888891</v>
      </c>
      <c r="B2156" s="5">
        <f>_xlfn.XLOOKUP(A2156,Banks!A:A,Banks!H:H,0,-1)</f>
        <v>2675.0048549687222</v>
      </c>
      <c r="C2156">
        <f>_xlfn.XLOOKUP(A2156,Energy!A:A,Energy!H:H,0,-1)</f>
        <v>8302.5812111730647</v>
      </c>
      <c r="D2156">
        <f t="shared" si="132"/>
        <v>10977.586066141786</v>
      </c>
      <c r="E2156">
        <f>_xlfn.XLOOKUP(A2156,Banks!A:A,Banks!I:I,0)</f>
        <v>0</v>
      </c>
      <c r="F2156">
        <f>_xlfn.XLOOKUP(A2156,Energy!A:A,Energy!I:I,0)</f>
        <v>44688.036840848923</v>
      </c>
      <c r="G2156">
        <f t="shared" si="133"/>
        <v>44688.036840848923</v>
      </c>
      <c r="H2156">
        <f t="shared" si="134"/>
        <v>33710.450774707133</v>
      </c>
      <c r="I2156" t="b">
        <f t="shared" si="135"/>
        <v>0</v>
      </c>
    </row>
    <row r="2157" spans="1:9">
      <c r="A2157" s="1">
        <v>46119.60833333333</v>
      </c>
      <c r="B2157" s="5">
        <f>_xlfn.XLOOKUP(A2157,Banks!A:A,Banks!H:H,0,-1)</f>
        <v>2675.0048549687222</v>
      </c>
      <c r="C2157">
        <f>_xlfn.XLOOKUP(A2157,Energy!A:A,Energy!H:H,0,-1)</f>
        <v>8833.8791302979953</v>
      </c>
      <c r="D2157">
        <f t="shared" si="132"/>
        <v>11508.883985266717</v>
      </c>
      <c r="E2157">
        <f>_xlfn.XLOOKUP(A2157,Banks!A:A,Banks!I:I,0)</f>
        <v>0</v>
      </c>
      <c r="F2157">
        <f>_xlfn.XLOOKUP(A2157,Energy!A:A,Energy!I:I,0)</f>
        <v>0</v>
      </c>
      <c r="G2157">
        <f t="shared" si="133"/>
        <v>0</v>
      </c>
      <c r="H2157">
        <f t="shared" si="134"/>
        <v>-11508.883985266717</v>
      </c>
      <c r="I2157" t="b">
        <f t="shared" si="135"/>
        <v>0</v>
      </c>
    </row>
    <row r="2158" spans="1:9">
      <c r="A2158" s="1">
        <v>46119.709722222222</v>
      </c>
      <c r="B2158" s="5">
        <f>_xlfn.XLOOKUP(A2158,Banks!A:A,Banks!H:H,0,-1)</f>
        <v>2675.0048549687222</v>
      </c>
      <c r="C2158">
        <f>_xlfn.XLOOKUP(A2158,Energy!A:A,Energy!H:H,0,-1)</f>
        <v>8833.8791302979953</v>
      </c>
      <c r="D2158">
        <f t="shared" si="132"/>
        <v>11508.883985266717</v>
      </c>
      <c r="E2158">
        <f>_xlfn.XLOOKUP(A2158,Banks!A:A,Banks!I:I,0)</f>
        <v>38083.630989762059</v>
      </c>
      <c r="F2158">
        <f>_xlfn.XLOOKUP(A2158,Energy!A:A,Energy!I:I,0)</f>
        <v>0</v>
      </c>
      <c r="G2158">
        <f t="shared" si="133"/>
        <v>38083.630989762059</v>
      </c>
      <c r="H2158">
        <f t="shared" si="134"/>
        <v>26574.747004495344</v>
      </c>
      <c r="I2158" t="b">
        <f t="shared" si="135"/>
        <v>0</v>
      </c>
    </row>
    <row r="2159" spans="1:9">
      <c r="A2159" s="1">
        <v>46119.710416666669</v>
      </c>
      <c r="B2159" s="5">
        <f>_xlfn.XLOOKUP(A2159,Banks!A:A,Banks!H:H,0,-1)</f>
        <v>3078.1950777394331</v>
      </c>
      <c r="C2159">
        <f>_xlfn.XLOOKUP(A2159,Energy!A:A,Energy!H:H,0,-1)</f>
        <v>8833.8791302979953</v>
      </c>
      <c r="D2159">
        <f t="shared" si="132"/>
        <v>11912.074208037429</v>
      </c>
      <c r="E2159">
        <f>_xlfn.XLOOKUP(A2159,Banks!A:A,Banks!I:I,0)</f>
        <v>38108.115548120601</v>
      </c>
      <c r="F2159">
        <f>_xlfn.XLOOKUP(A2159,Energy!A:A,Energy!I:I,0)</f>
        <v>0</v>
      </c>
      <c r="G2159">
        <f t="shared" si="133"/>
        <v>38108.115548120601</v>
      </c>
      <c r="H2159">
        <f t="shared" si="134"/>
        <v>26196.041340083171</v>
      </c>
      <c r="I2159" t="b">
        <f t="shared" si="135"/>
        <v>0</v>
      </c>
    </row>
    <row r="2160" spans="1:9">
      <c r="A2160" s="1">
        <v>46119.711111111108</v>
      </c>
      <c r="B2160" s="5">
        <f>_xlfn.XLOOKUP(A2160,Banks!A:A,Banks!H:H,0,-1)</f>
        <v>3059.4772490075688</v>
      </c>
      <c r="C2160">
        <f>_xlfn.XLOOKUP(A2160,Energy!A:A,Energy!H:H,0,-1)</f>
        <v>8833.8791302979953</v>
      </c>
      <c r="D2160">
        <f t="shared" si="132"/>
        <v>11893.356379305564</v>
      </c>
      <c r="E2160">
        <f>_xlfn.XLOOKUP(A2160,Banks!A:A,Banks!I:I,0)</f>
        <v>38111.85911386698</v>
      </c>
      <c r="F2160">
        <f>_xlfn.XLOOKUP(A2160,Energy!A:A,Energy!I:I,0)</f>
        <v>0</v>
      </c>
      <c r="G2160">
        <f t="shared" si="133"/>
        <v>38111.85911386698</v>
      </c>
      <c r="H2160">
        <f t="shared" si="134"/>
        <v>26218.502734561414</v>
      </c>
      <c r="I2160" t="b">
        <f t="shared" si="135"/>
        <v>0</v>
      </c>
    </row>
    <row r="2161" spans="1:9">
      <c r="A2161" s="1">
        <v>46119.711805555547</v>
      </c>
      <c r="B2161" s="5">
        <f>_xlfn.XLOOKUP(A2161,Banks!A:A,Banks!H:H,0,-1)</f>
        <v>3096.9129064712961</v>
      </c>
      <c r="C2161">
        <f>_xlfn.XLOOKUP(A2161,Energy!A:A,Energy!H:H,0,-1)</f>
        <v>8833.8791302979953</v>
      </c>
      <c r="D2161">
        <f t="shared" si="132"/>
        <v>11930.792036769291</v>
      </c>
      <c r="E2161">
        <f>_xlfn.XLOOKUP(A2161,Banks!A:A,Banks!I:I,0)</f>
        <v>38104.371982374229</v>
      </c>
      <c r="F2161">
        <f>_xlfn.XLOOKUP(A2161,Energy!A:A,Energy!I:I,0)</f>
        <v>0</v>
      </c>
      <c r="G2161">
        <f t="shared" si="133"/>
        <v>38104.371982374229</v>
      </c>
      <c r="H2161">
        <f t="shared" si="134"/>
        <v>26173.579945604935</v>
      </c>
      <c r="I2161" t="b">
        <f t="shared" si="135"/>
        <v>0</v>
      </c>
    </row>
    <row r="2162" spans="1:9">
      <c r="A2162" s="1">
        <v>46119.712500000001</v>
      </c>
      <c r="B2162" s="5">
        <f>_xlfn.XLOOKUP(A2162,Banks!A:A,Banks!H:H,0,-1)</f>
        <v>3031.4005059097681</v>
      </c>
      <c r="C2162">
        <f>_xlfn.XLOOKUP(A2162,Energy!A:A,Energy!H:H,0,-1)</f>
        <v>8833.8791302979953</v>
      </c>
      <c r="D2162">
        <f t="shared" si="132"/>
        <v>11865.279636207764</v>
      </c>
      <c r="E2162">
        <f>_xlfn.XLOOKUP(A2162,Banks!A:A,Banks!I:I,0)</f>
        <v>38117.474462486527</v>
      </c>
      <c r="F2162">
        <f>_xlfn.XLOOKUP(A2162,Energy!A:A,Energy!I:I,0)</f>
        <v>0</v>
      </c>
      <c r="G2162">
        <f t="shared" si="133"/>
        <v>38117.474462486527</v>
      </c>
      <c r="H2162">
        <f t="shared" si="134"/>
        <v>26252.194826278763</v>
      </c>
      <c r="I2162" t="b">
        <f t="shared" si="135"/>
        <v>0</v>
      </c>
    </row>
    <row r="2163" spans="1:9">
      <c r="A2163" s="1">
        <v>46119.713194444441</v>
      </c>
      <c r="B2163" s="5">
        <f>_xlfn.XLOOKUP(A2163,Banks!A:A,Banks!H:H,0,-1)</f>
        <v>3040.7594202757059</v>
      </c>
      <c r="C2163">
        <f>_xlfn.XLOOKUP(A2163,Energy!A:A,Energy!H:H,0,-1)</f>
        <v>8833.8791302979953</v>
      </c>
      <c r="D2163">
        <f t="shared" si="132"/>
        <v>11874.638550573702</v>
      </c>
      <c r="E2163">
        <f>_xlfn.XLOOKUP(A2163,Banks!A:A,Banks!I:I,0)</f>
        <v>38115.602679613337</v>
      </c>
      <c r="F2163">
        <f>_xlfn.XLOOKUP(A2163,Energy!A:A,Energy!I:I,0)</f>
        <v>0</v>
      </c>
      <c r="G2163">
        <f t="shared" si="133"/>
        <v>38115.602679613337</v>
      </c>
      <c r="H2163">
        <f t="shared" si="134"/>
        <v>26240.964129039636</v>
      </c>
      <c r="I2163" t="b">
        <f t="shared" si="135"/>
        <v>0</v>
      </c>
    </row>
    <row r="2164" spans="1:9">
      <c r="A2164" s="1">
        <v>46119.713888888888</v>
      </c>
      <c r="B2164" s="5">
        <f>_xlfn.XLOOKUP(A2164,Banks!A:A,Banks!H:H,0,-1)</f>
        <v>2793.4808230513859</v>
      </c>
      <c r="C2164">
        <f>_xlfn.XLOOKUP(A2164,Energy!A:A,Energy!H:H,0,-1)</f>
        <v>8833.8791302979953</v>
      </c>
      <c r="D2164">
        <f t="shared" si="132"/>
        <v>11627.359953349382</v>
      </c>
      <c r="E2164">
        <f>_xlfn.XLOOKUP(A2164,Banks!A:A,Banks!I:I,0)</f>
        <v>38036.198434197497</v>
      </c>
      <c r="F2164">
        <f>_xlfn.XLOOKUP(A2164,Energy!A:A,Energy!I:I,0)</f>
        <v>0</v>
      </c>
      <c r="G2164">
        <f t="shared" si="133"/>
        <v>38036.198434197497</v>
      </c>
      <c r="H2164">
        <f t="shared" si="134"/>
        <v>26408.838480848113</v>
      </c>
      <c r="I2164" t="b">
        <f t="shared" si="135"/>
        <v>0</v>
      </c>
    </row>
    <row r="2165" spans="1:9">
      <c r="A2165" s="1">
        <v>46119.714583333327</v>
      </c>
      <c r="B2165" s="5">
        <f>_xlfn.XLOOKUP(A2165,Banks!A:A,Banks!H:H,0,-1)</f>
        <v>2793.4808230513859</v>
      </c>
      <c r="C2165">
        <f>_xlfn.XLOOKUP(A2165,Energy!A:A,Energy!H:H,0,-1)</f>
        <v>8833.8791302979953</v>
      </c>
      <c r="D2165">
        <f t="shared" si="132"/>
        <v>11627.359953349382</v>
      </c>
      <c r="E2165">
        <f>_xlfn.XLOOKUP(A2165,Banks!A:A,Banks!I:I,0)</f>
        <v>38036.198434197497</v>
      </c>
      <c r="F2165">
        <f>_xlfn.XLOOKUP(A2165,Energy!A:A,Energy!I:I,0)</f>
        <v>0</v>
      </c>
      <c r="G2165">
        <f t="shared" si="133"/>
        <v>38036.198434197497</v>
      </c>
      <c r="H2165">
        <f t="shared" si="134"/>
        <v>26408.838480848113</v>
      </c>
      <c r="I2165" t="b">
        <f t="shared" si="135"/>
        <v>0</v>
      </c>
    </row>
    <row r="2166" spans="1:9">
      <c r="A2166" s="1">
        <v>46119.715277777781</v>
      </c>
      <c r="B2166" s="5">
        <f>_xlfn.XLOOKUP(A2166,Banks!A:A,Banks!H:H,0,-1)</f>
        <v>2801.0771672197611</v>
      </c>
      <c r="C2166">
        <f>_xlfn.XLOOKUP(A2166,Energy!A:A,Energy!H:H,0,-1)</f>
        <v>8833.8791302979953</v>
      </c>
      <c r="D2166">
        <f t="shared" si="132"/>
        <v>11634.956297517756</v>
      </c>
      <c r="E2166">
        <f>_xlfn.XLOOKUP(A2166,Banks!A:A,Banks!I:I,0)</f>
        <v>38041.461268777537</v>
      </c>
      <c r="F2166">
        <f>_xlfn.XLOOKUP(A2166,Energy!A:A,Energy!I:I,0)</f>
        <v>0</v>
      </c>
      <c r="G2166">
        <f t="shared" si="133"/>
        <v>38041.461268777537</v>
      </c>
      <c r="H2166">
        <f t="shared" si="134"/>
        <v>26406.504971259783</v>
      </c>
      <c r="I2166" t="b">
        <f t="shared" si="135"/>
        <v>0</v>
      </c>
    </row>
    <row r="2167" spans="1:9">
      <c r="A2167" s="1">
        <v>46119.71597222222</v>
      </c>
      <c r="B2167" s="5">
        <f>_xlfn.XLOOKUP(A2167,Banks!A:A,Banks!H:H,0,-1)</f>
        <v>2754.282595390096</v>
      </c>
      <c r="C2167">
        <f>_xlfn.XLOOKUP(A2167,Energy!A:A,Energy!H:H,0,-1)</f>
        <v>8833.8791302979953</v>
      </c>
      <c r="D2167">
        <f t="shared" si="132"/>
        <v>11588.161725688091</v>
      </c>
      <c r="E2167">
        <f>_xlfn.XLOOKUP(A2167,Banks!A:A,Banks!I:I,0)</f>
        <v>38050.820183143478</v>
      </c>
      <c r="F2167">
        <f>_xlfn.XLOOKUP(A2167,Energy!A:A,Energy!I:I,0)</f>
        <v>0</v>
      </c>
      <c r="G2167">
        <f t="shared" si="133"/>
        <v>38050.820183143478</v>
      </c>
      <c r="H2167">
        <f t="shared" si="134"/>
        <v>26462.658457455385</v>
      </c>
      <c r="I2167" t="b">
        <f t="shared" si="135"/>
        <v>0</v>
      </c>
    </row>
    <row r="2168" spans="1:9">
      <c r="A2168" s="1">
        <v>46119.716666666667</v>
      </c>
      <c r="B2168" s="5">
        <f>_xlfn.XLOOKUP(A2168,Banks!A:A,Banks!H:H,0,-1)</f>
        <v>2716.8469379263561</v>
      </c>
      <c r="C2168">
        <f>_xlfn.XLOOKUP(A2168,Energy!A:A,Energy!H:H,0,-1)</f>
        <v>8833.8791302979953</v>
      </c>
      <c r="D2168">
        <f t="shared" si="132"/>
        <v>11550.72606822435</v>
      </c>
      <c r="E2168">
        <f>_xlfn.XLOOKUP(A2168,Banks!A:A,Banks!I:I,0)</f>
        <v>38058.307314636229</v>
      </c>
      <c r="F2168">
        <f>_xlfn.XLOOKUP(A2168,Energy!A:A,Energy!I:I,0)</f>
        <v>0</v>
      </c>
      <c r="G2168">
        <f t="shared" si="133"/>
        <v>38058.307314636229</v>
      </c>
      <c r="H2168">
        <f t="shared" si="134"/>
        <v>26507.581246411879</v>
      </c>
      <c r="I2168" t="b">
        <f t="shared" si="135"/>
        <v>0</v>
      </c>
    </row>
    <row r="2169" spans="1:9">
      <c r="A2169" s="1">
        <v>46119.717361111107</v>
      </c>
      <c r="B2169" s="5">
        <f>_xlfn.XLOOKUP(A2169,Banks!A:A,Banks!H:H,0,-1)</f>
        <v>2726.2058522922939</v>
      </c>
      <c r="C2169">
        <f>_xlfn.XLOOKUP(A2169,Energy!A:A,Energy!H:H,0,-1)</f>
        <v>8833.8791302979953</v>
      </c>
      <c r="D2169">
        <f t="shared" si="132"/>
        <v>11560.08498259029</v>
      </c>
      <c r="E2169">
        <f>_xlfn.XLOOKUP(A2169,Banks!A:A,Banks!I:I,0)</f>
        <v>38056.43553176304</v>
      </c>
      <c r="F2169">
        <f>_xlfn.XLOOKUP(A2169,Energy!A:A,Energy!I:I,0)</f>
        <v>0</v>
      </c>
      <c r="G2169">
        <f t="shared" si="133"/>
        <v>38056.43553176304</v>
      </c>
      <c r="H2169">
        <f t="shared" si="134"/>
        <v>26496.350549172748</v>
      </c>
      <c r="I2169" t="b">
        <f t="shared" si="135"/>
        <v>0</v>
      </c>
    </row>
    <row r="2170" spans="1:9">
      <c r="A2170" s="1">
        <v>46119.718055555553</v>
      </c>
      <c r="B2170" s="5">
        <f>_xlfn.XLOOKUP(A2170,Banks!A:A,Banks!H:H,0,-1)</f>
        <v>2707.488023560431</v>
      </c>
      <c r="C2170">
        <f>_xlfn.XLOOKUP(A2170,Energy!A:A,Energy!H:H,0,-1)</f>
        <v>8833.8791302979953</v>
      </c>
      <c r="D2170">
        <f t="shared" si="132"/>
        <v>11541.367153858426</v>
      </c>
      <c r="E2170">
        <f>_xlfn.XLOOKUP(A2170,Banks!A:A,Banks!I:I,0)</f>
        <v>38060.179097509412</v>
      </c>
      <c r="F2170">
        <f>_xlfn.XLOOKUP(A2170,Energy!A:A,Energy!I:I,0)</f>
        <v>0</v>
      </c>
      <c r="G2170">
        <f t="shared" si="133"/>
        <v>38060.179097509412</v>
      </c>
      <c r="H2170">
        <f t="shared" si="134"/>
        <v>26518.811943650988</v>
      </c>
      <c r="I2170" t="b">
        <f t="shared" si="135"/>
        <v>0</v>
      </c>
    </row>
    <row r="2171" spans="1:9">
      <c r="A2171" s="1">
        <v>46119.71875</v>
      </c>
      <c r="B2171" s="5">
        <f>_xlfn.XLOOKUP(A2171,Banks!A:A,Banks!H:H,0,-1)</f>
        <v>2660.8610625910892</v>
      </c>
      <c r="C2171">
        <f>_xlfn.XLOOKUP(A2171,Energy!A:A,Energy!H:H,0,-1)</f>
        <v>8833.8791302979953</v>
      </c>
      <c r="D2171">
        <f t="shared" si="132"/>
        <v>11494.740192889085</v>
      </c>
      <c r="E2171">
        <f>_xlfn.XLOOKUP(A2171,Banks!A:A,Banks!I:I,0)</f>
        <v>38050.853705315552</v>
      </c>
      <c r="F2171">
        <f>_xlfn.XLOOKUP(A2171,Energy!A:A,Energy!I:I,0)</f>
        <v>0</v>
      </c>
      <c r="G2171">
        <f t="shared" si="133"/>
        <v>38050.853705315552</v>
      </c>
      <c r="H2171">
        <f t="shared" si="134"/>
        <v>26556.113512426469</v>
      </c>
      <c r="I2171" t="b">
        <f t="shared" si="135"/>
        <v>0</v>
      </c>
    </row>
    <row r="2172" spans="1:9">
      <c r="A2172" s="1">
        <v>46119.719444444447</v>
      </c>
      <c r="B2172" s="5">
        <f>_xlfn.XLOOKUP(A2172,Banks!A:A,Banks!H:H,0,-1)</f>
        <v>2651.50214822515</v>
      </c>
      <c r="C2172">
        <f>_xlfn.XLOOKUP(A2172,Energy!A:A,Energy!H:H,0,-1)</f>
        <v>8833.8791302979953</v>
      </c>
      <c r="D2172">
        <f t="shared" si="132"/>
        <v>11485.381278523146</v>
      </c>
      <c r="E2172">
        <f>_xlfn.XLOOKUP(A2172,Banks!A:A,Banks!I:I,0)</f>
        <v>38052.725488188727</v>
      </c>
      <c r="F2172">
        <f>_xlfn.XLOOKUP(A2172,Energy!A:A,Energy!I:I,0)</f>
        <v>0</v>
      </c>
      <c r="G2172">
        <f t="shared" si="133"/>
        <v>38052.725488188727</v>
      </c>
      <c r="H2172">
        <f t="shared" si="134"/>
        <v>26567.344209665582</v>
      </c>
      <c r="I2172" t="b">
        <f t="shared" si="135"/>
        <v>0</v>
      </c>
    </row>
    <row r="2173" spans="1:9">
      <c r="A2173" s="1">
        <v>46119.720138888893</v>
      </c>
      <c r="B2173" s="5">
        <f>_xlfn.XLOOKUP(A2173,Banks!A:A,Banks!H:H,0,-1)</f>
        <v>2707.6556344207538</v>
      </c>
      <c r="C2173">
        <f>_xlfn.XLOOKUP(A2173,Energy!A:A,Energy!H:H,0,-1)</f>
        <v>8833.8791302979953</v>
      </c>
      <c r="D2173">
        <f t="shared" si="132"/>
        <v>11541.534764718748</v>
      </c>
      <c r="E2173">
        <f>_xlfn.XLOOKUP(A2173,Banks!A:A,Banks!I:I,0)</f>
        <v>38041.494790949619</v>
      </c>
      <c r="F2173">
        <f>_xlfn.XLOOKUP(A2173,Energy!A:A,Energy!I:I,0)</f>
        <v>0</v>
      </c>
      <c r="G2173">
        <f t="shared" si="133"/>
        <v>38041.494790949619</v>
      </c>
      <c r="H2173">
        <f t="shared" si="134"/>
        <v>26499.96002623087</v>
      </c>
      <c r="I2173" t="b">
        <f t="shared" si="135"/>
        <v>0</v>
      </c>
    </row>
    <row r="2174" spans="1:9">
      <c r="A2174" s="1">
        <v>46119.720833333333</v>
      </c>
      <c r="B2174" s="5">
        <f>_xlfn.XLOOKUP(A2174,Banks!A:A,Banks!H:H,0,-1)</f>
        <v>2679.5788913229521</v>
      </c>
      <c r="C2174">
        <f>_xlfn.XLOOKUP(A2174,Energy!A:A,Energy!H:H,0,-1)</f>
        <v>8833.8791302979953</v>
      </c>
      <c r="D2174">
        <f t="shared" si="132"/>
        <v>11513.458021620947</v>
      </c>
      <c r="E2174">
        <f>_xlfn.XLOOKUP(A2174,Banks!A:A,Banks!I:I,0)</f>
        <v>38047.110139569173</v>
      </c>
      <c r="F2174">
        <f>_xlfn.XLOOKUP(A2174,Energy!A:A,Energy!I:I,0)</f>
        <v>0</v>
      </c>
      <c r="G2174">
        <f t="shared" si="133"/>
        <v>38047.110139569173</v>
      </c>
      <c r="H2174">
        <f t="shared" si="134"/>
        <v>26533.652117948226</v>
      </c>
      <c r="I2174" t="b">
        <f t="shared" si="135"/>
        <v>0</v>
      </c>
    </row>
    <row r="2175" spans="1:9">
      <c r="A2175" s="1">
        <v>46119.72152777778</v>
      </c>
      <c r="B2175" s="5">
        <f>_xlfn.XLOOKUP(A2175,Banks!A:A,Banks!H:H,0,-1)</f>
        <v>2698.296720054816</v>
      </c>
      <c r="C2175">
        <f>_xlfn.XLOOKUP(A2175,Energy!A:A,Energy!H:H,0,-1)</f>
        <v>8833.8791302979953</v>
      </c>
      <c r="D2175">
        <f t="shared" si="132"/>
        <v>11532.175850352811</v>
      </c>
      <c r="E2175">
        <f>_xlfn.XLOOKUP(A2175,Banks!A:A,Banks!I:I,0)</f>
        <v>38043.366573822801</v>
      </c>
      <c r="F2175">
        <f>_xlfn.XLOOKUP(A2175,Energy!A:A,Energy!I:I,0)</f>
        <v>0</v>
      </c>
      <c r="G2175">
        <f t="shared" si="133"/>
        <v>38043.366573822801</v>
      </c>
      <c r="H2175">
        <f t="shared" si="134"/>
        <v>26511.19072346999</v>
      </c>
      <c r="I2175" t="b">
        <f t="shared" si="135"/>
        <v>0</v>
      </c>
    </row>
    <row r="2176" spans="1:9">
      <c r="A2176" s="1">
        <v>46119.722222222219</v>
      </c>
      <c r="B2176" s="5">
        <f>_xlfn.XLOOKUP(A2176,Banks!A:A,Banks!H:H,0,-1)</f>
        <v>2695.631249359918</v>
      </c>
      <c r="C2176">
        <f>_xlfn.XLOOKUP(A2176,Energy!A:A,Energy!H:H,0,-1)</f>
        <v>8833.8791302979953</v>
      </c>
      <c r="D2176">
        <f t="shared" si="132"/>
        <v>11529.510379657913</v>
      </c>
      <c r="E2176">
        <f>_xlfn.XLOOKUP(A2176,Banks!A:A,Banks!I:I,0)</f>
        <v>38009.141387966447</v>
      </c>
      <c r="F2176">
        <f>_xlfn.XLOOKUP(A2176,Energy!A:A,Energy!I:I,0)</f>
        <v>0</v>
      </c>
      <c r="G2176">
        <f t="shared" si="133"/>
        <v>38009.141387966447</v>
      </c>
      <c r="H2176">
        <f t="shared" si="134"/>
        <v>26479.631008308534</v>
      </c>
      <c r="I2176" t="b">
        <f t="shared" si="135"/>
        <v>0</v>
      </c>
    </row>
    <row r="2177" spans="1:9">
      <c r="A2177" s="1">
        <v>46119.722916666673</v>
      </c>
      <c r="B2177" s="5">
        <f>_xlfn.XLOOKUP(A2177,Banks!A:A,Banks!H:H,0,-1)</f>
        <v>2630.11884879839</v>
      </c>
      <c r="C2177">
        <f>_xlfn.XLOOKUP(A2177,Energy!A:A,Energy!H:H,0,-1)</f>
        <v>8833.8791302979953</v>
      </c>
      <c r="D2177">
        <f t="shared" si="132"/>
        <v>11463.997979096384</v>
      </c>
      <c r="E2177">
        <f>_xlfn.XLOOKUP(A2177,Banks!A:A,Banks!I:I,0)</f>
        <v>38022.24386807876</v>
      </c>
      <c r="F2177">
        <f>_xlfn.XLOOKUP(A2177,Energy!A:A,Energy!I:I,0)</f>
        <v>0</v>
      </c>
      <c r="G2177">
        <f t="shared" si="133"/>
        <v>38022.24386807876</v>
      </c>
      <c r="H2177">
        <f t="shared" si="134"/>
        <v>26558.245888982376</v>
      </c>
      <c r="I2177" t="b">
        <f t="shared" si="135"/>
        <v>0</v>
      </c>
    </row>
    <row r="2178" spans="1:9">
      <c r="A2178" s="1">
        <v>46119.723611111112</v>
      </c>
      <c r="B2178" s="5">
        <f>_xlfn.XLOOKUP(A2178,Banks!A:A,Banks!H:H,0,-1)</f>
        <v>2620.7599344324522</v>
      </c>
      <c r="C2178">
        <f>_xlfn.XLOOKUP(A2178,Energy!A:A,Energy!H:H,0,-1)</f>
        <v>8833.8791302979953</v>
      </c>
      <c r="D2178">
        <f t="shared" si="132"/>
        <v>11454.639064730447</v>
      </c>
      <c r="E2178">
        <f>_xlfn.XLOOKUP(A2178,Banks!A:A,Banks!I:I,0)</f>
        <v>38024.11565095195</v>
      </c>
      <c r="F2178">
        <f>_xlfn.XLOOKUP(A2178,Energy!A:A,Energy!I:I,0)</f>
        <v>0</v>
      </c>
      <c r="G2178">
        <f t="shared" si="133"/>
        <v>38024.11565095195</v>
      </c>
      <c r="H2178">
        <f t="shared" si="134"/>
        <v>26569.476586221503</v>
      </c>
      <c r="I2178" t="b">
        <f t="shared" si="135"/>
        <v>0</v>
      </c>
    </row>
    <row r="2179" spans="1:9">
      <c r="A2179" s="1">
        <v>46119.724305555559</v>
      </c>
      <c r="B2179" s="5">
        <f>_xlfn.XLOOKUP(A2179,Banks!A:A,Banks!H:H,0,-1)</f>
        <v>2713.657019251888</v>
      </c>
      <c r="C2179">
        <f>_xlfn.XLOOKUP(A2179,Energy!A:A,Energy!H:H,0,-1)</f>
        <v>8833.8791302979953</v>
      </c>
      <c r="D2179">
        <f t="shared" ref="D2179:D2242" si="136">B2179+C2179</f>
        <v>11547.536149549884</v>
      </c>
      <c r="E2179">
        <f>_xlfn.XLOOKUP(A2179,Banks!A:A,Banks!I:I,0)</f>
        <v>38035.207936423103</v>
      </c>
      <c r="F2179">
        <f>_xlfn.XLOOKUP(A2179,Energy!A:A,Energy!I:I,0)</f>
        <v>0</v>
      </c>
      <c r="G2179">
        <f t="shared" ref="G2179:G2242" si="137">F2179+E2179</f>
        <v>38035.207936423103</v>
      </c>
      <c r="H2179">
        <f t="shared" ref="H2179:H2242" si="138">G2179-D2179</f>
        <v>26487.671786873219</v>
      </c>
      <c r="I2179" t="b">
        <f t="shared" ref="I2179:I2242" si="139">AND(E2179&gt;0,F2179&gt;0)</f>
        <v>0</v>
      </c>
    </row>
    <row r="2180" spans="1:9">
      <c r="A2180" s="1">
        <v>46119.724999999999</v>
      </c>
      <c r="B2180" s="5">
        <f>_xlfn.XLOOKUP(A2180,Banks!A:A,Banks!H:H,0,-1)</f>
        <v>2637.1907449871942</v>
      </c>
      <c r="C2180">
        <f>_xlfn.XLOOKUP(A2180,Energy!A:A,Energy!H:H,0,-1)</f>
        <v>8833.8791302979953</v>
      </c>
      <c r="D2180">
        <f t="shared" si="136"/>
        <v>11471.069875285189</v>
      </c>
      <c r="E2180">
        <f>_xlfn.XLOOKUP(A2180,Banks!A:A,Banks!I:I,0)</f>
        <v>38038.632510302021</v>
      </c>
      <c r="F2180">
        <f>_xlfn.XLOOKUP(A2180,Energy!A:A,Energy!I:I,0)</f>
        <v>0</v>
      </c>
      <c r="G2180">
        <f t="shared" si="137"/>
        <v>38038.632510302021</v>
      </c>
      <c r="H2180">
        <f t="shared" si="138"/>
        <v>26567.562635016831</v>
      </c>
      <c r="I2180" t="b">
        <f t="shared" si="139"/>
        <v>0</v>
      </c>
    </row>
    <row r="2181" spans="1:9">
      <c r="A2181" s="1">
        <v>46119.725694444453</v>
      </c>
      <c r="B2181" s="5">
        <f>_xlfn.XLOOKUP(A2181,Banks!A:A,Banks!H:H,0,-1)</f>
        <v>2627.8318306212559</v>
      </c>
      <c r="C2181">
        <f>_xlfn.XLOOKUP(A2181,Energy!A:A,Energy!H:H,0,-1)</f>
        <v>8833.8791302979953</v>
      </c>
      <c r="D2181">
        <f t="shared" si="136"/>
        <v>11461.710960919252</v>
      </c>
      <c r="E2181">
        <f>_xlfn.XLOOKUP(A2181,Banks!A:A,Banks!I:I,0)</f>
        <v>38040.504293175203</v>
      </c>
      <c r="F2181">
        <f>_xlfn.XLOOKUP(A2181,Energy!A:A,Energy!I:I,0)</f>
        <v>0</v>
      </c>
      <c r="G2181">
        <f t="shared" si="137"/>
        <v>38040.504293175203</v>
      </c>
      <c r="H2181">
        <f t="shared" si="138"/>
        <v>26578.793332255951</v>
      </c>
      <c r="I2181" t="b">
        <f t="shared" si="139"/>
        <v>0</v>
      </c>
    </row>
    <row r="2182" spans="1:9">
      <c r="A2182" s="1">
        <v>46119.726388888892</v>
      </c>
      <c r="B2182" s="5">
        <f>_xlfn.XLOOKUP(A2182,Banks!A:A,Banks!H:H,0,-1)</f>
        <v>2680.2925655613981</v>
      </c>
      <c r="C2182">
        <f>_xlfn.XLOOKUP(A2182,Energy!A:A,Energy!H:H,0,-1)</f>
        <v>8833.8791302979953</v>
      </c>
      <c r="D2182">
        <f t="shared" si="136"/>
        <v>11514.171695859393</v>
      </c>
      <c r="E2182">
        <f>_xlfn.XLOOKUP(A2182,Banks!A:A,Banks!I:I,0)</f>
        <v>38062.227137402348</v>
      </c>
      <c r="F2182">
        <f>_xlfn.XLOOKUP(A2182,Energy!A:A,Energy!I:I,0)</f>
        <v>0</v>
      </c>
      <c r="G2182">
        <f t="shared" si="137"/>
        <v>38062.227137402348</v>
      </c>
      <c r="H2182">
        <f t="shared" si="138"/>
        <v>26548.055441542954</v>
      </c>
      <c r="I2182" t="b">
        <f t="shared" si="139"/>
        <v>0</v>
      </c>
    </row>
    <row r="2183" spans="1:9">
      <c r="A2183" s="1">
        <v>46119.727083333331</v>
      </c>
      <c r="B2183" s="5">
        <f>_xlfn.XLOOKUP(A2183,Banks!A:A,Banks!H:H,0,-1)</f>
        <v>2642.8569080976708</v>
      </c>
      <c r="C2183">
        <f>_xlfn.XLOOKUP(A2183,Energy!A:A,Energy!H:H,0,-1)</f>
        <v>8833.8791302979953</v>
      </c>
      <c r="D2183">
        <f t="shared" si="136"/>
        <v>11476.736038395666</v>
      </c>
      <c r="E2183">
        <f>_xlfn.XLOOKUP(A2183,Banks!A:A,Banks!I:I,0)</f>
        <v>38069.714268895099</v>
      </c>
      <c r="F2183">
        <f>_xlfn.XLOOKUP(A2183,Energy!A:A,Energy!I:I,0)</f>
        <v>0</v>
      </c>
      <c r="G2183">
        <f t="shared" si="137"/>
        <v>38069.714268895099</v>
      </c>
      <c r="H2183">
        <f t="shared" si="138"/>
        <v>26592.978230499433</v>
      </c>
      <c r="I2183" t="b">
        <f t="shared" si="139"/>
        <v>0</v>
      </c>
    </row>
    <row r="2184" spans="1:9">
      <c r="A2184" s="1">
        <v>46119.727777777778</v>
      </c>
      <c r="B2184" s="5">
        <f>_xlfn.XLOOKUP(A2184,Banks!A:A,Banks!H:H,0,-1)</f>
        <v>2687.8889097297729</v>
      </c>
      <c r="C2184">
        <f>_xlfn.XLOOKUP(A2184,Energy!A:A,Energy!H:H,0,-1)</f>
        <v>8833.8791302979953</v>
      </c>
      <c r="D2184">
        <f t="shared" si="136"/>
        <v>11521.768040027768</v>
      </c>
      <c r="E2184">
        <f>_xlfn.XLOOKUP(A2184,Banks!A:A,Banks!I:I,0)</f>
        <v>38067.489971982402</v>
      </c>
      <c r="F2184">
        <f>_xlfn.XLOOKUP(A2184,Energy!A:A,Energy!I:I,0)</f>
        <v>0</v>
      </c>
      <c r="G2184">
        <f t="shared" si="137"/>
        <v>38067.489971982402</v>
      </c>
      <c r="H2184">
        <f t="shared" si="138"/>
        <v>26545.721931954635</v>
      </c>
      <c r="I2184" t="b">
        <f t="shared" si="139"/>
        <v>0</v>
      </c>
    </row>
    <row r="2185" spans="1:9">
      <c r="A2185" s="1">
        <v>46119.728472222218</v>
      </c>
      <c r="B2185" s="5">
        <f>_xlfn.XLOOKUP(A2185,Banks!A:A,Banks!H:H,0,-1)</f>
        <v>2636.2165561408278</v>
      </c>
      <c r="C2185">
        <f>_xlfn.XLOOKUP(A2185,Energy!A:A,Energy!H:H,0,-1)</f>
        <v>8833.8791302979953</v>
      </c>
      <c r="D2185">
        <f t="shared" si="136"/>
        <v>11470.095686438823</v>
      </c>
      <c r="E2185">
        <f>_xlfn.XLOOKUP(A2185,Banks!A:A,Banks!I:I,0)</f>
        <v>0</v>
      </c>
      <c r="F2185">
        <f>_xlfn.XLOOKUP(A2185,Energy!A:A,Energy!I:I,0)</f>
        <v>0</v>
      </c>
      <c r="G2185">
        <f t="shared" si="137"/>
        <v>0</v>
      </c>
      <c r="H2185">
        <f t="shared" si="138"/>
        <v>-11470.095686438823</v>
      </c>
      <c r="I2185" t="b">
        <f t="shared" si="139"/>
        <v>0</v>
      </c>
    </row>
    <row r="2186" spans="1:9">
      <c r="A2186" s="1">
        <v>46119.774305555547</v>
      </c>
      <c r="B2186" s="5">
        <f>_xlfn.XLOOKUP(A2186,Banks!A:A,Banks!H:H,0,-1)</f>
        <v>2636.2165561408278</v>
      </c>
      <c r="C2186">
        <f>_xlfn.XLOOKUP(A2186,Energy!A:A,Energy!H:H,0,-1)</f>
        <v>8833.8791302979953</v>
      </c>
      <c r="D2186">
        <f t="shared" si="136"/>
        <v>11470.095686438823</v>
      </c>
      <c r="E2186">
        <f>_xlfn.XLOOKUP(A2186,Banks!A:A,Banks!I:I,0)</f>
        <v>38083.630989762059</v>
      </c>
      <c r="F2186">
        <f>_xlfn.XLOOKUP(A2186,Energy!A:A,Energy!I:I,0)</f>
        <v>0</v>
      </c>
      <c r="G2186">
        <f t="shared" si="137"/>
        <v>38083.630989762059</v>
      </c>
      <c r="H2186">
        <f t="shared" si="138"/>
        <v>26613.535303323239</v>
      </c>
      <c r="I2186" t="b">
        <f t="shared" si="139"/>
        <v>0</v>
      </c>
    </row>
    <row r="2187" spans="1:9">
      <c r="A2187" s="1">
        <v>46119.775000000001</v>
      </c>
      <c r="B2187" s="5">
        <f>_xlfn.XLOOKUP(A2187,Banks!A:A,Banks!H:H,0,-1)</f>
        <v>2987.1902763998032</v>
      </c>
      <c r="C2187">
        <f>_xlfn.XLOOKUP(A2187,Energy!A:A,Energy!H:H,0,-1)</f>
        <v>8833.8791302979953</v>
      </c>
      <c r="D2187">
        <f t="shared" si="136"/>
        <v>11821.069406697799</v>
      </c>
      <c r="E2187">
        <f>_xlfn.XLOOKUP(A2187,Banks!A:A,Banks!I:I,0)</f>
        <v>38138.893395969702</v>
      </c>
      <c r="F2187">
        <f>_xlfn.XLOOKUP(A2187,Energy!A:A,Energy!I:I,0)</f>
        <v>0</v>
      </c>
      <c r="G2187">
        <f t="shared" si="137"/>
        <v>38138.893395969702</v>
      </c>
      <c r="H2187">
        <f t="shared" si="138"/>
        <v>26317.823989271903</v>
      </c>
      <c r="I2187" t="b">
        <f t="shared" si="139"/>
        <v>0</v>
      </c>
    </row>
    <row r="2188" spans="1:9">
      <c r="A2188" s="1">
        <v>46119.775694444441</v>
      </c>
      <c r="B2188" s="5">
        <f>_xlfn.XLOOKUP(A2188,Banks!A:A,Banks!H:H,0,-1)</f>
        <v>2986.7828211317569</v>
      </c>
      <c r="C2188">
        <f>_xlfn.XLOOKUP(A2188,Energy!A:A,Energy!H:H,0,-1)</f>
        <v>8833.8791302979953</v>
      </c>
      <c r="D2188">
        <f t="shared" si="136"/>
        <v>11820.661951429753</v>
      </c>
      <c r="E2188">
        <f>_xlfn.XLOOKUP(A2188,Banks!A:A,Banks!I:I,0)</f>
        <v>38131.345735994029</v>
      </c>
      <c r="F2188">
        <f>_xlfn.XLOOKUP(A2188,Energy!A:A,Energy!I:I,0)</f>
        <v>0</v>
      </c>
      <c r="G2188">
        <f t="shared" si="137"/>
        <v>38131.345735994029</v>
      </c>
      <c r="H2188">
        <f t="shared" si="138"/>
        <v>26310.683784564277</v>
      </c>
      <c r="I2188" t="b">
        <f t="shared" si="139"/>
        <v>0</v>
      </c>
    </row>
    <row r="2189" spans="1:9">
      <c r="A2189" s="1">
        <v>46119.776388888888</v>
      </c>
      <c r="B2189" s="5">
        <f>_xlfn.XLOOKUP(A2189,Banks!A:A,Banks!H:H,0,-1)</f>
        <v>3014.7809545895279</v>
      </c>
      <c r="C2189">
        <f>_xlfn.XLOOKUP(A2189,Energy!A:A,Energy!H:H,0,-1)</f>
        <v>8833.8791302979953</v>
      </c>
      <c r="D2189">
        <f t="shared" si="136"/>
        <v>11848.660084887524</v>
      </c>
      <c r="E2189">
        <f>_xlfn.XLOOKUP(A2189,Banks!A:A,Banks!I:I,0)</f>
        <v>38125.746109302469</v>
      </c>
      <c r="F2189">
        <f>_xlfn.XLOOKUP(A2189,Energy!A:A,Energy!I:I,0)</f>
        <v>0</v>
      </c>
      <c r="G2189">
        <f t="shared" si="137"/>
        <v>38125.746109302469</v>
      </c>
      <c r="H2189">
        <f t="shared" si="138"/>
        <v>26277.086024414944</v>
      </c>
      <c r="I2189" t="b">
        <f t="shared" si="139"/>
        <v>0</v>
      </c>
    </row>
    <row r="2190" spans="1:9">
      <c r="A2190" s="1">
        <v>46119.777083333327</v>
      </c>
      <c r="B2190" s="5">
        <f>_xlfn.XLOOKUP(A2190,Banks!A:A,Banks!H:H,0,-1)</f>
        <v>3014.7809545895279</v>
      </c>
      <c r="C2190">
        <f>_xlfn.XLOOKUP(A2190,Energy!A:A,Energy!H:H,0,-1)</f>
        <v>8833.8791302979953</v>
      </c>
      <c r="D2190">
        <f t="shared" si="136"/>
        <v>11848.660084887524</v>
      </c>
      <c r="E2190">
        <f>_xlfn.XLOOKUP(A2190,Banks!A:A,Banks!I:I,0)</f>
        <v>38125.746109302469</v>
      </c>
      <c r="F2190">
        <f>_xlfn.XLOOKUP(A2190,Energy!A:A,Energy!I:I,0)</f>
        <v>0</v>
      </c>
      <c r="G2190">
        <f t="shared" si="137"/>
        <v>38125.746109302469</v>
      </c>
      <c r="H2190">
        <f t="shared" si="138"/>
        <v>26277.086024414944</v>
      </c>
      <c r="I2190" t="b">
        <f t="shared" si="139"/>
        <v>0</v>
      </c>
    </row>
    <row r="2191" spans="1:9">
      <c r="A2191" s="1">
        <v>46119.777777777781</v>
      </c>
      <c r="B2191" s="5">
        <f>_xlfn.XLOOKUP(A2191,Banks!A:A,Banks!H:H,0,-1)</f>
        <v>2887.2761659702578</v>
      </c>
      <c r="C2191">
        <f>_xlfn.XLOOKUP(A2191,Energy!A:A,Energy!H:H,0,-1)</f>
        <v>8833.8791302979953</v>
      </c>
      <c r="D2191">
        <f t="shared" si="136"/>
        <v>11721.155296268253</v>
      </c>
      <c r="E2191">
        <f>_xlfn.XLOOKUP(A2191,Banks!A:A,Banks!I:I,0)</f>
        <v>0</v>
      </c>
      <c r="F2191">
        <f>_xlfn.XLOOKUP(A2191,Energy!A:A,Energy!I:I,0)</f>
        <v>0</v>
      </c>
      <c r="G2191">
        <f t="shared" si="137"/>
        <v>0</v>
      </c>
      <c r="H2191">
        <f t="shared" si="138"/>
        <v>-11721.155296268253</v>
      </c>
      <c r="I2191" t="b">
        <f t="shared" si="139"/>
        <v>0</v>
      </c>
    </row>
    <row r="2192" spans="1:9">
      <c r="A2192" s="1">
        <v>46119.870138888888</v>
      </c>
      <c r="B2192" s="5">
        <f>_xlfn.XLOOKUP(A2192,Banks!A:A,Banks!H:H,0,-1)</f>
        <v>2887.2761659702578</v>
      </c>
      <c r="C2192">
        <f>_xlfn.XLOOKUP(A2192,Energy!A:A,Energy!H:H,0,-1)</f>
        <v>8833.8791302979953</v>
      </c>
      <c r="D2192">
        <f t="shared" si="136"/>
        <v>11721.155296268253</v>
      </c>
      <c r="E2192">
        <f>_xlfn.XLOOKUP(A2192,Banks!A:A,Banks!I:I,0)</f>
        <v>38083.630989762059</v>
      </c>
      <c r="F2192">
        <f>_xlfn.XLOOKUP(A2192,Energy!A:A,Energy!I:I,0)</f>
        <v>0</v>
      </c>
      <c r="G2192">
        <f t="shared" si="137"/>
        <v>38083.630989762059</v>
      </c>
      <c r="H2192">
        <f t="shared" si="138"/>
        <v>26362.475693493805</v>
      </c>
      <c r="I2192" t="b">
        <f t="shared" si="139"/>
        <v>0</v>
      </c>
    </row>
    <row r="2193" spans="1:9">
      <c r="A2193" s="1">
        <v>46119.870833333327</v>
      </c>
      <c r="B2193" s="5">
        <f>_xlfn.XLOOKUP(A2193,Banks!A:A,Banks!H:H,0,-1)</f>
        <v>2984.6248239461129</v>
      </c>
      <c r="C2193">
        <f>_xlfn.XLOOKUP(A2193,Energy!A:A,Energy!H:H,0,-1)</f>
        <v>8833.8791302979953</v>
      </c>
      <c r="D2193">
        <f t="shared" si="136"/>
        <v>11818.503954244108</v>
      </c>
      <c r="E2193">
        <f>_xlfn.XLOOKUP(A2193,Banks!A:A,Banks!I:I,0)</f>
        <v>38047.307528126803</v>
      </c>
      <c r="F2193">
        <f>_xlfn.XLOOKUP(A2193,Energy!A:A,Energy!I:I,0)</f>
        <v>0</v>
      </c>
      <c r="G2193">
        <f t="shared" si="137"/>
        <v>38047.307528126803</v>
      </c>
      <c r="H2193">
        <f t="shared" si="138"/>
        <v>26228.803573882695</v>
      </c>
      <c r="I2193" t="b">
        <f t="shared" si="139"/>
        <v>0</v>
      </c>
    </row>
    <row r="2194" spans="1:9">
      <c r="A2194" s="1">
        <v>46119.871527777781</v>
      </c>
      <c r="B2194" s="5">
        <f>_xlfn.XLOOKUP(A2194,Banks!A:A,Banks!H:H,0,-1)</f>
        <v>2834.0293992401998</v>
      </c>
      <c r="C2194">
        <f>_xlfn.XLOOKUP(A2194,Energy!A:A,Energy!H:H,0,-1)</f>
        <v>8833.8791302979953</v>
      </c>
      <c r="D2194">
        <f t="shared" si="136"/>
        <v>11667.908529538196</v>
      </c>
      <c r="E2194">
        <f>_xlfn.XLOOKUP(A2194,Banks!A:A,Banks!I:I,0)</f>
        <v>38039.505720477777</v>
      </c>
      <c r="F2194">
        <f>_xlfn.XLOOKUP(A2194,Energy!A:A,Energy!I:I,0)</f>
        <v>0</v>
      </c>
      <c r="G2194">
        <f t="shared" si="137"/>
        <v>38039.505720477777</v>
      </c>
      <c r="H2194">
        <f t="shared" si="138"/>
        <v>26371.597190939581</v>
      </c>
      <c r="I2194" t="b">
        <f t="shared" si="139"/>
        <v>0</v>
      </c>
    </row>
    <row r="2195" spans="1:9">
      <c r="A2195" s="1">
        <v>46119.87222222222</v>
      </c>
      <c r="B2195" s="5">
        <f>_xlfn.XLOOKUP(A2195,Banks!A:A,Banks!H:H,0,-1)</f>
        <v>2758.913044496393</v>
      </c>
      <c r="C2195">
        <f>_xlfn.XLOOKUP(A2195,Energy!A:A,Energy!H:H,0,-1)</f>
        <v>8833.8791302979953</v>
      </c>
      <c r="D2195">
        <f t="shared" si="136"/>
        <v>11592.792174794387</v>
      </c>
      <c r="E2195">
        <f>_xlfn.XLOOKUP(A2195,Banks!A:A,Banks!I:I,0)</f>
        <v>38039.360634390461</v>
      </c>
      <c r="F2195">
        <f>_xlfn.XLOOKUP(A2195,Energy!A:A,Energy!I:I,0)</f>
        <v>0</v>
      </c>
      <c r="G2195">
        <f t="shared" si="137"/>
        <v>38039.360634390461</v>
      </c>
      <c r="H2195">
        <f t="shared" si="138"/>
        <v>26446.568459596074</v>
      </c>
      <c r="I2195" t="b">
        <f t="shared" si="139"/>
        <v>0</v>
      </c>
    </row>
    <row r="2196" spans="1:9">
      <c r="A2196" s="1">
        <v>46119.872916666667</v>
      </c>
      <c r="B2196" s="5">
        <f>_xlfn.XLOOKUP(A2196,Banks!A:A,Banks!H:H,0,-1)</f>
        <v>2728.5470164078711</v>
      </c>
      <c r="C2196">
        <f>_xlfn.XLOOKUP(A2196,Energy!A:A,Energy!H:H,0,-1)</f>
        <v>8833.8791302979953</v>
      </c>
      <c r="D2196">
        <f t="shared" si="136"/>
        <v>11562.426146705866</v>
      </c>
      <c r="E2196">
        <f>_xlfn.XLOOKUP(A2196,Banks!A:A,Banks!I:I,0)</f>
        <v>38037.00697498813</v>
      </c>
      <c r="F2196">
        <f>_xlfn.XLOOKUP(A2196,Energy!A:A,Energy!I:I,0)</f>
        <v>0</v>
      </c>
      <c r="G2196">
        <f t="shared" si="137"/>
        <v>38037.00697498813</v>
      </c>
      <c r="H2196">
        <f t="shared" si="138"/>
        <v>26474.580828282262</v>
      </c>
      <c r="I2196" t="b">
        <f t="shared" si="139"/>
        <v>0</v>
      </c>
    </row>
    <row r="2197" spans="1:9">
      <c r="A2197" s="1">
        <v>46119.873611111107</v>
      </c>
      <c r="B2197" s="5">
        <f>_xlfn.XLOOKUP(A2197,Banks!A:A,Banks!H:H,0,-1)</f>
        <v>2631.4219235408641</v>
      </c>
      <c r="C2197">
        <f>_xlfn.XLOOKUP(A2197,Energy!A:A,Energy!H:H,0,-1)</f>
        <v>8833.8791302979953</v>
      </c>
      <c r="D2197">
        <f t="shared" si="136"/>
        <v>11465.301053838859</v>
      </c>
      <c r="E2197">
        <f>_xlfn.XLOOKUP(A2197,Banks!A:A,Banks!I:I,0)</f>
        <v>37991.545132907188</v>
      </c>
      <c r="F2197">
        <f>_xlfn.XLOOKUP(A2197,Energy!A:A,Energy!I:I,0)</f>
        <v>0</v>
      </c>
      <c r="G2197">
        <f t="shared" si="137"/>
        <v>37991.545132907188</v>
      </c>
      <c r="H2197">
        <f t="shared" si="138"/>
        <v>26526.244079068329</v>
      </c>
      <c r="I2197" t="b">
        <f t="shared" si="139"/>
        <v>0</v>
      </c>
    </row>
    <row r="2198" spans="1:9">
      <c r="A2198" s="1">
        <v>46119.874305555553</v>
      </c>
      <c r="B2198" s="5">
        <f>_xlfn.XLOOKUP(A2198,Banks!A:A,Banks!H:H,0,-1)</f>
        <v>2758.3341841415809</v>
      </c>
      <c r="C2198">
        <f>_xlfn.XLOOKUP(A2198,Energy!A:A,Energy!H:H,0,-1)</f>
        <v>8833.8791302979953</v>
      </c>
      <c r="D2198">
        <f t="shared" si="136"/>
        <v>11592.213314439576</v>
      </c>
      <c r="E2198">
        <f>_xlfn.XLOOKUP(A2198,Banks!A:A,Banks!I:I,0)</f>
        <v>38005.768946381249</v>
      </c>
      <c r="F2198">
        <f>_xlfn.XLOOKUP(A2198,Energy!A:A,Energy!I:I,0)</f>
        <v>0</v>
      </c>
      <c r="G2198">
        <f t="shared" si="137"/>
        <v>38005.768946381249</v>
      </c>
      <c r="H2198">
        <f t="shared" si="138"/>
        <v>26413.555631941672</v>
      </c>
      <c r="I2198" t="b">
        <f t="shared" si="139"/>
        <v>0</v>
      </c>
    </row>
    <row r="2199" spans="1:9">
      <c r="A2199" s="1">
        <v>46120.572916666657</v>
      </c>
      <c r="B2199" s="5">
        <f>_xlfn.XLOOKUP(A2199,Banks!A:A,Banks!H:H,0,-1)</f>
        <v>2758.3341841415809</v>
      </c>
      <c r="C2199">
        <f>_xlfn.XLOOKUP(A2199,Energy!A:A,Energy!H:H,0,-1)</f>
        <v>8833.8791302979953</v>
      </c>
      <c r="D2199">
        <f t="shared" si="136"/>
        <v>11592.213314439576</v>
      </c>
      <c r="E2199">
        <f>_xlfn.XLOOKUP(A2199,Banks!A:A,Banks!I:I,0)</f>
        <v>38005.768946381249</v>
      </c>
      <c r="F2199">
        <f>_xlfn.XLOOKUP(A2199,Energy!A:A,Energy!I:I,0)</f>
        <v>0</v>
      </c>
      <c r="G2199">
        <f t="shared" si="137"/>
        <v>38005.768946381249</v>
      </c>
      <c r="H2199">
        <f t="shared" si="138"/>
        <v>26413.555631941672</v>
      </c>
      <c r="I2199" t="b">
        <f t="shared" si="139"/>
        <v>0</v>
      </c>
    </row>
    <row r="2200" spans="1:9">
      <c r="A2200" s="1">
        <v>46120.604166666657</v>
      </c>
      <c r="B2200" s="5">
        <f>_xlfn.XLOOKUP(A2200,Banks!A:A,Banks!H:H,0,-1)</f>
        <v>1647.6429628645351</v>
      </c>
      <c r="C2200">
        <f>_xlfn.XLOOKUP(A2200,Energy!A:A,Energy!H:H,0,-1)</f>
        <v>8833.8791302979953</v>
      </c>
      <c r="D2200">
        <f t="shared" si="136"/>
        <v>10481.52209316253</v>
      </c>
      <c r="E2200">
        <f>_xlfn.XLOOKUP(A2200,Banks!A:A,Banks!I:I,0)</f>
        <v>39070.593692641</v>
      </c>
      <c r="F2200">
        <f>_xlfn.XLOOKUP(A2200,Energy!A:A,Energy!I:I,0)</f>
        <v>0</v>
      </c>
      <c r="G2200">
        <f t="shared" si="137"/>
        <v>39070.593692641</v>
      </c>
      <c r="H2200">
        <f t="shared" si="138"/>
        <v>28589.07159947847</v>
      </c>
      <c r="I2200" t="b">
        <f t="shared" si="139"/>
        <v>0</v>
      </c>
    </row>
    <row r="2201" spans="1:9">
      <c r="A2201" s="1">
        <v>46120.604861111111</v>
      </c>
      <c r="B2201" s="5">
        <f>_xlfn.XLOOKUP(A2201,Banks!A:A,Banks!H:H,0,-1)</f>
        <v>2024.089317129632</v>
      </c>
      <c r="C2201">
        <f>_xlfn.XLOOKUP(A2201,Energy!A:A,Energy!H:H,0,-1)</f>
        <v>8833.8791302979953</v>
      </c>
      <c r="D2201">
        <f t="shared" si="136"/>
        <v>10857.968447427627</v>
      </c>
      <c r="E2201">
        <f>_xlfn.XLOOKUP(A2201,Banks!A:A,Banks!I:I,0)</f>
        <v>39175.63933321691</v>
      </c>
      <c r="F2201">
        <f>_xlfn.XLOOKUP(A2201,Energy!A:A,Energy!I:I,0)</f>
        <v>44412.436372626988</v>
      </c>
      <c r="G2201">
        <f t="shared" si="137"/>
        <v>83588.07570584389</v>
      </c>
      <c r="H2201">
        <f t="shared" si="138"/>
        <v>72730.107258416261</v>
      </c>
      <c r="I2201" t="b">
        <f t="shared" si="139"/>
        <v>1</v>
      </c>
    </row>
    <row r="2202" spans="1:9">
      <c r="A2202" s="1">
        <v>46120.605555555558</v>
      </c>
      <c r="B2202" s="5">
        <f>_xlfn.XLOOKUP(A2202,Banks!A:A,Banks!H:H,0,-1)</f>
        <v>2289.3815752068722</v>
      </c>
      <c r="C2202">
        <f>_xlfn.XLOOKUP(A2202,Energy!A:A,Energy!H:H,0,-1)</f>
        <v>9478.796207971609</v>
      </c>
      <c r="D2202">
        <f t="shared" si="136"/>
        <v>11768.177783178482</v>
      </c>
      <c r="E2202">
        <f>_xlfn.XLOOKUP(A2202,Banks!A:A,Banks!I:I,0)</f>
        <v>39355.162356154658</v>
      </c>
      <c r="F2202">
        <f>_xlfn.XLOOKUP(A2202,Energy!A:A,Energy!I:I,0)</f>
        <v>44273.044755697003</v>
      </c>
      <c r="G2202">
        <f t="shared" si="137"/>
        <v>83628.207111851661</v>
      </c>
      <c r="H2202">
        <f t="shared" si="138"/>
        <v>71860.029328673176</v>
      </c>
      <c r="I2202" t="b">
        <f t="shared" si="139"/>
        <v>1</v>
      </c>
    </row>
    <row r="2203" spans="1:9">
      <c r="A2203" s="1">
        <v>46120.606249999997</v>
      </c>
      <c r="B2203" s="5">
        <f>_xlfn.XLOOKUP(A2203,Banks!A:A,Banks!H:H,0,-1)</f>
        <v>2278.3387086317412</v>
      </c>
      <c r="C2203">
        <f>_xlfn.XLOOKUP(A2203,Energy!A:A,Energy!H:H,0,-1)</f>
        <v>9408.6830895411094</v>
      </c>
      <c r="D2203">
        <f t="shared" si="136"/>
        <v>11687.021798172851</v>
      </c>
      <c r="E2203">
        <f>_xlfn.XLOOKUP(A2203,Banks!A:A,Banks!I:I,0)</f>
        <v>39364.112421485719</v>
      </c>
      <c r="F2203">
        <f>_xlfn.XLOOKUP(A2203,Energy!A:A,Energy!I:I,0)</f>
        <v>44236.513258320309</v>
      </c>
      <c r="G2203">
        <f t="shared" si="137"/>
        <v>83600.62567980602</v>
      </c>
      <c r="H2203">
        <f t="shared" si="138"/>
        <v>71913.603881633171</v>
      </c>
      <c r="I2203" t="b">
        <f t="shared" si="139"/>
        <v>1</v>
      </c>
    </row>
    <row r="2204" spans="1:9">
      <c r="A2204" s="1">
        <v>46120.606944444437</v>
      </c>
      <c r="B2204" s="5">
        <f>_xlfn.XLOOKUP(A2204,Banks!A:A,Banks!H:H,0,-1)</f>
        <v>2190.219341139582</v>
      </c>
      <c r="C2204">
        <f>_xlfn.XLOOKUP(A2204,Energy!A:A,Energy!H:H,0,-1)</f>
        <v>9259.1614778594903</v>
      </c>
      <c r="D2204">
        <f t="shared" si="136"/>
        <v>11449.380818999072</v>
      </c>
      <c r="E2204">
        <f>_xlfn.XLOOKUP(A2204,Banks!A:A,Banks!I:I,0)</f>
        <v>39353.927640418013</v>
      </c>
      <c r="F2204">
        <f>_xlfn.XLOOKUP(A2204,Energy!A:A,Energy!I:I,0)</f>
        <v>44293.181527101638</v>
      </c>
      <c r="G2204">
        <f t="shared" si="137"/>
        <v>83647.109167519651</v>
      </c>
      <c r="H2204">
        <f t="shared" si="138"/>
        <v>72197.728348520584</v>
      </c>
      <c r="I2204" t="b">
        <f t="shared" si="139"/>
        <v>1</v>
      </c>
    </row>
    <row r="2205" spans="1:9">
      <c r="A2205" s="1">
        <v>46120.607638888891</v>
      </c>
      <c r="B2205" s="5">
        <f>_xlfn.XLOOKUP(A2205,Banks!A:A,Banks!H:H,0,-1)</f>
        <v>2254.223254253533</v>
      </c>
      <c r="C2205">
        <f>_xlfn.XLOOKUP(A2205,Energy!A:A,Energy!H:H,0,-1)</f>
        <v>9577.6411449580828</v>
      </c>
      <c r="D2205">
        <f t="shared" si="136"/>
        <v>11831.864399211616</v>
      </c>
      <c r="E2205">
        <f>_xlfn.XLOOKUP(A2205,Banks!A:A,Banks!I:I,0)</f>
        <v>39318.374322241099</v>
      </c>
      <c r="F2205">
        <f>_xlfn.XLOOKUP(A2205,Energy!A:A,Energy!I:I,0)</f>
        <v>44497.125058131947</v>
      </c>
      <c r="G2205">
        <f t="shared" si="137"/>
        <v>83815.499380373047</v>
      </c>
      <c r="H2205">
        <f t="shared" si="138"/>
        <v>71983.634981161435</v>
      </c>
      <c r="I2205" t="b">
        <f t="shared" si="139"/>
        <v>1</v>
      </c>
    </row>
    <row r="2206" spans="1:9">
      <c r="A2206" s="1">
        <v>46120.60833333333</v>
      </c>
      <c r="B2206" s="5">
        <f>_xlfn.XLOOKUP(A2206,Banks!A:A,Banks!H:H,0,-1)</f>
        <v>2290.4771408340821</v>
      </c>
      <c r="C2206">
        <f>_xlfn.XLOOKUP(A2206,Energy!A:A,Energy!H:H,0,-1)</f>
        <v>9540.9876353050204</v>
      </c>
      <c r="D2206">
        <f t="shared" si="136"/>
        <v>11831.464776139102</v>
      </c>
      <c r="E2206">
        <f>_xlfn.XLOOKUP(A2206,Banks!A:A,Banks!I:I,0)</f>
        <v>39269.831906326777</v>
      </c>
      <c r="F2206">
        <f>_xlfn.XLOOKUP(A2206,Energy!A:A,Energy!I:I,0)</f>
        <v>44204.104805513081</v>
      </c>
      <c r="G2206">
        <f t="shared" si="137"/>
        <v>83473.936711839866</v>
      </c>
      <c r="H2206">
        <f t="shared" si="138"/>
        <v>71642.471935700771</v>
      </c>
      <c r="I2206" t="b">
        <f t="shared" si="139"/>
        <v>1</v>
      </c>
    </row>
    <row r="2207" spans="1:9">
      <c r="A2207" s="1">
        <v>46120.609027777777</v>
      </c>
      <c r="B2207" s="5">
        <f>_xlfn.XLOOKUP(A2207,Banks!A:A,Banks!H:H,0,-1)</f>
        <v>2169.591888834816</v>
      </c>
      <c r="C2207">
        <f>_xlfn.XLOOKUP(A2207,Energy!A:A,Energy!H:H,0,-1)</f>
        <v>9088.6458467152934</v>
      </c>
      <c r="D2207">
        <f t="shared" si="136"/>
        <v>11258.237735550108</v>
      </c>
      <c r="E2207">
        <f>_xlfn.XLOOKUP(A2207,Banks!A:A,Banks!I:I,0)</f>
        <v>39294.008956726633</v>
      </c>
      <c r="F2207">
        <f>_xlfn.XLOOKUP(A2207,Energy!A:A,Energy!I:I,0)</f>
        <v>44294.573163231027</v>
      </c>
      <c r="G2207">
        <f t="shared" si="137"/>
        <v>83588.58211995766</v>
      </c>
      <c r="H2207">
        <f t="shared" si="138"/>
        <v>72330.344384407552</v>
      </c>
      <c r="I2207" t="b">
        <f t="shared" si="139"/>
        <v>1</v>
      </c>
    </row>
    <row r="2208" spans="1:9">
      <c r="A2208" s="1">
        <v>46120.609722222223</v>
      </c>
      <c r="B2208" s="5">
        <f>_xlfn.XLOOKUP(A2208,Banks!A:A,Banks!H:H,0,-1)</f>
        <v>2113.1428402225411</v>
      </c>
      <c r="C2208">
        <f>_xlfn.XLOOKUP(A2208,Energy!A:A,Energy!H:H,0,-1)</f>
        <v>9984.4356915683711</v>
      </c>
      <c r="D2208">
        <f t="shared" si="136"/>
        <v>12097.578531790912</v>
      </c>
      <c r="E2208">
        <f>_xlfn.XLOOKUP(A2208,Banks!A:A,Banks!I:I,0)</f>
        <v>39334.792794019253</v>
      </c>
      <c r="F2208">
        <f>_xlfn.XLOOKUP(A2208,Energy!A:A,Energy!I:I,0)</f>
        <v>0</v>
      </c>
      <c r="G2208">
        <f t="shared" si="137"/>
        <v>39334.792794019253</v>
      </c>
      <c r="H2208">
        <f t="shared" si="138"/>
        <v>27237.214262228343</v>
      </c>
      <c r="I2208" t="b">
        <f t="shared" si="139"/>
        <v>0</v>
      </c>
    </row>
    <row r="2209" spans="1:9">
      <c r="A2209" s="1">
        <v>46120.61041666667</v>
      </c>
      <c r="B2209" s="5">
        <f>_xlfn.XLOOKUP(A2209,Banks!A:A,Banks!H:H,0,-1)</f>
        <v>2492.938046451618</v>
      </c>
      <c r="C2209">
        <f>_xlfn.XLOOKUP(A2209,Energy!A:A,Energy!H:H,0,-1)</f>
        <v>9984.4356915683711</v>
      </c>
      <c r="D2209">
        <f t="shared" si="136"/>
        <v>12477.373738019989</v>
      </c>
      <c r="E2209">
        <f>_xlfn.XLOOKUP(A2209,Banks!A:A,Banks!I:I,0)</f>
        <v>39336.360910957817</v>
      </c>
      <c r="F2209">
        <f>_xlfn.XLOOKUP(A2209,Energy!A:A,Energy!I:I,0)</f>
        <v>0</v>
      </c>
      <c r="G2209">
        <f t="shared" si="137"/>
        <v>39336.360910957817</v>
      </c>
      <c r="H2209">
        <f t="shared" si="138"/>
        <v>26858.987172937828</v>
      </c>
      <c r="I2209" t="b">
        <f t="shared" si="139"/>
        <v>0</v>
      </c>
    </row>
    <row r="2210" spans="1:9">
      <c r="A2210" s="1">
        <v>46120.611111111109</v>
      </c>
      <c r="B2210" s="5">
        <f>_xlfn.XLOOKUP(A2210,Banks!A:A,Banks!H:H,0,-1)</f>
        <v>2543.0144320139302</v>
      </c>
      <c r="C2210">
        <f>_xlfn.XLOOKUP(A2210,Energy!A:A,Energy!H:H,0,-1)</f>
        <v>9984.4356915683711</v>
      </c>
      <c r="D2210">
        <f t="shared" si="136"/>
        <v>12527.450123582301</v>
      </c>
      <c r="E2210">
        <f>_xlfn.XLOOKUP(A2210,Banks!A:A,Banks!I:I,0)</f>
        <v>0</v>
      </c>
      <c r="F2210">
        <f>_xlfn.XLOOKUP(A2210,Energy!A:A,Energy!I:I,0)</f>
        <v>0</v>
      </c>
      <c r="G2210">
        <f t="shared" si="137"/>
        <v>0</v>
      </c>
      <c r="H2210">
        <f t="shared" si="138"/>
        <v>-12527.450123582301</v>
      </c>
      <c r="I2210" t="b">
        <f t="shared" si="139"/>
        <v>0</v>
      </c>
    </row>
    <row r="2211" spans="1:9">
      <c r="A2211" s="1">
        <v>46121.694444444453</v>
      </c>
      <c r="B2211" s="5">
        <f>_xlfn.XLOOKUP(A2211,Banks!A:A,Banks!H:H,0,-1)</f>
        <v>2543.0144320139302</v>
      </c>
      <c r="C2211">
        <f>_xlfn.XLOOKUP(A2211,Energy!A:A,Energy!H:H,0,-1)</f>
        <v>9984.4356915683711</v>
      </c>
      <c r="D2211">
        <f t="shared" si="136"/>
        <v>12527.450123582301</v>
      </c>
      <c r="E2211">
        <f>_xlfn.XLOOKUP(A2211,Banks!A:A,Banks!I:I,0)</f>
        <v>38083.630989762059</v>
      </c>
      <c r="F2211">
        <f>_xlfn.XLOOKUP(A2211,Energy!A:A,Energy!I:I,0)</f>
        <v>0</v>
      </c>
      <c r="G2211">
        <f t="shared" si="137"/>
        <v>38083.630989762059</v>
      </c>
      <c r="H2211">
        <f t="shared" si="138"/>
        <v>25556.180866179759</v>
      </c>
      <c r="I2211" t="b">
        <f t="shared" si="139"/>
        <v>0</v>
      </c>
    </row>
    <row r="2212" spans="1:9">
      <c r="A2212" s="1">
        <v>46121.695138888892</v>
      </c>
      <c r="B2212" s="5">
        <f>_xlfn.XLOOKUP(A2212,Banks!A:A,Banks!H:H,0,-1)</f>
        <v>2686.430428256037</v>
      </c>
      <c r="C2212">
        <f>_xlfn.XLOOKUP(A2212,Energy!A:A,Energy!H:H,0,-1)</f>
        <v>9984.4356915683711</v>
      </c>
      <c r="D2212">
        <f t="shared" si="136"/>
        <v>12670.866119824408</v>
      </c>
      <c r="E2212">
        <f>_xlfn.XLOOKUP(A2212,Banks!A:A,Banks!I:I,0)</f>
        <v>38069.594359889787</v>
      </c>
      <c r="F2212">
        <f>_xlfn.XLOOKUP(A2212,Energy!A:A,Energy!I:I,0)</f>
        <v>0</v>
      </c>
      <c r="G2212">
        <f t="shared" si="137"/>
        <v>38069.594359889787</v>
      </c>
      <c r="H2212">
        <f t="shared" si="138"/>
        <v>25398.728240065378</v>
      </c>
      <c r="I2212" t="b">
        <f t="shared" si="139"/>
        <v>0</v>
      </c>
    </row>
    <row r="2213" spans="1:9">
      <c r="A2213" s="1">
        <v>46121.695833333331</v>
      </c>
      <c r="B2213" s="5">
        <f>_xlfn.XLOOKUP(A2213,Banks!A:A,Banks!H:H,0,-1)</f>
        <v>2713.130321456465</v>
      </c>
      <c r="C2213">
        <f>_xlfn.XLOOKUP(A2213,Energy!A:A,Energy!H:H,0,-1)</f>
        <v>9984.4356915683711</v>
      </c>
      <c r="D2213">
        <f t="shared" si="136"/>
        <v>12697.566013024836</v>
      </c>
      <c r="E2213">
        <f>_xlfn.XLOOKUP(A2213,Banks!A:A,Banks!I:I,0)</f>
        <v>38064.25438124971</v>
      </c>
      <c r="F2213">
        <f>_xlfn.XLOOKUP(A2213,Energy!A:A,Energy!I:I,0)</f>
        <v>0</v>
      </c>
      <c r="G2213">
        <f t="shared" si="137"/>
        <v>38064.25438124971</v>
      </c>
      <c r="H2213">
        <f t="shared" si="138"/>
        <v>25366.688368224874</v>
      </c>
      <c r="I2213" t="b">
        <f t="shared" si="139"/>
        <v>0</v>
      </c>
    </row>
    <row r="2214" spans="1:9">
      <c r="A2214" s="1">
        <v>46121.696527777778</v>
      </c>
      <c r="B2214" s="5">
        <f>_xlfn.XLOOKUP(A2214,Banks!A:A,Banks!H:H,0,-1)</f>
        <v>2686.430428256037</v>
      </c>
      <c r="C2214">
        <f>_xlfn.XLOOKUP(A2214,Energy!A:A,Energy!H:H,0,-1)</f>
        <v>9984.4356915683711</v>
      </c>
      <c r="D2214">
        <f t="shared" si="136"/>
        <v>12670.866119824408</v>
      </c>
      <c r="E2214">
        <f>_xlfn.XLOOKUP(A2214,Banks!A:A,Banks!I:I,0)</f>
        <v>38069.594359889787</v>
      </c>
      <c r="F2214">
        <f>_xlfn.XLOOKUP(A2214,Energy!A:A,Energy!I:I,0)</f>
        <v>0</v>
      </c>
      <c r="G2214">
        <f t="shared" si="137"/>
        <v>38069.594359889787</v>
      </c>
      <c r="H2214">
        <f t="shared" si="138"/>
        <v>25398.728240065378</v>
      </c>
      <c r="I2214" t="b">
        <f t="shared" si="139"/>
        <v>0</v>
      </c>
    </row>
    <row r="2215" spans="1:9">
      <c r="A2215" s="1">
        <v>46121.697222222218</v>
      </c>
      <c r="B2215" s="5">
        <f>_xlfn.XLOOKUP(A2215,Banks!A:A,Banks!H:H,0,-1)</f>
        <v>2612.9417688147232</v>
      </c>
      <c r="C2215">
        <f>_xlfn.XLOOKUP(A2215,Energy!A:A,Energy!H:H,0,-1)</f>
        <v>9984.4356915683711</v>
      </c>
      <c r="D2215">
        <f t="shared" si="136"/>
        <v>12597.377460383093</v>
      </c>
      <c r="E2215">
        <f>_xlfn.XLOOKUP(A2215,Banks!A:A,Banks!I:I,0)</f>
        <v>38094.05647136215</v>
      </c>
      <c r="F2215">
        <f>_xlfn.XLOOKUP(A2215,Energy!A:A,Energy!I:I,0)</f>
        <v>0</v>
      </c>
      <c r="G2215">
        <f t="shared" si="137"/>
        <v>38094.05647136215</v>
      </c>
      <c r="H2215">
        <f t="shared" si="138"/>
        <v>25496.679010979056</v>
      </c>
      <c r="I2215" t="b">
        <f t="shared" si="139"/>
        <v>0</v>
      </c>
    </row>
    <row r="2216" spans="1:9">
      <c r="A2216" s="1">
        <v>46121.697916666657</v>
      </c>
      <c r="B2216" s="5">
        <f>_xlfn.XLOOKUP(A2216,Banks!A:A,Banks!H:H,0,-1)</f>
        <v>2652.61011790867</v>
      </c>
      <c r="C2216">
        <f>_xlfn.XLOOKUP(A2216,Energy!A:A,Energy!H:H,0,-1)</f>
        <v>9984.4356915683711</v>
      </c>
      <c r="D2216">
        <f t="shared" si="136"/>
        <v>12637.04580947704</v>
      </c>
      <c r="E2216">
        <f>_xlfn.XLOOKUP(A2216,Banks!A:A,Banks!I:I,0)</f>
        <v>38087.750198140719</v>
      </c>
      <c r="F2216">
        <f>_xlfn.XLOOKUP(A2216,Energy!A:A,Energy!I:I,0)</f>
        <v>0</v>
      </c>
      <c r="G2216">
        <f t="shared" si="137"/>
        <v>38087.750198140719</v>
      </c>
      <c r="H2216">
        <f t="shared" si="138"/>
        <v>25450.704388663678</v>
      </c>
      <c r="I2216" t="b">
        <f t="shared" si="139"/>
        <v>0</v>
      </c>
    </row>
    <row r="2217" spans="1:9">
      <c r="A2217" s="1">
        <v>46121.698611111111</v>
      </c>
      <c r="B2217" s="5">
        <f>_xlfn.XLOOKUP(A2217,Banks!A:A,Banks!H:H,0,-1)</f>
        <v>2660.2388179755071</v>
      </c>
      <c r="C2217">
        <f>_xlfn.XLOOKUP(A2217,Energy!A:A,Energy!H:H,0,-1)</f>
        <v>9984.4356915683711</v>
      </c>
      <c r="D2217">
        <f t="shared" si="136"/>
        <v>12644.674509543878</v>
      </c>
      <c r="E2217">
        <f>_xlfn.XLOOKUP(A2217,Banks!A:A,Banks!I:I,0)</f>
        <v>38082.155966633982</v>
      </c>
      <c r="F2217">
        <f>_xlfn.XLOOKUP(A2217,Energy!A:A,Energy!I:I,0)</f>
        <v>0</v>
      </c>
      <c r="G2217">
        <f t="shared" si="137"/>
        <v>38082.155966633982</v>
      </c>
      <c r="H2217">
        <f t="shared" si="138"/>
        <v>25437.481457090104</v>
      </c>
      <c r="I2217" t="b">
        <f t="shared" si="139"/>
        <v>0</v>
      </c>
    </row>
    <row r="2218" spans="1:9">
      <c r="A2218" s="1">
        <v>46121.699305555558</v>
      </c>
      <c r="B2218" s="5">
        <f>_xlfn.XLOOKUP(A2218,Banks!A:A,Banks!H:H,0,-1)</f>
        <v>2635.826754948208</v>
      </c>
      <c r="C2218">
        <f>_xlfn.XLOOKUP(A2218,Energy!A:A,Energy!H:H,0,-1)</f>
        <v>9984.4356915683711</v>
      </c>
      <c r="D2218">
        <f t="shared" si="136"/>
        <v>12620.262446516579</v>
      </c>
      <c r="E2218">
        <f>_xlfn.XLOOKUP(A2218,Banks!A:A,Banks!I:I,0)</f>
        <v>38105.753440108972</v>
      </c>
      <c r="F2218">
        <f>_xlfn.XLOOKUP(A2218,Energy!A:A,Energy!I:I,0)</f>
        <v>0</v>
      </c>
      <c r="G2218">
        <f t="shared" si="137"/>
        <v>38105.753440108972</v>
      </c>
      <c r="H2218">
        <f t="shared" si="138"/>
        <v>25485.490993592393</v>
      </c>
      <c r="I2218" t="b">
        <f t="shared" si="139"/>
        <v>0</v>
      </c>
    </row>
    <row r="2219" spans="1:9">
      <c r="A2219" s="1">
        <v>46121.7</v>
      </c>
      <c r="B2219" s="5">
        <f>_xlfn.XLOOKUP(A2219,Banks!A:A,Banks!H:H,0,-1)</f>
        <v>2656.1692124150859</v>
      </c>
      <c r="C2219">
        <f>_xlfn.XLOOKUP(A2219,Energy!A:A,Energy!H:H,0,-1)</f>
        <v>9984.4356915683711</v>
      </c>
      <c r="D2219">
        <f t="shared" si="136"/>
        <v>12640.604903983458</v>
      </c>
      <c r="E2219">
        <f>_xlfn.XLOOKUP(A2219,Banks!A:A,Banks!I:I,0)</f>
        <v>38109.821931602339</v>
      </c>
      <c r="F2219">
        <f>_xlfn.XLOOKUP(A2219,Energy!A:A,Energy!I:I,0)</f>
        <v>0</v>
      </c>
      <c r="G2219">
        <f t="shared" si="137"/>
        <v>38109.821931602339</v>
      </c>
      <c r="H2219">
        <f t="shared" si="138"/>
        <v>25469.217027618881</v>
      </c>
      <c r="I2219" t="b">
        <f t="shared" si="139"/>
        <v>0</v>
      </c>
    </row>
    <row r="2220" spans="1:9">
      <c r="A2220" s="1">
        <v>46121.700694444437</v>
      </c>
      <c r="B2220" s="5">
        <f>_xlfn.XLOOKUP(A2220,Banks!A:A,Banks!H:H,0,-1)</f>
        <v>2579.884439880756</v>
      </c>
      <c r="C2220">
        <f>_xlfn.XLOOKUP(A2220,Energy!A:A,Energy!H:H,0,-1)</f>
        <v>9984.4356915683711</v>
      </c>
      <c r="D2220">
        <f t="shared" si="136"/>
        <v>12564.320131449127</v>
      </c>
      <c r="E2220">
        <f>_xlfn.XLOOKUP(A2220,Banks!A:A,Banks!I:I,0)</f>
        <v>38108.804920135713</v>
      </c>
      <c r="F2220">
        <f>_xlfn.XLOOKUP(A2220,Energy!A:A,Energy!I:I,0)</f>
        <v>0</v>
      </c>
      <c r="G2220">
        <f t="shared" si="137"/>
        <v>38108.804920135713</v>
      </c>
      <c r="H2220">
        <f t="shared" si="138"/>
        <v>25544.484788686586</v>
      </c>
      <c r="I2220" t="b">
        <f t="shared" si="139"/>
        <v>0</v>
      </c>
    </row>
    <row r="2221" spans="1:9">
      <c r="A2221" s="1">
        <v>46121.701388888891</v>
      </c>
      <c r="B2221" s="5">
        <f>_xlfn.XLOOKUP(A2221,Banks!A:A,Banks!H:H,0,-1)</f>
        <v>2624.384261881466</v>
      </c>
      <c r="C2221">
        <f>_xlfn.XLOOKUP(A2221,Energy!A:A,Energy!H:H,0,-1)</f>
        <v>9984.4356915683711</v>
      </c>
      <c r="D2221">
        <f t="shared" si="136"/>
        <v>12608.819953449838</v>
      </c>
      <c r="E2221">
        <f>_xlfn.XLOOKUP(A2221,Banks!A:A,Banks!I:I,0)</f>
        <v>38099.904955735561</v>
      </c>
      <c r="F2221">
        <f>_xlfn.XLOOKUP(A2221,Energy!A:A,Energy!I:I,0)</f>
        <v>0</v>
      </c>
      <c r="G2221">
        <f t="shared" si="137"/>
        <v>38099.904955735561</v>
      </c>
      <c r="H2221">
        <f t="shared" si="138"/>
        <v>25491.085002285723</v>
      </c>
      <c r="I2221" t="b">
        <f t="shared" si="139"/>
        <v>0</v>
      </c>
    </row>
    <row r="2222" spans="1:9">
      <c r="A2222" s="1">
        <v>46121.70208333333</v>
      </c>
      <c r="B2222" s="5">
        <f>_xlfn.XLOOKUP(A2222,Banks!A:A,Banks!H:H,0,-1)</f>
        <v>2651.0841550818941</v>
      </c>
      <c r="C2222">
        <f>_xlfn.XLOOKUP(A2222,Energy!A:A,Energy!H:H,0,-1)</f>
        <v>9984.4356915683711</v>
      </c>
      <c r="D2222">
        <f t="shared" si="136"/>
        <v>12635.519846650266</v>
      </c>
      <c r="E2222">
        <f>_xlfn.XLOOKUP(A2222,Banks!A:A,Banks!I:I,0)</f>
        <v>38094.564977095477</v>
      </c>
      <c r="F2222">
        <f>_xlfn.XLOOKUP(A2222,Energy!A:A,Energy!I:I,0)</f>
        <v>0</v>
      </c>
      <c r="G2222">
        <f t="shared" si="137"/>
        <v>38094.564977095477</v>
      </c>
      <c r="H2222">
        <f t="shared" si="138"/>
        <v>25459.045130445211</v>
      </c>
      <c r="I2222" t="b">
        <f t="shared" si="139"/>
        <v>0</v>
      </c>
    </row>
    <row r="2223" spans="1:9">
      <c r="A2223" s="1">
        <v>46121.702777777777</v>
      </c>
      <c r="B2223" s="5">
        <f>_xlfn.XLOOKUP(A2223,Banks!A:A,Banks!H:H,0,-1)</f>
        <v>2615.4842974813191</v>
      </c>
      <c r="C2223">
        <f>_xlfn.XLOOKUP(A2223,Energy!A:A,Energy!H:H,0,-1)</f>
        <v>9984.4356915683711</v>
      </c>
      <c r="D2223">
        <f t="shared" si="136"/>
        <v>12599.919989049689</v>
      </c>
      <c r="E2223">
        <f>_xlfn.XLOOKUP(A2223,Banks!A:A,Banks!I:I,0)</f>
        <v>38101.684948615592</v>
      </c>
      <c r="F2223">
        <f>_xlfn.XLOOKUP(A2223,Energy!A:A,Energy!I:I,0)</f>
        <v>0</v>
      </c>
      <c r="G2223">
        <f t="shared" si="137"/>
        <v>38101.684948615592</v>
      </c>
      <c r="H2223">
        <f t="shared" si="138"/>
        <v>25501.764959565902</v>
      </c>
      <c r="I2223" t="b">
        <f t="shared" si="139"/>
        <v>0</v>
      </c>
    </row>
    <row r="2224" spans="1:9">
      <c r="A2224" s="1">
        <v>46121.703472222223</v>
      </c>
      <c r="B2224" s="5">
        <f>_xlfn.XLOOKUP(A2224,Banks!A:A,Banks!H:H,0,-1)</f>
        <v>2657.9900204322948</v>
      </c>
      <c r="C2224">
        <f>_xlfn.XLOOKUP(A2224,Energy!A:A,Energy!H:H,0,-1)</f>
        <v>9984.4356915683711</v>
      </c>
      <c r="D2224">
        <f t="shared" si="136"/>
        <v>12642.425712000666</v>
      </c>
      <c r="E2224">
        <f>_xlfn.XLOOKUP(A2224,Banks!A:A,Banks!I:I,0)</f>
        <v>0</v>
      </c>
      <c r="F2224">
        <f>_xlfn.XLOOKUP(A2224,Energy!A:A,Energy!I:I,0)</f>
        <v>0</v>
      </c>
      <c r="G2224">
        <f t="shared" si="137"/>
        <v>0</v>
      </c>
      <c r="H2224">
        <f t="shared" si="138"/>
        <v>-12642.425712000666</v>
      </c>
      <c r="I2224" t="b">
        <f t="shared" si="139"/>
        <v>0</v>
      </c>
    </row>
    <row r="2225" spans="1:9">
      <c r="A2225" s="1">
        <v>46121.857638888891</v>
      </c>
      <c r="B2225" s="5">
        <f>_xlfn.XLOOKUP(A2225,Banks!A:A,Banks!H:H,0,-1)</f>
        <v>2657.9900204322948</v>
      </c>
      <c r="C2225">
        <f>_xlfn.XLOOKUP(A2225,Energy!A:A,Energy!H:H,0,-1)</f>
        <v>9984.4356915683711</v>
      </c>
      <c r="D2225">
        <f t="shared" si="136"/>
        <v>12642.425712000666</v>
      </c>
      <c r="E2225">
        <f>_xlfn.XLOOKUP(A2225,Banks!A:A,Banks!I:I,0)</f>
        <v>0</v>
      </c>
      <c r="F2225">
        <f>_xlfn.XLOOKUP(A2225,Energy!A:A,Energy!I:I,0)</f>
        <v>44412.436372626988</v>
      </c>
      <c r="G2225">
        <f t="shared" si="137"/>
        <v>44412.436372626988</v>
      </c>
      <c r="H2225">
        <f t="shared" si="138"/>
        <v>31770.010660626322</v>
      </c>
      <c r="I2225" t="b">
        <f t="shared" si="139"/>
        <v>0</v>
      </c>
    </row>
    <row r="2226" spans="1:9">
      <c r="A2226" s="1">
        <v>46121.85833333333</v>
      </c>
      <c r="B2226" s="5">
        <f>_xlfn.XLOOKUP(A2226,Banks!A:A,Banks!H:H,0,-1)</f>
        <v>2657.9900204322948</v>
      </c>
      <c r="C2226">
        <f>_xlfn.XLOOKUP(A2226,Energy!A:A,Energy!H:H,0,-1)</f>
        <v>9972.4333011741837</v>
      </c>
      <c r="D2226">
        <f t="shared" si="136"/>
        <v>12630.423321606479</v>
      </c>
      <c r="E2226">
        <f>_xlfn.XLOOKUP(A2226,Banks!A:A,Banks!I:I,0)</f>
        <v>0</v>
      </c>
      <c r="F2226">
        <f>_xlfn.XLOOKUP(A2226,Energy!A:A,Energy!I:I,0)</f>
        <v>44396.631068810893</v>
      </c>
      <c r="G2226">
        <f t="shared" si="137"/>
        <v>44396.631068810893</v>
      </c>
      <c r="H2226">
        <f t="shared" si="138"/>
        <v>31766.207747204415</v>
      </c>
      <c r="I2226" t="b">
        <f t="shared" si="139"/>
        <v>0</v>
      </c>
    </row>
    <row r="2227" spans="1:9">
      <c r="A2227" s="1">
        <v>46121.859027777777</v>
      </c>
      <c r="B2227" s="5">
        <f>_xlfn.XLOOKUP(A2227,Banks!A:A,Banks!H:H,0,-1)</f>
        <v>2657.9900204322948</v>
      </c>
      <c r="C2227">
        <f>_xlfn.XLOOKUP(A2227,Energy!A:A,Energy!H:H,0,-1)</f>
        <v>10020.7009992899</v>
      </c>
      <c r="D2227">
        <f t="shared" si="136"/>
        <v>12678.691019722195</v>
      </c>
      <c r="E2227">
        <f>_xlfn.XLOOKUP(A2227,Banks!A:A,Banks!I:I,0)</f>
        <v>0</v>
      </c>
      <c r="F2227">
        <f>_xlfn.XLOOKUP(A2227,Energy!A:A,Energy!I:I,0)</f>
        <v>44383.94323220526</v>
      </c>
      <c r="G2227">
        <f t="shared" si="137"/>
        <v>44383.94323220526</v>
      </c>
      <c r="H2227">
        <f t="shared" si="138"/>
        <v>31705.252212483065</v>
      </c>
      <c r="I2227" t="b">
        <f t="shared" si="139"/>
        <v>0</v>
      </c>
    </row>
    <row r="2228" spans="1:9">
      <c r="A2228" s="1">
        <v>46121.859722222223</v>
      </c>
      <c r="B2228" s="5">
        <f>_xlfn.XLOOKUP(A2228,Banks!A:A,Banks!H:H,0,-1)</f>
        <v>2657.9900204322948</v>
      </c>
      <c r="C2228">
        <f>_xlfn.XLOOKUP(A2228,Energy!A:A,Energy!H:H,0,-1)</f>
        <v>9980.0176272916142</v>
      </c>
      <c r="D2228">
        <f t="shared" si="136"/>
        <v>12638.007647723909</v>
      </c>
      <c r="E2228">
        <f>_xlfn.XLOOKUP(A2228,Banks!A:A,Banks!I:I,0)</f>
        <v>0</v>
      </c>
      <c r="F2228">
        <f>_xlfn.XLOOKUP(A2228,Energy!A:A,Energy!I:I,0)</f>
        <v>44332.911115446354</v>
      </c>
      <c r="G2228">
        <f t="shared" si="137"/>
        <v>44332.911115446354</v>
      </c>
      <c r="H2228">
        <f t="shared" si="138"/>
        <v>31694.903467722444</v>
      </c>
      <c r="I2228" t="b">
        <f t="shared" si="139"/>
        <v>0</v>
      </c>
    </row>
    <row r="2229" spans="1:9">
      <c r="A2229" s="1">
        <v>46121.86041666667</v>
      </c>
      <c r="B2229" s="5">
        <f>_xlfn.XLOOKUP(A2229,Banks!A:A,Banks!H:H,0,-1)</f>
        <v>2657.9900204322948</v>
      </c>
      <c r="C2229">
        <f>_xlfn.XLOOKUP(A2229,Energy!A:A,Energy!H:H,0,-1)</f>
        <v>10102.427718102181</v>
      </c>
      <c r="D2229">
        <f t="shared" si="136"/>
        <v>12760.417738534476</v>
      </c>
      <c r="E2229">
        <f>_xlfn.XLOOKUP(A2229,Banks!A:A,Banks!I:I,0)</f>
        <v>0</v>
      </c>
      <c r="F2229">
        <f>_xlfn.XLOOKUP(A2229,Energy!A:A,Energy!I:I,0)</f>
        <v>44314.497691249213</v>
      </c>
      <c r="G2229">
        <f t="shared" si="137"/>
        <v>44314.497691249213</v>
      </c>
      <c r="H2229">
        <f t="shared" si="138"/>
        <v>31554.079952714739</v>
      </c>
      <c r="I2229" t="b">
        <f t="shared" si="139"/>
        <v>0</v>
      </c>
    </row>
    <row r="2230" spans="1:9">
      <c r="A2230" s="1">
        <v>46121.861111111109</v>
      </c>
      <c r="B2230" s="5">
        <f>_xlfn.XLOOKUP(A2230,Banks!A:A,Banks!H:H,0,-1)</f>
        <v>2657.9900204322948</v>
      </c>
      <c r="C2230">
        <f>_xlfn.XLOOKUP(A2230,Energy!A:A,Energy!H:H,0,-1)</f>
        <v>9988.1726864723041</v>
      </c>
      <c r="D2230">
        <f t="shared" si="136"/>
        <v>12646.162706904599</v>
      </c>
      <c r="E2230">
        <f>_xlfn.XLOOKUP(A2230,Banks!A:A,Banks!I:I,0)</f>
        <v>0</v>
      </c>
      <c r="F2230">
        <f>_xlfn.XLOOKUP(A2230,Energy!A:A,Energy!I:I,0)</f>
        <v>44232.66545167927</v>
      </c>
      <c r="G2230">
        <f t="shared" si="137"/>
        <v>44232.66545167927</v>
      </c>
      <c r="H2230">
        <f t="shared" si="138"/>
        <v>31586.502744774669</v>
      </c>
      <c r="I2230" t="b">
        <f t="shared" si="139"/>
        <v>0</v>
      </c>
    </row>
    <row r="2231" spans="1:9">
      <c r="A2231" s="1">
        <v>46121.861805555563</v>
      </c>
      <c r="B2231" s="5">
        <f>_xlfn.XLOOKUP(A2231,Banks!A:A,Banks!H:H,0,-1)</f>
        <v>2657.9900204322948</v>
      </c>
      <c r="C2231">
        <f>_xlfn.XLOOKUP(A2231,Energy!A:A,Energy!H:H,0,-1)</f>
        <v>10080.552403982299</v>
      </c>
      <c r="D2231">
        <f t="shared" si="136"/>
        <v>12738.542424414594</v>
      </c>
      <c r="E2231">
        <f>_xlfn.XLOOKUP(A2231,Banks!A:A,Banks!I:I,0)</f>
        <v>0</v>
      </c>
      <c r="F2231">
        <f>_xlfn.XLOOKUP(A2231,Energy!A:A,Energy!I:I,0)</f>
        <v>44247.566774984683</v>
      </c>
      <c r="G2231">
        <f t="shared" si="137"/>
        <v>44247.566774984683</v>
      </c>
      <c r="H2231">
        <f t="shared" si="138"/>
        <v>31509.024350570089</v>
      </c>
      <c r="I2231" t="b">
        <f t="shared" si="139"/>
        <v>0</v>
      </c>
    </row>
    <row r="2232" spans="1:9">
      <c r="A2232" s="1">
        <v>46121.862500000003</v>
      </c>
      <c r="B2232" s="5">
        <f>_xlfn.XLOOKUP(A2232,Banks!A:A,Banks!H:H,0,-1)</f>
        <v>2657.9900204322948</v>
      </c>
      <c r="C2232">
        <f>_xlfn.XLOOKUP(A2232,Energy!A:A,Energy!H:H,0,-1)</f>
        <v>10023.607708252821</v>
      </c>
      <c r="D2232">
        <f t="shared" si="136"/>
        <v>12681.597728685116</v>
      </c>
      <c r="E2232">
        <f>_xlfn.XLOOKUP(A2232,Banks!A:A,Banks!I:I,0)</f>
        <v>0</v>
      </c>
      <c r="F2232">
        <f>_xlfn.XLOOKUP(A2232,Energy!A:A,Energy!I:I,0)</f>
        <v>44251.369971674343</v>
      </c>
      <c r="G2232">
        <f t="shared" si="137"/>
        <v>44251.369971674343</v>
      </c>
      <c r="H2232">
        <f t="shared" si="138"/>
        <v>31569.772242989227</v>
      </c>
      <c r="I2232" t="b">
        <f t="shared" si="139"/>
        <v>0</v>
      </c>
    </row>
    <row r="2233" spans="1:9">
      <c r="A2233" s="1">
        <v>46121.863194444442</v>
      </c>
      <c r="B2233" s="5">
        <f>_xlfn.XLOOKUP(A2233,Banks!A:A,Banks!H:H,0,-1)</f>
        <v>2657.9900204322948</v>
      </c>
      <c r="C2233">
        <f>_xlfn.XLOOKUP(A2233,Energy!A:A,Energy!H:H,0,-1)</f>
        <v>9919.0693020864564</v>
      </c>
      <c r="D2233">
        <f t="shared" si="136"/>
        <v>12577.059322518751</v>
      </c>
      <c r="E2233">
        <f>_xlfn.XLOOKUP(A2233,Banks!A:A,Banks!I:I,0)</f>
        <v>0</v>
      </c>
      <c r="F2233">
        <f>_xlfn.XLOOKUP(A2233,Energy!A:A,Energy!I:I,0)</f>
        <v>44200.971673819076</v>
      </c>
      <c r="G2233">
        <f t="shared" si="137"/>
        <v>44200.971673819076</v>
      </c>
      <c r="H2233">
        <f t="shared" si="138"/>
        <v>31623.912351300325</v>
      </c>
      <c r="I2233" t="b">
        <f t="shared" si="139"/>
        <v>0</v>
      </c>
    </row>
    <row r="2234" spans="1:9">
      <c r="A2234" s="1">
        <v>46121.863888888889</v>
      </c>
      <c r="B2234" s="5">
        <f>_xlfn.XLOOKUP(A2234,Banks!A:A,Banks!H:H,0,-1)</f>
        <v>2657.9900204322948</v>
      </c>
      <c r="C2234">
        <f>_xlfn.XLOOKUP(A2234,Energy!A:A,Energy!H:H,0,-1)</f>
        <v>10017.37135749307</v>
      </c>
      <c r="D2234">
        <f t="shared" si="136"/>
        <v>12675.361377925365</v>
      </c>
      <c r="E2234">
        <f>_xlfn.XLOOKUP(A2234,Banks!A:A,Banks!I:I,0)</f>
        <v>0</v>
      </c>
      <c r="F2234">
        <f>_xlfn.XLOOKUP(A2234,Energy!A:A,Energy!I:I,0)</f>
        <v>44181.311262737763</v>
      </c>
      <c r="G2234">
        <f t="shared" si="137"/>
        <v>44181.311262737763</v>
      </c>
      <c r="H2234">
        <f t="shared" si="138"/>
        <v>31505.949884812399</v>
      </c>
      <c r="I2234" t="b">
        <f t="shared" si="139"/>
        <v>0</v>
      </c>
    </row>
    <row r="2235" spans="1:9">
      <c r="A2235" s="1">
        <v>46121.864583333343</v>
      </c>
      <c r="B2235" s="5">
        <f>_xlfn.XLOOKUP(A2235,Banks!A:A,Banks!H:H,0,-1)</f>
        <v>2657.9900204322948</v>
      </c>
      <c r="C2235">
        <f>_xlfn.XLOOKUP(A2235,Energy!A:A,Energy!H:H,0,-1)</f>
        <v>10109.6980313565</v>
      </c>
      <c r="D2235">
        <f t="shared" si="136"/>
        <v>12767.688051788795</v>
      </c>
      <c r="E2235">
        <f>_xlfn.XLOOKUP(A2235,Banks!A:A,Banks!I:I,0)</f>
        <v>0</v>
      </c>
      <c r="F2235">
        <f>_xlfn.XLOOKUP(A2235,Energy!A:A,Energy!I:I,0)</f>
        <v>44146.157294561381</v>
      </c>
      <c r="G2235">
        <f t="shared" si="137"/>
        <v>44146.157294561381</v>
      </c>
      <c r="H2235">
        <f t="shared" si="138"/>
        <v>31378.469242772586</v>
      </c>
      <c r="I2235" t="b">
        <f t="shared" si="139"/>
        <v>0</v>
      </c>
    </row>
    <row r="2236" spans="1:9">
      <c r="A2236" s="1">
        <v>46121.865277777782</v>
      </c>
      <c r="B2236" s="5">
        <f>_xlfn.XLOOKUP(A2236,Banks!A:A,Banks!H:H,0,-1)</f>
        <v>2657.9900204322948</v>
      </c>
      <c r="C2236">
        <f>_xlfn.XLOOKUP(A2236,Energy!A:A,Energy!H:H,0,-1)</f>
        <v>10017.89046324855</v>
      </c>
      <c r="D2236">
        <f t="shared" si="136"/>
        <v>12675.880483680845</v>
      </c>
      <c r="E2236">
        <f>_xlfn.XLOOKUP(A2236,Banks!A:A,Banks!I:I,0)</f>
        <v>0</v>
      </c>
      <c r="F2236">
        <f>_xlfn.XLOOKUP(A2236,Energy!A:A,Energy!I:I,0)</f>
        <v>44159.967362709227</v>
      </c>
      <c r="G2236">
        <f t="shared" si="137"/>
        <v>44159.967362709227</v>
      </c>
      <c r="H2236">
        <f t="shared" si="138"/>
        <v>31484.086879028382</v>
      </c>
      <c r="I2236" t="b">
        <f t="shared" si="139"/>
        <v>0</v>
      </c>
    </row>
    <row r="2237" spans="1:9">
      <c r="A2237" s="1">
        <v>46121.865972222222</v>
      </c>
      <c r="B2237" s="5">
        <f>_xlfn.XLOOKUP(A2237,Banks!A:A,Banks!H:H,0,-1)</f>
        <v>2657.9900204322948</v>
      </c>
      <c r="C2237">
        <f>_xlfn.XLOOKUP(A2237,Energy!A:A,Energy!H:H,0,-1)</f>
        <v>10013.734784527111</v>
      </c>
      <c r="D2237">
        <f t="shared" si="136"/>
        <v>12671.724804959405</v>
      </c>
      <c r="E2237">
        <f>_xlfn.XLOOKUP(A2237,Banks!A:A,Banks!I:I,0)</f>
        <v>0</v>
      </c>
      <c r="F2237">
        <f>_xlfn.XLOOKUP(A2237,Energy!A:A,Energy!I:I,0)</f>
        <v>44200.244359225893</v>
      </c>
      <c r="G2237">
        <f t="shared" si="137"/>
        <v>44200.244359225893</v>
      </c>
      <c r="H2237">
        <f t="shared" si="138"/>
        <v>31528.519554266488</v>
      </c>
      <c r="I2237" t="b">
        <f t="shared" si="139"/>
        <v>0</v>
      </c>
    </row>
    <row r="2238" spans="1:9">
      <c r="A2238" s="1">
        <v>46121.866666666669</v>
      </c>
      <c r="B2238" s="5">
        <f>_xlfn.XLOOKUP(A2238,Banks!A:A,Banks!H:H,0,-1)</f>
        <v>2657.9900204322948</v>
      </c>
      <c r="C2238">
        <f>_xlfn.XLOOKUP(A2238,Energy!A:A,Energy!H:H,0,-1)</f>
        <v>9992.276737885948</v>
      </c>
      <c r="D2238">
        <f t="shared" si="136"/>
        <v>12650.266758318243</v>
      </c>
      <c r="E2238">
        <f>_xlfn.XLOOKUP(A2238,Banks!A:A,Banks!I:I,0)</f>
        <v>0</v>
      </c>
      <c r="F2238">
        <f>_xlfn.XLOOKUP(A2238,Energy!A:A,Energy!I:I,0)</f>
        <v>44207.570265536633</v>
      </c>
      <c r="G2238">
        <f t="shared" si="137"/>
        <v>44207.570265536633</v>
      </c>
      <c r="H2238">
        <f t="shared" si="138"/>
        <v>31557.303507218392</v>
      </c>
      <c r="I2238" t="b">
        <f t="shared" si="139"/>
        <v>0</v>
      </c>
    </row>
    <row r="2239" spans="1:9">
      <c r="A2239" s="1">
        <v>46121.867361111108</v>
      </c>
      <c r="B2239" s="5">
        <f>_xlfn.XLOOKUP(A2239,Banks!A:A,Banks!H:H,0,-1)</f>
        <v>2657.9900204322948</v>
      </c>
      <c r="C2239">
        <f>_xlfn.XLOOKUP(A2239,Energy!A:A,Energy!H:H,0,-1)</f>
        <v>10068.64993479954</v>
      </c>
      <c r="D2239">
        <f t="shared" si="136"/>
        <v>12726.639955231834</v>
      </c>
      <c r="E2239">
        <f>_xlfn.XLOOKUP(A2239,Banks!A:A,Banks!I:I,0)</f>
        <v>0</v>
      </c>
      <c r="F2239">
        <f>_xlfn.XLOOKUP(A2239,Energy!A:A,Energy!I:I,0)</f>
        <v>0</v>
      </c>
      <c r="G2239">
        <f t="shared" si="137"/>
        <v>0</v>
      </c>
      <c r="H2239">
        <f t="shared" si="138"/>
        <v>-12726.639955231834</v>
      </c>
      <c r="I2239" t="b">
        <f t="shared" si="139"/>
        <v>0</v>
      </c>
    </row>
    <row r="2240" spans="1:9">
      <c r="A2240" s="1">
        <v>46122.604166666657</v>
      </c>
      <c r="B2240" s="5">
        <f>_xlfn.XLOOKUP(A2240,Banks!A:A,Banks!H:H,0,-1)</f>
        <v>2657.9900204322948</v>
      </c>
      <c r="C2240">
        <f>_xlfn.XLOOKUP(A2240,Energy!A:A,Energy!H:H,0,-1)</f>
        <v>10068.64993479954</v>
      </c>
      <c r="D2240">
        <f t="shared" si="136"/>
        <v>12726.639955231834</v>
      </c>
      <c r="E2240">
        <f>_xlfn.XLOOKUP(A2240,Banks!A:A,Banks!I:I,0)</f>
        <v>0</v>
      </c>
      <c r="F2240">
        <f>_xlfn.XLOOKUP(A2240,Energy!A:A,Energy!I:I,0)</f>
        <v>44412.436372626988</v>
      </c>
      <c r="G2240">
        <f t="shared" si="137"/>
        <v>44412.436372626988</v>
      </c>
      <c r="H2240">
        <f t="shared" si="138"/>
        <v>31685.796417395155</v>
      </c>
      <c r="I2240" t="b">
        <f t="shared" si="139"/>
        <v>0</v>
      </c>
    </row>
    <row r="2241" spans="1:9">
      <c r="A2241" s="1">
        <v>46122.604861111111</v>
      </c>
      <c r="B2241" s="5">
        <f>_xlfn.XLOOKUP(A2241,Banks!A:A,Banks!H:H,0,-1)</f>
        <v>2657.9900204322948</v>
      </c>
      <c r="C2241">
        <f>_xlfn.XLOOKUP(A2241,Energy!A:A,Energy!H:H,0,-1)</f>
        <v>10691.562275686059</v>
      </c>
      <c r="D2241">
        <f t="shared" si="136"/>
        <v>13349.552296118354</v>
      </c>
      <c r="E2241">
        <f>_xlfn.XLOOKUP(A2241,Banks!A:A,Banks!I:I,0)</f>
        <v>0</v>
      </c>
      <c r="F2241">
        <f>_xlfn.XLOOKUP(A2241,Energy!A:A,Energy!I:I,0)</f>
        <v>44537.018840804303</v>
      </c>
      <c r="G2241">
        <f t="shared" si="137"/>
        <v>44537.018840804303</v>
      </c>
      <c r="H2241">
        <f t="shared" si="138"/>
        <v>31187.466544685951</v>
      </c>
      <c r="I2241" t="b">
        <f t="shared" si="139"/>
        <v>0</v>
      </c>
    </row>
    <row r="2242" spans="1:9">
      <c r="A2242" s="1">
        <v>46122.605555555558</v>
      </c>
      <c r="B2242" s="5">
        <f>_xlfn.XLOOKUP(A2242,Banks!A:A,Banks!H:H,0,-1)</f>
        <v>2657.9900204322948</v>
      </c>
      <c r="C2242">
        <f>_xlfn.XLOOKUP(A2242,Energy!A:A,Energy!H:H,0,-1)</f>
        <v>10350.267496026499</v>
      </c>
      <c r="D2242">
        <f t="shared" si="136"/>
        <v>13008.257516458794</v>
      </c>
      <c r="E2242">
        <f>_xlfn.XLOOKUP(A2242,Banks!A:A,Banks!I:I,0)</f>
        <v>0</v>
      </c>
      <c r="F2242">
        <f>_xlfn.XLOOKUP(A2242,Energy!A:A,Energy!I:I,0)</f>
        <v>44605.277796736213</v>
      </c>
      <c r="G2242">
        <f t="shared" si="137"/>
        <v>44605.277796736213</v>
      </c>
      <c r="H2242">
        <f t="shared" si="138"/>
        <v>31597.020280277418</v>
      </c>
      <c r="I2242" t="b">
        <f t="shared" si="139"/>
        <v>0</v>
      </c>
    </row>
    <row r="2243" spans="1:9">
      <c r="A2243" s="1">
        <v>46122.606249999997</v>
      </c>
      <c r="B2243" s="5">
        <f>_xlfn.XLOOKUP(A2243,Banks!A:A,Banks!H:H,0,-1)</f>
        <v>2657.9900204322948</v>
      </c>
      <c r="C2243">
        <f>_xlfn.XLOOKUP(A2243,Energy!A:A,Energy!H:H,0,-1)</f>
        <v>10308.553689623661</v>
      </c>
      <c r="D2243">
        <f t="shared" ref="D2243:D2306" si="140">B2243+C2243</f>
        <v>12966.543710055956</v>
      </c>
      <c r="E2243">
        <f>_xlfn.XLOOKUP(A2243,Banks!A:A,Banks!I:I,0)</f>
        <v>0</v>
      </c>
      <c r="F2243">
        <f>_xlfn.XLOOKUP(A2243,Energy!A:A,Energy!I:I,0)</f>
        <v>44613.620558016773</v>
      </c>
      <c r="G2243">
        <f t="shared" ref="G2243:G2306" si="141">F2243+E2243</f>
        <v>44613.620558016773</v>
      </c>
      <c r="H2243">
        <f t="shared" ref="H2243:H2306" si="142">G2243-D2243</f>
        <v>31647.076847960816</v>
      </c>
      <c r="I2243" t="b">
        <f t="shared" ref="I2243:I2306" si="143">AND(E2243&gt;0,F2243&gt;0)</f>
        <v>0</v>
      </c>
    </row>
    <row r="2244" spans="1:9">
      <c r="A2244" s="1">
        <v>46122.606944444437</v>
      </c>
      <c r="B2244" s="5">
        <f>_xlfn.XLOOKUP(A2244,Banks!A:A,Banks!H:H,0,-1)</f>
        <v>2657.9900204322948</v>
      </c>
      <c r="C2244">
        <f>_xlfn.XLOOKUP(A2244,Energy!A:A,Energy!H:H,0,-1)</f>
        <v>10107.68702897547</v>
      </c>
      <c r="D2244">
        <f t="shared" si="140"/>
        <v>12765.677049407765</v>
      </c>
      <c r="E2244">
        <f>_xlfn.XLOOKUP(A2244,Banks!A:A,Banks!I:I,0)</f>
        <v>0</v>
      </c>
      <c r="F2244">
        <f>_xlfn.XLOOKUP(A2244,Energy!A:A,Energy!I:I,0)</f>
        <v>44573.447225887139</v>
      </c>
      <c r="G2244">
        <f t="shared" si="141"/>
        <v>44573.447225887139</v>
      </c>
      <c r="H2244">
        <f t="shared" si="142"/>
        <v>31807.770176479375</v>
      </c>
      <c r="I2244" t="b">
        <f t="shared" si="143"/>
        <v>0</v>
      </c>
    </row>
    <row r="2245" spans="1:9">
      <c r="A2245" s="1">
        <v>46122.607638888891</v>
      </c>
      <c r="B2245" s="5">
        <f>_xlfn.XLOOKUP(A2245,Banks!A:A,Banks!H:H,0,-1)</f>
        <v>2657.9900204322948</v>
      </c>
      <c r="C2245">
        <f>_xlfn.XLOOKUP(A2245,Energy!A:A,Energy!H:H,0,-1)</f>
        <v>10354.17770317404</v>
      </c>
      <c r="D2245">
        <f t="shared" si="140"/>
        <v>13012.167723606335</v>
      </c>
      <c r="E2245">
        <f>_xlfn.XLOOKUP(A2245,Banks!A:A,Banks!I:I,0)</f>
        <v>0</v>
      </c>
      <c r="F2245">
        <f>_xlfn.XLOOKUP(A2245,Energy!A:A,Energy!I:I,0)</f>
        <v>44524.149091047417</v>
      </c>
      <c r="G2245">
        <f t="shared" si="141"/>
        <v>44524.149091047417</v>
      </c>
      <c r="H2245">
        <f t="shared" si="142"/>
        <v>31511.981367441083</v>
      </c>
      <c r="I2245" t="b">
        <f t="shared" si="143"/>
        <v>0</v>
      </c>
    </row>
    <row r="2246" spans="1:9">
      <c r="A2246" s="1">
        <v>46122.60833333333</v>
      </c>
      <c r="B2246" s="5">
        <f>_xlfn.XLOOKUP(A2246,Banks!A:A,Banks!H:H,0,-1)</f>
        <v>2657.9900204322948</v>
      </c>
      <c r="C2246">
        <f>_xlfn.XLOOKUP(A2246,Energy!A:A,Energy!H:H,0,-1)</f>
        <v>10490.69561503787</v>
      </c>
      <c r="D2246">
        <f t="shared" si="140"/>
        <v>13148.685635470165</v>
      </c>
      <c r="E2246">
        <f>_xlfn.XLOOKUP(A2246,Banks!A:A,Banks!I:I,0)</f>
        <v>0</v>
      </c>
      <c r="F2246">
        <f>_xlfn.XLOOKUP(A2246,Energy!A:A,Energy!I:I,0)</f>
        <v>44496.845508674662</v>
      </c>
      <c r="G2246">
        <f t="shared" si="141"/>
        <v>44496.845508674662</v>
      </c>
      <c r="H2246">
        <f t="shared" si="142"/>
        <v>31348.159873204495</v>
      </c>
      <c r="I2246" t="b">
        <f t="shared" si="143"/>
        <v>0</v>
      </c>
    </row>
    <row r="2247" spans="1:9">
      <c r="A2247" s="1">
        <v>46122.609027777777</v>
      </c>
      <c r="B2247" s="5">
        <f>_xlfn.XLOOKUP(A2247,Banks!A:A,Banks!H:H,0,-1)</f>
        <v>2657.9900204322948</v>
      </c>
      <c r="C2247">
        <f>_xlfn.XLOOKUP(A2247,Energy!A:A,Energy!H:H,0,-1)</f>
        <v>9635.3196107045751</v>
      </c>
      <c r="D2247">
        <f t="shared" si="140"/>
        <v>12293.30963113687</v>
      </c>
      <c r="E2247">
        <f>_xlfn.XLOOKUP(A2247,Banks!A:A,Banks!I:I,0)</f>
        <v>0</v>
      </c>
      <c r="F2247">
        <f>_xlfn.XLOOKUP(A2247,Energy!A:A,Energy!I:I,0)</f>
        <v>44325.770307808001</v>
      </c>
      <c r="G2247">
        <f t="shared" si="141"/>
        <v>44325.770307808001</v>
      </c>
      <c r="H2247">
        <f t="shared" si="142"/>
        <v>32032.460676671129</v>
      </c>
      <c r="I2247" t="b">
        <f t="shared" si="143"/>
        <v>0</v>
      </c>
    </row>
    <row r="2248" spans="1:9">
      <c r="A2248" s="1">
        <v>46122.609722222223</v>
      </c>
      <c r="B2248" s="5">
        <f>_xlfn.XLOOKUP(A2248,Banks!A:A,Banks!H:H,0,-1)</f>
        <v>2657.9900204322948</v>
      </c>
      <c r="C2248">
        <f>_xlfn.XLOOKUP(A2248,Energy!A:A,Energy!H:H,0,-1)</f>
        <v>9881.3248467793201</v>
      </c>
      <c r="D2248">
        <f t="shared" si="140"/>
        <v>12539.314867211615</v>
      </c>
      <c r="E2248">
        <f>_xlfn.XLOOKUP(A2248,Banks!A:A,Banks!I:I,0)</f>
        <v>0</v>
      </c>
      <c r="F2248">
        <f>_xlfn.XLOOKUP(A2248,Energy!A:A,Energy!I:I,0)</f>
        <v>44374.97135502295</v>
      </c>
      <c r="G2248">
        <f t="shared" si="141"/>
        <v>44374.97135502295</v>
      </c>
      <c r="H2248">
        <f t="shared" si="142"/>
        <v>31835.656487811335</v>
      </c>
      <c r="I2248" t="b">
        <f t="shared" si="143"/>
        <v>0</v>
      </c>
    </row>
    <row r="2249" spans="1:9">
      <c r="A2249" s="1">
        <v>46122.61041666667</v>
      </c>
      <c r="B2249" s="5">
        <f>_xlfn.XLOOKUP(A2249,Banks!A:A,Banks!H:H,0,-1)</f>
        <v>2657.9900204322948</v>
      </c>
      <c r="C2249">
        <f>_xlfn.XLOOKUP(A2249,Energy!A:A,Energy!H:H,0,-1)</f>
        <v>9881.3248467793201</v>
      </c>
      <c r="D2249">
        <f t="shared" si="140"/>
        <v>12539.314867211615</v>
      </c>
      <c r="E2249">
        <f>_xlfn.XLOOKUP(A2249,Banks!A:A,Banks!I:I,0)</f>
        <v>0</v>
      </c>
      <c r="F2249">
        <f>_xlfn.XLOOKUP(A2249,Energy!A:A,Energy!I:I,0)</f>
        <v>44374.97135502295</v>
      </c>
      <c r="G2249">
        <f t="shared" si="141"/>
        <v>44374.97135502295</v>
      </c>
      <c r="H2249">
        <f t="shared" si="142"/>
        <v>31835.656487811335</v>
      </c>
      <c r="I2249" t="b">
        <f t="shared" si="143"/>
        <v>0</v>
      </c>
    </row>
    <row r="2250" spans="1:9">
      <c r="A2250" s="1">
        <v>46122.611111111109</v>
      </c>
      <c r="B2250" s="5">
        <f>_xlfn.XLOOKUP(A2250,Banks!A:A,Banks!H:H,0,-1)</f>
        <v>2657.9900204322948</v>
      </c>
      <c r="C2250">
        <f>_xlfn.XLOOKUP(A2250,Energy!A:A,Energy!H:H,0,-1)</f>
        <v>9881.3248467793201</v>
      </c>
      <c r="D2250">
        <f t="shared" si="140"/>
        <v>12539.314867211615</v>
      </c>
      <c r="E2250">
        <f>_xlfn.XLOOKUP(A2250,Banks!A:A,Banks!I:I,0)</f>
        <v>0</v>
      </c>
      <c r="F2250">
        <f>_xlfn.XLOOKUP(A2250,Energy!A:A,Energy!I:I,0)</f>
        <v>44374.97135502295</v>
      </c>
      <c r="G2250">
        <f t="shared" si="141"/>
        <v>44374.97135502295</v>
      </c>
      <c r="H2250">
        <f t="shared" si="142"/>
        <v>31835.656487811335</v>
      </c>
      <c r="I2250" t="b">
        <f t="shared" si="143"/>
        <v>0</v>
      </c>
    </row>
    <row r="2251" spans="1:9">
      <c r="A2251" s="1">
        <v>46122.611805555563</v>
      </c>
      <c r="B2251" s="5">
        <f>_xlfn.XLOOKUP(A2251,Banks!A:A,Banks!H:H,0,-1)</f>
        <v>2657.9900204322948</v>
      </c>
      <c r="C2251">
        <f>_xlfn.XLOOKUP(A2251,Energy!A:A,Energy!H:H,0,-1)</f>
        <v>10078.51738613817</v>
      </c>
      <c r="D2251">
        <f t="shared" si="140"/>
        <v>12736.507406570465</v>
      </c>
      <c r="E2251">
        <f>_xlfn.XLOOKUP(A2251,Banks!A:A,Banks!I:I,0)</f>
        <v>0</v>
      </c>
      <c r="F2251">
        <f>_xlfn.XLOOKUP(A2251,Energy!A:A,Energy!I:I,0)</f>
        <v>44335.532847151182</v>
      </c>
      <c r="G2251">
        <f t="shared" si="141"/>
        <v>44335.532847151182</v>
      </c>
      <c r="H2251">
        <f t="shared" si="142"/>
        <v>31599.025440580717</v>
      </c>
      <c r="I2251" t="b">
        <f t="shared" si="143"/>
        <v>0</v>
      </c>
    </row>
    <row r="2252" spans="1:9">
      <c r="A2252" s="1">
        <v>46122.612500000003</v>
      </c>
      <c r="B2252" s="5">
        <f>_xlfn.XLOOKUP(A2252,Banks!A:A,Banks!H:H,0,-1)</f>
        <v>2657.9900204322948</v>
      </c>
      <c r="C2252">
        <f>_xlfn.XLOOKUP(A2252,Energy!A:A,Energy!H:H,0,-1)</f>
        <v>10055.764400827529</v>
      </c>
      <c r="D2252">
        <f t="shared" si="140"/>
        <v>12713.754421259824</v>
      </c>
      <c r="E2252">
        <f>_xlfn.XLOOKUP(A2252,Banks!A:A,Banks!I:I,0)</f>
        <v>0</v>
      </c>
      <c r="F2252">
        <f>_xlfn.XLOOKUP(A2252,Energy!A:A,Energy!I:I,0)</f>
        <v>44340.083444213313</v>
      </c>
      <c r="G2252">
        <f t="shared" si="141"/>
        <v>44340.083444213313</v>
      </c>
      <c r="H2252">
        <f t="shared" si="142"/>
        <v>31626.32902295349</v>
      </c>
      <c r="I2252" t="b">
        <f t="shared" si="143"/>
        <v>0</v>
      </c>
    </row>
    <row r="2253" spans="1:9">
      <c r="A2253" s="1">
        <v>46122.613194444442</v>
      </c>
      <c r="B2253" s="5">
        <f>_xlfn.XLOOKUP(A2253,Banks!A:A,Banks!H:H,0,-1)</f>
        <v>2657.9900204322948</v>
      </c>
      <c r="C2253">
        <f>_xlfn.XLOOKUP(A2253,Energy!A:A,Energy!H:H,0,-1)</f>
        <v>10254.374132704401</v>
      </c>
      <c r="D2253">
        <f t="shared" si="140"/>
        <v>12912.364153136696</v>
      </c>
      <c r="E2253">
        <f>_xlfn.XLOOKUP(A2253,Banks!A:A,Banks!I:I,0)</f>
        <v>0</v>
      </c>
      <c r="F2253">
        <f>_xlfn.XLOOKUP(A2253,Energy!A:A,Energy!I:I,0)</f>
        <v>44379.805390588677</v>
      </c>
      <c r="G2253">
        <f t="shared" si="141"/>
        <v>44379.805390588677</v>
      </c>
      <c r="H2253">
        <f t="shared" si="142"/>
        <v>31467.441237451982</v>
      </c>
      <c r="I2253" t="b">
        <f t="shared" si="143"/>
        <v>0</v>
      </c>
    </row>
    <row r="2254" spans="1:9">
      <c r="A2254" s="1">
        <v>46122.613888888889</v>
      </c>
      <c r="B2254" s="5">
        <f>_xlfn.XLOOKUP(A2254,Banks!A:A,Banks!H:H,0,-1)</f>
        <v>2657.9900204322948</v>
      </c>
      <c r="C2254">
        <f>_xlfn.XLOOKUP(A2254,Energy!A:A,Energy!H:H,0,-1)</f>
        <v>10007.88345850583</v>
      </c>
      <c r="D2254">
        <f t="shared" si="140"/>
        <v>12665.873478938125</v>
      </c>
      <c r="E2254">
        <f>_xlfn.XLOOKUP(A2254,Banks!A:A,Banks!I:I,0)</f>
        <v>0</v>
      </c>
      <c r="F2254">
        <f>_xlfn.XLOOKUP(A2254,Energy!A:A,Energy!I:I,0)</f>
        <v>44429.103525428392</v>
      </c>
      <c r="G2254">
        <f t="shared" si="141"/>
        <v>44429.103525428392</v>
      </c>
      <c r="H2254">
        <f t="shared" si="142"/>
        <v>31763.230046490266</v>
      </c>
      <c r="I2254" t="b">
        <f t="shared" si="143"/>
        <v>0</v>
      </c>
    </row>
    <row r="2255" spans="1:9">
      <c r="A2255" s="1">
        <v>46122.614583333343</v>
      </c>
      <c r="B2255" s="5">
        <f>_xlfn.XLOOKUP(A2255,Banks!A:A,Banks!H:H,0,-1)</f>
        <v>2657.9900204322948</v>
      </c>
      <c r="C2255">
        <f>_xlfn.XLOOKUP(A2255,Energy!A:A,Energy!H:H,0,-1)</f>
        <v>10266.145607670751</v>
      </c>
      <c r="D2255">
        <f t="shared" si="140"/>
        <v>12924.135628103046</v>
      </c>
      <c r="E2255">
        <f>_xlfn.XLOOKUP(A2255,Banks!A:A,Banks!I:I,0)</f>
        <v>0</v>
      </c>
      <c r="F2255">
        <f>_xlfn.XLOOKUP(A2255,Energy!A:A,Energy!I:I,0)</f>
        <v>0</v>
      </c>
      <c r="G2255">
        <f t="shared" si="141"/>
        <v>0</v>
      </c>
      <c r="H2255">
        <f t="shared" si="142"/>
        <v>-12924.135628103046</v>
      </c>
      <c r="I2255" t="b">
        <f t="shared" si="143"/>
        <v>0</v>
      </c>
    </row>
    <row r="2256" spans="1:9">
      <c r="A2256" s="1">
        <v>46122.847222222219</v>
      </c>
      <c r="B2256" s="5">
        <f>_xlfn.XLOOKUP(A2256,Banks!A:A,Banks!H:H,0,-1)</f>
        <v>2657.9900204322948</v>
      </c>
      <c r="C2256">
        <f>_xlfn.XLOOKUP(A2256,Energy!A:A,Energy!H:H,0,-1)</f>
        <v>10266.145607670751</v>
      </c>
      <c r="D2256">
        <f t="shared" si="140"/>
        <v>12924.135628103046</v>
      </c>
      <c r="E2256">
        <f>_xlfn.XLOOKUP(A2256,Banks!A:A,Banks!I:I,0)</f>
        <v>0</v>
      </c>
      <c r="F2256">
        <f>_xlfn.XLOOKUP(A2256,Energy!A:A,Energy!I:I,0)</f>
        <v>35501.020422747781</v>
      </c>
      <c r="G2256">
        <f t="shared" si="141"/>
        <v>35501.020422747781</v>
      </c>
      <c r="H2256">
        <f t="shared" si="142"/>
        <v>22576.884794644735</v>
      </c>
      <c r="I2256" t="b">
        <f t="shared" si="143"/>
        <v>0</v>
      </c>
    </row>
    <row r="2257" spans="1:9">
      <c r="A2257" s="1">
        <v>46122.847916666673</v>
      </c>
      <c r="B2257" s="5">
        <f>_xlfn.XLOOKUP(A2257,Banks!A:A,Banks!H:H,0,-1)</f>
        <v>2657.9900204322948</v>
      </c>
      <c r="C2257">
        <f>_xlfn.XLOOKUP(A2257,Energy!A:A,Energy!H:H,0,-1)</f>
        <v>10153.09331101263</v>
      </c>
      <c r="D2257">
        <f t="shared" si="140"/>
        <v>12811.083331444925</v>
      </c>
      <c r="E2257">
        <f>_xlfn.XLOOKUP(A2257,Banks!A:A,Banks!I:I,0)</f>
        <v>0</v>
      </c>
      <c r="F2257">
        <f>_xlfn.XLOOKUP(A2257,Energy!A:A,Energy!I:I,0)</f>
        <v>35505.019862298534</v>
      </c>
      <c r="G2257">
        <f t="shared" si="141"/>
        <v>35505.019862298534</v>
      </c>
      <c r="H2257">
        <f t="shared" si="142"/>
        <v>22693.936530853607</v>
      </c>
      <c r="I2257" t="b">
        <f t="shared" si="143"/>
        <v>0</v>
      </c>
    </row>
    <row r="2258" spans="1:9">
      <c r="A2258" s="1">
        <v>46122.848611111112</v>
      </c>
      <c r="B2258" s="5">
        <f>_xlfn.XLOOKUP(A2258,Banks!A:A,Banks!H:H,0,-1)</f>
        <v>2657.9900204322948</v>
      </c>
      <c r="C2258">
        <f>_xlfn.XLOOKUP(A2258,Energy!A:A,Energy!H:H,0,-1)</f>
        <v>10155.117786412809</v>
      </c>
      <c r="D2258">
        <f t="shared" si="140"/>
        <v>12813.107806845104</v>
      </c>
      <c r="E2258">
        <f>_xlfn.XLOOKUP(A2258,Banks!A:A,Banks!I:I,0)</f>
        <v>0</v>
      </c>
      <c r="F2258">
        <f>_xlfn.XLOOKUP(A2258,Energy!A:A,Energy!I:I,0)</f>
        <v>35507.553549289158</v>
      </c>
      <c r="G2258">
        <f t="shared" si="141"/>
        <v>35507.553549289158</v>
      </c>
      <c r="H2258">
        <f t="shared" si="142"/>
        <v>22694.445742444055</v>
      </c>
      <c r="I2258" t="b">
        <f t="shared" si="143"/>
        <v>0</v>
      </c>
    </row>
    <row r="2259" spans="1:9">
      <c r="A2259" s="1">
        <v>46122.849305555559</v>
      </c>
      <c r="B2259" s="5">
        <f>_xlfn.XLOOKUP(A2259,Banks!A:A,Banks!H:H,0,-1)</f>
        <v>2657.9900204322948</v>
      </c>
      <c r="C2259">
        <f>_xlfn.XLOOKUP(A2259,Energy!A:A,Energy!H:H,0,-1)</f>
        <v>10131.16887741865</v>
      </c>
      <c r="D2259">
        <f t="shared" si="140"/>
        <v>12789.158897850944</v>
      </c>
      <c r="E2259">
        <f>_xlfn.XLOOKUP(A2259,Banks!A:A,Banks!I:I,0)</f>
        <v>0</v>
      </c>
      <c r="F2259">
        <f>_xlfn.XLOOKUP(A2259,Energy!A:A,Energy!I:I,0)</f>
        <v>35512.343331087977</v>
      </c>
      <c r="G2259">
        <f t="shared" si="141"/>
        <v>35512.343331087977</v>
      </c>
      <c r="H2259">
        <f t="shared" si="142"/>
        <v>22723.184433237031</v>
      </c>
      <c r="I2259" t="b">
        <f t="shared" si="143"/>
        <v>0</v>
      </c>
    </row>
    <row r="2260" spans="1:9">
      <c r="A2260" s="1">
        <v>46122.85</v>
      </c>
      <c r="B2260" s="5">
        <f>_xlfn.XLOOKUP(A2260,Banks!A:A,Banks!H:H,0,-1)</f>
        <v>2657.9900204322948</v>
      </c>
      <c r="C2260">
        <f>_xlfn.XLOOKUP(A2260,Energy!A:A,Energy!H:H,0,-1)</f>
        <v>10085.719877822599</v>
      </c>
      <c r="D2260">
        <f t="shared" si="140"/>
        <v>12743.709898254894</v>
      </c>
      <c r="E2260">
        <f>_xlfn.XLOOKUP(A2260,Banks!A:A,Banks!I:I,0)</f>
        <v>0</v>
      </c>
      <c r="F2260">
        <f>_xlfn.XLOOKUP(A2260,Energy!A:A,Energy!I:I,0)</f>
        <v>35522.412658364097</v>
      </c>
      <c r="G2260">
        <f t="shared" si="141"/>
        <v>35522.412658364097</v>
      </c>
      <c r="H2260">
        <f t="shared" si="142"/>
        <v>22778.702760109205</v>
      </c>
      <c r="I2260" t="b">
        <f t="shared" si="143"/>
        <v>0</v>
      </c>
    </row>
    <row r="2261" spans="1:9">
      <c r="A2261" s="1">
        <v>46122.850694444453</v>
      </c>
      <c r="B2261" s="5">
        <f>_xlfn.XLOOKUP(A2261,Banks!A:A,Banks!H:H,0,-1)</f>
        <v>2657.9900204322948</v>
      </c>
      <c r="C2261">
        <f>_xlfn.XLOOKUP(A2261,Energy!A:A,Energy!H:H,0,-1)</f>
        <v>10159.803251701231</v>
      </c>
      <c r="D2261">
        <f t="shared" si="140"/>
        <v>12817.793272133526</v>
      </c>
      <c r="E2261">
        <f>_xlfn.XLOOKUP(A2261,Banks!A:A,Banks!I:I,0)</f>
        <v>0</v>
      </c>
      <c r="F2261">
        <f>_xlfn.XLOOKUP(A2261,Energy!A:A,Energy!I:I,0)</f>
        <v>35509.55503830214</v>
      </c>
      <c r="G2261">
        <f t="shared" si="141"/>
        <v>35509.55503830214</v>
      </c>
      <c r="H2261">
        <f t="shared" si="142"/>
        <v>22691.761766168616</v>
      </c>
      <c r="I2261" t="b">
        <f t="shared" si="143"/>
        <v>0</v>
      </c>
    </row>
    <row r="2262" spans="1:9">
      <c r="A2262" s="1">
        <v>46122.851388888892</v>
      </c>
      <c r="B2262" s="5">
        <f>_xlfn.XLOOKUP(A2262,Banks!A:A,Banks!H:H,0,-1)</f>
        <v>2657.9900204322948</v>
      </c>
      <c r="C2262">
        <f>_xlfn.XLOOKUP(A2262,Energy!A:A,Energy!H:H,0,-1)</f>
        <v>10122.646632825899</v>
      </c>
      <c r="D2262">
        <f t="shared" si="140"/>
        <v>12780.636653258194</v>
      </c>
      <c r="E2262">
        <f>_xlfn.XLOOKUP(A2262,Banks!A:A,Banks!I:I,0)</f>
        <v>0</v>
      </c>
      <c r="F2262">
        <f>_xlfn.XLOOKUP(A2262,Energy!A:A,Energy!I:I,0)</f>
        <v>35504.252506437668</v>
      </c>
      <c r="G2262">
        <f t="shared" si="141"/>
        <v>35504.252506437668</v>
      </c>
      <c r="H2262">
        <f t="shared" si="142"/>
        <v>22723.615853179472</v>
      </c>
      <c r="I2262" t="b">
        <f t="shared" si="143"/>
        <v>0</v>
      </c>
    </row>
    <row r="2263" spans="1:9">
      <c r="A2263" s="1">
        <v>46122.852083333331</v>
      </c>
      <c r="B2263" s="5">
        <f>_xlfn.XLOOKUP(A2263,Banks!A:A,Banks!H:H,0,-1)</f>
        <v>2657.9900204322948</v>
      </c>
      <c r="C2263">
        <f>_xlfn.XLOOKUP(A2263,Energy!A:A,Energy!H:H,0,-1)</f>
        <v>10200.160135392851</v>
      </c>
      <c r="D2263">
        <f t="shared" si="140"/>
        <v>12858.150155825146</v>
      </c>
      <c r="E2263">
        <f>_xlfn.XLOOKUP(A2263,Banks!A:A,Banks!I:I,0)</f>
        <v>0</v>
      </c>
      <c r="F2263">
        <f>_xlfn.XLOOKUP(A2263,Energy!A:A,Energy!I:I,0)</f>
        <v>35524.012790772242</v>
      </c>
      <c r="G2263">
        <f t="shared" si="141"/>
        <v>35524.012790772242</v>
      </c>
      <c r="H2263">
        <f t="shared" si="142"/>
        <v>22665.862634947094</v>
      </c>
      <c r="I2263" t="b">
        <f t="shared" si="143"/>
        <v>0</v>
      </c>
    </row>
    <row r="2264" spans="1:9">
      <c r="A2264" s="1">
        <v>46122.852777777778</v>
      </c>
      <c r="B2264" s="5">
        <f>_xlfn.XLOOKUP(A2264,Banks!A:A,Banks!H:H,0,-1)</f>
        <v>2657.9900204322948</v>
      </c>
      <c r="C2264">
        <f>_xlfn.XLOOKUP(A2264,Energy!A:A,Energy!H:H,0,-1)</f>
        <v>10136.296378075131</v>
      </c>
      <c r="D2264">
        <f t="shared" si="140"/>
        <v>12794.286398507425</v>
      </c>
      <c r="E2264">
        <f>_xlfn.XLOOKUP(A2264,Banks!A:A,Banks!I:I,0)</f>
        <v>0</v>
      </c>
      <c r="F2264">
        <f>_xlfn.XLOOKUP(A2264,Energy!A:A,Energy!I:I,0)</f>
        <v>35536.785542235782</v>
      </c>
      <c r="G2264">
        <f t="shared" si="141"/>
        <v>35536.785542235782</v>
      </c>
      <c r="H2264">
        <f t="shared" si="142"/>
        <v>22742.499143728357</v>
      </c>
      <c r="I2264" t="b">
        <f t="shared" si="143"/>
        <v>0</v>
      </c>
    </row>
    <row r="2265" spans="1:9">
      <c r="A2265" s="1">
        <v>46122.853472222218</v>
      </c>
      <c r="B2265" s="5">
        <f>_xlfn.XLOOKUP(A2265,Banks!A:A,Banks!H:H,0,-1)</f>
        <v>2657.9900204322948</v>
      </c>
      <c r="C2265">
        <f>_xlfn.XLOOKUP(A2265,Energy!A:A,Energy!H:H,0,-1)</f>
        <v>10173.47068932645</v>
      </c>
      <c r="D2265">
        <f t="shared" si="140"/>
        <v>12831.460709758745</v>
      </c>
      <c r="E2265">
        <f>_xlfn.XLOOKUP(A2265,Banks!A:A,Banks!I:I,0)</f>
        <v>0</v>
      </c>
      <c r="F2265">
        <f>_xlfn.XLOOKUP(A2265,Energy!A:A,Energy!I:I,0)</f>
        <v>35566.57271954725</v>
      </c>
      <c r="G2265">
        <f t="shared" si="141"/>
        <v>35566.57271954725</v>
      </c>
      <c r="H2265">
        <f t="shared" si="142"/>
        <v>22735.112009788507</v>
      </c>
      <c r="I2265" t="b">
        <f t="shared" si="143"/>
        <v>0</v>
      </c>
    </row>
    <row r="2266" spans="1:9">
      <c r="A2266" s="1">
        <v>46122.854166666657</v>
      </c>
      <c r="B2266" s="5">
        <f>_xlfn.XLOOKUP(A2266,Banks!A:A,Banks!H:H,0,-1)</f>
        <v>2657.9900204322948</v>
      </c>
      <c r="C2266">
        <f>_xlfn.XLOOKUP(A2266,Energy!A:A,Energy!H:H,0,-1)</f>
        <v>10309.32618080965</v>
      </c>
      <c r="D2266">
        <f t="shared" si="140"/>
        <v>12967.316201241945</v>
      </c>
      <c r="E2266">
        <f>_xlfn.XLOOKUP(A2266,Banks!A:A,Banks!I:I,0)</f>
        <v>0</v>
      </c>
      <c r="F2266">
        <f>_xlfn.XLOOKUP(A2266,Energy!A:A,Energy!I:I,0)</f>
        <v>0</v>
      </c>
      <c r="G2266">
        <f t="shared" si="141"/>
        <v>0</v>
      </c>
      <c r="H2266">
        <f t="shared" si="142"/>
        <v>-12967.316201241945</v>
      </c>
      <c r="I2266" t="b">
        <f t="shared" si="143"/>
        <v>0</v>
      </c>
    </row>
    <row r="2267" spans="1:9">
      <c r="A2267" s="1">
        <v>46125.606944444437</v>
      </c>
      <c r="B2267" s="5">
        <f>_xlfn.XLOOKUP(A2267,Banks!A:A,Banks!H:H,0,-1)</f>
        <v>2657.9900204322948</v>
      </c>
      <c r="C2267">
        <f>_xlfn.XLOOKUP(A2267,Energy!A:A,Energy!H:H,0,-1)</f>
        <v>10309.32618080965</v>
      </c>
      <c r="D2267">
        <f t="shared" si="140"/>
        <v>12967.316201241945</v>
      </c>
      <c r="E2267">
        <f>_xlfn.XLOOKUP(A2267,Banks!A:A,Banks!I:I,0)</f>
        <v>0</v>
      </c>
      <c r="F2267">
        <f>_xlfn.XLOOKUP(A2267,Energy!A:A,Energy!I:I,0)</f>
        <v>35501.020422747773</v>
      </c>
      <c r="G2267">
        <f t="shared" si="141"/>
        <v>35501.020422747773</v>
      </c>
      <c r="H2267">
        <f t="shared" si="142"/>
        <v>22533.704221505828</v>
      </c>
      <c r="I2267" t="b">
        <f t="shared" si="143"/>
        <v>0</v>
      </c>
    </row>
    <row r="2268" spans="1:9">
      <c r="A2268" s="1">
        <v>46125.607638888891</v>
      </c>
      <c r="B2268" s="5">
        <f>_xlfn.XLOOKUP(A2268,Banks!A:A,Banks!H:H,0,-1)</f>
        <v>2657.9900204322948</v>
      </c>
      <c r="C2268">
        <f>_xlfn.XLOOKUP(A2268,Energy!A:A,Energy!H:H,0,-1)</f>
        <v>10248.404176354759</v>
      </c>
      <c r="D2268">
        <f t="shared" si="140"/>
        <v>12906.394196787054</v>
      </c>
      <c r="E2268">
        <f>_xlfn.XLOOKUP(A2268,Banks!A:A,Banks!I:I,0)</f>
        <v>0</v>
      </c>
      <c r="F2268">
        <f>_xlfn.XLOOKUP(A2268,Energy!A:A,Energy!I:I,0)</f>
        <v>35517.063198355063</v>
      </c>
      <c r="G2268">
        <f t="shared" si="141"/>
        <v>35517.063198355063</v>
      </c>
      <c r="H2268">
        <f t="shared" si="142"/>
        <v>22610.669001568007</v>
      </c>
      <c r="I2268" t="b">
        <f t="shared" si="143"/>
        <v>0</v>
      </c>
    </row>
    <row r="2269" spans="1:9">
      <c r="A2269" s="1">
        <v>46125.60833333333</v>
      </c>
      <c r="B2269" s="5">
        <f>_xlfn.XLOOKUP(A2269,Banks!A:A,Banks!H:H,0,-1)</f>
        <v>2657.9900204322948</v>
      </c>
      <c r="C2269">
        <f>_xlfn.XLOOKUP(A2269,Energy!A:A,Energy!H:H,0,-1)</f>
        <v>10018.404960443</v>
      </c>
      <c r="D2269">
        <f t="shared" si="140"/>
        <v>12676.394980875295</v>
      </c>
      <c r="E2269">
        <f>_xlfn.XLOOKUP(A2269,Banks!A:A,Banks!I:I,0)</f>
        <v>0</v>
      </c>
      <c r="F2269">
        <f>_xlfn.XLOOKUP(A2269,Energy!A:A,Energy!I:I,0)</f>
        <v>35563.063041537411</v>
      </c>
      <c r="G2269">
        <f t="shared" si="141"/>
        <v>35563.063041537411</v>
      </c>
      <c r="H2269">
        <f t="shared" si="142"/>
        <v>22886.668060662116</v>
      </c>
      <c r="I2269" t="b">
        <f t="shared" si="143"/>
        <v>0</v>
      </c>
    </row>
    <row r="2270" spans="1:9">
      <c r="A2270" s="1">
        <v>46125.609027777777</v>
      </c>
      <c r="B2270" s="5">
        <f>_xlfn.XLOOKUP(A2270,Banks!A:A,Banks!H:H,0,-1)</f>
        <v>2657.9900204322948</v>
      </c>
      <c r="C2270">
        <f>_xlfn.XLOOKUP(A2270,Energy!A:A,Energy!H:H,0,-1)</f>
        <v>10000.109568268201</v>
      </c>
      <c r="D2270">
        <f t="shared" si="140"/>
        <v>12658.099588700496</v>
      </c>
      <c r="E2270">
        <f>_xlfn.XLOOKUP(A2270,Banks!A:A,Banks!I:I,0)</f>
        <v>0</v>
      </c>
      <c r="F2270">
        <f>_xlfn.XLOOKUP(A2270,Energy!A:A,Energy!I:I,0)</f>
        <v>35566.722119972357</v>
      </c>
      <c r="G2270">
        <f t="shared" si="141"/>
        <v>35566.722119972357</v>
      </c>
      <c r="H2270">
        <f t="shared" si="142"/>
        <v>22908.62253127186</v>
      </c>
      <c r="I2270" t="b">
        <f t="shared" si="143"/>
        <v>0</v>
      </c>
    </row>
    <row r="2271" spans="1:9">
      <c r="A2271" s="1">
        <v>46125.609722222223</v>
      </c>
      <c r="B2271" s="5">
        <f>_xlfn.XLOOKUP(A2271,Banks!A:A,Banks!H:H,0,-1)</f>
        <v>2657.9900204322948</v>
      </c>
      <c r="C2271">
        <f>_xlfn.XLOOKUP(A2271,Energy!A:A,Energy!H:H,0,-1)</f>
        <v>9968.7460388256859</v>
      </c>
      <c r="D2271">
        <f t="shared" si="140"/>
        <v>12626.736059257981</v>
      </c>
      <c r="E2271">
        <f>_xlfn.XLOOKUP(A2271,Banks!A:A,Banks!I:I,0)</f>
        <v>0</v>
      </c>
      <c r="F2271">
        <f>_xlfn.XLOOKUP(A2271,Energy!A:A,Energy!I:I,0)</f>
        <v>35572.994825860871</v>
      </c>
      <c r="G2271">
        <f t="shared" si="141"/>
        <v>35572.994825860871</v>
      </c>
      <c r="H2271">
        <f t="shared" si="142"/>
        <v>22946.258766602892</v>
      </c>
      <c r="I2271" t="b">
        <f t="shared" si="143"/>
        <v>0</v>
      </c>
    </row>
    <row r="2272" spans="1:9">
      <c r="A2272" s="1">
        <v>46125.61041666667</v>
      </c>
      <c r="B2272" s="5">
        <f>_xlfn.XLOOKUP(A2272,Banks!A:A,Banks!H:H,0,-1)</f>
        <v>2657.9900204322948</v>
      </c>
      <c r="C2272">
        <f>_xlfn.XLOOKUP(A2272,Energy!A:A,Energy!H:H,0,-1)</f>
        <v>9992.7014421643762</v>
      </c>
      <c r="D2272">
        <f t="shared" si="140"/>
        <v>12650.691462596671</v>
      </c>
      <c r="E2272">
        <f>_xlfn.XLOOKUP(A2272,Banks!A:A,Banks!I:I,0)</f>
        <v>0</v>
      </c>
      <c r="F2272">
        <f>_xlfn.XLOOKUP(A2272,Energy!A:A,Energy!I:I,0)</f>
        <v>35541.195122179022</v>
      </c>
      <c r="G2272">
        <f t="shared" si="141"/>
        <v>35541.195122179022</v>
      </c>
      <c r="H2272">
        <f t="shared" si="142"/>
        <v>22890.503659582351</v>
      </c>
      <c r="I2272" t="b">
        <f t="shared" si="143"/>
        <v>0</v>
      </c>
    </row>
    <row r="2273" spans="1:9">
      <c r="A2273" s="1">
        <v>46125.611111111109</v>
      </c>
      <c r="B2273" s="5">
        <f>_xlfn.XLOOKUP(A2273,Banks!A:A,Banks!H:H,0,-1)</f>
        <v>2657.9900204322948</v>
      </c>
      <c r="C2273">
        <f>_xlfn.XLOOKUP(A2273,Energy!A:A,Energy!H:H,0,-1)</f>
        <v>9697.7942961708432</v>
      </c>
      <c r="D2273">
        <f t="shared" si="140"/>
        <v>12355.784316603138</v>
      </c>
      <c r="E2273">
        <f>_xlfn.XLOOKUP(A2273,Banks!A:A,Banks!I:I,0)</f>
        <v>0</v>
      </c>
      <c r="F2273">
        <f>_xlfn.XLOOKUP(A2273,Energy!A:A,Energy!I:I,0)</f>
        <v>35573.167928363597</v>
      </c>
      <c r="G2273">
        <f t="shared" si="141"/>
        <v>35573.167928363597</v>
      </c>
      <c r="H2273">
        <f t="shared" si="142"/>
        <v>23217.383611760459</v>
      </c>
      <c r="I2273" t="b">
        <f t="shared" si="143"/>
        <v>0</v>
      </c>
    </row>
    <row r="2274" spans="1:9">
      <c r="A2274" s="1">
        <v>46125.611805555563</v>
      </c>
      <c r="B2274" s="5">
        <f>_xlfn.XLOOKUP(A2274,Banks!A:A,Banks!H:H,0,-1)</f>
        <v>2657.9900204322948</v>
      </c>
      <c r="C2274">
        <f>_xlfn.XLOOKUP(A2274,Energy!A:A,Energy!H:H,0,-1)</f>
        <v>9691.5705598570476</v>
      </c>
      <c r="D2274">
        <f t="shared" si="140"/>
        <v>12349.560580289342</v>
      </c>
      <c r="E2274">
        <f>_xlfn.XLOOKUP(A2274,Banks!A:A,Banks!I:I,0)</f>
        <v>0</v>
      </c>
      <c r="F2274">
        <f>_xlfn.XLOOKUP(A2274,Energy!A:A,Energy!I:I,0)</f>
        <v>35566.695926193752</v>
      </c>
      <c r="G2274">
        <f t="shared" si="141"/>
        <v>35566.695926193752</v>
      </c>
      <c r="H2274">
        <f t="shared" si="142"/>
        <v>23217.135345904411</v>
      </c>
      <c r="I2274" t="b">
        <f t="shared" si="143"/>
        <v>0</v>
      </c>
    </row>
    <row r="2275" spans="1:9">
      <c r="A2275" s="1">
        <v>46125.612500000003</v>
      </c>
      <c r="B2275" s="5">
        <f>_xlfn.XLOOKUP(A2275,Banks!A:A,Banks!H:H,0,-1)</f>
        <v>2657.9900204322948</v>
      </c>
      <c r="C2275">
        <f>_xlfn.XLOOKUP(A2275,Energy!A:A,Energy!H:H,0,-1)</f>
        <v>9843.1609521625396</v>
      </c>
      <c r="D2275">
        <f t="shared" si="140"/>
        <v>12501.150972594834</v>
      </c>
      <c r="E2275">
        <f>_xlfn.XLOOKUP(A2275,Banks!A:A,Banks!I:I,0)</f>
        <v>0</v>
      </c>
      <c r="F2275">
        <f>_xlfn.XLOOKUP(A2275,Energy!A:A,Energy!I:I,0)</f>
        <v>35536.377847732649</v>
      </c>
      <c r="G2275">
        <f t="shared" si="141"/>
        <v>35536.377847732649</v>
      </c>
      <c r="H2275">
        <f t="shared" si="142"/>
        <v>23035.226875137814</v>
      </c>
      <c r="I2275" t="b">
        <f t="shared" si="143"/>
        <v>0</v>
      </c>
    </row>
    <row r="2276" spans="1:9">
      <c r="A2276" s="1">
        <v>46125.613194444442</v>
      </c>
      <c r="B2276" s="5">
        <f>_xlfn.XLOOKUP(A2276,Banks!A:A,Banks!H:H,0,-1)</f>
        <v>2657.9900204322948</v>
      </c>
      <c r="C2276">
        <f>_xlfn.XLOOKUP(A2276,Energy!A:A,Energy!H:H,0,-1)</f>
        <v>9641.535821473135</v>
      </c>
      <c r="D2276">
        <f t="shared" si="140"/>
        <v>12299.52584190543</v>
      </c>
      <c r="E2276">
        <f>_xlfn.XLOOKUP(A2276,Banks!A:A,Banks!I:I,0)</f>
        <v>0</v>
      </c>
      <c r="F2276">
        <f>_xlfn.XLOOKUP(A2276,Energy!A:A,Energy!I:I,0)</f>
        <v>35553.552625572724</v>
      </c>
      <c r="G2276">
        <f t="shared" si="141"/>
        <v>35553.552625572724</v>
      </c>
      <c r="H2276">
        <f t="shared" si="142"/>
        <v>23254.026783667294</v>
      </c>
      <c r="I2276" t="b">
        <f t="shared" si="143"/>
        <v>0</v>
      </c>
    </row>
    <row r="2277" spans="1:9">
      <c r="A2277" s="1">
        <v>46125.613888888889</v>
      </c>
      <c r="B2277" s="5">
        <f>_xlfn.XLOOKUP(A2277,Banks!A:A,Banks!H:H,0,-1)</f>
        <v>2657.9900204322948</v>
      </c>
      <c r="C2277">
        <f>_xlfn.XLOOKUP(A2277,Energy!A:A,Energy!H:H,0,-1)</f>
        <v>9628.4676842054178</v>
      </c>
      <c r="D2277">
        <f t="shared" si="140"/>
        <v>12286.457704637713</v>
      </c>
      <c r="E2277">
        <f>_xlfn.XLOOKUP(A2277,Banks!A:A,Banks!I:I,0)</f>
        <v>0</v>
      </c>
      <c r="F2277">
        <f>_xlfn.XLOOKUP(A2277,Energy!A:A,Energy!I:I,0)</f>
        <v>35556.166253026247</v>
      </c>
      <c r="G2277">
        <f t="shared" si="141"/>
        <v>35556.166253026247</v>
      </c>
      <c r="H2277">
        <f t="shared" si="142"/>
        <v>23269.708548388535</v>
      </c>
      <c r="I2277" t="b">
        <f t="shared" si="143"/>
        <v>0</v>
      </c>
    </row>
    <row r="2278" spans="1:9">
      <c r="A2278" s="1">
        <v>46125.614583333343</v>
      </c>
      <c r="B2278" s="5">
        <f>_xlfn.XLOOKUP(A2278,Banks!A:A,Banks!H:H,0,-1)</f>
        <v>2657.9900204322948</v>
      </c>
      <c r="C2278">
        <f>_xlfn.XLOOKUP(A2278,Energy!A:A,Energy!H:H,0,-1)</f>
        <v>9607.55866457708</v>
      </c>
      <c r="D2278">
        <f t="shared" si="140"/>
        <v>12265.548685009375</v>
      </c>
      <c r="E2278">
        <f>_xlfn.XLOOKUP(A2278,Banks!A:A,Banks!I:I,0)</f>
        <v>0</v>
      </c>
      <c r="F2278">
        <f>_xlfn.XLOOKUP(A2278,Energy!A:A,Energy!I:I,0)</f>
        <v>35560.348056951923</v>
      </c>
      <c r="G2278">
        <f t="shared" si="141"/>
        <v>35560.348056951923</v>
      </c>
      <c r="H2278">
        <f t="shared" si="142"/>
        <v>23294.79937194255</v>
      </c>
      <c r="I2278" t="b">
        <f t="shared" si="143"/>
        <v>0</v>
      </c>
    </row>
    <row r="2279" spans="1:9">
      <c r="A2279" s="1">
        <v>46125.615277777782</v>
      </c>
      <c r="B2279" s="5">
        <f>_xlfn.XLOOKUP(A2279,Banks!A:A,Banks!H:H,0,-1)</f>
        <v>2657.9900204322948</v>
      </c>
      <c r="C2279">
        <f>_xlfn.XLOOKUP(A2279,Energy!A:A,Energy!H:H,0,-1)</f>
        <v>9607.9629510887862</v>
      </c>
      <c r="D2279">
        <f t="shared" si="140"/>
        <v>12265.952971521081</v>
      </c>
      <c r="E2279">
        <f>_xlfn.XLOOKUP(A2279,Banks!A:A,Banks!I:I,0)</f>
        <v>0</v>
      </c>
      <c r="F2279">
        <f>_xlfn.XLOOKUP(A2279,Energy!A:A,Energy!I:I,0)</f>
        <v>35558.338012291431</v>
      </c>
      <c r="G2279">
        <f t="shared" si="141"/>
        <v>35558.338012291431</v>
      </c>
      <c r="H2279">
        <f t="shared" si="142"/>
        <v>23292.38504077035</v>
      </c>
      <c r="I2279" t="b">
        <f t="shared" si="143"/>
        <v>0</v>
      </c>
    </row>
    <row r="2280" spans="1:9">
      <c r="A2280" s="1">
        <v>46125.615972222222</v>
      </c>
      <c r="B2280" s="5">
        <f>_xlfn.XLOOKUP(A2280,Banks!A:A,Banks!H:H,0,-1)</f>
        <v>2657.9900204322948</v>
      </c>
      <c r="C2280">
        <f>_xlfn.XLOOKUP(A2280,Energy!A:A,Energy!H:H,0,-1)</f>
        <v>9576.5994216462714</v>
      </c>
      <c r="D2280">
        <f t="shared" si="140"/>
        <v>12234.589442078566</v>
      </c>
      <c r="E2280">
        <f>_xlfn.XLOOKUP(A2280,Banks!A:A,Banks!I:I,0)</f>
        <v>0</v>
      </c>
      <c r="F2280">
        <f>_xlfn.XLOOKUP(A2280,Energy!A:A,Energy!I:I,0)</f>
        <v>35564.610718179938</v>
      </c>
      <c r="G2280">
        <f t="shared" si="141"/>
        <v>35564.610718179938</v>
      </c>
      <c r="H2280">
        <f t="shared" si="142"/>
        <v>23330.021276101372</v>
      </c>
      <c r="I2280" t="b">
        <f t="shared" si="143"/>
        <v>0</v>
      </c>
    </row>
    <row r="2281" spans="1:9">
      <c r="A2281" s="1">
        <v>46125.616666666669</v>
      </c>
      <c r="B2281" s="5">
        <f>_xlfn.XLOOKUP(A2281,Banks!A:A,Banks!H:H,0,-1)</f>
        <v>2657.9900204322948</v>
      </c>
      <c r="C2281">
        <f>_xlfn.XLOOKUP(A2281,Energy!A:A,Energy!H:H,0,-1)</f>
        <v>9560.9176569250139</v>
      </c>
      <c r="D2281">
        <f t="shared" si="140"/>
        <v>12218.907677357309</v>
      </c>
      <c r="E2281">
        <f>_xlfn.XLOOKUP(A2281,Banks!A:A,Banks!I:I,0)</f>
        <v>0</v>
      </c>
      <c r="F2281">
        <f>_xlfn.XLOOKUP(A2281,Energy!A:A,Energy!I:I,0)</f>
        <v>35567.747071124177</v>
      </c>
      <c r="G2281">
        <f t="shared" si="141"/>
        <v>35567.747071124177</v>
      </c>
      <c r="H2281">
        <f t="shared" si="142"/>
        <v>23348.839393766866</v>
      </c>
      <c r="I2281" t="b">
        <f t="shared" si="143"/>
        <v>0</v>
      </c>
    </row>
    <row r="2282" spans="1:9">
      <c r="A2282" s="1">
        <v>46125.617361111108</v>
      </c>
      <c r="B2282" s="5">
        <f>_xlfn.XLOOKUP(A2282,Banks!A:A,Banks!H:H,0,-1)</f>
        <v>2657.9900204322948</v>
      </c>
      <c r="C2282">
        <f>_xlfn.XLOOKUP(A2282,Energy!A:A,Energy!H:H,0,-1)</f>
        <v>9738.6443237659241</v>
      </c>
      <c r="D2282">
        <f t="shared" si="140"/>
        <v>12396.634344198219</v>
      </c>
      <c r="E2282">
        <f>_xlfn.XLOOKUP(A2282,Banks!A:A,Banks!I:I,0)</f>
        <v>0</v>
      </c>
      <c r="F2282">
        <f>_xlfn.XLOOKUP(A2282,Energy!A:A,Energy!I:I,0)</f>
        <v>35532.201737755997</v>
      </c>
      <c r="G2282">
        <f t="shared" si="141"/>
        <v>35532.201737755997</v>
      </c>
      <c r="H2282">
        <f t="shared" si="142"/>
        <v>23135.56739355778</v>
      </c>
      <c r="I2282" t="b">
        <f t="shared" si="143"/>
        <v>0</v>
      </c>
    </row>
    <row r="2283" spans="1:9">
      <c r="A2283" s="1">
        <v>46125.618055555547</v>
      </c>
      <c r="B2283" s="5">
        <f>_xlfn.XLOOKUP(A2283,Banks!A:A,Banks!H:H,0,-1)</f>
        <v>2657.9900204322948</v>
      </c>
      <c r="C2283">
        <f>_xlfn.XLOOKUP(A2283,Energy!A:A,Energy!H:H,0,-1)</f>
        <v>9947.7345200493492</v>
      </c>
      <c r="D2283">
        <f t="shared" si="140"/>
        <v>12605.724540481644</v>
      </c>
      <c r="E2283">
        <f>_xlfn.XLOOKUP(A2283,Banks!A:A,Banks!I:I,0)</f>
        <v>0</v>
      </c>
      <c r="F2283">
        <f>_xlfn.XLOOKUP(A2283,Energy!A:A,Energy!I:I,0)</f>
        <v>35490.383698499318</v>
      </c>
      <c r="G2283">
        <f t="shared" si="141"/>
        <v>35490.383698499318</v>
      </c>
      <c r="H2283">
        <f t="shared" si="142"/>
        <v>22884.659158017676</v>
      </c>
      <c r="I2283" t="b">
        <f t="shared" si="143"/>
        <v>0</v>
      </c>
    </row>
    <row r="2284" spans="1:9">
      <c r="A2284" s="1">
        <v>46125.618750000001</v>
      </c>
      <c r="B2284" s="5">
        <f>_xlfn.XLOOKUP(A2284,Banks!A:A,Banks!H:H,0,-1)</f>
        <v>2657.9900204322948</v>
      </c>
      <c r="C2284">
        <f>_xlfn.XLOOKUP(A2284,Energy!A:A,Energy!H:H,0,-1)</f>
        <v>10027.655257868089</v>
      </c>
      <c r="D2284">
        <f t="shared" si="140"/>
        <v>12685.645278300384</v>
      </c>
      <c r="E2284">
        <f>_xlfn.XLOOKUP(A2284,Banks!A:A,Banks!I:I,0)</f>
        <v>0</v>
      </c>
      <c r="F2284">
        <f>_xlfn.XLOOKUP(A2284,Energy!A:A,Energy!I:I,0)</f>
        <v>0</v>
      </c>
      <c r="G2284">
        <f t="shared" si="141"/>
        <v>0</v>
      </c>
      <c r="H2284">
        <f t="shared" si="142"/>
        <v>-12685.645278300384</v>
      </c>
      <c r="I2284" t="b">
        <f t="shared" si="143"/>
        <v>0</v>
      </c>
    </row>
    <row r="2285" spans="1:9">
      <c r="A2285" s="1">
        <v>46127.607638888891</v>
      </c>
      <c r="B2285" s="5">
        <f>_xlfn.XLOOKUP(A2285,Banks!A:A,Banks!H:H,0,-1)</f>
        <v>2657.9900204322948</v>
      </c>
      <c r="C2285">
        <f>_xlfn.XLOOKUP(A2285,Energy!A:A,Energy!H:H,0,-1)</f>
        <v>10027.655257868089</v>
      </c>
      <c r="D2285">
        <f t="shared" si="140"/>
        <v>12685.645278300384</v>
      </c>
      <c r="E2285">
        <f>_xlfn.XLOOKUP(A2285,Banks!A:A,Banks!I:I,0)</f>
        <v>0</v>
      </c>
      <c r="F2285">
        <f>_xlfn.XLOOKUP(A2285,Energy!A:A,Energy!I:I,0)</f>
        <v>35501.020422747773</v>
      </c>
      <c r="G2285">
        <f t="shared" si="141"/>
        <v>35501.020422747773</v>
      </c>
      <c r="H2285">
        <f t="shared" si="142"/>
        <v>22815.375144447389</v>
      </c>
      <c r="I2285" t="b">
        <f t="shared" si="143"/>
        <v>0</v>
      </c>
    </row>
    <row r="2286" spans="1:9">
      <c r="A2286" s="1">
        <v>46127.60833333333</v>
      </c>
      <c r="B2286" s="5">
        <f>_xlfn.XLOOKUP(A2286,Banks!A:A,Banks!H:H,0,-1)</f>
        <v>2657.9900204322948</v>
      </c>
      <c r="C2286">
        <f>_xlfn.XLOOKUP(A2286,Energy!A:A,Energy!H:H,0,-1)</f>
        <v>9965.7574162189267</v>
      </c>
      <c r="D2286">
        <f t="shared" si="140"/>
        <v>12623.747436651222</v>
      </c>
      <c r="E2286">
        <f>_xlfn.XLOOKUP(A2286,Banks!A:A,Banks!I:I,0)</f>
        <v>0</v>
      </c>
      <c r="F2286">
        <f>_xlfn.XLOOKUP(A2286,Energy!A:A,Energy!I:I,0)</f>
        <v>35488.640854417943</v>
      </c>
      <c r="G2286">
        <f t="shared" si="141"/>
        <v>35488.640854417943</v>
      </c>
      <c r="H2286">
        <f t="shared" si="142"/>
        <v>22864.893417766722</v>
      </c>
      <c r="I2286" t="b">
        <f t="shared" si="143"/>
        <v>0</v>
      </c>
    </row>
    <row r="2287" spans="1:9">
      <c r="A2287" s="1">
        <v>46127.609027777777</v>
      </c>
      <c r="B2287" s="5">
        <f>_xlfn.XLOOKUP(A2287,Banks!A:A,Banks!H:H,0,-1)</f>
        <v>2657.9900204322948</v>
      </c>
      <c r="C2287">
        <f>_xlfn.XLOOKUP(A2287,Energy!A:A,Energy!H:H,0,-1)</f>
        <v>9925.3892586216298</v>
      </c>
      <c r="D2287">
        <f t="shared" si="140"/>
        <v>12583.379279053925</v>
      </c>
      <c r="E2287">
        <f>_xlfn.XLOOKUP(A2287,Banks!A:A,Banks!I:I,0)</f>
        <v>0</v>
      </c>
      <c r="F2287">
        <f>_xlfn.XLOOKUP(A2287,Energy!A:A,Energy!I:I,0)</f>
        <v>35480.567222898477</v>
      </c>
      <c r="G2287">
        <f t="shared" si="141"/>
        <v>35480.567222898477</v>
      </c>
      <c r="H2287">
        <f t="shared" si="142"/>
        <v>22897.187943844554</v>
      </c>
      <c r="I2287" t="b">
        <f t="shared" si="143"/>
        <v>0</v>
      </c>
    </row>
    <row r="2288" spans="1:9">
      <c r="A2288" s="1">
        <v>46127.609722222223</v>
      </c>
      <c r="B2288" s="5">
        <f>_xlfn.XLOOKUP(A2288,Banks!A:A,Banks!H:H,0,-1)</f>
        <v>2657.9900204322948</v>
      </c>
      <c r="C2288">
        <f>_xlfn.XLOOKUP(A2288,Energy!A:A,Energy!H:H,0,-1)</f>
        <v>9926.5913176031117</v>
      </c>
      <c r="D2288">
        <f t="shared" si="140"/>
        <v>12584.581338035407</v>
      </c>
      <c r="E2288">
        <f>_xlfn.XLOOKUP(A2288,Banks!A:A,Banks!I:I,0)</f>
        <v>0</v>
      </c>
      <c r="F2288">
        <f>_xlfn.XLOOKUP(A2288,Energy!A:A,Energy!I:I,0)</f>
        <v>35412.508306338743</v>
      </c>
      <c r="G2288">
        <f t="shared" si="141"/>
        <v>35412.508306338743</v>
      </c>
      <c r="H2288">
        <f t="shared" si="142"/>
        <v>22827.926968303334</v>
      </c>
      <c r="I2288" t="b">
        <f t="shared" si="143"/>
        <v>0</v>
      </c>
    </row>
    <row r="2289" spans="1:9">
      <c r="A2289" s="1">
        <v>46127.61041666667</v>
      </c>
      <c r="B2289" s="5">
        <f>_xlfn.XLOOKUP(A2289,Banks!A:A,Banks!H:H,0,-1)</f>
        <v>2657.9900204322948</v>
      </c>
      <c r="C2289">
        <f>_xlfn.XLOOKUP(A2289,Energy!A:A,Energy!H:H,0,-1)</f>
        <v>9965.6307758110834</v>
      </c>
      <c r="D2289">
        <f t="shared" si="140"/>
        <v>12623.620796243378</v>
      </c>
      <c r="E2289">
        <f>_xlfn.XLOOKUP(A2289,Banks!A:A,Banks!I:I,0)</f>
        <v>0</v>
      </c>
      <c r="F2289">
        <f>_xlfn.XLOOKUP(A2289,Energy!A:A,Energy!I:I,0)</f>
        <v>35373.482372821913</v>
      </c>
      <c r="G2289">
        <f t="shared" si="141"/>
        <v>35373.482372821913</v>
      </c>
      <c r="H2289">
        <f t="shared" si="142"/>
        <v>22749.861576578536</v>
      </c>
      <c r="I2289" t="b">
        <f t="shared" si="143"/>
        <v>0</v>
      </c>
    </row>
    <row r="2290" spans="1:9">
      <c r="A2290" s="1">
        <v>46127.611111111109</v>
      </c>
      <c r="B2290" s="5">
        <f>_xlfn.XLOOKUP(A2290,Banks!A:A,Banks!H:H,0,-1)</f>
        <v>2657.9900204322948</v>
      </c>
      <c r="C2290">
        <f>_xlfn.XLOOKUP(A2290,Energy!A:A,Energy!H:H,0,-1)</f>
        <v>9909.1153551748866</v>
      </c>
      <c r="D2290">
        <f t="shared" si="140"/>
        <v>12567.105375607181</v>
      </c>
      <c r="E2290">
        <f>_xlfn.XLOOKUP(A2290,Banks!A:A,Banks!I:I,0)</f>
        <v>0</v>
      </c>
      <c r="F2290">
        <f>_xlfn.XLOOKUP(A2290,Energy!A:A,Energy!I:I,0)</f>
        <v>35362.179288694671</v>
      </c>
      <c r="G2290">
        <f t="shared" si="141"/>
        <v>35362.179288694671</v>
      </c>
      <c r="H2290">
        <f t="shared" si="142"/>
        <v>22795.07391308749</v>
      </c>
      <c r="I2290" t="b">
        <f t="shared" si="143"/>
        <v>0</v>
      </c>
    </row>
    <row r="2291" spans="1:9">
      <c r="A2291" s="1">
        <v>46127.611805555563</v>
      </c>
      <c r="B2291" s="5">
        <f>_xlfn.XLOOKUP(A2291,Banks!A:A,Banks!H:H,0,-1)</f>
        <v>2657.9900204322948</v>
      </c>
      <c r="C2291">
        <f>_xlfn.XLOOKUP(A2291,Energy!A:A,Energy!H:H,0,-1)</f>
        <v>10152.36590760441</v>
      </c>
      <c r="D2291">
        <f t="shared" si="140"/>
        <v>12810.355928036704</v>
      </c>
      <c r="E2291">
        <f>_xlfn.XLOOKUP(A2291,Banks!A:A,Banks!I:I,0)</f>
        <v>0</v>
      </c>
      <c r="F2291">
        <f>_xlfn.XLOOKUP(A2291,Energy!A:A,Energy!I:I,0)</f>
        <v>35321.064567626927</v>
      </c>
      <c r="G2291">
        <f t="shared" si="141"/>
        <v>35321.064567626927</v>
      </c>
      <c r="H2291">
        <f t="shared" si="142"/>
        <v>22510.708639590222</v>
      </c>
      <c r="I2291" t="b">
        <f t="shared" si="143"/>
        <v>0</v>
      </c>
    </row>
    <row r="2292" spans="1:9">
      <c r="A2292" s="1">
        <v>46127.612500000003</v>
      </c>
      <c r="B2292" s="5">
        <f>_xlfn.XLOOKUP(A2292,Banks!A:A,Banks!H:H,0,-1)</f>
        <v>2657.9900204322948</v>
      </c>
      <c r="C2292">
        <f>_xlfn.XLOOKUP(A2292,Energy!A:A,Energy!H:H,0,-1)</f>
        <v>10157.74832861739</v>
      </c>
      <c r="D2292">
        <f t="shared" si="140"/>
        <v>12815.738349049685</v>
      </c>
      <c r="E2292">
        <f>_xlfn.XLOOKUP(A2292,Banks!A:A,Banks!I:I,0)</f>
        <v>0</v>
      </c>
      <c r="F2292">
        <f>_xlfn.XLOOKUP(A2292,Energy!A:A,Energy!I:I,0)</f>
        <v>35322.141051829523</v>
      </c>
      <c r="G2292">
        <f t="shared" si="141"/>
        <v>35322.141051829523</v>
      </c>
      <c r="H2292">
        <f t="shared" si="142"/>
        <v>22506.402702779837</v>
      </c>
      <c r="I2292" t="b">
        <f t="shared" si="143"/>
        <v>0</v>
      </c>
    </row>
    <row r="2293" spans="1:9">
      <c r="A2293" s="1">
        <v>46127.613194444442</v>
      </c>
      <c r="B2293" s="5">
        <f>_xlfn.XLOOKUP(A2293,Banks!A:A,Banks!H:H,0,-1)</f>
        <v>2657.9900204322948</v>
      </c>
      <c r="C2293">
        <f>_xlfn.XLOOKUP(A2293,Energy!A:A,Energy!H:H,0,-1)</f>
        <v>10221.169133519419</v>
      </c>
      <c r="D2293">
        <f t="shared" si="140"/>
        <v>12879.159153951714</v>
      </c>
      <c r="E2293">
        <f>_xlfn.XLOOKUP(A2293,Banks!A:A,Banks!I:I,0)</f>
        <v>0</v>
      </c>
      <c r="F2293">
        <f>_xlfn.XLOOKUP(A2293,Energy!A:A,Energy!I:I,0)</f>
        <v>35309.45689084912</v>
      </c>
      <c r="G2293">
        <f t="shared" si="141"/>
        <v>35309.45689084912</v>
      </c>
      <c r="H2293">
        <f t="shared" si="142"/>
        <v>22430.297736897406</v>
      </c>
      <c r="I2293" t="b">
        <f t="shared" si="143"/>
        <v>0</v>
      </c>
    </row>
    <row r="2294" spans="1:9">
      <c r="A2294" s="1">
        <v>46127.613888888889</v>
      </c>
      <c r="B2294" s="5">
        <f>_xlfn.XLOOKUP(A2294,Banks!A:A,Banks!H:H,0,-1)</f>
        <v>2657.9900204322948</v>
      </c>
      <c r="C2294">
        <f>_xlfn.XLOOKUP(A2294,Energy!A:A,Energy!H:H,0,-1)</f>
        <v>10449.97897171003</v>
      </c>
      <c r="D2294">
        <f t="shared" si="140"/>
        <v>13107.968992142325</v>
      </c>
      <c r="E2294">
        <f>_xlfn.XLOOKUP(A2294,Banks!A:A,Banks!I:I,0)</f>
        <v>0</v>
      </c>
      <c r="F2294">
        <f>_xlfn.XLOOKUP(A2294,Energy!A:A,Energy!I:I,0)</f>
        <v>0</v>
      </c>
      <c r="G2294">
        <f t="shared" si="141"/>
        <v>0</v>
      </c>
      <c r="H2294">
        <f t="shared" si="142"/>
        <v>-13107.968992142325</v>
      </c>
      <c r="I2294" t="b">
        <f t="shared" si="143"/>
        <v>0</v>
      </c>
    </row>
    <row r="2295" spans="1:9">
      <c r="A2295" s="1">
        <v>46129.604861111111</v>
      </c>
      <c r="B2295" s="5">
        <f>_xlfn.XLOOKUP(A2295,Banks!A:A,Banks!H:H,0,-1)</f>
        <v>2657.9900204322948</v>
      </c>
      <c r="C2295">
        <f>_xlfn.XLOOKUP(A2295,Energy!A:A,Energy!H:H,0,-1)</f>
        <v>10449.97897171003</v>
      </c>
      <c r="D2295">
        <f t="shared" si="140"/>
        <v>13107.968992142325</v>
      </c>
      <c r="E2295">
        <f>_xlfn.XLOOKUP(A2295,Banks!A:A,Banks!I:I,0)</f>
        <v>0</v>
      </c>
      <c r="F2295">
        <f>_xlfn.XLOOKUP(A2295,Energy!A:A,Energy!I:I,0)</f>
        <v>35501.020422747773</v>
      </c>
      <c r="G2295">
        <f t="shared" si="141"/>
        <v>35501.020422747773</v>
      </c>
      <c r="H2295">
        <f t="shared" si="142"/>
        <v>22393.051430605447</v>
      </c>
      <c r="I2295" t="b">
        <f t="shared" si="143"/>
        <v>0</v>
      </c>
    </row>
    <row r="2296" spans="1:9">
      <c r="A2296" s="1">
        <v>46129.605555555558</v>
      </c>
      <c r="B2296" s="5">
        <f>_xlfn.XLOOKUP(A2296,Banks!A:A,Banks!H:H,0,-1)</f>
        <v>2657.9900204322948</v>
      </c>
      <c r="C2296">
        <f>_xlfn.XLOOKUP(A2296,Energy!A:A,Energy!H:H,0,-1)</f>
        <v>10625.42659814525</v>
      </c>
      <c r="D2296">
        <f t="shared" si="140"/>
        <v>13283.416618577545</v>
      </c>
      <c r="E2296">
        <f>_xlfn.XLOOKUP(A2296,Banks!A:A,Banks!I:I,0)</f>
        <v>0</v>
      </c>
      <c r="F2296">
        <f>_xlfn.XLOOKUP(A2296,Energy!A:A,Energy!I:I,0)</f>
        <v>35494.77651791893</v>
      </c>
      <c r="G2296">
        <f t="shared" si="141"/>
        <v>35494.77651791893</v>
      </c>
      <c r="H2296">
        <f t="shared" si="142"/>
        <v>22211.359899341383</v>
      </c>
      <c r="I2296" t="b">
        <f t="shared" si="143"/>
        <v>0</v>
      </c>
    </row>
    <row r="2297" spans="1:9">
      <c r="A2297" s="1">
        <v>46129.606249999997</v>
      </c>
      <c r="B2297" s="5">
        <f>_xlfn.XLOOKUP(A2297,Banks!A:A,Banks!H:H,0,-1)</f>
        <v>2657.9900204322948</v>
      </c>
      <c r="C2297">
        <f>_xlfn.XLOOKUP(A2297,Energy!A:A,Energy!H:H,0,-1)</f>
        <v>10733.606589496359</v>
      </c>
      <c r="D2297">
        <f t="shared" si="140"/>
        <v>13391.596609928654</v>
      </c>
      <c r="E2297">
        <f>_xlfn.XLOOKUP(A2297,Banks!A:A,Banks!I:I,0)</f>
        <v>0</v>
      </c>
      <c r="F2297">
        <f>_xlfn.XLOOKUP(A2297,Energy!A:A,Energy!I:I,0)</f>
        <v>35577.428532074511</v>
      </c>
      <c r="G2297">
        <f t="shared" si="141"/>
        <v>35577.428532074511</v>
      </c>
      <c r="H2297">
        <f t="shared" si="142"/>
        <v>22185.831922145859</v>
      </c>
      <c r="I2297" t="b">
        <f t="shared" si="143"/>
        <v>0</v>
      </c>
    </row>
    <row r="2298" spans="1:9">
      <c r="A2298" s="1">
        <v>46129.606944444437</v>
      </c>
      <c r="B2298" s="5">
        <f>_xlfn.XLOOKUP(A2298,Banks!A:A,Banks!H:H,0,-1)</f>
        <v>2657.9900204322948</v>
      </c>
      <c r="C2298">
        <f>_xlfn.XLOOKUP(A2298,Energy!A:A,Energy!H:H,0,-1)</f>
        <v>10842.745749163951</v>
      </c>
      <c r="D2298">
        <f t="shared" si="140"/>
        <v>13500.735769596246</v>
      </c>
      <c r="E2298">
        <f>_xlfn.XLOOKUP(A2298,Banks!A:A,Banks!I:I,0)</f>
        <v>0</v>
      </c>
      <c r="F2298">
        <f>_xlfn.XLOOKUP(A2298,Energy!A:A,Energy!I:I,0)</f>
        <v>35489.033883698983</v>
      </c>
      <c r="G2298">
        <f t="shared" si="141"/>
        <v>35489.033883698983</v>
      </c>
      <c r="H2298">
        <f t="shared" si="142"/>
        <v>21988.298114102738</v>
      </c>
      <c r="I2298" t="b">
        <f t="shared" si="143"/>
        <v>0</v>
      </c>
    </row>
    <row r="2299" spans="1:9">
      <c r="A2299" s="1">
        <v>46129.607638888891</v>
      </c>
      <c r="B2299" s="5">
        <f>_xlfn.XLOOKUP(A2299,Banks!A:A,Banks!H:H,0,-1)</f>
        <v>2657.9900204322948</v>
      </c>
      <c r="C2299">
        <f>_xlfn.XLOOKUP(A2299,Energy!A:A,Energy!H:H,0,-1)</f>
        <v>10482.175493436431</v>
      </c>
      <c r="D2299">
        <f t="shared" si="140"/>
        <v>13140.165513868726</v>
      </c>
      <c r="E2299">
        <f>_xlfn.XLOOKUP(A2299,Banks!A:A,Banks!I:I,0)</f>
        <v>0</v>
      </c>
      <c r="F2299">
        <f>_xlfn.XLOOKUP(A2299,Energy!A:A,Energy!I:I,0)</f>
        <v>35416.919832553482</v>
      </c>
      <c r="G2299">
        <f t="shared" si="141"/>
        <v>35416.919832553482</v>
      </c>
      <c r="H2299">
        <f t="shared" si="142"/>
        <v>22276.754318684754</v>
      </c>
      <c r="I2299" t="b">
        <f t="shared" si="143"/>
        <v>0</v>
      </c>
    </row>
    <row r="2300" spans="1:9">
      <c r="A2300" s="1">
        <v>46129.60833333333</v>
      </c>
      <c r="B2300" s="5">
        <f>_xlfn.XLOOKUP(A2300,Banks!A:A,Banks!H:H,0,-1)</f>
        <v>2657.9900204322948</v>
      </c>
      <c r="C2300">
        <f>_xlfn.XLOOKUP(A2300,Energy!A:A,Energy!H:H,0,-1)</f>
        <v>10668.007856003691</v>
      </c>
      <c r="D2300">
        <f t="shared" si="140"/>
        <v>13325.997876435986</v>
      </c>
      <c r="E2300">
        <f>_xlfn.XLOOKUP(A2300,Banks!A:A,Banks!I:I,0)</f>
        <v>0</v>
      </c>
      <c r="F2300">
        <f>_xlfn.XLOOKUP(A2300,Energy!A:A,Energy!I:I,0)</f>
        <v>35454.086305066943</v>
      </c>
      <c r="G2300">
        <f t="shared" si="141"/>
        <v>35454.086305066943</v>
      </c>
      <c r="H2300">
        <f t="shared" si="142"/>
        <v>22128.088428630959</v>
      </c>
      <c r="I2300" t="b">
        <f t="shared" si="143"/>
        <v>0</v>
      </c>
    </row>
    <row r="2301" spans="1:9">
      <c r="A2301" s="1">
        <v>46129.609027777777</v>
      </c>
      <c r="B2301" s="5">
        <f>_xlfn.XLOOKUP(A2301,Banks!A:A,Banks!H:H,0,-1)</f>
        <v>2657.9900204322948</v>
      </c>
      <c r="C2301">
        <f>_xlfn.XLOOKUP(A2301,Energy!A:A,Energy!H:H,0,-1)</f>
        <v>10399.3352114707</v>
      </c>
      <c r="D2301">
        <f t="shared" si="140"/>
        <v>13057.325231902994</v>
      </c>
      <c r="E2301">
        <f>_xlfn.XLOOKUP(A2301,Banks!A:A,Banks!I:I,0)</f>
        <v>0</v>
      </c>
      <c r="F2301">
        <f>_xlfn.XLOOKUP(A2301,Energy!A:A,Energy!I:I,0)</f>
        <v>35471.209084930437</v>
      </c>
      <c r="G2301">
        <f t="shared" si="141"/>
        <v>35471.209084930437</v>
      </c>
      <c r="H2301">
        <f t="shared" si="142"/>
        <v>22413.883853027444</v>
      </c>
      <c r="I2301" t="b">
        <f t="shared" si="143"/>
        <v>0</v>
      </c>
    </row>
    <row r="2302" spans="1:9">
      <c r="A2302" s="1">
        <v>46129.609722222223</v>
      </c>
      <c r="B2302" s="5">
        <f>_xlfn.XLOOKUP(A2302,Banks!A:A,Banks!H:H,0,-1)</f>
        <v>2657.9900204322948</v>
      </c>
      <c r="C2302">
        <f>_xlfn.XLOOKUP(A2302,Energy!A:A,Energy!H:H,0,-1)</f>
        <v>10673.19576675329</v>
      </c>
      <c r="D2302">
        <f t="shared" si="140"/>
        <v>13331.185787185585</v>
      </c>
      <c r="E2302">
        <f>_xlfn.XLOOKUP(A2302,Banks!A:A,Banks!I:I,0)</f>
        <v>0</v>
      </c>
      <c r="F2302">
        <f>_xlfn.XLOOKUP(A2302,Energy!A:A,Energy!I:I,0)</f>
        <v>35445.282594332108</v>
      </c>
      <c r="G2302">
        <f t="shared" si="141"/>
        <v>35445.282594332108</v>
      </c>
      <c r="H2302">
        <f t="shared" si="142"/>
        <v>22114.096807146525</v>
      </c>
      <c r="I2302" t="b">
        <f t="shared" si="143"/>
        <v>0</v>
      </c>
    </row>
    <row r="2303" spans="1:9">
      <c r="A2303" s="1">
        <v>46129.61041666667</v>
      </c>
      <c r="B2303" s="5">
        <f>_xlfn.XLOOKUP(A2303,Banks!A:A,Banks!H:H,0,-1)</f>
        <v>2657.9900204322948</v>
      </c>
      <c r="C2303">
        <f>_xlfn.XLOOKUP(A2303,Energy!A:A,Energy!H:H,0,-1)</f>
        <v>10319.35169187053</v>
      </c>
      <c r="D2303">
        <f t="shared" si="140"/>
        <v>12977.341712302825</v>
      </c>
      <c r="E2303">
        <f>_xlfn.XLOOKUP(A2303,Banks!A:A,Banks!I:I,0)</f>
        <v>0</v>
      </c>
      <c r="F2303">
        <f>_xlfn.XLOOKUP(A2303,Energy!A:A,Energy!I:I,0)</f>
        <v>35482.768001087657</v>
      </c>
      <c r="G2303">
        <f t="shared" si="141"/>
        <v>35482.768001087657</v>
      </c>
      <c r="H2303">
        <f t="shared" si="142"/>
        <v>22505.426288784831</v>
      </c>
      <c r="I2303" t="b">
        <f t="shared" si="143"/>
        <v>0</v>
      </c>
    </row>
    <row r="2304" spans="1:9">
      <c r="A2304" s="1">
        <v>46129.611111111109</v>
      </c>
      <c r="B2304" s="5">
        <f>_xlfn.XLOOKUP(A2304,Banks!A:A,Banks!H:H,0,-1)</f>
        <v>2657.9900204322948</v>
      </c>
      <c r="C2304">
        <f>_xlfn.XLOOKUP(A2304,Energy!A:A,Energy!H:H,0,-1)</f>
        <v>10743.430053115389</v>
      </c>
      <c r="D2304">
        <f t="shared" si="140"/>
        <v>13401.420073547684</v>
      </c>
      <c r="E2304">
        <f>_xlfn.XLOOKUP(A2304,Banks!A:A,Banks!I:I,0)</f>
        <v>0</v>
      </c>
      <c r="F2304">
        <f>_xlfn.XLOOKUP(A2304,Energy!A:A,Energy!I:I,0)</f>
        <v>35453.424675873692</v>
      </c>
      <c r="G2304">
        <f t="shared" si="141"/>
        <v>35453.424675873692</v>
      </c>
      <c r="H2304">
        <f t="shared" si="142"/>
        <v>22052.004602326007</v>
      </c>
      <c r="I2304" t="b">
        <f t="shared" si="143"/>
        <v>0</v>
      </c>
    </row>
    <row r="2305" spans="1:9">
      <c r="A2305" s="1">
        <v>46129.611805555563</v>
      </c>
      <c r="B2305" s="5">
        <f>_xlfn.XLOOKUP(A2305,Banks!A:A,Banks!H:H,0,-1)</f>
        <v>2657.9900204322948</v>
      </c>
      <c r="C2305">
        <f>_xlfn.XLOOKUP(A2305,Energy!A:A,Energy!H:H,0,-1)</f>
        <v>10857.573004239201</v>
      </c>
      <c r="D2305">
        <f t="shared" si="140"/>
        <v>13515.563024671495</v>
      </c>
      <c r="E2305">
        <f>_xlfn.XLOOKUP(A2305,Banks!A:A,Banks!I:I,0)</f>
        <v>0</v>
      </c>
      <c r="F2305">
        <f>_xlfn.XLOOKUP(A2305,Energy!A:A,Energy!I:I,0)</f>
        <v>35320.760838519629</v>
      </c>
      <c r="G2305">
        <f t="shared" si="141"/>
        <v>35320.760838519629</v>
      </c>
      <c r="H2305">
        <f t="shared" si="142"/>
        <v>21805.197813848135</v>
      </c>
      <c r="I2305" t="b">
        <f t="shared" si="143"/>
        <v>0</v>
      </c>
    </row>
    <row r="2306" spans="1:9">
      <c r="A2306" s="1">
        <v>46129.612500000003</v>
      </c>
      <c r="B2306" s="5">
        <f>_xlfn.XLOOKUP(A2306,Banks!A:A,Banks!H:H,0,-1)</f>
        <v>2657.9900204322948</v>
      </c>
      <c r="C2306">
        <f>_xlfn.XLOOKUP(A2306,Energy!A:A,Energy!H:H,0,-1)</f>
        <v>11033.16387575573</v>
      </c>
      <c r="D2306">
        <f t="shared" si="140"/>
        <v>13691.153896188025</v>
      </c>
      <c r="E2306">
        <f>_xlfn.XLOOKUP(A2306,Banks!A:A,Banks!I:I,0)</f>
        <v>0</v>
      </c>
      <c r="F2306">
        <f>_xlfn.XLOOKUP(A2306,Energy!A:A,Energy!I:I,0)</f>
        <v>0</v>
      </c>
      <c r="G2306">
        <f t="shared" si="141"/>
        <v>0</v>
      </c>
      <c r="H2306">
        <f t="shared" si="142"/>
        <v>-13691.153896188025</v>
      </c>
      <c r="I2306" t="b">
        <f t="shared" si="143"/>
        <v>0</v>
      </c>
    </row>
    <row r="2307" spans="1:9">
      <c r="A2307" s="1">
        <v>46132.604861111111</v>
      </c>
      <c r="B2307" s="5">
        <f>_xlfn.XLOOKUP(A2307,Banks!A:A,Banks!H:H,0,-1)</f>
        <v>2657.9900204322948</v>
      </c>
      <c r="C2307">
        <f>_xlfn.XLOOKUP(A2307,Energy!A:A,Energy!H:H,0,-1)</f>
        <v>11033.16387575573</v>
      </c>
      <c r="D2307">
        <f t="shared" ref="D2307:D2370" si="144">B2307+C2307</f>
        <v>13691.153896188025</v>
      </c>
      <c r="E2307">
        <f>_xlfn.XLOOKUP(A2307,Banks!A:A,Banks!I:I,0)</f>
        <v>0</v>
      </c>
      <c r="F2307">
        <f>_xlfn.XLOOKUP(A2307,Energy!A:A,Energy!I:I,0)</f>
        <v>35501.020422747773</v>
      </c>
      <c r="G2307">
        <f t="shared" ref="G2307:G2370" si="145">F2307+E2307</f>
        <v>35501.020422747773</v>
      </c>
      <c r="H2307">
        <f t="shared" ref="H2307:H2370" si="146">G2307-D2307</f>
        <v>21809.866526559748</v>
      </c>
      <c r="I2307" t="b">
        <f t="shared" ref="I2307:I2370" si="147">AND(E2307&gt;0,F2307&gt;0)</f>
        <v>0</v>
      </c>
    </row>
    <row r="2308" spans="1:9">
      <c r="A2308" s="1">
        <v>46132.605555555558</v>
      </c>
      <c r="B2308" s="5">
        <f>_xlfn.XLOOKUP(A2308,Banks!A:A,Banks!H:H,0,-1)</f>
        <v>2657.9900204322948</v>
      </c>
      <c r="C2308">
        <f>_xlfn.XLOOKUP(A2308,Energy!A:A,Energy!H:H,0,-1)</f>
        <v>11100.12649783579</v>
      </c>
      <c r="D2308">
        <f t="shared" si="144"/>
        <v>13758.116518268085</v>
      </c>
      <c r="E2308">
        <f>_xlfn.XLOOKUP(A2308,Banks!A:A,Banks!I:I,0)</f>
        <v>0</v>
      </c>
      <c r="F2308">
        <f>_xlfn.XLOOKUP(A2308,Energy!A:A,Energy!I:I,0)</f>
        <v>35527.409806256182</v>
      </c>
      <c r="G2308">
        <f t="shared" si="145"/>
        <v>35527.409806256182</v>
      </c>
      <c r="H2308">
        <f t="shared" si="146"/>
        <v>21769.293287988097</v>
      </c>
      <c r="I2308" t="b">
        <f t="shared" si="147"/>
        <v>0</v>
      </c>
    </row>
    <row r="2309" spans="1:9">
      <c r="A2309" s="1">
        <v>46132.606249999997</v>
      </c>
      <c r="B2309" s="5">
        <f>_xlfn.XLOOKUP(A2309,Banks!A:A,Banks!H:H,0,-1)</f>
        <v>2657.9900204322948</v>
      </c>
      <c r="C2309">
        <f>_xlfn.XLOOKUP(A2309,Energy!A:A,Energy!H:H,0,-1)</f>
        <v>11138.03400352192</v>
      </c>
      <c r="D2309">
        <f t="shared" si="144"/>
        <v>13796.024023954214</v>
      </c>
      <c r="E2309">
        <f>_xlfn.XLOOKUP(A2309,Banks!A:A,Banks!I:I,0)</f>
        <v>0</v>
      </c>
      <c r="F2309">
        <f>_xlfn.XLOOKUP(A2309,Energy!A:A,Energy!I:I,0)</f>
        <v>35519.828305118943</v>
      </c>
      <c r="G2309">
        <f t="shared" si="145"/>
        <v>35519.828305118943</v>
      </c>
      <c r="H2309">
        <f t="shared" si="146"/>
        <v>21723.804281164728</v>
      </c>
      <c r="I2309" t="b">
        <f t="shared" si="147"/>
        <v>0</v>
      </c>
    </row>
    <row r="2310" spans="1:9">
      <c r="A2310" s="1">
        <v>46132.606944444437</v>
      </c>
      <c r="B2310" s="5">
        <f>_xlfn.XLOOKUP(A2310,Banks!A:A,Banks!H:H,0,-1)</f>
        <v>2657.9900204322948</v>
      </c>
      <c r="C2310">
        <f>_xlfn.XLOOKUP(A2310,Energy!A:A,Energy!H:H,0,-1)</f>
        <v>11455.000748606381</v>
      </c>
      <c r="D2310">
        <f t="shared" si="144"/>
        <v>14112.990769038675</v>
      </c>
      <c r="E2310">
        <f>_xlfn.XLOOKUP(A2310,Banks!A:A,Banks!I:I,0)</f>
        <v>0</v>
      </c>
      <c r="F2310">
        <f>_xlfn.XLOOKUP(A2310,Energy!A:A,Energy!I:I,0)</f>
        <v>0</v>
      </c>
      <c r="G2310">
        <f t="shared" si="145"/>
        <v>0</v>
      </c>
      <c r="H2310">
        <f t="shared" si="146"/>
        <v>-14112.990769038675</v>
      </c>
      <c r="I2310" t="b">
        <f t="shared" si="147"/>
        <v>0</v>
      </c>
    </row>
    <row r="2311" spans="1:9">
      <c r="A2311" s="1">
        <v>46132.673611111109</v>
      </c>
      <c r="B2311" s="5">
        <f>_xlfn.XLOOKUP(A2311,Banks!A:A,Banks!H:H,0,-1)</f>
        <v>2657.9900204322948</v>
      </c>
      <c r="C2311">
        <f>_xlfn.XLOOKUP(A2311,Energy!A:A,Energy!H:H,0,-1)</f>
        <v>11455.000748606381</v>
      </c>
      <c r="D2311">
        <f t="shared" si="144"/>
        <v>14112.990769038675</v>
      </c>
      <c r="E2311">
        <f>_xlfn.XLOOKUP(A2311,Banks!A:A,Banks!I:I,0)</f>
        <v>0</v>
      </c>
      <c r="F2311">
        <f>_xlfn.XLOOKUP(A2311,Energy!A:A,Energy!I:I,0)</f>
        <v>35501.020422747773</v>
      </c>
      <c r="G2311">
        <f t="shared" si="145"/>
        <v>35501.020422747773</v>
      </c>
      <c r="H2311">
        <f t="shared" si="146"/>
        <v>21388.029653709098</v>
      </c>
      <c r="I2311" t="b">
        <f t="shared" si="147"/>
        <v>0</v>
      </c>
    </row>
    <row r="2312" spans="1:9">
      <c r="A2312" s="1">
        <v>46132.674305555563</v>
      </c>
      <c r="B2312" s="5">
        <f>_xlfn.XLOOKUP(A2312,Banks!A:A,Banks!H:H,0,-1)</f>
        <v>2657.9900204322948</v>
      </c>
      <c r="C2312">
        <f>_xlfn.XLOOKUP(A2312,Energy!A:A,Energy!H:H,0,-1)</f>
        <v>11422.563056007581</v>
      </c>
      <c r="D2312">
        <f t="shared" si="144"/>
        <v>14080.553076439875</v>
      </c>
      <c r="E2312">
        <f>_xlfn.XLOOKUP(A2312,Banks!A:A,Banks!I:I,0)</f>
        <v>0</v>
      </c>
      <c r="F2312">
        <f>_xlfn.XLOOKUP(A2312,Energy!A:A,Energy!I:I,0)</f>
        <v>35494.532884228007</v>
      </c>
      <c r="G2312">
        <f t="shared" si="145"/>
        <v>35494.532884228007</v>
      </c>
      <c r="H2312">
        <f t="shared" si="146"/>
        <v>21413.979807788131</v>
      </c>
      <c r="I2312" t="b">
        <f t="shared" si="147"/>
        <v>0</v>
      </c>
    </row>
    <row r="2313" spans="1:9">
      <c r="A2313" s="1">
        <v>46132.675000000003</v>
      </c>
      <c r="B2313" s="5">
        <f>_xlfn.XLOOKUP(A2313,Banks!A:A,Banks!H:H,0,-1)</f>
        <v>2657.9900204322948</v>
      </c>
      <c r="C2313">
        <f>_xlfn.XLOOKUP(A2313,Energy!A:A,Energy!H:H,0,-1)</f>
        <v>11417.15677390778</v>
      </c>
      <c r="D2313">
        <f t="shared" si="144"/>
        <v>14075.146794340075</v>
      </c>
      <c r="E2313">
        <f>_xlfn.XLOOKUP(A2313,Banks!A:A,Banks!I:I,0)</f>
        <v>0</v>
      </c>
      <c r="F2313">
        <f>_xlfn.XLOOKUP(A2313,Energy!A:A,Energy!I:I,0)</f>
        <v>35493.451627808063</v>
      </c>
      <c r="G2313">
        <f t="shared" si="145"/>
        <v>35493.451627808063</v>
      </c>
      <c r="H2313">
        <f t="shared" si="146"/>
        <v>21418.304833467988</v>
      </c>
      <c r="I2313" t="b">
        <f t="shared" si="147"/>
        <v>0</v>
      </c>
    </row>
    <row r="2314" spans="1:9">
      <c r="A2314" s="1">
        <v>46132.675694444442</v>
      </c>
      <c r="B2314" s="5">
        <f>_xlfn.XLOOKUP(A2314,Banks!A:A,Banks!H:H,0,-1)</f>
        <v>2657.9900204322948</v>
      </c>
      <c r="C2314">
        <f>_xlfn.XLOOKUP(A2314,Energy!A:A,Energy!H:H,0,-1)</f>
        <v>11444.18818440677</v>
      </c>
      <c r="D2314">
        <f t="shared" si="144"/>
        <v>14102.178204839065</v>
      </c>
      <c r="E2314">
        <f>_xlfn.XLOOKUP(A2314,Banks!A:A,Banks!I:I,0)</f>
        <v>0</v>
      </c>
      <c r="F2314">
        <f>_xlfn.XLOOKUP(A2314,Energy!A:A,Energy!I:I,0)</f>
        <v>35498.857909907863</v>
      </c>
      <c r="G2314">
        <f t="shared" si="145"/>
        <v>35498.857909907863</v>
      </c>
      <c r="H2314">
        <f t="shared" si="146"/>
        <v>21396.679705068796</v>
      </c>
      <c r="I2314" t="b">
        <f t="shared" si="147"/>
        <v>0</v>
      </c>
    </row>
    <row r="2315" spans="1:9">
      <c r="A2315" s="1">
        <v>46132.676388888889</v>
      </c>
      <c r="B2315" s="5">
        <f>_xlfn.XLOOKUP(A2315,Banks!A:A,Banks!H:H,0,-1)</f>
        <v>2657.9900204322948</v>
      </c>
      <c r="C2315">
        <f>_xlfn.XLOOKUP(A2315,Energy!A:A,Energy!H:H,0,-1)</f>
        <v>11382.01594025908</v>
      </c>
      <c r="D2315">
        <f t="shared" si="144"/>
        <v>14040.005960691375</v>
      </c>
      <c r="E2315">
        <f>_xlfn.XLOOKUP(A2315,Banks!A:A,Banks!I:I,0)</f>
        <v>0</v>
      </c>
      <c r="F2315">
        <f>_xlfn.XLOOKUP(A2315,Energy!A:A,Energy!I:I,0)</f>
        <v>35486.423461078317</v>
      </c>
      <c r="G2315">
        <f t="shared" si="145"/>
        <v>35486.423461078317</v>
      </c>
      <c r="H2315">
        <f t="shared" si="146"/>
        <v>21446.417500386942</v>
      </c>
      <c r="I2315" t="b">
        <f t="shared" si="147"/>
        <v>0</v>
      </c>
    </row>
    <row r="2316" spans="1:9">
      <c r="A2316" s="1">
        <v>46132.677083333343</v>
      </c>
      <c r="B2316" s="5">
        <f>_xlfn.XLOOKUP(A2316,Banks!A:A,Banks!H:H,0,-1)</f>
        <v>2657.9900204322948</v>
      </c>
      <c r="C2316">
        <f>_xlfn.XLOOKUP(A2316,Energy!A:A,Energy!H:H,0,-1)</f>
        <v>11423.886543197999</v>
      </c>
      <c r="D2316">
        <f t="shared" si="144"/>
        <v>14081.876563630294</v>
      </c>
      <c r="E2316">
        <f>_xlfn.XLOOKUP(A2316,Banks!A:A,Banks!I:I,0)</f>
        <v>0</v>
      </c>
      <c r="F2316">
        <f>_xlfn.XLOOKUP(A2316,Energy!A:A,Energy!I:I,0)</f>
        <v>35488.861904690122</v>
      </c>
      <c r="G2316">
        <f t="shared" si="145"/>
        <v>35488.861904690122</v>
      </c>
      <c r="H2316">
        <f t="shared" si="146"/>
        <v>21406.98534105983</v>
      </c>
      <c r="I2316" t="b">
        <f t="shared" si="147"/>
        <v>0</v>
      </c>
    </row>
    <row r="2317" spans="1:9">
      <c r="A2317" s="1">
        <v>46132.677777777782</v>
      </c>
      <c r="B2317" s="5">
        <f>_xlfn.XLOOKUP(A2317,Banks!A:A,Banks!H:H,0,-1)</f>
        <v>2657.9900204322948</v>
      </c>
      <c r="C2317">
        <f>_xlfn.XLOOKUP(A2317,Energy!A:A,Energy!H:H,0,-1)</f>
        <v>11456.324235796799</v>
      </c>
      <c r="D2317">
        <f t="shared" si="144"/>
        <v>14114.314256229094</v>
      </c>
      <c r="E2317">
        <f>_xlfn.XLOOKUP(A2317,Banks!A:A,Banks!I:I,0)</f>
        <v>0</v>
      </c>
      <c r="F2317">
        <f>_xlfn.XLOOKUP(A2317,Energy!A:A,Energy!I:I,0)</f>
        <v>35495.349443209881</v>
      </c>
      <c r="G2317">
        <f t="shared" si="145"/>
        <v>35495.349443209881</v>
      </c>
      <c r="H2317">
        <f t="shared" si="146"/>
        <v>21381.035186980786</v>
      </c>
      <c r="I2317" t="b">
        <f t="shared" si="147"/>
        <v>0</v>
      </c>
    </row>
    <row r="2318" spans="1:9">
      <c r="A2318" s="1">
        <v>46132.678472222222</v>
      </c>
      <c r="B2318" s="5">
        <f>_xlfn.XLOOKUP(A2318,Banks!A:A,Banks!H:H,0,-1)</f>
        <v>2657.9900204322948</v>
      </c>
      <c r="C2318">
        <f>_xlfn.XLOOKUP(A2318,Energy!A:A,Energy!H:H,0,-1)</f>
        <v>11426.5896842479</v>
      </c>
      <c r="D2318">
        <f t="shared" si="144"/>
        <v>14084.579704680194</v>
      </c>
      <c r="E2318">
        <f>_xlfn.XLOOKUP(A2318,Banks!A:A,Banks!I:I,0)</f>
        <v>0</v>
      </c>
      <c r="F2318">
        <f>_xlfn.XLOOKUP(A2318,Energy!A:A,Energy!I:I,0)</f>
        <v>35489.402532900102</v>
      </c>
      <c r="G2318">
        <f t="shared" si="145"/>
        <v>35489.402532900102</v>
      </c>
      <c r="H2318">
        <f t="shared" si="146"/>
        <v>21404.822828219905</v>
      </c>
      <c r="I2318" t="b">
        <f t="shared" si="147"/>
        <v>0</v>
      </c>
    </row>
    <row r="2319" spans="1:9">
      <c r="A2319" s="1">
        <v>46132.679166666669</v>
      </c>
      <c r="B2319" s="5">
        <f>_xlfn.XLOOKUP(A2319,Banks!A:A,Banks!H:H,0,-1)</f>
        <v>2657.9900204322948</v>
      </c>
      <c r="C2319">
        <f>_xlfn.XLOOKUP(A2319,Energy!A:A,Energy!H:H,0,-1)</f>
        <v>11452.24144088743</v>
      </c>
      <c r="D2319">
        <f t="shared" si="144"/>
        <v>14110.231461319725</v>
      </c>
      <c r="E2319">
        <f>_xlfn.XLOOKUP(A2319,Banks!A:A,Banks!I:I,0)</f>
        <v>0</v>
      </c>
      <c r="F2319">
        <f>_xlfn.XLOOKUP(A2319,Energy!A:A,Energy!I:I,0)</f>
        <v>35488.597207252053</v>
      </c>
      <c r="G2319">
        <f t="shared" si="145"/>
        <v>35488.597207252053</v>
      </c>
      <c r="H2319">
        <f t="shared" si="146"/>
        <v>21378.365745932329</v>
      </c>
      <c r="I2319" t="b">
        <f t="shared" si="147"/>
        <v>0</v>
      </c>
    </row>
    <row r="2320" spans="1:9">
      <c r="A2320" s="1">
        <v>46132.679861111108</v>
      </c>
      <c r="B2320" s="5">
        <f>_xlfn.XLOOKUP(A2320,Banks!A:A,Banks!H:H,0,-1)</f>
        <v>2657.9900204322948</v>
      </c>
      <c r="C2320">
        <f>_xlfn.XLOOKUP(A2320,Energy!A:A,Energy!H:H,0,-1)</f>
        <v>11479.27285138644</v>
      </c>
      <c r="D2320">
        <f t="shared" si="144"/>
        <v>14137.262871818735</v>
      </c>
      <c r="E2320">
        <f>_xlfn.XLOOKUP(A2320,Banks!A:A,Banks!I:I,0)</f>
        <v>0</v>
      </c>
      <c r="F2320">
        <f>_xlfn.XLOOKUP(A2320,Energy!A:A,Energy!I:I,0)</f>
        <v>35494.003489351853</v>
      </c>
      <c r="G2320">
        <f t="shared" si="145"/>
        <v>35494.003489351853</v>
      </c>
      <c r="H2320">
        <f t="shared" si="146"/>
        <v>21356.74061753312</v>
      </c>
      <c r="I2320" t="b">
        <f t="shared" si="147"/>
        <v>0</v>
      </c>
    </row>
    <row r="2321" spans="1:9">
      <c r="A2321" s="1">
        <v>46132.680555555547</v>
      </c>
      <c r="B2321" s="5">
        <f>_xlfn.XLOOKUP(A2321,Banks!A:A,Banks!H:H,0,-1)</f>
        <v>2657.9900204322948</v>
      </c>
      <c r="C2321">
        <f>_xlfn.XLOOKUP(A2321,Energy!A:A,Energy!H:H,0,-1)</f>
        <v>11481.975992436341</v>
      </c>
      <c r="D2321">
        <f t="shared" si="144"/>
        <v>14139.966012868636</v>
      </c>
      <c r="E2321">
        <f>_xlfn.XLOOKUP(A2321,Banks!A:A,Banks!I:I,0)</f>
        <v>0</v>
      </c>
      <c r="F2321">
        <f>_xlfn.XLOOKUP(A2321,Energy!A:A,Energy!I:I,0)</f>
        <v>35494.544117561833</v>
      </c>
      <c r="G2321">
        <f t="shared" si="145"/>
        <v>35494.544117561833</v>
      </c>
      <c r="H2321">
        <f t="shared" si="146"/>
        <v>21354.578104693195</v>
      </c>
      <c r="I2321" t="b">
        <f t="shared" si="147"/>
        <v>0</v>
      </c>
    </row>
    <row r="2322" spans="1:9">
      <c r="A2322" s="1">
        <v>46132.681250000001</v>
      </c>
      <c r="B2322" s="5">
        <f>_xlfn.XLOOKUP(A2322,Banks!A:A,Banks!H:H,0,-1)</f>
        <v>2657.9900204322948</v>
      </c>
      <c r="C2322">
        <f>_xlfn.XLOOKUP(A2322,Energy!A:A,Energy!H:H,0,-1)</f>
        <v>11354.12092718947</v>
      </c>
      <c r="D2322">
        <f t="shared" si="144"/>
        <v>14012.110947621764</v>
      </c>
      <c r="E2322">
        <f>_xlfn.XLOOKUP(A2322,Banks!A:A,Banks!I:I,0)</f>
        <v>0</v>
      </c>
      <c r="F2322">
        <f>_xlfn.XLOOKUP(A2322,Energy!A:A,Energy!I:I,0)</f>
        <v>35488.758694432348</v>
      </c>
      <c r="G2322">
        <f t="shared" si="145"/>
        <v>35488.758694432348</v>
      </c>
      <c r="H2322">
        <f t="shared" si="146"/>
        <v>21476.647746810584</v>
      </c>
      <c r="I2322" t="b">
        <f t="shared" si="147"/>
        <v>0</v>
      </c>
    </row>
    <row r="2323" spans="1:9">
      <c r="A2323" s="1">
        <v>46132.681944444441</v>
      </c>
      <c r="B2323" s="5">
        <f>_xlfn.XLOOKUP(A2323,Banks!A:A,Banks!H:H,0,-1)</f>
        <v>2657.9900204322948</v>
      </c>
      <c r="C2323">
        <f>_xlfn.XLOOKUP(A2323,Energy!A:A,Energy!H:H,0,-1)</f>
        <v>11322.664446133111</v>
      </c>
      <c r="D2323">
        <f t="shared" si="144"/>
        <v>13980.654466565406</v>
      </c>
      <c r="E2323">
        <f>_xlfn.XLOOKUP(A2323,Banks!A:A,Banks!I:I,0)</f>
        <v>0</v>
      </c>
      <c r="F2323">
        <f>_xlfn.XLOOKUP(A2323,Energy!A:A,Energy!I:I,0)</f>
        <v>35451.799733845233</v>
      </c>
      <c r="G2323">
        <f t="shared" si="145"/>
        <v>35451.799733845233</v>
      </c>
      <c r="H2323">
        <f t="shared" si="146"/>
        <v>21471.145267279826</v>
      </c>
      <c r="I2323" t="b">
        <f t="shared" si="147"/>
        <v>0</v>
      </c>
    </row>
    <row r="2324" spans="1:9">
      <c r="A2324" s="1">
        <v>46132.682638888888</v>
      </c>
      <c r="B2324" s="5">
        <f>_xlfn.XLOOKUP(A2324,Banks!A:A,Banks!H:H,0,-1)</f>
        <v>2657.9900204322948</v>
      </c>
      <c r="C2324">
        <f>_xlfn.XLOOKUP(A2324,Energy!A:A,Energy!H:H,0,-1)</f>
        <v>11242.31620823487</v>
      </c>
      <c r="D2324">
        <f t="shared" si="144"/>
        <v>13900.306228667165</v>
      </c>
      <c r="E2324">
        <f>_xlfn.XLOOKUP(A2324,Banks!A:A,Banks!I:I,0)</f>
        <v>0</v>
      </c>
      <c r="F2324">
        <f>_xlfn.XLOOKUP(A2324,Energy!A:A,Energy!I:I,0)</f>
        <v>35450.569278705509</v>
      </c>
      <c r="G2324">
        <f t="shared" si="145"/>
        <v>35450.569278705509</v>
      </c>
      <c r="H2324">
        <f t="shared" si="146"/>
        <v>21550.263050038346</v>
      </c>
      <c r="I2324" t="b">
        <f t="shared" si="147"/>
        <v>0</v>
      </c>
    </row>
    <row r="2325" spans="1:9">
      <c r="A2325" s="1">
        <v>46132.683333333327</v>
      </c>
      <c r="B2325" s="5">
        <f>_xlfn.XLOOKUP(A2325,Banks!A:A,Banks!H:H,0,-1)</f>
        <v>2657.9900204322948</v>
      </c>
      <c r="C2325">
        <f>_xlfn.XLOOKUP(A2325,Energy!A:A,Energy!H:H,0,-1)</f>
        <v>11155.81569463808</v>
      </c>
      <c r="D2325">
        <f t="shared" si="144"/>
        <v>13813.805715070375</v>
      </c>
      <c r="E2325">
        <f>_xlfn.XLOOKUP(A2325,Banks!A:A,Banks!I:I,0)</f>
        <v>0</v>
      </c>
      <c r="F2325">
        <f>_xlfn.XLOOKUP(A2325,Energy!A:A,Energy!I:I,0)</f>
        <v>35433.269175986163</v>
      </c>
      <c r="G2325">
        <f t="shared" si="145"/>
        <v>35433.269175986163</v>
      </c>
      <c r="H2325">
        <f t="shared" si="146"/>
        <v>21619.463460915787</v>
      </c>
      <c r="I2325" t="b">
        <f t="shared" si="147"/>
        <v>0</v>
      </c>
    </row>
    <row r="2326" spans="1:9">
      <c r="A2326" s="1">
        <v>46132.684027777781</v>
      </c>
      <c r="B2326" s="5">
        <f>_xlfn.XLOOKUP(A2326,Banks!A:A,Banks!H:H,0,-1)</f>
        <v>2657.9900204322948</v>
      </c>
      <c r="C2326">
        <f>_xlfn.XLOOKUP(A2326,Energy!A:A,Energy!H:H,0,-1)</f>
        <v>11117.97171993948</v>
      </c>
      <c r="D2326">
        <f t="shared" si="144"/>
        <v>13775.961740371775</v>
      </c>
      <c r="E2326">
        <f>_xlfn.XLOOKUP(A2326,Banks!A:A,Banks!I:I,0)</f>
        <v>0</v>
      </c>
      <c r="F2326">
        <f>_xlfn.XLOOKUP(A2326,Energy!A:A,Energy!I:I,0)</f>
        <v>35425.70038104643</v>
      </c>
      <c r="G2326">
        <f t="shared" si="145"/>
        <v>35425.70038104643</v>
      </c>
      <c r="H2326">
        <f t="shared" si="146"/>
        <v>21649.738640674655</v>
      </c>
      <c r="I2326" t="b">
        <f t="shared" si="147"/>
        <v>0</v>
      </c>
    </row>
    <row r="2327" spans="1:9">
      <c r="A2327" s="1">
        <v>46132.68472222222</v>
      </c>
      <c r="B2327" s="5">
        <f>_xlfn.XLOOKUP(A2327,Banks!A:A,Banks!H:H,0,-1)</f>
        <v>2657.9900204322948</v>
      </c>
      <c r="C2327">
        <f>_xlfn.XLOOKUP(A2327,Energy!A:A,Energy!H:H,0,-1)</f>
        <v>11224.95292601966</v>
      </c>
      <c r="D2327">
        <f t="shared" si="144"/>
        <v>13882.942946451954</v>
      </c>
      <c r="E2327">
        <f>_xlfn.XLOOKUP(A2327,Banks!A:A,Banks!I:I,0)</f>
        <v>0</v>
      </c>
      <c r="F2327">
        <f>_xlfn.XLOOKUP(A2327,Energy!A:A,Energy!I:I,0)</f>
        <v>35395.654088470728</v>
      </c>
      <c r="G2327">
        <f t="shared" si="145"/>
        <v>35395.654088470728</v>
      </c>
      <c r="H2327">
        <f t="shared" si="146"/>
        <v>21512.711142018772</v>
      </c>
      <c r="I2327" t="b">
        <f t="shared" si="147"/>
        <v>0</v>
      </c>
    </row>
    <row r="2328" spans="1:9">
      <c r="A2328" s="1">
        <v>46132.685416666667</v>
      </c>
      <c r="B2328" s="5">
        <f>_xlfn.XLOOKUP(A2328,Banks!A:A,Banks!H:H,0,-1)</f>
        <v>2657.9900204322948</v>
      </c>
      <c r="C2328">
        <f>_xlfn.XLOOKUP(A2328,Energy!A:A,Energy!H:H,0,-1)</f>
        <v>11203.32779762045</v>
      </c>
      <c r="D2328">
        <f t="shared" si="144"/>
        <v>13861.317818052745</v>
      </c>
      <c r="E2328">
        <f>_xlfn.XLOOKUP(A2328,Banks!A:A,Banks!I:I,0)</f>
        <v>0</v>
      </c>
      <c r="F2328">
        <f>_xlfn.XLOOKUP(A2328,Energy!A:A,Energy!I:I,0)</f>
        <v>35391.329062790879</v>
      </c>
      <c r="G2328">
        <f t="shared" si="145"/>
        <v>35391.329062790879</v>
      </c>
      <c r="H2328">
        <f t="shared" si="146"/>
        <v>21530.011244738133</v>
      </c>
      <c r="I2328" t="b">
        <f t="shared" si="147"/>
        <v>0</v>
      </c>
    </row>
    <row r="2329" spans="1:9">
      <c r="A2329" s="1">
        <v>46132.686111111107</v>
      </c>
      <c r="B2329" s="5">
        <f>_xlfn.XLOOKUP(A2329,Banks!A:A,Banks!H:H,0,-1)</f>
        <v>2657.9900204322948</v>
      </c>
      <c r="C2329">
        <f>_xlfn.XLOOKUP(A2329,Energy!A:A,Energy!H:H,0,-1)</f>
        <v>11229.43943887979</v>
      </c>
      <c r="D2329">
        <f t="shared" si="144"/>
        <v>13887.429459312085</v>
      </c>
      <c r="E2329">
        <f>_xlfn.XLOOKUP(A2329,Banks!A:A,Banks!I:I,0)</f>
        <v>0</v>
      </c>
      <c r="F2329">
        <f>_xlfn.XLOOKUP(A2329,Energy!A:A,Energy!I:I,0)</f>
        <v>35392.59427305877</v>
      </c>
      <c r="G2329">
        <f t="shared" si="145"/>
        <v>35392.59427305877</v>
      </c>
      <c r="H2329">
        <f t="shared" si="146"/>
        <v>21505.164813746684</v>
      </c>
      <c r="I2329" t="b">
        <f t="shared" si="147"/>
        <v>0</v>
      </c>
    </row>
    <row r="2330" spans="1:9">
      <c r="A2330" s="1">
        <v>46132.686805555553</v>
      </c>
      <c r="B2330" s="5">
        <f>_xlfn.XLOOKUP(A2330,Banks!A:A,Banks!H:H,0,-1)</f>
        <v>2657.9900204322948</v>
      </c>
      <c r="C2330">
        <f>_xlfn.XLOOKUP(A2330,Energy!A:A,Energy!H:H,0,-1)</f>
        <v>11273.72707388966</v>
      </c>
      <c r="D2330">
        <f t="shared" si="144"/>
        <v>13931.717094321955</v>
      </c>
      <c r="E2330">
        <f>_xlfn.XLOOKUP(A2330,Banks!A:A,Banks!I:I,0)</f>
        <v>0</v>
      </c>
      <c r="F2330">
        <f>_xlfn.XLOOKUP(A2330,Energy!A:A,Energy!I:I,0)</f>
        <v>35382.65548963684</v>
      </c>
      <c r="G2330">
        <f t="shared" si="145"/>
        <v>35382.65548963684</v>
      </c>
      <c r="H2330">
        <f t="shared" si="146"/>
        <v>21450.938395314886</v>
      </c>
      <c r="I2330" t="b">
        <f t="shared" si="147"/>
        <v>0</v>
      </c>
    </row>
    <row r="2331" spans="1:9">
      <c r="A2331" s="1">
        <v>46132.6875</v>
      </c>
      <c r="B2331" s="5">
        <f>_xlfn.XLOOKUP(A2331,Banks!A:A,Banks!H:H,0,-1)</f>
        <v>2657.9900204322948</v>
      </c>
      <c r="C2331">
        <f>_xlfn.XLOOKUP(A2331,Energy!A:A,Energy!H:H,0,-1)</f>
        <v>11349.415023286871</v>
      </c>
      <c r="D2331">
        <f t="shared" si="144"/>
        <v>14007.405043719165</v>
      </c>
      <c r="E2331">
        <f>_xlfn.XLOOKUP(A2331,Banks!A:A,Banks!I:I,0)</f>
        <v>0</v>
      </c>
      <c r="F2331">
        <f>_xlfn.XLOOKUP(A2331,Energy!A:A,Energy!I:I,0)</f>
        <v>35397.793079516283</v>
      </c>
      <c r="G2331">
        <f t="shared" si="145"/>
        <v>35397.793079516283</v>
      </c>
      <c r="H2331">
        <f t="shared" si="146"/>
        <v>21390.388035797117</v>
      </c>
      <c r="I2331" t="b">
        <f t="shared" si="147"/>
        <v>0</v>
      </c>
    </row>
    <row r="2332" spans="1:9">
      <c r="A2332" s="1">
        <v>46132.688194444447</v>
      </c>
      <c r="B2332" s="5">
        <f>_xlfn.XLOOKUP(A2332,Banks!A:A,Banks!H:H,0,-1)</f>
        <v>2657.9900204322948</v>
      </c>
      <c r="C2332">
        <f>_xlfn.XLOOKUP(A2332,Energy!A:A,Energy!H:H,0,-1)</f>
        <v>11317.12729063493</v>
      </c>
      <c r="D2332">
        <f t="shared" si="144"/>
        <v>13975.117311067224</v>
      </c>
      <c r="E2332">
        <f>_xlfn.XLOOKUP(A2332,Banks!A:A,Banks!I:I,0)</f>
        <v>0</v>
      </c>
      <c r="F2332">
        <f>_xlfn.XLOOKUP(A2332,Energy!A:A,Energy!I:I,0)</f>
        <v>0</v>
      </c>
      <c r="G2332">
        <f t="shared" si="145"/>
        <v>0</v>
      </c>
      <c r="H2332">
        <f t="shared" si="146"/>
        <v>-13975.117311067224</v>
      </c>
      <c r="I2332" t="b">
        <f t="shared" si="147"/>
        <v>0</v>
      </c>
    </row>
    <row r="2333" spans="1:9">
      <c r="A2333" s="1">
        <v>46134.604166666657</v>
      </c>
      <c r="B2333" s="5">
        <f>_xlfn.XLOOKUP(A2333,Banks!A:A,Banks!H:H,0,-1)</f>
        <v>2657.9900204322948</v>
      </c>
      <c r="C2333">
        <f>_xlfn.XLOOKUP(A2333,Energy!A:A,Energy!H:H,0,-1)</f>
        <v>11317.12729063493</v>
      </c>
      <c r="D2333">
        <f t="shared" si="144"/>
        <v>13975.117311067224</v>
      </c>
      <c r="E2333">
        <f>_xlfn.XLOOKUP(A2333,Banks!A:A,Banks!I:I,0)</f>
        <v>0</v>
      </c>
      <c r="F2333">
        <f>_xlfn.XLOOKUP(A2333,Energy!A:A,Energy!I:I,0)</f>
        <v>35501.020422747773</v>
      </c>
      <c r="G2333">
        <f t="shared" si="145"/>
        <v>35501.020422747773</v>
      </c>
      <c r="H2333">
        <f t="shared" si="146"/>
        <v>21525.903111680549</v>
      </c>
      <c r="I2333" t="b">
        <f t="shared" si="147"/>
        <v>0</v>
      </c>
    </row>
    <row r="2334" spans="1:9">
      <c r="A2334" s="1">
        <v>46134.604861111111</v>
      </c>
      <c r="B2334" s="5">
        <f>_xlfn.XLOOKUP(A2334,Banks!A:A,Banks!H:H,0,-1)</f>
        <v>2657.9900204322948</v>
      </c>
      <c r="C2334">
        <f>_xlfn.XLOOKUP(A2334,Energy!A:A,Energy!H:H,0,-1)</f>
        <v>11402.00567582365</v>
      </c>
      <c r="D2334">
        <f t="shared" si="144"/>
        <v>14059.995696255944</v>
      </c>
      <c r="E2334">
        <f>_xlfn.XLOOKUP(A2334,Banks!A:A,Banks!I:I,0)</f>
        <v>0</v>
      </c>
      <c r="F2334">
        <f>_xlfn.XLOOKUP(A2334,Energy!A:A,Energy!I:I,0)</f>
        <v>35484.044745710031</v>
      </c>
      <c r="G2334">
        <f t="shared" si="145"/>
        <v>35484.044745710031</v>
      </c>
      <c r="H2334">
        <f t="shared" si="146"/>
        <v>21424.049049454086</v>
      </c>
      <c r="I2334" t="b">
        <f t="shared" si="147"/>
        <v>0</v>
      </c>
    </row>
    <row r="2335" spans="1:9">
      <c r="A2335" s="1">
        <v>46134.605555555558</v>
      </c>
      <c r="B2335" s="5">
        <f>_xlfn.XLOOKUP(A2335,Banks!A:A,Banks!H:H,0,-1)</f>
        <v>2657.9900204322948</v>
      </c>
      <c r="C2335">
        <f>_xlfn.XLOOKUP(A2335,Energy!A:A,Energy!H:H,0,-1)</f>
        <v>11128.516911473591</v>
      </c>
      <c r="D2335">
        <f t="shared" si="144"/>
        <v>13786.506931905886</v>
      </c>
      <c r="E2335">
        <f>_xlfn.XLOOKUP(A2335,Banks!A:A,Banks!I:I,0)</f>
        <v>0</v>
      </c>
      <c r="F2335">
        <f>_xlfn.XLOOKUP(A2335,Energy!A:A,Energy!I:I,0)</f>
        <v>35571.518288031133</v>
      </c>
      <c r="G2335">
        <f t="shared" si="145"/>
        <v>35571.518288031133</v>
      </c>
      <c r="H2335">
        <f t="shared" si="146"/>
        <v>21785.011356125247</v>
      </c>
      <c r="I2335" t="b">
        <f t="shared" si="147"/>
        <v>0</v>
      </c>
    </row>
    <row r="2336" spans="1:9">
      <c r="A2336" s="1">
        <v>46134.606249999997</v>
      </c>
      <c r="B2336" s="5">
        <f>_xlfn.XLOOKUP(A2336,Banks!A:A,Banks!H:H,0,-1)</f>
        <v>2657.9900204322948</v>
      </c>
      <c r="C2336">
        <f>_xlfn.XLOOKUP(A2336,Energy!A:A,Energy!H:H,0,-1)</f>
        <v>11318.61922640822</v>
      </c>
      <c r="D2336">
        <f t="shared" si="144"/>
        <v>13976.609246840515</v>
      </c>
      <c r="E2336">
        <f>_xlfn.XLOOKUP(A2336,Banks!A:A,Banks!I:I,0)</f>
        <v>0</v>
      </c>
      <c r="F2336">
        <f>_xlfn.XLOOKUP(A2336,Energy!A:A,Energy!I:I,0)</f>
        <v>35642.429125278679</v>
      </c>
      <c r="G2336">
        <f t="shared" si="145"/>
        <v>35642.429125278679</v>
      </c>
      <c r="H2336">
        <f t="shared" si="146"/>
        <v>21665.819878438164</v>
      </c>
      <c r="I2336" t="b">
        <f t="shared" si="147"/>
        <v>0</v>
      </c>
    </row>
    <row r="2337" spans="1:9">
      <c r="A2337" s="1">
        <v>46134.606944444437</v>
      </c>
      <c r="B2337" s="5">
        <f>_xlfn.XLOOKUP(A2337,Banks!A:A,Banks!H:H,0,-1)</f>
        <v>2657.9900204322948</v>
      </c>
      <c r="C2337">
        <f>_xlfn.XLOOKUP(A2337,Energy!A:A,Energy!H:H,0,-1)</f>
        <v>11508.155468639119</v>
      </c>
      <c r="D2337">
        <f t="shared" si="144"/>
        <v>14166.145489071414</v>
      </c>
      <c r="E2337">
        <f>_xlfn.XLOOKUP(A2337,Banks!A:A,Banks!I:I,0)</f>
        <v>0</v>
      </c>
      <c r="F2337">
        <f>_xlfn.XLOOKUP(A2337,Energy!A:A,Energy!I:I,0)</f>
        <v>35599.701907795577</v>
      </c>
      <c r="G2337">
        <f t="shared" si="145"/>
        <v>35599.701907795577</v>
      </c>
      <c r="H2337">
        <f t="shared" si="146"/>
        <v>21433.556418724162</v>
      </c>
      <c r="I2337" t="b">
        <f t="shared" si="147"/>
        <v>0</v>
      </c>
    </row>
    <row r="2338" spans="1:9">
      <c r="A2338" s="1">
        <v>46134.607638888891</v>
      </c>
      <c r="B2338" s="5">
        <f>_xlfn.XLOOKUP(A2338,Banks!A:A,Banks!H:H,0,-1)</f>
        <v>2657.9900204322948</v>
      </c>
      <c r="C2338">
        <f>_xlfn.XLOOKUP(A2338,Energy!A:A,Energy!H:H,0,-1)</f>
        <v>11628.69869156741</v>
      </c>
      <c r="D2338">
        <f t="shared" si="144"/>
        <v>14286.688711999705</v>
      </c>
      <c r="E2338">
        <f>_xlfn.XLOOKUP(A2338,Banks!A:A,Banks!I:I,0)</f>
        <v>0</v>
      </c>
      <c r="F2338">
        <f>_xlfn.XLOOKUP(A2338,Energy!A:A,Energy!I:I,0)</f>
        <v>35591.981157935457</v>
      </c>
      <c r="G2338">
        <f t="shared" si="145"/>
        <v>35591.981157935457</v>
      </c>
      <c r="H2338">
        <f t="shared" si="146"/>
        <v>21305.292445935753</v>
      </c>
      <c r="I2338" t="b">
        <f t="shared" si="147"/>
        <v>0</v>
      </c>
    </row>
    <row r="2339" spans="1:9">
      <c r="A2339" s="1">
        <v>46134.60833333333</v>
      </c>
      <c r="B2339" s="5">
        <f>_xlfn.XLOOKUP(A2339,Banks!A:A,Banks!H:H,0,-1)</f>
        <v>2657.9900204322948</v>
      </c>
      <c r="C2339">
        <f>_xlfn.XLOOKUP(A2339,Energy!A:A,Energy!H:H,0,-1)</f>
        <v>11662.284003817549</v>
      </c>
      <c r="D2339">
        <f t="shared" si="144"/>
        <v>14320.274024249844</v>
      </c>
      <c r="E2339">
        <f>_xlfn.XLOOKUP(A2339,Banks!A:A,Banks!I:I,0)</f>
        <v>0</v>
      </c>
      <c r="F2339">
        <f>_xlfn.XLOOKUP(A2339,Energy!A:A,Energy!I:I,0)</f>
        <v>35536.100411308813</v>
      </c>
      <c r="G2339">
        <f t="shared" si="145"/>
        <v>35536.100411308813</v>
      </c>
      <c r="H2339">
        <f t="shared" si="146"/>
        <v>21215.826387058969</v>
      </c>
      <c r="I2339" t="b">
        <f t="shared" si="147"/>
        <v>0</v>
      </c>
    </row>
    <row r="2340" spans="1:9">
      <c r="A2340" s="1">
        <v>46134.609027777777</v>
      </c>
      <c r="B2340" s="5">
        <f>_xlfn.XLOOKUP(A2340,Banks!A:A,Banks!H:H,0,-1)</f>
        <v>2657.9900204322948</v>
      </c>
      <c r="C2340">
        <f>_xlfn.XLOOKUP(A2340,Energy!A:A,Energy!H:H,0,-1)</f>
        <v>11599.954865366581</v>
      </c>
      <c r="D2340">
        <f t="shared" si="144"/>
        <v>14257.944885798875</v>
      </c>
      <c r="E2340">
        <f>_xlfn.XLOOKUP(A2340,Banks!A:A,Banks!I:I,0)</f>
        <v>0</v>
      </c>
      <c r="F2340">
        <f>_xlfn.XLOOKUP(A2340,Energy!A:A,Energy!I:I,0)</f>
        <v>35458.914814912212</v>
      </c>
      <c r="G2340">
        <f t="shared" si="145"/>
        <v>35458.914814912212</v>
      </c>
      <c r="H2340">
        <f t="shared" si="146"/>
        <v>21200.969929113337</v>
      </c>
      <c r="I2340" t="b">
        <f t="shared" si="147"/>
        <v>0</v>
      </c>
    </row>
    <row r="2341" spans="1:9">
      <c r="A2341" s="1">
        <v>46134.609722222223</v>
      </c>
      <c r="B2341" s="5">
        <f>_xlfn.XLOOKUP(A2341,Banks!A:A,Banks!H:H,0,-1)</f>
        <v>2657.9900204322948</v>
      </c>
      <c r="C2341">
        <f>_xlfn.XLOOKUP(A2341,Energy!A:A,Energy!H:H,0,-1)</f>
        <v>11475.28973712064</v>
      </c>
      <c r="D2341">
        <f t="shared" si="144"/>
        <v>14133.279757552935</v>
      </c>
      <c r="E2341">
        <f>_xlfn.XLOOKUP(A2341,Banks!A:A,Banks!I:I,0)</f>
        <v>0</v>
      </c>
      <c r="F2341">
        <f>_xlfn.XLOOKUP(A2341,Energy!A:A,Energy!I:I,0)</f>
        <v>35483.847840561408</v>
      </c>
      <c r="G2341">
        <f t="shared" si="145"/>
        <v>35483.847840561408</v>
      </c>
      <c r="H2341">
        <f t="shared" si="146"/>
        <v>21350.568083008475</v>
      </c>
      <c r="I2341" t="b">
        <f t="shared" si="147"/>
        <v>0</v>
      </c>
    </row>
    <row r="2342" spans="1:9">
      <c r="A2342" s="1">
        <v>46134.61041666667</v>
      </c>
      <c r="B2342" s="5">
        <f>_xlfn.XLOOKUP(A2342,Banks!A:A,Banks!H:H,0,-1)</f>
        <v>2657.9900204322948</v>
      </c>
      <c r="C2342">
        <f>_xlfn.XLOOKUP(A2342,Energy!A:A,Energy!H:H,0,-1)</f>
        <v>11546.63407826816</v>
      </c>
      <c r="D2342">
        <f t="shared" si="144"/>
        <v>14204.624098700455</v>
      </c>
      <c r="E2342">
        <f>_xlfn.XLOOKUP(A2342,Banks!A:A,Banks!I:I,0)</f>
        <v>0</v>
      </c>
      <c r="F2342">
        <f>_xlfn.XLOOKUP(A2342,Energy!A:A,Energy!I:I,0)</f>
        <v>35491.750829901743</v>
      </c>
      <c r="G2342">
        <f t="shared" si="145"/>
        <v>35491.750829901743</v>
      </c>
      <c r="H2342">
        <f t="shared" si="146"/>
        <v>21287.126731201286</v>
      </c>
      <c r="I2342" t="b">
        <f t="shared" si="147"/>
        <v>0</v>
      </c>
    </row>
    <row r="2343" spans="1:9">
      <c r="A2343" s="1">
        <v>46134.611111111109</v>
      </c>
      <c r="B2343" s="5">
        <f>_xlfn.XLOOKUP(A2343,Banks!A:A,Banks!H:H,0,-1)</f>
        <v>2657.9900204322948</v>
      </c>
      <c r="C2343">
        <f>_xlfn.XLOOKUP(A2343,Energy!A:A,Energy!H:H,0,-1)</f>
        <v>11517.45713335953</v>
      </c>
      <c r="D2343">
        <f t="shared" si="144"/>
        <v>14175.447153791825</v>
      </c>
      <c r="E2343">
        <f>_xlfn.XLOOKUP(A2343,Banks!A:A,Banks!I:I,0)</f>
        <v>0</v>
      </c>
      <c r="F2343">
        <f>_xlfn.XLOOKUP(A2343,Energy!A:A,Energy!I:I,0)</f>
        <v>35497.586218883473</v>
      </c>
      <c r="G2343">
        <f t="shared" si="145"/>
        <v>35497.586218883473</v>
      </c>
      <c r="H2343">
        <f t="shared" si="146"/>
        <v>21322.139065091647</v>
      </c>
      <c r="I2343" t="b">
        <f t="shared" si="147"/>
        <v>0</v>
      </c>
    </row>
    <row r="2344" spans="1:9">
      <c r="A2344" s="1">
        <v>46134.611805555563</v>
      </c>
      <c r="B2344" s="5">
        <f>_xlfn.XLOOKUP(A2344,Banks!A:A,Banks!H:H,0,-1)</f>
        <v>2657.9900204322948</v>
      </c>
      <c r="C2344">
        <f>_xlfn.XLOOKUP(A2344,Energy!A:A,Energy!H:H,0,-1)</f>
        <v>11347.70036298209</v>
      </c>
      <c r="D2344">
        <f t="shared" si="144"/>
        <v>14005.690383414385</v>
      </c>
      <c r="E2344">
        <f>_xlfn.XLOOKUP(A2344,Banks!A:A,Banks!I:I,0)</f>
        <v>0</v>
      </c>
      <c r="F2344">
        <f>_xlfn.XLOOKUP(A2344,Energy!A:A,Energy!I:I,0)</f>
        <v>35531.537572958972</v>
      </c>
      <c r="G2344">
        <f t="shared" si="145"/>
        <v>35531.537572958972</v>
      </c>
      <c r="H2344">
        <f t="shared" si="146"/>
        <v>21525.847189544587</v>
      </c>
      <c r="I2344" t="b">
        <f t="shared" si="147"/>
        <v>0</v>
      </c>
    </row>
    <row r="2345" spans="1:9">
      <c r="A2345" s="1">
        <v>46134.612500000003</v>
      </c>
      <c r="B2345" s="5">
        <f>_xlfn.XLOOKUP(A2345,Banks!A:A,Banks!H:H,0,-1)</f>
        <v>2657.9900204322948</v>
      </c>
      <c r="C2345">
        <f>_xlfn.XLOOKUP(A2345,Energy!A:A,Energy!H:H,0,-1)</f>
        <v>11217.59053032193</v>
      </c>
      <c r="D2345">
        <f t="shared" si="144"/>
        <v>13875.580550754225</v>
      </c>
      <c r="E2345">
        <f>_xlfn.XLOOKUP(A2345,Banks!A:A,Banks!I:I,0)</f>
        <v>0</v>
      </c>
      <c r="F2345">
        <f>_xlfn.XLOOKUP(A2345,Energy!A:A,Energy!I:I,0)</f>
        <v>35484.29601012975</v>
      </c>
      <c r="G2345">
        <f t="shared" si="145"/>
        <v>35484.29601012975</v>
      </c>
      <c r="H2345">
        <f t="shared" si="146"/>
        <v>21608.715459375526</v>
      </c>
      <c r="I2345" t="b">
        <f t="shared" si="147"/>
        <v>0</v>
      </c>
    </row>
    <row r="2346" spans="1:9">
      <c r="A2346" s="1">
        <v>46134.613194444442</v>
      </c>
      <c r="B2346" s="5">
        <f>_xlfn.XLOOKUP(A2346,Banks!A:A,Banks!H:H,0,-1)</f>
        <v>2657.9900204322948</v>
      </c>
      <c r="C2346">
        <f>_xlfn.XLOOKUP(A2346,Energy!A:A,Energy!H:H,0,-1)</f>
        <v>11204.60007899166</v>
      </c>
      <c r="D2346">
        <f t="shared" si="144"/>
        <v>13862.590099423955</v>
      </c>
      <c r="E2346">
        <f>_xlfn.XLOOKUP(A2346,Banks!A:A,Banks!I:I,0)</f>
        <v>0</v>
      </c>
      <c r="F2346">
        <f>_xlfn.XLOOKUP(A2346,Energy!A:A,Energy!I:I,0)</f>
        <v>35464.722242825963</v>
      </c>
      <c r="G2346">
        <f t="shared" si="145"/>
        <v>35464.722242825963</v>
      </c>
      <c r="H2346">
        <f t="shared" si="146"/>
        <v>21602.132143402006</v>
      </c>
      <c r="I2346" t="b">
        <f t="shared" si="147"/>
        <v>0</v>
      </c>
    </row>
    <row r="2347" spans="1:9">
      <c r="A2347" s="1">
        <v>46134.613888888889</v>
      </c>
      <c r="B2347" s="5">
        <f>_xlfn.XLOOKUP(A2347,Banks!A:A,Banks!H:H,0,-1)</f>
        <v>2657.9900204322948</v>
      </c>
      <c r="C2347">
        <f>_xlfn.XLOOKUP(A2347,Energy!A:A,Energy!H:H,0,-1)</f>
        <v>11152.55027966025</v>
      </c>
      <c r="D2347">
        <f t="shared" si="144"/>
        <v>13810.540300092545</v>
      </c>
      <c r="E2347">
        <f>_xlfn.XLOOKUP(A2347,Banks!A:A,Banks!I:I,0)</f>
        <v>0</v>
      </c>
      <c r="F2347">
        <f>_xlfn.XLOOKUP(A2347,Energy!A:A,Energy!I:I,0)</f>
        <v>35450.068363700229</v>
      </c>
      <c r="G2347">
        <f t="shared" si="145"/>
        <v>35450.068363700229</v>
      </c>
      <c r="H2347">
        <f t="shared" si="146"/>
        <v>21639.528063607686</v>
      </c>
      <c r="I2347" t="b">
        <f t="shared" si="147"/>
        <v>0</v>
      </c>
    </row>
    <row r="2348" spans="1:9">
      <c r="A2348" s="1">
        <v>46134.614583333343</v>
      </c>
      <c r="B2348" s="5">
        <f>_xlfn.XLOOKUP(A2348,Banks!A:A,Banks!H:H,0,-1)</f>
        <v>2657.9900204322948</v>
      </c>
      <c r="C2348">
        <f>_xlfn.XLOOKUP(A2348,Energy!A:A,Energy!H:H,0,-1)</f>
        <v>11105.29111802895</v>
      </c>
      <c r="D2348">
        <f t="shared" si="144"/>
        <v>13763.281138461245</v>
      </c>
      <c r="E2348">
        <f>_xlfn.XLOOKUP(A2348,Banks!A:A,Banks!I:I,0)</f>
        <v>0</v>
      </c>
      <c r="F2348">
        <f>_xlfn.XLOOKUP(A2348,Energy!A:A,Energy!I:I,0)</f>
        <v>35457.592208411719</v>
      </c>
      <c r="G2348">
        <f t="shared" si="145"/>
        <v>35457.592208411719</v>
      </c>
      <c r="H2348">
        <f t="shared" si="146"/>
        <v>21694.311069950476</v>
      </c>
      <c r="I2348" t="b">
        <f t="shared" si="147"/>
        <v>0</v>
      </c>
    </row>
    <row r="2349" spans="1:9">
      <c r="A2349" s="1">
        <v>46134.615277777782</v>
      </c>
      <c r="B2349" s="5">
        <f>_xlfn.XLOOKUP(A2349,Banks!A:A,Banks!H:H,0,-1)</f>
        <v>2657.9900204322948</v>
      </c>
      <c r="C2349">
        <f>_xlfn.XLOOKUP(A2349,Energy!A:A,Energy!H:H,0,-1)</f>
        <v>11105.29111802895</v>
      </c>
      <c r="D2349">
        <f t="shared" si="144"/>
        <v>13763.281138461245</v>
      </c>
      <c r="E2349">
        <f>_xlfn.XLOOKUP(A2349,Banks!A:A,Banks!I:I,0)</f>
        <v>0</v>
      </c>
      <c r="F2349">
        <f>_xlfn.XLOOKUP(A2349,Energy!A:A,Energy!I:I,0)</f>
        <v>35457.592208411719</v>
      </c>
      <c r="G2349">
        <f t="shared" si="145"/>
        <v>35457.592208411719</v>
      </c>
      <c r="H2349">
        <f t="shared" si="146"/>
        <v>21694.311069950476</v>
      </c>
      <c r="I2349" t="b">
        <f t="shared" si="147"/>
        <v>0</v>
      </c>
    </row>
    <row r="2350" spans="1:9">
      <c r="A2350" s="1">
        <v>46134.615972222222</v>
      </c>
      <c r="B2350" s="5">
        <f>_xlfn.XLOOKUP(A2350,Banks!A:A,Banks!H:H,0,-1)</f>
        <v>2657.9900204322948</v>
      </c>
      <c r="C2350">
        <f>_xlfn.XLOOKUP(A2350,Energy!A:A,Energy!H:H,0,-1)</f>
        <v>11221.998897663439</v>
      </c>
      <c r="D2350">
        <f t="shared" si="144"/>
        <v>13879.988918095734</v>
      </c>
      <c r="E2350">
        <f>_xlfn.XLOOKUP(A2350,Banks!A:A,Banks!I:I,0)</f>
        <v>0</v>
      </c>
      <c r="F2350">
        <f>_xlfn.XLOOKUP(A2350,Energy!A:A,Energy!I:I,0)</f>
        <v>35434.250652484821</v>
      </c>
      <c r="G2350">
        <f t="shared" si="145"/>
        <v>35434.250652484821</v>
      </c>
      <c r="H2350">
        <f t="shared" si="146"/>
        <v>21554.261734389089</v>
      </c>
      <c r="I2350" t="b">
        <f t="shared" si="147"/>
        <v>0</v>
      </c>
    </row>
    <row r="2351" spans="1:9">
      <c r="A2351" s="1">
        <v>46134.616666666669</v>
      </c>
      <c r="B2351" s="5">
        <f>_xlfn.XLOOKUP(A2351,Banks!A:A,Banks!H:H,0,-1)</f>
        <v>2657.9900204322948</v>
      </c>
      <c r="C2351">
        <f>_xlfn.XLOOKUP(A2351,Energy!A:A,Energy!H:H,0,-1)</f>
        <v>11390.36765567045</v>
      </c>
      <c r="D2351">
        <f t="shared" si="144"/>
        <v>14048.357676102745</v>
      </c>
      <c r="E2351">
        <f>_xlfn.XLOOKUP(A2351,Banks!A:A,Banks!I:I,0)</f>
        <v>0</v>
      </c>
      <c r="F2351">
        <f>_xlfn.XLOOKUP(A2351,Energy!A:A,Energy!I:I,0)</f>
        <v>0</v>
      </c>
      <c r="G2351">
        <f t="shared" si="145"/>
        <v>0</v>
      </c>
      <c r="H2351">
        <f t="shared" si="146"/>
        <v>-14048.357676102745</v>
      </c>
      <c r="I2351" t="b">
        <f t="shared" si="147"/>
        <v>0</v>
      </c>
    </row>
    <row r="2352" spans="1:9">
      <c r="A2352" s="1">
        <v>46134.871527777781</v>
      </c>
      <c r="B2352" s="5">
        <f>_xlfn.XLOOKUP(A2352,Banks!A:A,Banks!H:H,0,-1)</f>
        <v>2657.9900204322948</v>
      </c>
      <c r="C2352">
        <f>_xlfn.XLOOKUP(A2352,Energy!A:A,Energy!H:H,0,-1)</f>
        <v>11390.36765567045</v>
      </c>
      <c r="D2352">
        <f t="shared" si="144"/>
        <v>14048.357676102745</v>
      </c>
      <c r="E2352">
        <f>_xlfn.XLOOKUP(A2352,Banks!A:A,Banks!I:I,0)</f>
        <v>0</v>
      </c>
      <c r="F2352">
        <f>_xlfn.XLOOKUP(A2352,Energy!A:A,Energy!I:I,0)</f>
        <v>35501.020422747773</v>
      </c>
      <c r="G2352">
        <f t="shared" si="145"/>
        <v>35501.020422747773</v>
      </c>
      <c r="H2352">
        <f t="shared" si="146"/>
        <v>21452.66274664503</v>
      </c>
      <c r="I2352" t="b">
        <f t="shared" si="147"/>
        <v>0</v>
      </c>
    </row>
    <row r="2353" spans="1:9">
      <c r="A2353" s="1">
        <v>46134.87222222222</v>
      </c>
      <c r="B2353" s="5">
        <f>_xlfn.XLOOKUP(A2353,Banks!A:A,Banks!H:H,0,-1)</f>
        <v>2657.9900204322948</v>
      </c>
      <c r="C2353">
        <f>_xlfn.XLOOKUP(A2353,Energy!A:A,Energy!H:H,0,-1)</f>
        <v>11428.382636491689</v>
      </c>
      <c r="D2353">
        <f t="shared" si="144"/>
        <v>14086.372656923984</v>
      </c>
      <c r="E2353">
        <f>_xlfn.XLOOKUP(A2353,Banks!A:A,Banks!I:I,0)</f>
        <v>0</v>
      </c>
      <c r="F2353">
        <f>_xlfn.XLOOKUP(A2353,Energy!A:A,Energy!I:I,0)</f>
        <v>35491.269371915543</v>
      </c>
      <c r="G2353">
        <f t="shared" si="145"/>
        <v>35491.269371915543</v>
      </c>
      <c r="H2353">
        <f t="shared" si="146"/>
        <v>21404.896714991559</v>
      </c>
      <c r="I2353" t="b">
        <f t="shared" si="147"/>
        <v>0</v>
      </c>
    </row>
    <row r="2354" spans="1:9">
      <c r="A2354" s="1">
        <v>46134.872916666667</v>
      </c>
      <c r="B2354" s="5">
        <f>_xlfn.XLOOKUP(A2354,Banks!A:A,Banks!H:H,0,-1)</f>
        <v>2657.9900204322948</v>
      </c>
      <c r="C2354">
        <f>_xlfn.XLOOKUP(A2354,Energy!A:A,Energy!H:H,0,-1)</f>
        <v>11459.229536361951</v>
      </c>
      <c r="D2354">
        <f t="shared" si="144"/>
        <v>14117.219556794245</v>
      </c>
      <c r="E2354">
        <f>_xlfn.XLOOKUP(A2354,Banks!A:A,Banks!I:I,0)</f>
        <v>0</v>
      </c>
      <c r="F2354">
        <f>_xlfn.XLOOKUP(A2354,Energy!A:A,Energy!I:I,0)</f>
        <v>35492.618183279461</v>
      </c>
      <c r="G2354">
        <f t="shared" si="145"/>
        <v>35492.618183279461</v>
      </c>
      <c r="H2354">
        <f t="shared" si="146"/>
        <v>21375.398626485214</v>
      </c>
      <c r="I2354" t="b">
        <f t="shared" si="147"/>
        <v>0</v>
      </c>
    </row>
    <row r="2355" spans="1:9">
      <c r="A2355" s="1">
        <v>46134.873611111107</v>
      </c>
      <c r="B2355" s="5">
        <f>_xlfn.XLOOKUP(A2355,Banks!A:A,Banks!H:H,0,-1)</f>
        <v>2657.9900204322948</v>
      </c>
      <c r="C2355">
        <f>_xlfn.XLOOKUP(A2355,Energy!A:A,Energy!H:H,0,-1)</f>
        <v>11406.540837644599</v>
      </c>
      <c r="D2355">
        <f t="shared" si="144"/>
        <v>14064.530858076894</v>
      </c>
      <c r="E2355">
        <f>_xlfn.XLOOKUP(A2355,Banks!A:A,Banks!I:I,0)</f>
        <v>0</v>
      </c>
      <c r="F2355">
        <f>_xlfn.XLOOKUP(A2355,Energy!A:A,Energy!I:I,0)</f>
        <v>35513.896196362883</v>
      </c>
      <c r="G2355">
        <f t="shared" si="145"/>
        <v>35513.896196362883</v>
      </c>
      <c r="H2355">
        <f t="shared" si="146"/>
        <v>21449.365338285988</v>
      </c>
      <c r="I2355" t="b">
        <f t="shared" si="147"/>
        <v>0</v>
      </c>
    </row>
    <row r="2356" spans="1:9">
      <c r="A2356" s="1">
        <v>46134.874305555553</v>
      </c>
      <c r="B2356" s="5">
        <f>_xlfn.XLOOKUP(A2356,Banks!A:A,Banks!H:H,0,-1)</f>
        <v>2657.9900204322948</v>
      </c>
      <c r="C2356">
        <f>_xlfn.XLOOKUP(A2356,Energy!A:A,Energy!H:H,0,-1)</f>
        <v>11514.79161930695</v>
      </c>
      <c r="D2356">
        <f t="shared" si="144"/>
        <v>14172.781639739245</v>
      </c>
      <c r="E2356">
        <f>_xlfn.XLOOKUP(A2356,Banks!A:A,Banks!I:I,0)</f>
        <v>0</v>
      </c>
      <c r="F2356">
        <f>_xlfn.XLOOKUP(A2356,Energy!A:A,Energy!I:I,0)</f>
        <v>35500.838258702381</v>
      </c>
      <c r="G2356">
        <f t="shared" si="145"/>
        <v>35500.838258702381</v>
      </c>
      <c r="H2356">
        <f t="shared" si="146"/>
        <v>21328.056618963135</v>
      </c>
      <c r="I2356" t="b">
        <f t="shared" si="147"/>
        <v>0</v>
      </c>
    </row>
    <row r="2357" spans="1:9">
      <c r="A2357" s="1">
        <v>46135.586111111108</v>
      </c>
      <c r="B2357" s="5">
        <f>_xlfn.XLOOKUP(A2357,Banks!A:A,Banks!H:H,0,-1)</f>
        <v>2657.9900204322948</v>
      </c>
      <c r="C2357">
        <f>_xlfn.XLOOKUP(A2357,Energy!A:A,Energy!H:H,0,-1)</f>
        <v>11514.79161930695</v>
      </c>
      <c r="D2357">
        <f t="shared" si="144"/>
        <v>14172.781639739245</v>
      </c>
      <c r="E2357">
        <f>_xlfn.XLOOKUP(A2357,Banks!A:A,Banks!I:I,0)</f>
        <v>0</v>
      </c>
      <c r="F2357">
        <f>_xlfn.XLOOKUP(A2357,Energy!A:A,Energy!I:I,0)</f>
        <v>35500.838258702381</v>
      </c>
      <c r="G2357">
        <f t="shared" si="145"/>
        <v>35500.838258702381</v>
      </c>
      <c r="H2357">
        <f t="shared" si="146"/>
        <v>21328.056618963135</v>
      </c>
      <c r="I2357" t="b">
        <f t="shared" si="147"/>
        <v>0</v>
      </c>
    </row>
    <row r="2358" spans="1:9">
      <c r="A2358" s="1">
        <v>46135.604166666657</v>
      </c>
      <c r="B2358" s="5">
        <f>_xlfn.XLOOKUP(A2358,Banks!A:A,Banks!H:H,0,-1)</f>
        <v>2657.9900204322948</v>
      </c>
      <c r="C2358">
        <f>_xlfn.XLOOKUP(A2358,Energy!A:A,Energy!H:H,0,-1)</f>
        <v>11939.03241623523</v>
      </c>
      <c r="D2358">
        <f t="shared" si="144"/>
        <v>14597.022436667525</v>
      </c>
      <c r="E2358">
        <f>_xlfn.XLOOKUP(A2358,Banks!A:A,Banks!I:I,0)</f>
        <v>0</v>
      </c>
      <c r="F2358">
        <f>_xlfn.XLOOKUP(A2358,Energy!A:A,Energy!I:I,0)</f>
        <v>35585.686418088029</v>
      </c>
      <c r="G2358">
        <f t="shared" si="145"/>
        <v>35585.686418088029</v>
      </c>
      <c r="H2358">
        <f t="shared" si="146"/>
        <v>20988.663981420505</v>
      </c>
      <c r="I2358" t="b">
        <f t="shared" si="147"/>
        <v>0</v>
      </c>
    </row>
    <row r="2359" spans="1:9">
      <c r="A2359" s="1">
        <v>46135.604861111111</v>
      </c>
      <c r="B2359" s="5">
        <f>_xlfn.XLOOKUP(A2359,Banks!A:A,Banks!H:H,0,-1)</f>
        <v>2657.9900204322948</v>
      </c>
      <c r="C2359">
        <f>_xlfn.XLOOKUP(A2359,Energy!A:A,Energy!H:H,0,-1)</f>
        <v>11911.254279548801</v>
      </c>
      <c r="D2359">
        <f t="shared" si="144"/>
        <v>14569.244299981096</v>
      </c>
      <c r="E2359">
        <f>_xlfn.XLOOKUP(A2359,Banks!A:A,Banks!I:I,0)</f>
        <v>0</v>
      </c>
      <c r="F2359">
        <f>_xlfn.XLOOKUP(A2359,Energy!A:A,Energy!I:I,0)</f>
        <v>35850.082632918267</v>
      </c>
      <c r="G2359">
        <f t="shared" si="145"/>
        <v>35850.082632918267</v>
      </c>
      <c r="H2359">
        <f t="shared" si="146"/>
        <v>21280.838332937172</v>
      </c>
      <c r="I2359" t="b">
        <f t="shared" si="147"/>
        <v>0</v>
      </c>
    </row>
    <row r="2360" spans="1:9">
      <c r="A2360" s="1">
        <v>46135.605555555558</v>
      </c>
      <c r="B2360" s="5">
        <f>_xlfn.XLOOKUP(A2360,Banks!A:A,Banks!H:H,0,-1)</f>
        <v>2657.9900204322948</v>
      </c>
      <c r="C2360">
        <f>_xlfn.XLOOKUP(A2360,Energy!A:A,Energy!H:H,0,-1)</f>
        <v>11583.48404078454</v>
      </c>
      <c r="D2360">
        <f t="shared" si="144"/>
        <v>14241.474061216835</v>
      </c>
      <c r="E2360">
        <f>_xlfn.XLOOKUP(A2360,Banks!A:A,Banks!I:I,0)</f>
        <v>0</v>
      </c>
      <c r="F2360">
        <f>_xlfn.XLOOKUP(A2360,Energy!A:A,Energy!I:I,0)</f>
        <v>0</v>
      </c>
      <c r="G2360">
        <f t="shared" si="145"/>
        <v>0</v>
      </c>
      <c r="H2360">
        <f t="shared" si="146"/>
        <v>-14241.474061216835</v>
      </c>
      <c r="I2360" t="b">
        <f t="shared" si="147"/>
        <v>0</v>
      </c>
    </row>
    <row r="2361" spans="1:9">
      <c r="A2361" s="1">
        <v>46136.604861111111</v>
      </c>
      <c r="B2361" s="5">
        <f>_xlfn.XLOOKUP(A2361,Banks!A:A,Banks!H:H,0,-1)</f>
        <v>2657.9900204322948</v>
      </c>
      <c r="C2361">
        <f>_xlfn.XLOOKUP(A2361,Energy!A:A,Energy!H:H,0,-1)</f>
        <v>11583.48404078454</v>
      </c>
      <c r="D2361">
        <f t="shared" si="144"/>
        <v>14241.474061216835</v>
      </c>
      <c r="E2361">
        <f>_xlfn.XLOOKUP(A2361,Banks!A:A,Banks!I:I,0)</f>
        <v>0</v>
      </c>
      <c r="F2361">
        <f>_xlfn.XLOOKUP(A2361,Energy!A:A,Energy!I:I,0)</f>
        <v>35501.020422747773</v>
      </c>
      <c r="G2361">
        <f t="shared" si="145"/>
        <v>35501.020422747773</v>
      </c>
      <c r="H2361">
        <f t="shared" si="146"/>
        <v>21259.546361530938</v>
      </c>
      <c r="I2361" t="b">
        <f t="shared" si="147"/>
        <v>0</v>
      </c>
    </row>
    <row r="2362" spans="1:9">
      <c r="A2362" s="1">
        <v>46136.605555555558</v>
      </c>
      <c r="B2362" s="5">
        <f>_xlfn.XLOOKUP(A2362,Banks!A:A,Banks!H:H,0,-1)</f>
        <v>2657.9900204322948</v>
      </c>
      <c r="C2362">
        <f>_xlfn.XLOOKUP(A2362,Energy!A:A,Energy!H:H,0,-1)</f>
        <v>11550.570542882409</v>
      </c>
      <c r="D2362">
        <f t="shared" si="144"/>
        <v>14208.560563314704</v>
      </c>
      <c r="E2362">
        <f>_xlfn.XLOOKUP(A2362,Banks!A:A,Banks!I:I,0)</f>
        <v>0</v>
      </c>
      <c r="F2362">
        <f>_xlfn.XLOOKUP(A2362,Energy!A:A,Energy!I:I,0)</f>
        <v>35482.858636045246</v>
      </c>
      <c r="G2362">
        <f t="shared" si="145"/>
        <v>35482.858636045246</v>
      </c>
      <c r="H2362">
        <f t="shared" si="146"/>
        <v>21274.29807273054</v>
      </c>
      <c r="I2362" t="b">
        <f t="shared" si="147"/>
        <v>0</v>
      </c>
    </row>
    <row r="2363" spans="1:9">
      <c r="A2363" s="1">
        <v>46136.606249999997</v>
      </c>
      <c r="B2363" s="5">
        <f>_xlfn.XLOOKUP(A2363,Banks!A:A,Banks!H:H,0,-1)</f>
        <v>2657.9900204322948</v>
      </c>
      <c r="C2363">
        <f>_xlfn.XLOOKUP(A2363,Energy!A:A,Energy!H:H,0,-1)</f>
        <v>11580.35290565827</v>
      </c>
      <c r="D2363">
        <f t="shared" si="144"/>
        <v>14238.342926090565</v>
      </c>
      <c r="E2363">
        <f>_xlfn.XLOOKUP(A2363,Banks!A:A,Banks!I:I,0)</f>
        <v>0</v>
      </c>
      <c r="F2363">
        <f>_xlfn.XLOOKUP(A2363,Energy!A:A,Energy!I:I,0)</f>
        <v>35573.728414162477</v>
      </c>
      <c r="G2363">
        <f t="shared" si="145"/>
        <v>35573.728414162477</v>
      </c>
      <c r="H2363">
        <f t="shared" si="146"/>
        <v>21335.385488071912</v>
      </c>
      <c r="I2363" t="b">
        <f t="shared" si="147"/>
        <v>0</v>
      </c>
    </row>
    <row r="2364" spans="1:9">
      <c r="A2364" s="1">
        <v>46136.606944444437</v>
      </c>
      <c r="B2364" s="5">
        <f>_xlfn.XLOOKUP(A2364,Banks!A:A,Banks!H:H,0,-1)</f>
        <v>2657.9900204322948</v>
      </c>
      <c r="C2364">
        <f>_xlfn.XLOOKUP(A2364,Energy!A:A,Energy!H:H,0,-1)</f>
        <v>11222.633701785209</v>
      </c>
      <c r="D2364">
        <f t="shared" si="144"/>
        <v>13880.623722217504</v>
      </c>
      <c r="E2364">
        <f>_xlfn.XLOOKUP(A2364,Banks!A:A,Banks!I:I,0)</f>
        <v>0</v>
      </c>
      <c r="F2364">
        <f>_xlfn.XLOOKUP(A2364,Energy!A:A,Energy!I:I,0)</f>
        <v>35502.184573387873</v>
      </c>
      <c r="G2364">
        <f t="shared" si="145"/>
        <v>35502.184573387873</v>
      </c>
      <c r="H2364">
        <f t="shared" si="146"/>
        <v>21621.560851170369</v>
      </c>
      <c r="I2364" t="b">
        <f t="shared" si="147"/>
        <v>0</v>
      </c>
    </row>
    <row r="2365" spans="1:9">
      <c r="A2365" s="1">
        <v>46136.607638888891</v>
      </c>
      <c r="B2365" s="5">
        <f>_xlfn.XLOOKUP(A2365,Banks!A:A,Banks!H:H,0,-1)</f>
        <v>2657.9900204322948</v>
      </c>
      <c r="C2365">
        <f>_xlfn.XLOOKUP(A2365,Energy!A:A,Energy!H:H,0,-1)</f>
        <v>11195.737521042891</v>
      </c>
      <c r="D2365">
        <f t="shared" si="144"/>
        <v>13853.727541475186</v>
      </c>
      <c r="E2365">
        <f>_xlfn.XLOOKUP(A2365,Banks!A:A,Banks!I:I,0)</f>
        <v>0</v>
      </c>
      <c r="F2365">
        <f>_xlfn.XLOOKUP(A2365,Energy!A:A,Energy!I:I,0)</f>
        <v>35496.805337239413</v>
      </c>
      <c r="G2365">
        <f t="shared" si="145"/>
        <v>35496.805337239413</v>
      </c>
      <c r="H2365">
        <f t="shared" si="146"/>
        <v>21643.077795764228</v>
      </c>
      <c r="I2365" t="b">
        <f t="shared" si="147"/>
        <v>0</v>
      </c>
    </row>
    <row r="2366" spans="1:9">
      <c r="A2366" s="1">
        <v>46136.60833333333</v>
      </c>
      <c r="B2366" s="5">
        <f>_xlfn.XLOOKUP(A2366,Banks!A:A,Banks!H:H,0,-1)</f>
        <v>2657.9900204322948</v>
      </c>
      <c r="C2366">
        <f>_xlfn.XLOOKUP(A2366,Energy!A:A,Energy!H:H,0,-1)</f>
        <v>11213.17830627687</v>
      </c>
      <c r="D2366">
        <f t="shared" si="144"/>
        <v>13871.168326709165</v>
      </c>
      <c r="E2366">
        <f>_xlfn.XLOOKUP(A2366,Banks!A:A,Banks!I:I,0)</f>
        <v>0</v>
      </c>
      <c r="F2366">
        <f>_xlfn.XLOOKUP(A2366,Energy!A:A,Energy!I:I,0)</f>
        <v>35495.468874651997</v>
      </c>
      <c r="G2366">
        <f t="shared" si="145"/>
        <v>35495.468874651997</v>
      </c>
      <c r="H2366">
        <f t="shared" si="146"/>
        <v>21624.300547942832</v>
      </c>
      <c r="I2366" t="b">
        <f t="shared" si="147"/>
        <v>0</v>
      </c>
    </row>
    <row r="2367" spans="1:9">
      <c r="A2367" s="1">
        <v>46136.609027777777</v>
      </c>
      <c r="B2367" s="5">
        <f>_xlfn.XLOOKUP(A2367,Banks!A:A,Banks!H:H,0,-1)</f>
        <v>2657.9900204322948</v>
      </c>
      <c r="C2367">
        <f>_xlfn.XLOOKUP(A2367,Energy!A:A,Energy!H:H,0,-1)</f>
        <v>11183.175184975</v>
      </c>
      <c r="D2367">
        <f t="shared" si="144"/>
        <v>13841.165205407295</v>
      </c>
      <c r="E2367">
        <f>_xlfn.XLOOKUP(A2367,Banks!A:A,Banks!I:I,0)</f>
        <v>0</v>
      </c>
      <c r="F2367">
        <f>_xlfn.XLOOKUP(A2367,Energy!A:A,Energy!I:I,0)</f>
        <v>35441.22205404954</v>
      </c>
      <c r="G2367">
        <f t="shared" si="145"/>
        <v>35441.22205404954</v>
      </c>
      <c r="H2367">
        <f t="shared" si="146"/>
        <v>21600.056848642245</v>
      </c>
      <c r="I2367" t="b">
        <f t="shared" si="147"/>
        <v>0</v>
      </c>
    </row>
    <row r="2368" spans="1:9">
      <c r="A2368" s="1">
        <v>46136.609722222223</v>
      </c>
      <c r="B2368" s="5">
        <f>_xlfn.XLOOKUP(A2368,Banks!A:A,Banks!H:H,0,-1)</f>
        <v>2657.9900204322948</v>
      </c>
      <c r="C2368">
        <f>_xlfn.XLOOKUP(A2368,Energy!A:A,Energy!H:H,0,-1)</f>
        <v>11024.571183092279</v>
      </c>
      <c r="D2368">
        <f t="shared" si="144"/>
        <v>13682.561203524574</v>
      </c>
      <c r="E2368">
        <f>_xlfn.XLOOKUP(A2368,Banks!A:A,Banks!I:I,0)</f>
        <v>0</v>
      </c>
      <c r="F2368">
        <f>_xlfn.XLOOKUP(A2368,Energy!A:A,Energy!I:I,0)</f>
        <v>35419.150492941408</v>
      </c>
      <c r="G2368">
        <f t="shared" si="145"/>
        <v>35419.150492941408</v>
      </c>
      <c r="H2368">
        <f t="shared" si="146"/>
        <v>21736.589289416836</v>
      </c>
      <c r="I2368" t="b">
        <f t="shared" si="147"/>
        <v>0</v>
      </c>
    </row>
    <row r="2369" spans="1:9">
      <c r="A2369" s="1">
        <v>46136.61041666667</v>
      </c>
      <c r="B2369" s="5">
        <f>_xlfn.XLOOKUP(A2369,Banks!A:A,Banks!H:H,0,-1)</f>
        <v>2657.9900204322948</v>
      </c>
      <c r="C2369">
        <f>_xlfn.XLOOKUP(A2369,Energy!A:A,Energy!H:H,0,-1)</f>
        <v>10867.79795974648</v>
      </c>
      <c r="D2369">
        <f t="shared" si="144"/>
        <v>13525.787980178775</v>
      </c>
      <c r="E2369">
        <f>_xlfn.XLOOKUP(A2369,Banks!A:A,Banks!I:I,0)</f>
        <v>0</v>
      </c>
      <c r="F2369">
        <f>_xlfn.XLOOKUP(A2369,Energy!A:A,Energy!I:I,0)</f>
        <v>35422.533109638549</v>
      </c>
      <c r="G2369">
        <f t="shared" si="145"/>
        <v>35422.533109638549</v>
      </c>
      <c r="H2369">
        <f t="shared" si="146"/>
        <v>21896.745129459774</v>
      </c>
      <c r="I2369" t="b">
        <f t="shared" si="147"/>
        <v>0</v>
      </c>
    </row>
    <row r="2370" spans="1:9">
      <c r="A2370" s="1">
        <v>46136.611111111109</v>
      </c>
      <c r="B2370" s="5">
        <f>_xlfn.XLOOKUP(A2370,Banks!A:A,Banks!H:H,0,-1)</f>
        <v>2657.9900204322948</v>
      </c>
      <c r="C2370">
        <f>_xlfn.XLOOKUP(A2370,Energy!A:A,Energy!H:H,0,-1)</f>
        <v>10949.482635539771</v>
      </c>
      <c r="D2370">
        <f t="shared" si="144"/>
        <v>13607.472655972066</v>
      </c>
      <c r="E2370">
        <f>_xlfn.XLOOKUP(A2370,Banks!A:A,Banks!I:I,0)</f>
        <v>0</v>
      </c>
      <c r="F2370">
        <f>_xlfn.XLOOKUP(A2370,Energy!A:A,Energy!I:I,0)</f>
        <v>35367.465674210929</v>
      </c>
      <c r="G2370">
        <f t="shared" si="145"/>
        <v>35367.465674210929</v>
      </c>
      <c r="H2370">
        <f t="shared" si="146"/>
        <v>21759.993018238863</v>
      </c>
      <c r="I2370" t="b">
        <f t="shared" si="147"/>
        <v>0</v>
      </c>
    </row>
    <row r="2371" spans="1:9">
      <c r="A2371" s="1">
        <v>46136.611805555563</v>
      </c>
      <c r="B2371" s="5">
        <f>_xlfn.XLOOKUP(A2371,Banks!A:A,Banks!H:H,0,-1)</f>
        <v>2657.9900204322948</v>
      </c>
      <c r="C2371">
        <f>_xlfn.XLOOKUP(A2371,Energy!A:A,Energy!H:H,0,-1)</f>
        <v>11196.92749836925</v>
      </c>
      <c r="D2371">
        <f t="shared" ref="D2371:D2434" si="148">B2371+C2371</f>
        <v>13854.917518801545</v>
      </c>
      <c r="E2371">
        <f>_xlfn.XLOOKUP(A2371,Banks!A:A,Banks!I:I,0)</f>
        <v>0</v>
      </c>
      <c r="F2371">
        <f>_xlfn.XLOOKUP(A2371,Energy!A:A,Energy!I:I,0)</f>
        <v>35416.95464677683</v>
      </c>
      <c r="G2371">
        <f t="shared" ref="G2371:G2434" si="149">F2371+E2371</f>
        <v>35416.95464677683</v>
      </c>
      <c r="H2371">
        <f t="shared" ref="H2371:H2434" si="150">G2371-D2371</f>
        <v>21562.037127975287</v>
      </c>
      <c r="I2371" t="b">
        <f t="shared" ref="I2371:I2434" si="151">AND(E2371&gt;0,F2371&gt;0)</f>
        <v>0</v>
      </c>
    </row>
    <row r="2372" spans="1:9">
      <c r="A2372" s="1">
        <v>46136.612500000003</v>
      </c>
      <c r="B2372" s="5">
        <f>_xlfn.XLOOKUP(A2372,Banks!A:A,Banks!H:H,0,-1)</f>
        <v>2657.9900204322948</v>
      </c>
      <c r="C2372">
        <f>_xlfn.XLOOKUP(A2372,Energy!A:A,Energy!H:H,0,-1)</f>
        <v>11315.270693635521</v>
      </c>
      <c r="D2372">
        <f t="shared" si="148"/>
        <v>13973.260714067816</v>
      </c>
      <c r="E2372">
        <f>_xlfn.XLOOKUP(A2372,Banks!A:A,Banks!I:I,0)</f>
        <v>0</v>
      </c>
      <c r="F2372">
        <f>_xlfn.XLOOKUP(A2372,Energy!A:A,Energy!I:I,0)</f>
        <v>35440.623285830079</v>
      </c>
      <c r="G2372">
        <f t="shared" si="149"/>
        <v>35440.623285830079</v>
      </c>
      <c r="H2372">
        <f t="shared" si="150"/>
        <v>21467.362571762264</v>
      </c>
      <c r="I2372" t="b">
        <f t="shared" si="151"/>
        <v>0</v>
      </c>
    </row>
    <row r="2373" spans="1:9">
      <c r="A2373" s="1">
        <v>46136.613194444442</v>
      </c>
      <c r="B2373" s="5">
        <f>_xlfn.XLOOKUP(A2373,Banks!A:A,Banks!H:H,0,-1)</f>
        <v>2657.9900204322948</v>
      </c>
      <c r="C2373">
        <f>_xlfn.XLOOKUP(A2373,Energy!A:A,Energy!H:H,0,-1)</f>
        <v>10926.30728180155</v>
      </c>
      <c r="D2373">
        <f t="shared" si="148"/>
        <v>13584.297302233845</v>
      </c>
      <c r="E2373">
        <f>_xlfn.XLOOKUP(A2373,Banks!A:A,Banks!I:I,0)</f>
        <v>0</v>
      </c>
      <c r="F2373">
        <f>_xlfn.XLOOKUP(A2373,Energy!A:A,Energy!I:I,0)</f>
        <v>35544.236301709512</v>
      </c>
      <c r="G2373">
        <f t="shared" si="149"/>
        <v>35544.236301709512</v>
      </c>
      <c r="H2373">
        <f t="shared" si="150"/>
        <v>21959.938999475668</v>
      </c>
      <c r="I2373" t="b">
        <f t="shared" si="151"/>
        <v>0</v>
      </c>
    </row>
    <row r="2374" spans="1:9">
      <c r="A2374" s="1">
        <v>46136.613888888889</v>
      </c>
      <c r="B2374" s="5">
        <f>_xlfn.XLOOKUP(A2374,Banks!A:A,Banks!H:H,0,-1)</f>
        <v>2657.9900204322948</v>
      </c>
      <c r="C2374">
        <f>_xlfn.XLOOKUP(A2374,Energy!A:A,Energy!H:H,0,-1)</f>
        <v>10850.997975722999</v>
      </c>
      <c r="D2374">
        <f t="shared" si="148"/>
        <v>13508.987996155294</v>
      </c>
      <c r="E2374">
        <f>_xlfn.XLOOKUP(A2374,Banks!A:A,Banks!I:I,0)</f>
        <v>0</v>
      </c>
      <c r="F2374">
        <f>_xlfn.XLOOKUP(A2374,Energy!A:A,Energy!I:I,0)</f>
        <v>35529.174440493807</v>
      </c>
      <c r="G2374">
        <f t="shared" si="149"/>
        <v>35529.174440493807</v>
      </c>
      <c r="H2374">
        <f t="shared" si="150"/>
        <v>22020.186444338513</v>
      </c>
      <c r="I2374" t="b">
        <f t="shared" si="151"/>
        <v>0</v>
      </c>
    </row>
    <row r="2375" spans="1:9">
      <c r="A2375" s="1">
        <v>46136.614583333343</v>
      </c>
      <c r="B2375" s="5">
        <f>_xlfn.XLOOKUP(A2375,Banks!A:A,Banks!H:H,0,-1)</f>
        <v>2657.9900204322948</v>
      </c>
      <c r="C2375">
        <f>_xlfn.XLOOKUP(A2375,Energy!A:A,Energy!H:H,0,-1)</f>
        <v>10830.977951677811</v>
      </c>
      <c r="D2375">
        <f t="shared" si="148"/>
        <v>13488.967972110106</v>
      </c>
      <c r="E2375">
        <f>_xlfn.XLOOKUP(A2375,Banks!A:A,Banks!I:I,0)</f>
        <v>0</v>
      </c>
      <c r="F2375">
        <f>_xlfn.XLOOKUP(A2375,Energy!A:A,Energy!I:I,0)</f>
        <v>35511.661500708979</v>
      </c>
      <c r="G2375">
        <f t="shared" si="149"/>
        <v>35511.661500708979</v>
      </c>
      <c r="H2375">
        <f t="shared" si="150"/>
        <v>22022.693528598873</v>
      </c>
      <c r="I2375" t="b">
        <f t="shared" si="151"/>
        <v>0</v>
      </c>
    </row>
    <row r="2376" spans="1:9">
      <c r="A2376" s="1">
        <v>46136.615277777782</v>
      </c>
      <c r="B2376" s="5">
        <f>_xlfn.XLOOKUP(A2376,Banks!A:A,Banks!H:H,0,-1)</f>
        <v>2657.9900204322948</v>
      </c>
      <c r="C2376">
        <f>_xlfn.XLOOKUP(A2376,Energy!A:A,Energy!H:H,0,-1)</f>
        <v>10971.61346657821</v>
      </c>
      <c r="D2376">
        <f t="shared" si="148"/>
        <v>13629.603487010505</v>
      </c>
      <c r="E2376">
        <f>_xlfn.XLOOKUP(A2376,Banks!A:A,Banks!I:I,0)</f>
        <v>0</v>
      </c>
      <c r="F2376">
        <f>_xlfn.XLOOKUP(A2376,Energy!A:A,Energy!I:I,0)</f>
        <v>35505.05134232276</v>
      </c>
      <c r="G2376">
        <f t="shared" si="149"/>
        <v>35505.05134232276</v>
      </c>
      <c r="H2376">
        <f t="shared" si="150"/>
        <v>21875.447855312254</v>
      </c>
      <c r="I2376" t="b">
        <f t="shared" si="151"/>
        <v>0</v>
      </c>
    </row>
    <row r="2377" spans="1:9">
      <c r="A2377" s="1">
        <v>46136.615972222222</v>
      </c>
      <c r="B2377" s="5">
        <f>_xlfn.XLOOKUP(A2377,Banks!A:A,Banks!H:H,0,-1)</f>
        <v>2657.9900204322948</v>
      </c>
      <c r="C2377">
        <f>_xlfn.XLOOKUP(A2377,Energy!A:A,Energy!H:H,0,-1)</f>
        <v>10944.717285835881</v>
      </c>
      <c r="D2377">
        <f t="shared" si="148"/>
        <v>13602.707306268176</v>
      </c>
      <c r="E2377">
        <f>_xlfn.XLOOKUP(A2377,Banks!A:A,Banks!I:I,0)</f>
        <v>0</v>
      </c>
      <c r="F2377">
        <f>_xlfn.XLOOKUP(A2377,Energy!A:A,Energy!I:I,0)</f>
        <v>35499.672106174301</v>
      </c>
      <c r="G2377">
        <f t="shared" si="149"/>
        <v>35499.672106174301</v>
      </c>
      <c r="H2377">
        <f t="shared" si="150"/>
        <v>21896.964799906127</v>
      </c>
      <c r="I2377" t="b">
        <f t="shared" si="151"/>
        <v>0</v>
      </c>
    </row>
    <row r="2378" spans="1:9">
      <c r="A2378" s="1">
        <v>46136.616666666669</v>
      </c>
      <c r="B2378" s="5">
        <f>_xlfn.XLOOKUP(A2378,Banks!A:A,Banks!H:H,0,-1)</f>
        <v>2657.9900204322948</v>
      </c>
      <c r="C2378">
        <f>_xlfn.XLOOKUP(A2378,Energy!A:A,Energy!H:H,0,-1)</f>
        <v>10825.071013781029</v>
      </c>
      <c r="D2378">
        <f t="shared" si="148"/>
        <v>13483.061034213324</v>
      </c>
      <c r="E2378">
        <f>_xlfn.XLOOKUP(A2378,Banks!A:A,Banks!I:I,0)</f>
        <v>0</v>
      </c>
      <c r="F2378">
        <f>_xlfn.XLOOKUP(A2378,Energy!A:A,Energy!I:I,0)</f>
        <v>35480.567471397531</v>
      </c>
      <c r="G2378">
        <f t="shared" si="149"/>
        <v>35480.567471397531</v>
      </c>
      <c r="H2378">
        <f t="shared" si="150"/>
        <v>21997.506437184209</v>
      </c>
      <c r="I2378" t="b">
        <f t="shared" si="151"/>
        <v>0</v>
      </c>
    </row>
    <row r="2379" spans="1:9">
      <c r="A2379" s="1">
        <v>46136.617361111108</v>
      </c>
      <c r="B2379" s="5">
        <f>_xlfn.XLOOKUP(A2379,Banks!A:A,Banks!H:H,0,-1)</f>
        <v>2657.9900204322948</v>
      </c>
      <c r="C2379">
        <f>_xlfn.XLOOKUP(A2379,Energy!A:A,Energy!H:H,0,-1)</f>
        <v>10841.208722226431</v>
      </c>
      <c r="D2379">
        <f t="shared" si="148"/>
        <v>13499.198742658726</v>
      </c>
      <c r="E2379">
        <f>_xlfn.XLOOKUP(A2379,Banks!A:A,Banks!I:I,0)</f>
        <v>0</v>
      </c>
      <c r="F2379">
        <f>_xlfn.XLOOKUP(A2379,Energy!A:A,Energy!I:I,0)</f>
        <v>35483.795013086623</v>
      </c>
      <c r="G2379">
        <f t="shared" si="149"/>
        <v>35483.795013086623</v>
      </c>
      <c r="H2379">
        <f t="shared" si="150"/>
        <v>21984.596270427897</v>
      </c>
      <c r="I2379" t="b">
        <f t="shared" si="151"/>
        <v>0</v>
      </c>
    </row>
    <row r="2380" spans="1:9">
      <c r="A2380" s="1">
        <v>46136.618055555547</v>
      </c>
      <c r="B2380" s="5">
        <f>_xlfn.XLOOKUP(A2380,Banks!A:A,Banks!H:H,0,-1)</f>
        <v>2657.9900204322948</v>
      </c>
      <c r="C2380">
        <f>_xlfn.XLOOKUP(A2380,Energy!A:A,Energy!H:H,0,-1)</f>
        <v>10871.45951682026</v>
      </c>
      <c r="D2380">
        <f t="shared" si="148"/>
        <v>13529.449537252554</v>
      </c>
      <c r="E2380">
        <f>_xlfn.XLOOKUP(A2380,Banks!A:A,Banks!I:I,0)</f>
        <v>0</v>
      </c>
      <c r="F2380">
        <f>_xlfn.XLOOKUP(A2380,Energy!A:A,Energy!I:I,0)</f>
        <v>35473.441465249067</v>
      </c>
      <c r="G2380">
        <f t="shared" si="149"/>
        <v>35473.441465249067</v>
      </c>
      <c r="H2380">
        <f t="shared" si="150"/>
        <v>21943.991927996511</v>
      </c>
      <c r="I2380" t="b">
        <f t="shared" si="151"/>
        <v>0</v>
      </c>
    </row>
    <row r="2381" spans="1:9">
      <c r="A2381" s="1">
        <v>46136.618750000001</v>
      </c>
      <c r="B2381" s="5">
        <f>_xlfn.XLOOKUP(A2381,Banks!A:A,Banks!H:H,0,-1)</f>
        <v>2657.9900204322948</v>
      </c>
      <c r="C2381">
        <f>_xlfn.XLOOKUP(A2381,Energy!A:A,Energy!H:H,0,-1)</f>
        <v>10986.97579998334</v>
      </c>
      <c r="D2381">
        <f t="shared" si="148"/>
        <v>13644.965820415635</v>
      </c>
      <c r="E2381">
        <f>_xlfn.XLOOKUP(A2381,Banks!A:A,Banks!I:I,0)</f>
        <v>0</v>
      </c>
      <c r="F2381">
        <f>_xlfn.XLOOKUP(A2381,Energy!A:A,Energy!I:I,0)</f>
        <v>35542.861070370091</v>
      </c>
      <c r="G2381">
        <f t="shared" si="149"/>
        <v>35542.861070370091</v>
      </c>
      <c r="H2381">
        <f t="shared" si="150"/>
        <v>21897.895249954454</v>
      </c>
      <c r="I2381" t="b">
        <f t="shared" si="151"/>
        <v>0</v>
      </c>
    </row>
    <row r="2382" spans="1:9">
      <c r="A2382" s="1">
        <v>46136.619444444441</v>
      </c>
      <c r="B2382" s="5">
        <f>_xlfn.XLOOKUP(A2382,Banks!A:A,Banks!H:H,0,-1)</f>
        <v>2657.9900204322948</v>
      </c>
      <c r="C2382">
        <f>_xlfn.XLOOKUP(A2382,Energy!A:A,Energy!H:H,0,-1)</f>
        <v>10966.568088417989</v>
      </c>
      <c r="D2382">
        <f t="shared" si="148"/>
        <v>13624.558108850284</v>
      </c>
      <c r="E2382">
        <f>_xlfn.XLOOKUP(A2382,Banks!A:A,Banks!I:I,0)</f>
        <v>0</v>
      </c>
      <c r="F2382">
        <f>_xlfn.XLOOKUP(A2382,Energy!A:A,Energy!I:I,0)</f>
        <v>35542.639223764381</v>
      </c>
      <c r="G2382">
        <f t="shared" si="149"/>
        <v>35542.639223764381</v>
      </c>
      <c r="H2382">
        <f t="shared" si="150"/>
        <v>21918.081114914097</v>
      </c>
      <c r="I2382" t="b">
        <f t="shared" si="151"/>
        <v>0</v>
      </c>
    </row>
    <row r="2383" spans="1:9">
      <c r="A2383" s="1">
        <v>46136.620138888888</v>
      </c>
      <c r="B2383" s="5">
        <f>_xlfn.XLOOKUP(A2383,Banks!A:A,Banks!H:H,0,-1)</f>
        <v>2657.9900204322948</v>
      </c>
      <c r="C2383">
        <f>_xlfn.XLOOKUP(A2383,Energy!A:A,Energy!H:H,0,-1)</f>
        <v>11042.458925776729</v>
      </c>
      <c r="D2383">
        <f t="shared" si="148"/>
        <v>13700.448946209024</v>
      </c>
      <c r="E2383">
        <f>_xlfn.XLOOKUP(A2383,Banks!A:A,Banks!I:I,0)</f>
        <v>0</v>
      </c>
      <c r="F2383">
        <f>_xlfn.XLOOKUP(A2383,Energy!A:A,Energy!I:I,0)</f>
        <v>35531.764445211411</v>
      </c>
      <c r="G2383">
        <f t="shared" si="149"/>
        <v>35531.764445211411</v>
      </c>
      <c r="H2383">
        <f t="shared" si="150"/>
        <v>21831.315499002387</v>
      </c>
      <c r="I2383" t="b">
        <f t="shared" si="151"/>
        <v>0</v>
      </c>
    </row>
    <row r="2384" spans="1:9">
      <c r="A2384" s="1">
        <v>46136.620833333327</v>
      </c>
      <c r="B2384" s="5">
        <f>_xlfn.XLOOKUP(A2384,Banks!A:A,Banks!H:H,0,-1)</f>
        <v>2657.9900204322948</v>
      </c>
      <c r="C2384">
        <f>_xlfn.XLOOKUP(A2384,Energy!A:A,Energy!H:H,0,-1)</f>
        <v>11077.419150932879</v>
      </c>
      <c r="D2384">
        <f t="shared" si="148"/>
        <v>13735.409171365174</v>
      </c>
      <c r="E2384">
        <f>_xlfn.XLOOKUP(A2384,Banks!A:A,Banks!I:I,0)</f>
        <v>0</v>
      </c>
      <c r="F2384">
        <f>_xlfn.XLOOKUP(A2384,Energy!A:A,Energy!I:I,0)</f>
        <v>0</v>
      </c>
      <c r="G2384">
        <f t="shared" si="149"/>
        <v>0</v>
      </c>
      <c r="H2384">
        <f t="shared" si="150"/>
        <v>-13735.409171365174</v>
      </c>
      <c r="I2384" t="b">
        <f t="shared" si="151"/>
        <v>0</v>
      </c>
    </row>
    <row r="2385" spans="1:9">
      <c r="A2385" s="1">
        <v>46139.604166666657</v>
      </c>
      <c r="B2385" s="5">
        <f>_xlfn.XLOOKUP(A2385,Banks!A:A,Banks!H:H,0,-1)</f>
        <v>2657.9900204322948</v>
      </c>
      <c r="C2385">
        <f>_xlfn.XLOOKUP(A2385,Energy!A:A,Energy!H:H,0,-1)</f>
        <v>11077.419150932879</v>
      </c>
      <c r="D2385">
        <f t="shared" si="148"/>
        <v>13735.409171365174</v>
      </c>
      <c r="E2385">
        <f>_xlfn.XLOOKUP(A2385,Banks!A:A,Banks!I:I,0)</f>
        <v>38881.089812954488</v>
      </c>
      <c r="F2385">
        <f>_xlfn.XLOOKUP(A2385,Energy!A:A,Energy!I:I,0)</f>
        <v>34257.357159723972</v>
      </c>
      <c r="G2385">
        <f t="shared" si="149"/>
        <v>73138.446972678459</v>
      </c>
      <c r="H2385">
        <f t="shared" si="150"/>
        <v>59403.037801313287</v>
      </c>
      <c r="I2385" t="b">
        <f t="shared" si="151"/>
        <v>1</v>
      </c>
    </row>
    <row r="2386" spans="1:9">
      <c r="A2386" s="1">
        <v>46139.604861111111</v>
      </c>
      <c r="B2386" s="5">
        <f>_xlfn.XLOOKUP(A2386,Banks!A:A,Banks!H:H,0,-1)</f>
        <v>2689.927446639118</v>
      </c>
      <c r="C2386">
        <f>_xlfn.XLOOKUP(A2386,Energy!A:A,Energy!H:H,0,-1)</f>
        <v>10926.85473567703</v>
      </c>
      <c r="D2386">
        <f t="shared" si="148"/>
        <v>13616.782182316148</v>
      </c>
      <c r="E2386">
        <f>_xlfn.XLOOKUP(A2386,Banks!A:A,Banks!I:I,0)</f>
        <v>38951.820461734729</v>
      </c>
      <c r="F2386">
        <f>_xlfn.XLOOKUP(A2386,Energy!A:A,Energy!I:I,0)</f>
        <v>34387.680663645362</v>
      </c>
      <c r="G2386">
        <f t="shared" si="149"/>
        <v>73339.501125380091</v>
      </c>
      <c r="H2386">
        <f t="shared" si="150"/>
        <v>59722.718943063941</v>
      </c>
      <c r="I2386" t="b">
        <f t="shared" si="151"/>
        <v>1</v>
      </c>
    </row>
    <row r="2387" spans="1:9">
      <c r="A2387" s="1">
        <v>46139.605555555558</v>
      </c>
      <c r="B2387" s="5">
        <f>_xlfn.XLOOKUP(A2387,Banks!A:A,Banks!H:H,0,-1)</f>
        <v>2880.9484802371762</v>
      </c>
      <c r="C2387">
        <f>_xlfn.XLOOKUP(A2387,Energy!A:A,Energy!H:H,0,-1)</f>
        <v>11196.397614698841</v>
      </c>
      <c r="D2387">
        <f t="shared" si="148"/>
        <v>14077.346094936016</v>
      </c>
      <c r="E2387">
        <f>_xlfn.XLOOKUP(A2387,Banks!A:A,Banks!I:I,0)</f>
        <v>38986.450048257742</v>
      </c>
      <c r="F2387">
        <f>_xlfn.XLOOKUP(A2387,Energy!A:A,Energy!I:I,0)</f>
        <v>34428.754328491923</v>
      </c>
      <c r="G2387">
        <f t="shared" si="149"/>
        <v>73415.204376749665</v>
      </c>
      <c r="H2387">
        <f t="shared" si="150"/>
        <v>59337.858281813649</v>
      </c>
      <c r="I2387" t="b">
        <f t="shared" si="151"/>
        <v>1</v>
      </c>
    </row>
    <row r="2388" spans="1:9">
      <c r="A2388" s="1">
        <v>46139.606249999997</v>
      </c>
      <c r="B2388" s="5">
        <f>_xlfn.XLOOKUP(A2388,Banks!A:A,Banks!H:H,0,-1)</f>
        <v>2703.0609043602599</v>
      </c>
      <c r="C2388">
        <f>_xlfn.XLOOKUP(A2388,Energy!A:A,Energy!H:H,0,-1)</f>
        <v>11608.33665438469</v>
      </c>
      <c r="D2388">
        <f t="shared" si="148"/>
        <v>14311.397558744949</v>
      </c>
      <c r="E2388">
        <f>_xlfn.XLOOKUP(A2388,Banks!A:A,Banks!I:I,0)</f>
        <v>39097.43196114312</v>
      </c>
      <c r="F2388">
        <f>_xlfn.XLOOKUP(A2388,Energy!A:A,Energy!I:I,0)</f>
        <v>34491.889769992376</v>
      </c>
      <c r="G2388">
        <f t="shared" si="149"/>
        <v>73589.321731135497</v>
      </c>
      <c r="H2388">
        <f t="shared" si="150"/>
        <v>59277.924172390543</v>
      </c>
      <c r="I2388" t="b">
        <f t="shared" si="151"/>
        <v>1</v>
      </c>
    </row>
    <row r="2389" spans="1:9">
      <c r="A2389" s="1">
        <v>46139.606944444437</v>
      </c>
      <c r="B2389" s="5">
        <f>_xlfn.XLOOKUP(A2389,Banks!A:A,Banks!H:H,0,-1)</f>
        <v>2577.9491974791158</v>
      </c>
      <c r="C2389">
        <f>_xlfn.XLOOKUP(A2389,Energy!A:A,Energy!H:H,0,-1)</f>
        <v>11467.725586161199</v>
      </c>
      <c r="D2389">
        <f t="shared" si="148"/>
        <v>14045.674783640316</v>
      </c>
      <c r="E2389">
        <f>_xlfn.XLOOKUP(A2389,Banks!A:A,Banks!I:I,0)</f>
        <v>39122.454302519349</v>
      </c>
      <c r="F2389">
        <f>_xlfn.XLOOKUP(A2389,Energy!A:A,Energy!I:I,0)</f>
        <v>34461.628404521383</v>
      </c>
      <c r="G2389">
        <f t="shared" si="149"/>
        <v>73584.082707040739</v>
      </c>
      <c r="H2389">
        <f t="shared" si="150"/>
        <v>59538.407923400424</v>
      </c>
      <c r="I2389" t="b">
        <f t="shared" si="151"/>
        <v>1</v>
      </c>
    </row>
    <row r="2390" spans="1:9">
      <c r="A2390" s="1">
        <v>46139.607638888891</v>
      </c>
      <c r="B2390" s="5">
        <f>_xlfn.XLOOKUP(A2390,Banks!A:A,Banks!H:H,0,-1)</f>
        <v>2518.5740780168712</v>
      </c>
      <c r="C2390">
        <f>_xlfn.XLOOKUP(A2390,Energy!A:A,Energy!H:H,0,-1)</f>
        <v>11605.50731832334</v>
      </c>
      <c r="D2390">
        <f t="shared" si="148"/>
        <v>14124.081396340211</v>
      </c>
      <c r="E2390">
        <f>_xlfn.XLOOKUP(A2390,Banks!A:A,Banks!I:I,0)</f>
        <v>39146.325480592939</v>
      </c>
      <c r="F2390">
        <f>_xlfn.XLOOKUP(A2390,Energy!A:A,Energy!I:I,0)</f>
        <v>0</v>
      </c>
      <c r="G2390">
        <f t="shared" si="149"/>
        <v>39146.325480592939</v>
      </c>
      <c r="H2390">
        <f t="shared" si="150"/>
        <v>25022.244084252728</v>
      </c>
      <c r="I2390" t="b">
        <f t="shared" si="151"/>
        <v>0</v>
      </c>
    </row>
    <row r="2391" spans="1:9">
      <c r="A2391" s="1">
        <v>46139.60833333333</v>
      </c>
      <c r="B2391" s="5">
        <f>_xlfn.XLOOKUP(A2391,Banks!A:A,Banks!H:H,0,-1)</f>
        <v>2865.9308971732521</v>
      </c>
      <c r="C2391">
        <f>_xlfn.XLOOKUP(A2391,Energy!A:A,Energy!H:H,0,-1)</f>
        <v>11605.50731832334</v>
      </c>
      <c r="D2391">
        <f t="shared" si="148"/>
        <v>14471.438215496592</v>
      </c>
      <c r="E2391">
        <f>_xlfn.XLOOKUP(A2391,Banks!A:A,Banks!I:I,0)</f>
        <v>39108.5582385261</v>
      </c>
      <c r="F2391">
        <f>_xlfn.XLOOKUP(A2391,Energy!A:A,Energy!I:I,0)</f>
        <v>0</v>
      </c>
      <c r="G2391">
        <f t="shared" si="149"/>
        <v>39108.5582385261</v>
      </c>
      <c r="H2391">
        <f t="shared" si="150"/>
        <v>24637.120023029507</v>
      </c>
      <c r="I2391" t="b">
        <f t="shared" si="151"/>
        <v>0</v>
      </c>
    </row>
    <row r="2392" spans="1:9">
      <c r="A2392" s="1">
        <v>46139.609027777777</v>
      </c>
      <c r="B2392" s="5">
        <f>_xlfn.XLOOKUP(A2392,Banks!A:A,Banks!H:H,0,-1)</f>
        <v>3001.402402609835</v>
      </c>
      <c r="C2392">
        <f>_xlfn.XLOOKUP(A2392,Energy!A:A,Energy!H:H,0,-1)</f>
        <v>11605.50731832334</v>
      </c>
      <c r="D2392">
        <f t="shared" si="148"/>
        <v>14606.909720933174</v>
      </c>
      <c r="E2392">
        <f>_xlfn.XLOOKUP(A2392,Banks!A:A,Banks!I:I,0)</f>
        <v>0</v>
      </c>
      <c r="F2392">
        <f>_xlfn.XLOOKUP(A2392,Energy!A:A,Energy!I:I,0)</f>
        <v>0</v>
      </c>
      <c r="G2392">
        <f t="shared" si="149"/>
        <v>0</v>
      </c>
      <c r="H2392">
        <f t="shared" si="150"/>
        <v>-14606.909720933174</v>
      </c>
      <c r="I2392" t="b">
        <f t="shared" si="151"/>
        <v>0</v>
      </c>
    </row>
    <row r="2393" spans="1:9">
      <c r="A2393" s="1">
        <v>46139.791666666657</v>
      </c>
      <c r="B2393" s="5">
        <f>_xlfn.XLOOKUP(A2393,Banks!A:A,Banks!H:H,0,-1)</f>
        <v>3001.402402609835</v>
      </c>
      <c r="C2393">
        <f>_xlfn.XLOOKUP(A2393,Energy!A:A,Energy!H:H,0,-1)</f>
        <v>11605.50731832334</v>
      </c>
      <c r="D2393">
        <f t="shared" si="148"/>
        <v>14606.909720933174</v>
      </c>
      <c r="E2393">
        <f>_xlfn.XLOOKUP(A2393,Banks!A:A,Banks!I:I,0)</f>
        <v>0</v>
      </c>
      <c r="F2393">
        <f>_xlfn.XLOOKUP(A2393,Energy!A:A,Energy!I:I,0)</f>
        <v>34257.357159723972</v>
      </c>
      <c r="G2393">
        <f t="shared" si="149"/>
        <v>34257.357159723972</v>
      </c>
      <c r="H2393">
        <f t="shared" si="150"/>
        <v>19650.447438790798</v>
      </c>
      <c r="I2393" t="b">
        <f t="shared" si="151"/>
        <v>0</v>
      </c>
    </row>
    <row r="2394" spans="1:9">
      <c r="A2394" s="1">
        <v>46139.792361111111</v>
      </c>
      <c r="B2394" s="5">
        <f>_xlfn.XLOOKUP(A2394,Banks!A:A,Banks!H:H,0,-1)</f>
        <v>3001.402402609835</v>
      </c>
      <c r="C2394">
        <f>_xlfn.XLOOKUP(A2394,Energy!A:A,Energy!H:H,0,-1)</f>
        <v>11595.73651378121</v>
      </c>
      <c r="D2394">
        <f t="shared" si="148"/>
        <v>14597.138916391046</v>
      </c>
      <c r="E2394">
        <f>_xlfn.XLOOKUP(A2394,Banks!A:A,Banks!I:I,0)</f>
        <v>0</v>
      </c>
      <c r="F2394">
        <f>_xlfn.XLOOKUP(A2394,Energy!A:A,Energy!I:I,0)</f>
        <v>34257.576321282257</v>
      </c>
      <c r="G2394">
        <f t="shared" si="149"/>
        <v>34257.576321282257</v>
      </c>
      <c r="H2394">
        <f t="shared" si="150"/>
        <v>19660.43740489121</v>
      </c>
      <c r="I2394" t="b">
        <f t="shared" si="151"/>
        <v>0</v>
      </c>
    </row>
    <row r="2395" spans="1:9">
      <c r="A2395" s="1">
        <v>46139.793055555558</v>
      </c>
      <c r="B2395" s="5">
        <f>_xlfn.XLOOKUP(A2395,Banks!A:A,Banks!H:H,0,-1)</f>
        <v>3001.402402609835</v>
      </c>
      <c r="C2395">
        <f>_xlfn.XLOOKUP(A2395,Energy!A:A,Energy!H:H,0,-1)</f>
        <v>11532.06621949044</v>
      </c>
      <c r="D2395">
        <f t="shared" si="148"/>
        <v>14533.468622100274</v>
      </c>
      <c r="E2395">
        <f>_xlfn.XLOOKUP(A2395,Banks!A:A,Banks!I:I,0)</f>
        <v>0</v>
      </c>
      <c r="F2395">
        <f>_xlfn.XLOOKUP(A2395,Energy!A:A,Energy!I:I,0)</f>
        <v>34289.395372991879</v>
      </c>
      <c r="G2395">
        <f t="shared" si="149"/>
        <v>34289.395372991879</v>
      </c>
      <c r="H2395">
        <f t="shared" si="150"/>
        <v>19755.926750891605</v>
      </c>
      <c r="I2395" t="b">
        <f t="shared" si="151"/>
        <v>0</v>
      </c>
    </row>
    <row r="2396" spans="1:9">
      <c r="A2396" s="1">
        <v>46139.793749999997</v>
      </c>
      <c r="B2396" s="5">
        <f>_xlfn.XLOOKUP(A2396,Banks!A:A,Banks!H:H,0,-1)</f>
        <v>3001.402402609835</v>
      </c>
      <c r="C2396">
        <f>_xlfn.XLOOKUP(A2396,Energy!A:A,Energy!H:H,0,-1)</f>
        <v>11476.06657973994</v>
      </c>
      <c r="D2396">
        <f t="shared" si="148"/>
        <v>14477.468982349776</v>
      </c>
      <c r="E2396">
        <f>_xlfn.XLOOKUP(A2396,Banks!A:A,Banks!I:I,0)</f>
        <v>0</v>
      </c>
      <c r="F2396">
        <f>_xlfn.XLOOKUP(A2396,Energy!A:A,Energy!I:I,0)</f>
        <v>34307.535298342533</v>
      </c>
      <c r="G2396">
        <f t="shared" si="149"/>
        <v>34307.535298342533</v>
      </c>
      <c r="H2396">
        <f t="shared" si="150"/>
        <v>19830.066315992757</v>
      </c>
      <c r="I2396" t="b">
        <f t="shared" si="151"/>
        <v>0</v>
      </c>
    </row>
    <row r="2397" spans="1:9">
      <c r="A2397" s="1">
        <v>46139.794444444437</v>
      </c>
      <c r="B2397" s="5">
        <f>_xlfn.XLOOKUP(A2397,Banks!A:A,Banks!H:H,0,-1)</f>
        <v>3001.402402609835</v>
      </c>
      <c r="C2397">
        <f>_xlfn.XLOOKUP(A2397,Energy!A:A,Energy!H:H,0,-1)</f>
        <v>11448.32927861493</v>
      </c>
      <c r="D2397">
        <f t="shared" si="148"/>
        <v>14449.731681224766</v>
      </c>
      <c r="E2397">
        <f>_xlfn.XLOOKUP(A2397,Banks!A:A,Banks!I:I,0)</f>
        <v>0</v>
      </c>
      <c r="F2397">
        <f>_xlfn.XLOOKUP(A2397,Energy!A:A,Energy!I:I,0)</f>
        <v>34318.28775661793</v>
      </c>
      <c r="G2397">
        <f t="shared" si="149"/>
        <v>34318.28775661793</v>
      </c>
      <c r="H2397">
        <f t="shared" si="150"/>
        <v>19868.556075393164</v>
      </c>
      <c r="I2397" t="b">
        <f t="shared" si="151"/>
        <v>0</v>
      </c>
    </row>
    <row r="2398" spans="1:9">
      <c r="A2398" s="1">
        <v>46139.795138888891</v>
      </c>
      <c r="B2398" s="5">
        <f>_xlfn.XLOOKUP(A2398,Banks!A:A,Banks!H:H,0,-1)</f>
        <v>3001.402402609835</v>
      </c>
      <c r="C2398">
        <f>_xlfn.XLOOKUP(A2398,Energy!A:A,Energy!H:H,0,-1)</f>
        <v>11368.45053140482</v>
      </c>
      <c r="D2398">
        <f t="shared" si="148"/>
        <v>14369.852934014656</v>
      </c>
      <c r="E2398">
        <f>_xlfn.XLOOKUP(A2398,Banks!A:A,Banks!I:I,0)</f>
        <v>0</v>
      </c>
      <c r="F2398">
        <f>_xlfn.XLOOKUP(A2398,Energy!A:A,Energy!I:I,0)</f>
        <v>34335.998505410083</v>
      </c>
      <c r="G2398">
        <f t="shared" si="149"/>
        <v>34335.998505410083</v>
      </c>
      <c r="H2398">
        <f t="shared" si="150"/>
        <v>19966.145571395427</v>
      </c>
      <c r="I2398" t="b">
        <f t="shared" si="151"/>
        <v>0</v>
      </c>
    </row>
    <row r="2399" spans="1:9">
      <c r="A2399" s="1">
        <v>46139.79583333333</v>
      </c>
      <c r="B2399" s="5">
        <f>_xlfn.XLOOKUP(A2399,Banks!A:A,Banks!H:H,0,-1)</f>
        <v>3001.402402609835</v>
      </c>
      <c r="C2399">
        <f>_xlfn.XLOOKUP(A2399,Energy!A:A,Energy!H:H,0,-1)</f>
        <v>11442.87310605285</v>
      </c>
      <c r="D2399">
        <f t="shared" si="148"/>
        <v>14444.275508662686</v>
      </c>
      <c r="E2399">
        <f>_xlfn.XLOOKUP(A2399,Banks!A:A,Banks!I:I,0)</f>
        <v>0</v>
      </c>
      <c r="F2399">
        <f>_xlfn.XLOOKUP(A2399,Energy!A:A,Energy!I:I,0)</f>
        <v>34323.716489505678</v>
      </c>
      <c r="G2399">
        <f t="shared" si="149"/>
        <v>34323.716489505678</v>
      </c>
      <c r="H2399">
        <f t="shared" si="150"/>
        <v>19879.440980842992</v>
      </c>
      <c r="I2399" t="b">
        <f t="shared" si="151"/>
        <v>0</v>
      </c>
    </row>
    <row r="2400" spans="1:9">
      <c r="A2400" s="1">
        <v>46139.796527777777</v>
      </c>
      <c r="B2400" s="5">
        <f>_xlfn.XLOOKUP(A2400,Banks!A:A,Banks!H:H,0,-1)</f>
        <v>3001.402402609835</v>
      </c>
      <c r="C2400">
        <f>_xlfn.XLOOKUP(A2400,Energy!A:A,Energy!H:H,0,-1)</f>
        <v>11353.22355430061</v>
      </c>
      <c r="D2400">
        <f t="shared" si="148"/>
        <v>14354.625956910444</v>
      </c>
      <c r="E2400">
        <f>_xlfn.XLOOKUP(A2400,Banks!A:A,Banks!I:I,0)</f>
        <v>0</v>
      </c>
      <c r="F2400">
        <f>_xlfn.XLOOKUP(A2400,Energy!A:A,Energy!I:I,0)</f>
        <v>34341.646399856123</v>
      </c>
      <c r="G2400">
        <f t="shared" si="149"/>
        <v>34341.646399856123</v>
      </c>
      <c r="H2400">
        <f t="shared" si="150"/>
        <v>19987.020442945679</v>
      </c>
      <c r="I2400" t="b">
        <f t="shared" si="151"/>
        <v>0</v>
      </c>
    </row>
    <row r="2401" spans="1:9">
      <c r="A2401" s="1">
        <v>46139.797222222223</v>
      </c>
      <c r="B2401" s="5">
        <f>_xlfn.XLOOKUP(A2401,Banks!A:A,Banks!H:H,0,-1)</f>
        <v>3001.402402609835</v>
      </c>
      <c r="C2401">
        <f>_xlfn.XLOOKUP(A2401,Energy!A:A,Energy!H:H,0,-1)</f>
        <v>11402.07757701129</v>
      </c>
      <c r="D2401">
        <f t="shared" si="148"/>
        <v>14403.479979621126</v>
      </c>
      <c r="E2401">
        <f>_xlfn.XLOOKUP(A2401,Banks!A:A,Banks!I:I,0)</f>
        <v>0</v>
      </c>
      <c r="F2401">
        <f>_xlfn.XLOOKUP(A2401,Energy!A:A,Energy!I:I,0)</f>
        <v>34340.550592064661</v>
      </c>
      <c r="G2401">
        <f t="shared" si="149"/>
        <v>34340.550592064661</v>
      </c>
      <c r="H2401">
        <f t="shared" si="150"/>
        <v>19937.070612443535</v>
      </c>
      <c r="I2401" t="b">
        <f t="shared" si="151"/>
        <v>0</v>
      </c>
    </row>
    <row r="2402" spans="1:9">
      <c r="A2402" s="1">
        <v>46139.79791666667</v>
      </c>
      <c r="B2402" s="5">
        <f>_xlfn.XLOOKUP(A2402,Banks!A:A,Banks!H:H,0,-1)</f>
        <v>3001.402402609835</v>
      </c>
      <c r="C2402">
        <f>_xlfn.XLOOKUP(A2402,Energy!A:A,Energy!H:H,0,-1)</f>
        <v>11374.911046177291</v>
      </c>
      <c r="D2402">
        <f t="shared" si="148"/>
        <v>14376.313448787125</v>
      </c>
      <c r="E2402">
        <f>_xlfn.XLOOKUP(A2402,Banks!A:A,Banks!I:I,0)</f>
        <v>0</v>
      </c>
      <c r="F2402">
        <f>_xlfn.XLOOKUP(A2402,Energy!A:A,Energy!I:I,0)</f>
        <v>34345.983898231461</v>
      </c>
      <c r="G2402">
        <f t="shared" si="149"/>
        <v>34345.983898231461</v>
      </c>
      <c r="H2402">
        <f t="shared" si="150"/>
        <v>19969.670449444337</v>
      </c>
      <c r="I2402" t="b">
        <f t="shared" si="151"/>
        <v>0</v>
      </c>
    </row>
    <row r="2403" spans="1:9">
      <c r="A2403" s="1">
        <v>46139.798611111109</v>
      </c>
      <c r="B2403" s="5">
        <f>_xlfn.XLOOKUP(A2403,Banks!A:A,Banks!H:H,0,-1)</f>
        <v>3001.402402609835</v>
      </c>
      <c r="C2403">
        <f>_xlfn.XLOOKUP(A2403,Energy!A:A,Energy!H:H,0,-1)</f>
        <v>11385.77765851088</v>
      </c>
      <c r="D2403">
        <f t="shared" si="148"/>
        <v>14387.180061120715</v>
      </c>
      <c r="E2403">
        <f>_xlfn.XLOOKUP(A2403,Banks!A:A,Banks!I:I,0)</f>
        <v>0</v>
      </c>
      <c r="F2403">
        <f>_xlfn.XLOOKUP(A2403,Energy!A:A,Energy!I:I,0)</f>
        <v>34343.810575764743</v>
      </c>
      <c r="G2403">
        <f t="shared" si="149"/>
        <v>34343.810575764743</v>
      </c>
      <c r="H2403">
        <f t="shared" si="150"/>
        <v>19956.630514644028</v>
      </c>
      <c r="I2403" t="b">
        <f t="shared" si="151"/>
        <v>0</v>
      </c>
    </row>
    <row r="2404" spans="1:9">
      <c r="A2404" s="1">
        <v>46139.799305555563</v>
      </c>
      <c r="B2404" s="5">
        <f>_xlfn.XLOOKUP(A2404,Banks!A:A,Banks!H:H,0,-1)</f>
        <v>3001.402402609835</v>
      </c>
      <c r="C2404">
        <f>_xlfn.XLOOKUP(A2404,Energy!A:A,Energy!H:H,0,-1)</f>
        <v>11323.29463759266</v>
      </c>
      <c r="D2404">
        <f t="shared" si="148"/>
        <v>14324.697040202496</v>
      </c>
      <c r="E2404">
        <f>_xlfn.XLOOKUP(A2404,Banks!A:A,Banks!I:I,0)</f>
        <v>0</v>
      </c>
      <c r="F2404">
        <f>_xlfn.XLOOKUP(A2404,Energy!A:A,Energy!I:I,0)</f>
        <v>34356.307179948388</v>
      </c>
      <c r="G2404">
        <f t="shared" si="149"/>
        <v>34356.307179948388</v>
      </c>
      <c r="H2404">
        <f t="shared" si="150"/>
        <v>20031.610139745892</v>
      </c>
      <c r="I2404" t="b">
        <f t="shared" si="151"/>
        <v>0</v>
      </c>
    </row>
    <row r="2405" spans="1:9">
      <c r="A2405" s="1">
        <v>46139.8</v>
      </c>
      <c r="B2405" s="5">
        <f>_xlfn.XLOOKUP(A2405,Banks!A:A,Banks!H:H,0,-1)</f>
        <v>3001.402402609835</v>
      </c>
      <c r="C2405">
        <f>_xlfn.XLOOKUP(A2405,Energy!A:A,Energy!H:H,0,-1)</f>
        <v>11291.219838092309</v>
      </c>
      <c r="D2405">
        <f t="shared" si="148"/>
        <v>14292.622240702145</v>
      </c>
      <c r="E2405">
        <f>_xlfn.XLOOKUP(A2405,Banks!A:A,Banks!I:I,0)</f>
        <v>0</v>
      </c>
      <c r="F2405">
        <f>_xlfn.XLOOKUP(A2405,Energy!A:A,Energy!I:I,0)</f>
        <v>34366.192138548722</v>
      </c>
      <c r="G2405">
        <f t="shared" si="149"/>
        <v>34366.192138548722</v>
      </c>
      <c r="H2405">
        <f t="shared" si="150"/>
        <v>20073.569897846577</v>
      </c>
      <c r="I2405" t="b">
        <f t="shared" si="151"/>
        <v>0</v>
      </c>
    </row>
    <row r="2406" spans="1:9">
      <c r="A2406" s="1">
        <v>46139.800694444442</v>
      </c>
      <c r="B2406" s="5">
        <f>_xlfn.XLOOKUP(A2406,Banks!A:A,Banks!H:H,0,-1)</f>
        <v>3001.402402609835</v>
      </c>
      <c r="C2406">
        <f>_xlfn.XLOOKUP(A2406,Energy!A:A,Energy!H:H,0,-1)</f>
        <v>11247.73052236261</v>
      </c>
      <c r="D2406">
        <f t="shared" si="148"/>
        <v>14249.132924972444</v>
      </c>
      <c r="E2406">
        <f>_xlfn.XLOOKUP(A2406,Banks!A:A,Banks!I:I,0)</f>
        <v>0</v>
      </c>
      <c r="F2406">
        <f>_xlfn.XLOOKUP(A2406,Energy!A:A,Energy!I:I,0)</f>
        <v>34379.227500070003</v>
      </c>
      <c r="G2406">
        <f t="shared" si="149"/>
        <v>34379.227500070003</v>
      </c>
      <c r="H2406">
        <f t="shared" si="150"/>
        <v>20130.094575097559</v>
      </c>
      <c r="I2406" t="b">
        <f t="shared" si="151"/>
        <v>0</v>
      </c>
    </row>
    <row r="2407" spans="1:9">
      <c r="A2407" s="1">
        <v>46139.801388888889</v>
      </c>
      <c r="B2407" s="5">
        <f>_xlfn.XLOOKUP(A2407,Banks!A:A,Banks!H:H,0,-1)</f>
        <v>3001.402402609835</v>
      </c>
      <c r="C2407">
        <f>_xlfn.XLOOKUP(A2407,Energy!A:A,Energy!H:H,0,-1)</f>
        <v>11267.2721314469</v>
      </c>
      <c r="D2407">
        <f t="shared" si="148"/>
        <v>14268.674534056736</v>
      </c>
      <c r="E2407">
        <f>_xlfn.XLOOKUP(A2407,Banks!A:A,Banks!I:I,0)</f>
        <v>0</v>
      </c>
      <c r="F2407">
        <f>_xlfn.XLOOKUP(A2407,Energy!A:A,Energy!I:I,0)</f>
        <v>34378.789176953404</v>
      </c>
      <c r="G2407">
        <f t="shared" si="149"/>
        <v>34378.789176953404</v>
      </c>
      <c r="H2407">
        <f t="shared" si="150"/>
        <v>20110.114642896668</v>
      </c>
      <c r="I2407" t="b">
        <f t="shared" si="151"/>
        <v>0</v>
      </c>
    </row>
    <row r="2408" spans="1:9">
      <c r="A2408" s="1">
        <v>46139.802083333343</v>
      </c>
      <c r="B2408" s="5">
        <f>_xlfn.XLOOKUP(A2408,Banks!A:A,Banks!H:H,0,-1)</f>
        <v>3001.402402609835</v>
      </c>
      <c r="C2408">
        <f>_xlfn.XLOOKUP(A2408,Energy!A:A,Energy!H:H,0,-1)</f>
        <v>11265.034783073421</v>
      </c>
      <c r="D2408">
        <f t="shared" si="148"/>
        <v>14266.437185683255</v>
      </c>
      <c r="E2408">
        <f>_xlfn.XLOOKUP(A2408,Banks!A:A,Banks!I:I,0)</f>
        <v>0</v>
      </c>
      <c r="F2408">
        <f>_xlfn.XLOOKUP(A2408,Energy!A:A,Energy!I:I,0)</f>
        <v>34391.381642079039</v>
      </c>
      <c r="G2408">
        <f t="shared" si="149"/>
        <v>34391.381642079039</v>
      </c>
      <c r="H2408">
        <f t="shared" si="150"/>
        <v>20124.944456395784</v>
      </c>
      <c r="I2408" t="b">
        <f t="shared" si="151"/>
        <v>0</v>
      </c>
    </row>
    <row r="2409" spans="1:9">
      <c r="A2409" s="1">
        <v>46139.802777777782</v>
      </c>
      <c r="B2409" s="5">
        <f>_xlfn.XLOOKUP(A2409,Banks!A:A,Banks!H:H,0,-1)</f>
        <v>3001.402402609835</v>
      </c>
      <c r="C2409">
        <f>_xlfn.XLOOKUP(A2409,Energy!A:A,Energy!H:H,0,-1)</f>
        <v>11281.83687267902</v>
      </c>
      <c r="D2409">
        <f t="shared" si="148"/>
        <v>14283.239275288855</v>
      </c>
      <c r="E2409">
        <f>_xlfn.XLOOKUP(A2409,Banks!A:A,Banks!I:I,0)</f>
        <v>0</v>
      </c>
      <c r="F2409">
        <f>_xlfn.XLOOKUP(A2409,Energy!A:A,Energy!I:I,0)</f>
        <v>34395.82872123352</v>
      </c>
      <c r="G2409">
        <f t="shared" si="149"/>
        <v>34395.82872123352</v>
      </c>
      <c r="H2409">
        <f t="shared" si="150"/>
        <v>20112.589445944664</v>
      </c>
      <c r="I2409" t="b">
        <f t="shared" si="151"/>
        <v>0</v>
      </c>
    </row>
    <row r="2410" spans="1:9">
      <c r="A2410" s="1">
        <v>46139.803472222222</v>
      </c>
      <c r="B2410" s="5">
        <f>_xlfn.XLOOKUP(A2410,Banks!A:A,Banks!H:H,0,-1)</f>
        <v>3001.402402609835</v>
      </c>
      <c r="C2410">
        <f>_xlfn.XLOOKUP(A2410,Energy!A:A,Energy!H:H,0,-1)</f>
        <v>11281.83687267902</v>
      </c>
      <c r="D2410">
        <f t="shared" si="148"/>
        <v>14283.239275288855</v>
      </c>
      <c r="E2410">
        <f>_xlfn.XLOOKUP(A2410,Banks!A:A,Banks!I:I,0)</f>
        <v>0</v>
      </c>
      <c r="F2410">
        <f>_xlfn.XLOOKUP(A2410,Energy!A:A,Energy!I:I,0)</f>
        <v>34395.82872123352</v>
      </c>
      <c r="G2410">
        <f t="shared" si="149"/>
        <v>34395.82872123352</v>
      </c>
      <c r="H2410">
        <f t="shared" si="150"/>
        <v>20112.589445944664</v>
      </c>
      <c r="I2410" t="b">
        <f t="shared" si="151"/>
        <v>0</v>
      </c>
    </row>
    <row r="2411" spans="1:9">
      <c r="A2411" s="1">
        <v>46139.804166666669</v>
      </c>
      <c r="B2411" s="5">
        <f>_xlfn.XLOOKUP(A2411,Banks!A:A,Banks!H:H,0,-1)</f>
        <v>3001.402402609835</v>
      </c>
      <c r="C2411">
        <f>_xlfn.XLOOKUP(A2411,Energy!A:A,Energy!H:H,0,-1)</f>
        <v>11235.630903865929</v>
      </c>
      <c r="D2411">
        <f t="shared" si="148"/>
        <v>14237.033306475765</v>
      </c>
      <c r="E2411">
        <f>_xlfn.XLOOKUP(A2411,Banks!A:A,Banks!I:I,0)</f>
        <v>0</v>
      </c>
      <c r="F2411">
        <f>_xlfn.XLOOKUP(A2411,Energy!A:A,Energy!I:I,0)</f>
        <v>34409.407413371468</v>
      </c>
      <c r="G2411">
        <f t="shared" si="149"/>
        <v>34409.407413371468</v>
      </c>
      <c r="H2411">
        <f t="shared" si="150"/>
        <v>20172.374106895702</v>
      </c>
      <c r="I2411" t="b">
        <f t="shared" si="151"/>
        <v>0</v>
      </c>
    </row>
    <row r="2412" spans="1:9">
      <c r="A2412" s="1">
        <v>46139.804861111108</v>
      </c>
      <c r="B2412" s="5">
        <f>_xlfn.XLOOKUP(A2412,Banks!A:A,Banks!H:H,0,-1)</f>
        <v>3001.402402609835</v>
      </c>
      <c r="C2412">
        <f>_xlfn.XLOOKUP(A2412,Energy!A:A,Energy!H:H,0,-1)</f>
        <v>11167.7145767809</v>
      </c>
      <c r="D2412">
        <f t="shared" si="148"/>
        <v>14169.116979390736</v>
      </c>
      <c r="E2412">
        <f>_xlfn.XLOOKUP(A2412,Banks!A:A,Banks!I:I,0)</f>
        <v>0</v>
      </c>
      <c r="F2412">
        <f>_xlfn.XLOOKUP(A2412,Energy!A:A,Energy!I:I,0)</f>
        <v>34422.990678788483</v>
      </c>
      <c r="G2412">
        <f t="shared" si="149"/>
        <v>34422.990678788483</v>
      </c>
      <c r="H2412">
        <f t="shared" si="150"/>
        <v>20253.873699397747</v>
      </c>
      <c r="I2412" t="b">
        <f t="shared" si="151"/>
        <v>0</v>
      </c>
    </row>
    <row r="2413" spans="1:9">
      <c r="A2413" s="1">
        <v>46139.805555555547</v>
      </c>
      <c r="B2413" s="5">
        <f>_xlfn.XLOOKUP(A2413,Banks!A:A,Banks!H:H,0,-1)</f>
        <v>3001.402402609835</v>
      </c>
      <c r="C2413">
        <f>_xlfn.XLOOKUP(A2413,Energy!A:A,Energy!H:H,0,-1)</f>
        <v>11225.28932903279</v>
      </c>
      <c r="D2413">
        <f t="shared" si="148"/>
        <v>14226.691731642626</v>
      </c>
      <c r="E2413">
        <f>_xlfn.XLOOKUP(A2413,Banks!A:A,Banks!I:I,0)</f>
        <v>0</v>
      </c>
      <c r="F2413">
        <f>_xlfn.XLOOKUP(A2413,Energy!A:A,Energy!I:I,0)</f>
        <v>34414.945727038357</v>
      </c>
      <c r="G2413">
        <f t="shared" si="149"/>
        <v>34414.945727038357</v>
      </c>
      <c r="H2413">
        <f t="shared" si="150"/>
        <v>20188.253995395731</v>
      </c>
      <c r="I2413" t="b">
        <f t="shared" si="151"/>
        <v>0</v>
      </c>
    </row>
    <row r="2414" spans="1:9">
      <c r="A2414" s="1">
        <v>46139.806250000001</v>
      </c>
      <c r="B2414" s="5">
        <f>_xlfn.XLOOKUP(A2414,Banks!A:A,Banks!H:H,0,-1)</f>
        <v>3001.402402609835</v>
      </c>
      <c r="C2414">
        <f>_xlfn.XLOOKUP(A2414,Energy!A:A,Energy!H:H,0,-1)</f>
        <v>11265.9019269122</v>
      </c>
      <c r="D2414">
        <f t="shared" si="148"/>
        <v>14267.304329522034</v>
      </c>
      <c r="E2414">
        <f>_xlfn.XLOOKUP(A2414,Banks!A:A,Banks!I:I,0)</f>
        <v>0</v>
      </c>
      <c r="F2414">
        <f>_xlfn.XLOOKUP(A2414,Energy!A:A,Energy!I:I,0)</f>
        <v>34432.848197714477</v>
      </c>
      <c r="G2414">
        <f t="shared" si="149"/>
        <v>34432.848197714477</v>
      </c>
      <c r="H2414">
        <f t="shared" si="150"/>
        <v>20165.543868192442</v>
      </c>
      <c r="I2414" t="b">
        <f t="shared" si="151"/>
        <v>0</v>
      </c>
    </row>
    <row r="2415" spans="1:9">
      <c r="A2415" s="1">
        <v>46139.806944444441</v>
      </c>
      <c r="B2415" s="5">
        <f>_xlfn.XLOOKUP(A2415,Banks!A:A,Banks!H:H,0,-1)</f>
        <v>3001.402402609835</v>
      </c>
      <c r="C2415">
        <f>_xlfn.XLOOKUP(A2415,Energy!A:A,Energy!H:H,0,-1)</f>
        <v>11256.039656788989</v>
      </c>
      <c r="D2415">
        <f t="shared" si="148"/>
        <v>14257.442059398825</v>
      </c>
      <c r="E2415">
        <f>_xlfn.XLOOKUP(A2415,Banks!A:A,Banks!I:I,0)</f>
        <v>0</v>
      </c>
      <c r="F2415">
        <f>_xlfn.XLOOKUP(A2415,Energy!A:A,Energy!I:I,0)</f>
        <v>34450.435645890328</v>
      </c>
      <c r="G2415">
        <f t="shared" si="149"/>
        <v>34450.435645890328</v>
      </c>
      <c r="H2415">
        <f t="shared" si="150"/>
        <v>20192.993586491502</v>
      </c>
      <c r="I2415" t="b">
        <f t="shared" si="151"/>
        <v>0</v>
      </c>
    </row>
    <row r="2416" spans="1:9">
      <c r="A2416" s="1">
        <v>46139.807638888888</v>
      </c>
      <c r="B2416" s="5">
        <f>_xlfn.XLOOKUP(A2416,Banks!A:A,Banks!H:H,0,-1)</f>
        <v>3001.402402609835</v>
      </c>
      <c r="C2416">
        <f>_xlfn.XLOOKUP(A2416,Energy!A:A,Energy!H:H,0,-1)</f>
        <v>11235.95014380897</v>
      </c>
      <c r="D2416">
        <f t="shared" si="148"/>
        <v>14237.352546418806</v>
      </c>
      <c r="E2416">
        <f>_xlfn.XLOOKUP(A2416,Banks!A:A,Banks!I:I,0)</f>
        <v>0</v>
      </c>
      <c r="F2416">
        <f>_xlfn.XLOOKUP(A2416,Energy!A:A,Energy!I:I,0)</f>
        <v>34451.851049461133</v>
      </c>
      <c r="G2416">
        <f t="shared" si="149"/>
        <v>34451.851049461133</v>
      </c>
      <c r="H2416">
        <f t="shared" si="150"/>
        <v>20214.498503042327</v>
      </c>
      <c r="I2416" t="b">
        <f t="shared" si="151"/>
        <v>0</v>
      </c>
    </row>
    <row r="2417" spans="1:9">
      <c r="A2417" s="1">
        <v>46139.808333333327</v>
      </c>
      <c r="B2417" s="5">
        <f>_xlfn.XLOOKUP(A2417,Banks!A:A,Banks!H:H,0,-1)</f>
        <v>3001.402402609835</v>
      </c>
      <c r="C2417">
        <f>_xlfn.XLOOKUP(A2417,Energy!A:A,Energy!H:H,0,-1)</f>
        <v>11195.20034755794</v>
      </c>
      <c r="D2417">
        <f t="shared" si="148"/>
        <v>14196.602750167775</v>
      </c>
      <c r="E2417">
        <f>_xlfn.XLOOKUP(A2417,Banks!A:A,Banks!I:I,0)</f>
        <v>0</v>
      </c>
      <c r="F2417">
        <f>_xlfn.XLOOKUP(A2417,Energy!A:A,Energy!I:I,0)</f>
        <v>34460.001008711341</v>
      </c>
      <c r="G2417">
        <f t="shared" si="149"/>
        <v>34460.001008711341</v>
      </c>
      <c r="H2417">
        <f t="shared" si="150"/>
        <v>20263.398258543566</v>
      </c>
      <c r="I2417" t="b">
        <f t="shared" si="151"/>
        <v>0</v>
      </c>
    </row>
    <row r="2418" spans="1:9">
      <c r="A2418" s="1">
        <v>46139.809027777781</v>
      </c>
      <c r="B2418" s="5">
        <f>_xlfn.XLOOKUP(A2418,Banks!A:A,Banks!H:H,0,-1)</f>
        <v>3001.402402609835</v>
      </c>
      <c r="C2418">
        <f>_xlfn.XLOOKUP(A2418,Energy!A:A,Energy!H:H,0,-1)</f>
        <v>11284.849899310189</v>
      </c>
      <c r="D2418">
        <f t="shared" si="148"/>
        <v>14286.252301920023</v>
      </c>
      <c r="E2418">
        <f>_xlfn.XLOOKUP(A2418,Banks!A:A,Banks!I:I,0)</f>
        <v>0</v>
      </c>
      <c r="F2418">
        <f>_xlfn.XLOOKUP(A2418,Energy!A:A,Energy!I:I,0)</f>
        <v>34442.071098360902</v>
      </c>
      <c r="G2418">
        <f t="shared" si="149"/>
        <v>34442.071098360902</v>
      </c>
      <c r="H2418">
        <f t="shared" si="150"/>
        <v>20155.818796440879</v>
      </c>
      <c r="I2418" t="b">
        <f t="shared" si="151"/>
        <v>0</v>
      </c>
    </row>
    <row r="2419" spans="1:9">
      <c r="A2419" s="1">
        <v>46139.80972222222</v>
      </c>
      <c r="B2419" s="5">
        <f>_xlfn.XLOOKUP(A2419,Banks!A:A,Banks!H:H,0,-1)</f>
        <v>3001.402402609835</v>
      </c>
      <c r="C2419">
        <f>_xlfn.XLOOKUP(A2419,Energy!A:A,Energy!H:H,0,-1)</f>
        <v>11212.66467303565</v>
      </c>
      <c r="D2419">
        <f t="shared" si="148"/>
        <v>14214.067075645486</v>
      </c>
      <c r="E2419">
        <f>_xlfn.XLOOKUP(A2419,Banks!A:A,Banks!I:I,0)</f>
        <v>0</v>
      </c>
      <c r="F2419">
        <f>_xlfn.XLOOKUP(A2419,Energy!A:A,Energy!I:I,0)</f>
        <v>34441.760649139673</v>
      </c>
      <c r="G2419">
        <f t="shared" si="149"/>
        <v>34441.760649139673</v>
      </c>
      <c r="H2419">
        <f t="shared" si="150"/>
        <v>20227.693573494187</v>
      </c>
      <c r="I2419" t="b">
        <f t="shared" si="151"/>
        <v>0</v>
      </c>
    </row>
    <row r="2420" spans="1:9">
      <c r="A2420" s="1">
        <v>46139.810416666667</v>
      </c>
      <c r="B2420" s="5">
        <f>_xlfn.XLOOKUP(A2420,Banks!A:A,Banks!H:H,0,-1)</f>
        <v>3001.402402609835</v>
      </c>
      <c r="C2420">
        <f>_xlfn.XLOOKUP(A2420,Energy!A:A,Energy!H:H,0,-1)</f>
        <v>11208.304308265029</v>
      </c>
      <c r="D2420">
        <f t="shared" si="148"/>
        <v>14209.706710874863</v>
      </c>
      <c r="E2420">
        <f>_xlfn.XLOOKUP(A2420,Banks!A:A,Banks!I:I,0)</f>
        <v>0</v>
      </c>
      <c r="F2420">
        <f>_xlfn.XLOOKUP(A2420,Energy!A:A,Energy!I:I,0)</f>
        <v>34445.235221118986</v>
      </c>
      <c r="G2420">
        <f t="shared" si="149"/>
        <v>34445.235221118986</v>
      </c>
      <c r="H2420">
        <f t="shared" si="150"/>
        <v>20235.528510244123</v>
      </c>
      <c r="I2420" t="b">
        <f t="shared" si="151"/>
        <v>0</v>
      </c>
    </row>
    <row r="2421" spans="1:9">
      <c r="A2421" s="1">
        <v>46139.811111111107</v>
      </c>
      <c r="B2421" s="5">
        <f>_xlfn.XLOOKUP(A2421,Banks!A:A,Banks!H:H,0,-1)</f>
        <v>3001.402402609835</v>
      </c>
      <c r="C2421">
        <f>_xlfn.XLOOKUP(A2421,Energy!A:A,Energy!H:H,0,-1)</f>
        <v>11216.454267515241</v>
      </c>
      <c r="D2421">
        <f t="shared" si="148"/>
        <v>14217.856670125075</v>
      </c>
      <c r="E2421">
        <f>_xlfn.XLOOKUP(A2421,Banks!A:A,Banks!I:I,0)</f>
        <v>0</v>
      </c>
      <c r="F2421">
        <f>_xlfn.XLOOKUP(A2421,Energy!A:A,Energy!I:I,0)</f>
        <v>34443.605229268949</v>
      </c>
      <c r="G2421">
        <f t="shared" si="149"/>
        <v>34443.605229268949</v>
      </c>
      <c r="H2421">
        <f t="shared" si="150"/>
        <v>20225.748559143874</v>
      </c>
      <c r="I2421" t="b">
        <f t="shared" si="151"/>
        <v>0</v>
      </c>
    </row>
    <row r="2422" spans="1:9">
      <c r="A2422" s="1">
        <v>46139.811805555553</v>
      </c>
      <c r="B2422" s="5">
        <f>_xlfn.XLOOKUP(A2422,Banks!A:A,Banks!H:H,0,-1)</f>
        <v>3001.402402609835</v>
      </c>
      <c r="C2422">
        <f>_xlfn.XLOOKUP(A2422,Energy!A:A,Energy!H:H,0,-1)</f>
        <v>11096.008655216259</v>
      </c>
      <c r="D2422">
        <f t="shared" si="148"/>
        <v>14097.411057826095</v>
      </c>
      <c r="E2422">
        <f>_xlfn.XLOOKUP(A2422,Banks!A:A,Banks!I:I,0)</f>
        <v>0</v>
      </c>
      <c r="F2422">
        <f>_xlfn.XLOOKUP(A2422,Energy!A:A,Energy!I:I,0)</f>
        <v>34434.7293640762</v>
      </c>
      <c r="G2422">
        <f t="shared" si="149"/>
        <v>34434.7293640762</v>
      </c>
      <c r="H2422">
        <f t="shared" si="150"/>
        <v>20337.318306250105</v>
      </c>
      <c r="I2422" t="b">
        <f t="shared" si="151"/>
        <v>0</v>
      </c>
    </row>
    <row r="2423" spans="1:9">
      <c r="A2423" s="1">
        <v>46139.8125</v>
      </c>
      <c r="B2423" s="5">
        <f>_xlfn.XLOOKUP(A2423,Banks!A:A,Banks!H:H,0,-1)</f>
        <v>3001.402402609835</v>
      </c>
      <c r="C2423">
        <f>_xlfn.XLOOKUP(A2423,Energy!A:A,Energy!H:H,0,-1)</f>
        <v>11076.992083632451</v>
      </c>
      <c r="D2423">
        <f t="shared" si="148"/>
        <v>14078.394486242287</v>
      </c>
      <c r="E2423">
        <f>_xlfn.XLOOKUP(A2423,Banks!A:A,Banks!I:I,0)</f>
        <v>0</v>
      </c>
      <c r="F2423">
        <f>_xlfn.XLOOKUP(A2423,Energy!A:A,Energy!I:I,0)</f>
        <v>34438.532678392963</v>
      </c>
      <c r="G2423">
        <f t="shared" si="149"/>
        <v>34438.532678392963</v>
      </c>
      <c r="H2423">
        <f t="shared" si="150"/>
        <v>20360.138192150676</v>
      </c>
      <c r="I2423" t="b">
        <f t="shared" si="151"/>
        <v>0</v>
      </c>
    </row>
    <row r="2424" spans="1:9">
      <c r="A2424" s="1">
        <v>46139.813194444447</v>
      </c>
      <c r="B2424" s="5">
        <f>_xlfn.XLOOKUP(A2424,Banks!A:A,Banks!H:H,0,-1)</f>
        <v>3001.402402609835</v>
      </c>
      <c r="C2424">
        <f>_xlfn.XLOOKUP(A2424,Energy!A:A,Energy!H:H,0,-1)</f>
        <v>11035.169345985239</v>
      </c>
      <c r="D2424">
        <f t="shared" si="148"/>
        <v>14036.571748595074</v>
      </c>
      <c r="E2424">
        <f>_xlfn.XLOOKUP(A2424,Banks!A:A,Banks!I:I,0)</f>
        <v>0</v>
      </c>
      <c r="F2424">
        <f>_xlfn.XLOOKUP(A2424,Energy!A:A,Energy!I:I,0)</f>
        <v>34444.294726897213</v>
      </c>
      <c r="G2424">
        <f t="shared" si="149"/>
        <v>34444.294726897213</v>
      </c>
      <c r="H2424">
        <f t="shared" si="150"/>
        <v>20407.722978302139</v>
      </c>
      <c r="I2424" t="b">
        <f t="shared" si="151"/>
        <v>0</v>
      </c>
    </row>
    <row r="2425" spans="1:9">
      <c r="A2425" s="1">
        <v>46139.813888888893</v>
      </c>
      <c r="B2425" s="5">
        <f>_xlfn.XLOOKUP(A2425,Banks!A:A,Banks!H:H,0,-1)</f>
        <v>3001.402402609835</v>
      </c>
      <c r="C2425">
        <f>_xlfn.XLOOKUP(A2425,Energy!A:A,Energy!H:H,0,-1)</f>
        <v>11032.452692901839</v>
      </c>
      <c r="D2425">
        <f t="shared" si="148"/>
        <v>14033.855095511673</v>
      </c>
      <c r="E2425">
        <f>_xlfn.XLOOKUP(A2425,Banks!A:A,Banks!I:I,0)</f>
        <v>0</v>
      </c>
      <c r="F2425">
        <f>_xlfn.XLOOKUP(A2425,Energy!A:A,Energy!I:I,0)</f>
        <v>34444.838057513887</v>
      </c>
      <c r="G2425">
        <f t="shared" si="149"/>
        <v>34444.838057513887</v>
      </c>
      <c r="H2425">
        <f t="shared" si="150"/>
        <v>20410.982962002214</v>
      </c>
      <c r="I2425" t="b">
        <f t="shared" si="151"/>
        <v>0</v>
      </c>
    </row>
    <row r="2426" spans="1:9">
      <c r="A2426" s="1">
        <v>46139.814583333333</v>
      </c>
      <c r="B2426" s="5">
        <f>_xlfn.XLOOKUP(A2426,Banks!A:A,Banks!H:H,0,-1)</f>
        <v>3001.402402609835</v>
      </c>
      <c r="C2426">
        <f>_xlfn.XLOOKUP(A2426,Energy!A:A,Energy!H:H,0,-1)</f>
        <v>11002.56950898443</v>
      </c>
      <c r="D2426">
        <f t="shared" si="148"/>
        <v>14003.971911594264</v>
      </c>
      <c r="E2426">
        <f>_xlfn.XLOOKUP(A2426,Banks!A:A,Banks!I:I,0)</f>
        <v>0</v>
      </c>
      <c r="F2426">
        <f>_xlfn.XLOOKUP(A2426,Energy!A:A,Energy!I:I,0)</f>
        <v>34450.814694297384</v>
      </c>
      <c r="G2426">
        <f t="shared" si="149"/>
        <v>34450.814694297384</v>
      </c>
      <c r="H2426">
        <f t="shared" si="150"/>
        <v>20446.842782703119</v>
      </c>
      <c r="I2426" t="b">
        <f t="shared" si="151"/>
        <v>0</v>
      </c>
    </row>
    <row r="2427" spans="1:9">
      <c r="A2427" s="1">
        <v>46139.81527777778</v>
      </c>
      <c r="B2427" s="5">
        <f>_xlfn.XLOOKUP(A2427,Banks!A:A,Banks!H:H,0,-1)</f>
        <v>3001.402402609835</v>
      </c>
      <c r="C2427">
        <f>_xlfn.XLOOKUP(A2427,Energy!A:A,Energy!H:H,0,-1)</f>
        <v>11015.102699400501</v>
      </c>
      <c r="D2427">
        <f t="shared" si="148"/>
        <v>14016.505102010335</v>
      </c>
      <c r="E2427">
        <f>_xlfn.XLOOKUP(A2427,Banks!A:A,Banks!I:I,0)</f>
        <v>0</v>
      </c>
      <c r="F2427">
        <f>_xlfn.XLOOKUP(A2427,Energy!A:A,Energy!I:I,0)</f>
        <v>34441.368058813619</v>
      </c>
      <c r="G2427">
        <f t="shared" si="149"/>
        <v>34441.368058813619</v>
      </c>
      <c r="H2427">
        <f t="shared" si="150"/>
        <v>20424.862956803285</v>
      </c>
      <c r="I2427" t="b">
        <f t="shared" si="151"/>
        <v>0</v>
      </c>
    </row>
    <row r="2428" spans="1:9">
      <c r="A2428" s="1">
        <v>46139.815972222219</v>
      </c>
      <c r="B2428" s="5">
        <f>_xlfn.XLOOKUP(A2428,Banks!A:A,Banks!H:H,0,-1)</f>
        <v>3001.402402609835</v>
      </c>
      <c r="C2428">
        <f>_xlfn.XLOOKUP(A2428,Energy!A:A,Energy!H:H,0,-1)</f>
        <v>11008.55071904696</v>
      </c>
      <c r="D2428">
        <f t="shared" si="148"/>
        <v>14009.953121656796</v>
      </c>
      <c r="E2428">
        <f>_xlfn.XLOOKUP(A2428,Banks!A:A,Banks!I:I,0)</f>
        <v>0</v>
      </c>
      <c r="F2428">
        <f>_xlfn.XLOOKUP(A2428,Energy!A:A,Energy!I:I,0)</f>
        <v>34448.750952609793</v>
      </c>
      <c r="G2428">
        <f t="shared" si="149"/>
        <v>34448.750952609793</v>
      </c>
      <c r="H2428">
        <f t="shared" si="150"/>
        <v>20438.797830952997</v>
      </c>
      <c r="I2428" t="b">
        <f t="shared" si="151"/>
        <v>0</v>
      </c>
    </row>
    <row r="2429" spans="1:9">
      <c r="A2429" s="1">
        <v>46139.816666666673</v>
      </c>
      <c r="B2429" s="5">
        <f>_xlfn.XLOOKUP(A2429,Banks!A:A,Banks!H:H,0,-1)</f>
        <v>3001.402402609835</v>
      </c>
      <c r="C2429">
        <f>_xlfn.XLOOKUP(A2429,Energy!A:A,Energy!H:H,0,-1)</f>
        <v>10992.25080054655</v>
      </c>
      <c r="D2429">
        <f t="shared" si="148"/>
        <v>13993.653203156384</v>
      </c>
      <c r="E2429">
        <f>_xlfn.XLOOKUP(A2429,Banks!A:A,Banks!I:I,0)</f>
        <v>0</v>
      </c>
      <c r="F2429">
        <f>_xlfn.XLOOKUP(A2429,Energy!A:A,Energy!I:I,0)</f>
        <v>34452.010936309867</v>
      </c>
      <c r="G2429">
        <f t="shared" si="149"/>
        <v>34452.010936309867</v>
      </c>
      <c r="H2429">
        <f t="shared" si="150"/>
        <v>20458.357733153483</v>
      </c>
      <c r="I2429" t="b">
        <f t="shared" si="151"/>
        <v>0</v>
      </c>
    </row>
    <row r="2430" spans="1:9">
      <c r="A2430" s="1">
        <v>46139.817361111112</v>
      </c>
      <c r="B2430" s="5">
        <f>_xlfn.XLOOKUP(A2430,Banks!A:A,Banks!H:H,0,-1)</f>
        <v>3001.402402609835</v>
      </c>
      <c r="C2430">
        <f>_xlfn.XLOOKUP(A2430,Energy!A:A,Energy!H:H,0,-1)</f>
        <v>11033.43416871696</v>
      </c>
      <c r="D2430">
        <f t="shared" si="148"/>
        <v>14034.836571326796</v>
      </c>
      <c r="E2430">
        <f>_xlfn.XLOOKUP(A2430,Banks!A:A,Banks!I:I,0)</f>
        <v>0</v>
      </c>
      <c r="F2430">
        <f>_xlfn.XLOOKUP(A2430,Energy!A:A,Energy!I:I,0)</f>
        <v>34464.594254877396</v>
      </c>
      <c r="G2430">
        <f t="shared" si="149"/>
        <v>34464.594254877396</v>
      </c>
      <c r="H2430">
        <f t="shared" si="150"/>
        <v>20429.757683550601</v>
      </c>
      <c r="I2430" t="b">
        <f t="shared" si="151"/>
        <v>0</v>
      </c>
    </row>
    <row r="2431" spans="1:9">
      <c r="A2431" s="1">
        <v>46139.818055555559</v>
      </c>
      <c r="B2431" s="5">
        <f>_xlfn.XLOOKUP(A2431,Banks!A:A,Banks!H:H,0,-1)</f>
        <v>3001.402402609835</v>
      </c>
      <c r="C2431">
        <f>_xlfn.XLOOKUP(A2431,Energy!A:A,Energy!H:H,0,-1)</f>
        <v>11055.167393384159</v>
      </c>
      <c r="D2431">
        <f t="shared" si="148"/>
        <v>14056.569795993993</v>
      </c>
      <c r="E2431">
        <f>_xlfn.XLOOKUP(A2431,Banks!A:A,Banks!I:I,0)</f>
        <v>0</v>
      </c>
      <c r="F2431">
        <f>_xlfn.XLOOKUP(A2431,Energy!A:A,Energy!I:I,0)</f>
        <v>34460.247609943959</v>
      </c>
      <c r="G2431">
        <f t="shared" si="149"/>
        <v>34460.247609943959</v>
      </c>
      <c r="H2431">
        <f t="shared" si="150"/>
        <v>20403.677813949966</v>
      </c>
      <c r="I2431" t="b">
        <f t="shared" si="151"/>
        <v>0</v>
      </c>
    </row>
    <row r="2432" spans="1:9">
      <c r="A2432" s="1">
        <v>46139.818749999999</v>
      </c>
      <c r="B2432" s="5">
        <f>_xlfn.XLOOKUP(A2432,Banks!A:A,Banks!H:H,0,-1)</f>
        <v>3001.402402609835</v>
      </c>
      <c r="C2432">
        <f>_xlfn.XLOOKUP(A2432,Energy!A:A,Energy!H:H,0,-1)</f>
        <v>11033.43416871696</v>
      </c>
      <c r="D2432">
        <f t="shared" si="148"/>
        <v>14034.836571326796</v>
      </c>
      <c r="E2432">
        <f>_xlfn.XLOOKUP(A2432,Banks!A:A,Banks!I:I,0)</f>
        <v>0</v>
      </c>
      <c r="F2432">
        <f>_xlfn.XLOOKUP(A2432,Energy!A:A,Energy!I:I,0)</f>
        <v>34464.594254877396</v>
      </c>
      <c r="G2432">
        <f t="shared" si="149"/>
        <v>34464.594254877396</v>
      </c>
      <c r="H2432">
        <f t="shared" si="150"/>
        <v>20429.757683550601</v>
      </c>
      <c r="I2432" t="b">
        <f t="shared" si="151"/>
        <v>0</v>
      </c>
    </row>
    <row r="2433" spans="1:9">
      <c r="A2433" s="1">
        <v>46139.819444444453</v>
      </c>
      <c r="B2433" s="5">
        <f>_xlfn.XLOOKUP(A2433,Banks!A:A,Banks!H:H,0,-1)</f>
        <v>3001.402402609835</v>
      </c>
      <c r="C2433">
        <f>_xlfn.XLOOKUP(A2433,Energy!A:A,Energy!H:H,0,-1)</f>
        <v>11006.26763788294</v>
      </c>
      <c r="D2433">
        <f t="shared" si="148"/>
        <v>14007.670040492776</v>
      </c>
      <c r="E2433">
        <f>_xlfn.XLOOKUP(A2433,Banks!A:A,Banks!I:I,0)</f>
        <v>0</v>
      </c>
      <c r="F2433">
        <f>_xlfn.XLOOKUP(A2433,Energy!A:A,Energy!I:I,0)</f>
        <v>34470.027561044197</v>
      </c>
      <c r="G2433">
        <f t="shared" si="149"/>
        <v>34470.027561044197</v>
      </c>
      <c r="H2433">
        <f t="shared" si="150"/>
        <v>20462.357520551421</v>
      </c>
      <c r="I2433" t="b">
        <f t="shared" si="151"/>
        <v>0</v>
      </c>
    </row>
    <row r="2434" spans="1:9">
      <c r="A2434" s="1">
        <v>46139.820138888892</v>
      </c>
      <c r="B2434" s="5">
        <f>_xlfn.XLOOKUP(A2434,Banks!A:A,Banks!H:H,0,-1)</f>
        <v>3001.402402609835</v>
      </c>
      <c r="C2434">
        <f>_xlfn.XLOOKUP(A2434,Energy!A:A,Energy!H:H,0,-1)</f>
        <v>11041.94910070076</v>
      </c>
      <c r="D2434">
        <f t="shared" si="148"/>
        <v>14043.351503310594</v>
      </c>
      <c r="E2434">
        <f>_xlfn.XLOOKUP(A2434,Banks!A:A,Banks!I:I,0)</f>
        <v>0</v>
      </c>
      <c r="F2434">
        <f>_xlfn.XLOOKUP(A2434,Energy!A:A,Energy!I:I,0)</f>
        <v>34496.723755808249</v>
      </c>
      <c r="G2434">
        <f t="shared" si="149"/>
        <v>34496.723755808249</v>
      </c>
      <c r="H2434">
        <f t="shared" si="150"/>
        <v>20453.372252497655</v>
      </c>
      <c r="I2434" t="b">
        <f t="shared" si="151"/>
        <v>0</v>
      </c>
    </row>
    <row r="2435" spans="1:9">
      <c r="A2435" s="1">
        <v>46139.820833333331</v>
      </c>
      <c r="B2435" s="5">
        <f>_xlfn.XLOOKUP(A2435,Banks!A:A,Banks!H:H,0,-1)</f>
        <v>3001.402402609835</v>
      </c>
      <c r="C2435">
        <f>_xlfn.XLOOKUP(A2435,Energy!A:A,Energy!H:H,0,-1)</f>
        <v>11052.81571303435</v>
      </c>
      <c r="D2435">
        <f t="shared" ref="D2435:D2498" si="152">B2435+C2435</f>
        <v>14054.218115644184</v>
      </c>
      <c r="E2435">
        <f>_xlfn.XLOOKUP(A2435,Banks!A:A,Banks!I:I,0)</f>
        <v>0</v>
      </c>
      <c r="F2435">
        <f>_xlfn.XLOOKUP(A2435,Energy!A:A,Energy!I:I,0)</f>
        <v>34494.55043334153</v>
      </c>
      <c r="G2435">
        <f t="shared" ref="G2435:G2498" si="153">F2435+E2435</f>
        <v>34494.55043334153</v>
      </c>
      <c r="H2435">
        <f t="shared" ref="H2435:H2498" si="154">G2435-D2435</f>
        <v>20440.332317697346</v>
      </c>
      <c r="I2435" t="b">
        <f t="shared" ref="I2435:I2498" si="155">AND(E2435&gt;0,F2435&gt;0)</f>
        <v>0</v>
      </c>
    </row>
    <row r="2436" spans="1:9">
      <c r="A2436" s="1">
        <v>46139.821527777778</v>
      </c>
      <c r="B2436" s="5">
        <f>_xlfn.XLOOKUP(A2436,Banks!A:A,Banks!H:H,0,-1)</f>
        <v>3001.402402609835</v>
      </c>
      <c r="C2436">
        <f>_xlfn.XLOOKUP(A2436,Energy!A:A,Energy!H:H,0,-1)</f>
        <v>11041.2720516802</v>
      </c>
      <c r="D2436">
        <f t="shared" si="152"/>
        <v>14042.674454290034</v>
      </c>
      <c r="E2436">
        <f>_xlfn.XLOOKUP(A2436,Banks!A:A,Banks!I:I,0)</f>
        <v>0</v>
      </c>
      <c r="F2436">
        <f>_xlfn.XLOOKUP(A2436,Energy!A:A,Energy!I:I,0)</f>
        <v>0</v>
      </c>
      <c r="G2436">
        <f t="shared" si="153"/>
        <v>0</v>
      </c>
      <c r="H2436">
        <f t="shared" si="154"/>
        <v>-14042.674454290034</v>
      </c>
      <c r="I2436" t="b">
        <f t="shared" si="155"/>
        <v>0</v>
      </c>
    </row>
    <row r="2437" spans="1:9">
      <c r="A2437" s="1">
        <v>46140.604166666657</v>
      </c>
      <c r="B2437" s="5">
        <f>_xlfn.XLOOKUP(A2437,Banks!A:A,Banks!H:H,0,-1)</f>
        <v>3001.402402609835</v>
      </c>
      <c r="C2437">
        <f>_xlfn.XLOOKUP(A2437,Energy!A:A,Energy!H:H,0,-1)</f>
        <v>11041.2720516802</v>
      </c>
      <c r="D2437">
        <f t="shared" si="152"/>
        <v>14042.674454290034</v>
      </c>
      <c r="E2437">
        <f>_xlfn.XLOOKUP(A2437,Banks!A:A,Banks!I:I,0)</f>
        <v>38881.089812954488</v>
      </c>
      <c r="F2437">
        <f>_xlfn.XLOOKUP(A2437,Energy!A:A,Energy!I:I,0)</f>
        <v>0</v>
      </c>
      <c r="G2437">
        <f t="shared" si="153"/>
        <v>38881.089812954488</v>
      </c>
      <c r="H2437">
        <f t="shared" si="154"/>
        <v>24838.415358664453</v>
      </c>
      <c r="I2437" t="b">
        <f t="shared" si="155"/>
        <v>0</v>
      </c>
    </row>
    <row r="2438" spans="1:9">
      <c r="A2438" s="1">
        <v>46140.604861111111</v>
      </c>
      <c r="B2438" s="5">
        <f>_xlfn.XLOOKUP(A2438,Banks!A:A,Banks!H:H,0,-1)</f>
        <v>2824.8944263744788</v>
      </c>
      <c r="C2438">
        <f>_xlfn.XLOOKUP(A2438,Energy!A:A,Energy!H:H,0,-1)</f>
        <v>11041.2720516802</v>
      </c>
      <c r="D2438">
        <f t="shared" si="152"/>
        <v>13866.166478054678</v>
      </c>
      <c r="E2438">
        <f>_xlfn.XLOOKUP(A2438,Banks!A:A,Banks!I:I,0)</f>
        <v>38973.109172614582</v>
      </c>
      <c r="F2438">
        <f>_xlfn.XLOOKUP(A2438,Energy!A:A,Energy!I:I,0)</f>
        <v>0</v>
      </c>
      <c r="G2438">
        <f t="shared" si="153"/>
        <v>38973.109172614582</v>
      </c>
      <c r="H2438">
        <f t="shared" si="154"/>
        <v>25106.942694559904</v>
      </c>
      <c r="I2438" t="b">
        <f t="shared" si="155"/>
        <v>0</v>
      </c>
    </row>
    <row r="2439" spans="1:9">
      <c r="A2439" s="1">
        <v>46140.605555555558</v>
      </c>
      <c r="B2439" s="5">
        <f>_xlfn.XLOOKUP(A2439,Banks!A:A,Banks!H:H,0,-1)</f>
        <v>2980.5657410375138</v>
      </c>
      <c r="C2439">
        <f>_xlfn.XLOOKUP(A2439,Energy!A:A,Energy!H:H,0,-1)</f>
        <v>11041.2720516802</v>
      </c>
      <c r="D2439">
        <f t="shared" si="152"/>
        <v>14021.837792717713</v>
      </c>
      <c r="E2439">
        <f>_xlfn.XLOOKUP(A2439,Banks!A:A,Banks!I:I,0)</f>
        <v>38933.509571709881</v>
      </c>
      <c r="F2439">
        <f>_xlfn.XLOOKUP(A2439,Energy!A:A,Energy!I:I,0)</f>
        <v>0</v>
      </c>
      <c r="G2439">
        <f t="shared" si="153"/>
        <v>38933.509571709881</v>
      </c>
      <c r="H2439">
        <f t="shared" si="154"/>
        <v>24911.671778992168</v>
      </c>
      <c r="I2439" t="b">
        <f t="shared" si="155"/>
        <v>0</v>
      </c>
    </row>
    <row r="2440" spans="1:9">
      <c r="A2440" s="1">
        <v>46140.606249999997</v>
      </c>
      <c r="B2440" s="5">
        <f>_xlfn.XLOOKUP(A2440,Banks!A:A,Banks!H:H,0,-1)</f>
        <v>2746.732085685022</v>
      </c>
      <c r="C2440">
        <f>_xlfn.XLOOKUP(A2440,Energy!A:A,Energy!H:H,0,-1)</f>
        <v>11041.2720516802</v>
      </c>
      <c r="D2440">
        <f t="shared" si="152"/>
        <v>13788.004137365222</v>
      </c>
      <c r="E2440">
        <f>_xlfn.XLOOKUP(A2440,Banks!A:A,Banks!I:I,0)</f>
        <v>38936.256545325501</v>
      </c>
      <c r="F2440">
        <f>_xlfn.XLOOKUP(A2440,Energy!A:A,Energy!I:I,0)</f>
        <v>0</v>
      </c>
      <c r="G2440">
        <f t="shared" si="153"/>
        <v>38936.256545325501</v>
      </c>
      <c r="H2440">
        <f t="shared" si="154"/>
        <v>25148.252407960281</v>
      </c>
      <c r="I2440" t="b">
        <f t="shared" si="155"/>
        <v>0</v>
      </c>
    </row>
    <row r="2441" spans="1:9">
      <c r="A2441" s="1">
        <v>46140.606944444437</v>
      </c>
      <c r="B2441" s="5">
        <f>_xlfn.XLOOKUP(A2441,Banks!A:A,Banks!H:H,0,-1)</f>
        <v>2980.139634380298</v>
      </c>
      <c r="C2441">
        <f>_xlfn.XLOOKUP(A2441,Energy!A:A,Energy!H:H,0,-1)</f>
        <v>11041.2720516802</v>
      </c>
      <c r="D2441">
        <f t="shared" si="152"/>
        <v>14021.411686060499</v>
      </c>
      <c r="E2441">
        <f>_xlfn.XLOOKUP(A2441,Banks!A:A,Banks!I:I,0)</f>
        <v>38997.084827832019</v>
      </c>
      <c r="F2441">
        <f>_xlfn.XLOOKUP(A2441,Energy!A:A,Energy!I:I,0)</f>
        <v>0</v>
      </c>
      <c r="G2441">
        <f t="shared" si="153"/>
        <v>38997.084827832019</v>
      </c>
      <c r="H2441">
        <f t="shared" si="154"/>
        <v>24975.67314177152</v>
      </c>
      <c r="I2441" t="b">
        <f t="shared" si="155"/>
        <v>0</v>
      </c>
    </row>
    <row r="2442" spans="1:9">
      <c r="A2442" s="1">
        <v>46140.607638888891</v>
      </c>
      <c r="B2442" s="5">
        <f>_xlfn.XLOOKUP(A2442,Banks!A:A,Banks!H:H,0,-1)</f>
        <v>3023.645220913128</v>
      </c>
      <c r="C2442">
        <f>_xlfn.XLOOKUP(A2442,Energy!A:A,Energy!H:H,0,-1)</f>
        <v>11041.2720516802</v>
      </c>
      <c r="D2442">
        <f t="shared" si="152"/>
        <v>14064.917272593328</v>
      </c>
      <c r="E2442">
        <f>_xlfn.XLOOKUP(A2442,Banks!A:A,Banks!I:I,0)</f>
        <v>38935.052081301277</v>
      </c>
      <c r="F2442">
        <f>_xlfn.XLOOKUP(A2442,Energy!A:A,Energy!I:I,0)</f>
        <v>0</v>
      </c>
      <c r="G2442">
        <f t="shared" si="153"/>
        <v>38935.052081301277</v>
      </c>
      <c r="H2442">
        <f t="shared" si="154"/>
        <v>24870.13480870795</v>
      </c>
      <c r="I2442" t="b">
        <f t="shared" si="155"/>
        <v>0</v>
      </c>
    </row>
    <row r="2443" spans="1:9">
      <c r="A2443" s="1">
        <v>46140.60833333333</v>
      </c>
      <c r="B2443" s="5">
        <f>_xlfn.XLOOKUP(A2443,Banks!A:A,Banks!H:H,0,-1)</f>
        <v>3034.9796833933901</v>
      </c>
      <c r="C2443">
        <f>_xlfn.XLOOKUP(A2443,Energy!A:A,Energy!H:H,0,-1)</f>
        <v>11041.2720516802</v>
      </c>
      <c r="D2443">
        <f t="shared" si="152"/>
        <v>14076.251735073591</v>
      </c>
      <c r="E2443">
        <f>_xlfn.XLOOKUP(A2443,Banks!A:A,Banks!I:I,0)</f>
        <v>38930.245587413599</v>
      </c>
      <c r="F2443">
        <f>_xlfn.XLOOKUP(A2443,Energy!A:A,Energy!I:I,0)</f>
        <v>0</v>
      </c>
      <c r="G2443">
        <f t="shared" si="153"/>
        <v>38930.245587413599</v>
      </c>
      <c r="H2443">
        <f t="shared" si="154"/>
        <v>24853.993852340009</v>
      </c>
      <c r="I2443" t="b">
        <f t="shared" si="155"/>
        <v>0</v>
      </c>
    </row>
    <row r="2444" spans="1:9">
      <c r="A2444" s="1">
        <v>46140.609027777777</v>
      </c>
      <c r="B2444" s="5">
        <f>_xlfn.XLOOKUP(A2444,Banks!A:A,Banks!H:H,0,-1)</f>
        <v>2950.7950225827972</v>
      </c>
      <c r="C2444">
        <f>_xlfn.XLOOKUP(A2444,Energy!A:A,Energy!H:H,0,-1)</f>
        <v>11041.2720516802</v>
      </c>
      <c r="D2444">
        <f t="shared" si="152"/>
        <v>13992.067074262997</v>
      </c>
      <c r="E2444">
        <f>_xlfn.XLOOKUP(A2444,Banks!A:A,Banks!I:I,0)</f>
        <v>38948.77558717013</v>
      </c>
      <c r="F2444">
        <f>_xlfn.XLOOKUP(A2444,Energy!A:A,Energy!I:I,0)</f>
        <v>0</v>
      </c>
      <c r="G2444">
        <f t="shared" si="153"/>
        <v>38948.77558717013</v>
      </c>
      <c r="H2444">
        <f t="shared" si="154"/>
        <v>24956.708512907135</v>
      </c>
      <c r="I2444" t="b">
        <f t="shared" si="155"/>
        <v>0</v>
      </c>
    </row>
    <row r="2445" spans="1:9">
      <c r="A2445" s="1">
        <v>46140.609722222223</v>
      </c>
      <c r="B2445" s="5">
        <f>_xlfn.XLOOKUP(A2445,Banks!A:A,Banks!H:H,0,-1)</f>
        <v>2968.4784885421209</v>
      </c>
      <c r="C2445">
        <f>_xlfn.XLOOKUP(A2445,Energy!A:A,Energy!H:H,0,-1)</f>
        <v>11041.2720516802</v>
      </c>
      <c r="D2445">
        <f t="shared" si="152"/>
        <v>14009.750540222321</v>
      </c>
      <c r="E2445">
        <f>_xlfn.XLOOKUP(A2445,Banks!A:A,Banks!I:I,0)</f>
        <v>38945.238893978261</v>
      </c>
      <c r="F2445">
        <f>_xlfn.XLOOKUP(A2445,Energy!A:A,Energy!I:I,0)</f>
        <v>0</v>
      </c>
      <c r="G2445">
        <f t="shared" si="153"/>
        <v>38945.238893978261</v>
      </c>
      <c r="H2445">
        <f t="shared" si="154"/>
        <v>24935.48835375594</v>
      </c>
      <c r="I2445" t="b">
        <f t="shared" si="155"/>
        <v>0</v>
      </c>
    </row>
    <row r="2446" spans="1:9">
      <c r="A2446" s="1">
        <v>46140.61041666667</v>
      </c>
      <c r="B2446" s="5">
        <f>_xlfn.XLOOKUP(A2446,Banks!A:A,Banks!H:H,0,-1)</f>
        <v>2834.1125543617072</v>
      </c>
      <c r="C2446">
        <f>_xlfn.XLOOKUP(A2446,Energy!A:A,Energy!H:H,0,-1)</f>
        <v>11041.2720516802</v>
      </c>
      <c r="D2446">
        <f t="shared" si="152"/>
        <v>13875.384606041907</v>
      </c>
      <c r="E2446">
        <f>_xlfn.XLOOKUP(A2446,Banks!A:A,Banks!I:I,0)</f>
        <v>38967.879411828297</v>
      </c>
      <c r="F2446">
        <f>_xlfn.XLOOKUP(A2446,Energy!A:A,Energy!I:I,0)</f>
        <v>0</v>
      </c>
      <c r="G2446">
        <f t="shared" si="153"/>
        <v>38967.879411828297</v>
      </c>
      <c r="H2446">
        <f t="shared" si="154"/>
        <v>25092.494805786388</v>
      </c>
      <c r="I2446" t="b">
        <f t="shared" si="155"/>
        <v>0</v>
      </c>
    </row>
    <row r="2447" spans="1:9">
      <c r="A2447" s="1">
        <v>46140.611111111109</v>
      </c>
      <c r="B2447" s="5">
        <f>_xlfn.XLOOKUP(A2447,Banks!A:A,Banks!H:H,0,-1)</f>
        <v>2710.3282926464099</v>
      </c>
      <c r="C2447">
        <f>_xlfn.XLOOKUP(A2447,Energy!A:A,Energy!H:H,0,-1)</f>
        <v>11041.2720516802</v>
      </c>
      <c r="D2447">
        <f t="shared" si="152"/>
        <v>13751.600344326609</v>
      </c>
      <c r="E2447">
        <f>_xlfn.XLOOKUP(A2447,Banks!A:A,Banks!I:I,0)</f>
        <v>38992.636264171357</v>
      </c>
      <c r="F2447">
        <f>_xlfn.XLOOKUP(A2447,Energy!A:A,Energy!I:I,0)</f>
        <v>0</v>
      </c>
      <c r="G2447">
        <f t="shared" si="153"/>
        <v>38992.636264171357</v>
      </c>
      <c r="H2447">
        <f t="shared" si="154"/>
        <v>25241.035919844748</v>
      </c>
      <c r="I2447" t="b">
        <f t="shared" si="155"/>
        <v>0</v>
      </c>
    </row>
    <row r="2448" spans="1:9">
      <c r="A2448" s="1">
        <v>46140.611805555563</v>
      </c>
      <c r="B2448" s="5">
        <f>_xlfn.XLOOKUP(A2448,Banks!A:A,Banks!H:H,0,-1)</f>
        <v>2869.479486280356</v>
      </c>
      <c r="C2448">
        <f>_xlfn.XLOOKUP(A2448,Energy!A:A,Energy!H:H,0,-1)</f>
        <v>11041.2720516802</v>
      </c>
      <c r="D2448">
        <f t="shared" si="152"/>
        <v>13910.751537960556</v>
      </c>
      <c r="E2448">
        <f>_xlfn.XLOOKUP(A2448,Banks!A:A,Banks!I:I,0)</f>
        <v>38960.806025444574</v>
      </c>
      <c r="F2448">
        <f>_xlfn.XLOOKUP(A2448,Energy!A:A,Energy!I:I,0)</f>
        <v>0</v>
      </c>
      <c r="G2448">
        <f t="shared" si="153"/>
        <v>38960.806025444574</v>
      </c>
      <c r="H2448">
        <f t="shared" si="154"/>
        <v>25050.05448748402</v>
      </c>
      <c r="I2448" t="b">
        <f t="shared" si="155"/>
        <v>0</v>
      </c>
    </row>
    <row r="2449" spans="1:9">
      <c r="A2449" s="1">
        <v>46140.612500000003</v>
      </c>
      <c r="B2449" s="5">
        <f>_xlfn.XLOOKUP(A2449,Banks!A:A,Banks!H:H,0,-1)</f>
        <v>3020.8652150868929</v>
      </c>
      <c r="C2449">
        <f>_xlfn.XLOOKUP(A2449,Energy!A:A,Energy!H:H,0,-1)</f>
        <v>11041.2720516802</v>
      </c>
      <c r="D2449">
        <f t="shared" si="152"/>
        <v>14062.137266767093</v>
      </c>
      <c r="E2449">
        <f>_xlfn.XLOOKUP(A2449,Banks!A:A,Banks!I:I,0)</f>
        <v>0</v>
      </c>
      <c r="F2449">
        <f>_xlfn.XLOOKUP(A2449,Energy!A:A,Energy!I:I,0)</f>
        <v>0</v>
      </c>
      <c r="G2449">
        <f t="shared" si="153"/>
        <v>0</v>
      </c>
      <c r="H2449">
        <f t="shared" si="154"/>
        <v>-14062.137266767093</v>
      </c>
      <c r="I2449" t="b">
        <f t="shared" si="155"/>
        <v>0</v>
      </c>
    </row>
    <row r="2450" spans="1:9">
      <c r="A2450" s="1">
        <v>46141.605555555558</v>
      </c>
      <c r="B2450" s="5">
        <f>_xlfn.XLOOKUP(A2450,Banks!A:A,Banks!H:H,0,-1)</f>
        <v>3020.8652150868929</v>
      </c>
      <c r="C2450">
        <f>_xlfn.XLOOKUP(A2450,Energy!A:A,Energy!H:H,0,-1)</f>
        <v>11041.2720516802</v>
      </c>
      <c r="D2450">
        <f t="shared" si="152"/>
        <v>14062.137266767093</v>
      </c>
      <c r="E2450">
        <f>_xlfn.XLOOKUP(A2450,Banks!A:A,Banks!I:I,0)</f>
        <v>38881.089812954488</v>
      </c>
      <c r="F2450">
        <f>_xlfn.XLOOKUP(A2450,Energy!A:A,Energy!I:I,0)</f>
        <v>0</v>
      </c>
      <c r="G2450">
        <f t="shared" si="153"/>
        <v>38881.089812954488</v>
      </c>
      <c r="H2450">
        <f t="shared" si="154"/>
        <v>24818.952546187393</v>
      </c>
      <c r="I2450" t="b">
        <f t="shared" si="155"/>
        <v>0</v>
      </c>
    </row>
    <row r="2451" spans="1:9">
      <c r="A2451" s="1">
        <v>46141.606249999997</v>
      </c>
      <c r="B2451" s="5">
        <f>_xlfn.XLOOKUP(A2451,Banks!A:A,Banks!H:H,0,-1)</f>
        <v>3387.0820918911982</v>
      </c>
      <c r="C2451">
        <f>_xlfn.XLOOKUP(A2451,Energy!A:A,Energy!H:H,0,-1)</f>
        <v>11041.2720516802</v>
      </c>
      <c r="D2451">
        <f t="shared" si="152"/>
        <v>14428.354143571398</v>
      </c>
      <c r="E2451">
        <f>_xlfn.XLOOKUP(A2451,Banks!A:A,Banks!I:I,0)</f>
        <v>0</v>
      </c>
      <c r="F2451">
        <f>_xlfn.XLOOKUP(A2451,Energy!A:A,Energy!I:I,0)</f>
        <v>0</v>
      </c>
      <c r="G2451">
        <f t="shared" si="153"/>
        <v>0</v>
      </c>
      <c r="H2451">
        <f t="shared" si="154"/>
        <v>-14428.354143571398</v>
      </c>
      <c r="I2451" t="b">
        <f t="shared" si="155"/>
        <v>0</v>
      </c>
    </row>
    <row r="2452" spans="1:9">
      <c r="A2452" s="1">
        <v>46141.715277777781</v>
      </c>
      <c r="B2452" s="5">
        <f>_xlfn.XLOOKUP(A2452,Banks!A:A,Banks!H:H,0,-1)</f>
        <v>3387.0820918911982</v>
      </c>
      <c r="C2452">
        <f>_xlfn.XLOOKUP(A2452,Energy!A:A,Energy!H:H,0,-1)</f>
        <v>11041.2720516802</v>
      </c>
      <c r="D2452">
        <f t="shared" si="152"/>
        <v>14428.354143571398</v>
      </c>
      <c r="E2452">
        <f>_xlfn.XLOOKUP(A2452,Banks!A:A,Banks!I:I,0)</f>
        <v>38881.089812954488</v>
      </c>
      <c r="F2452">
        <f>_xlfn.XLOOKUP(A2452,Energy!A:A,Energy!I:I,0)</f>
        <v>0</v>
      </c>
      <c r="G2452">
        <f t="shared" si="153"/>
        <v>38881.089812954488</v>
      </c>
      <c r="H2452">
        <f t="shared" si="154"/>
        <v>24452.735669383088</v>
      </c>
      <c r="I2452" t="b">
        <f t="shared" si="155"/>
        <v>0</v>
      </c>
    </row>
    <row r="2453" spans="1:9">
      <c r="A2453" s="1">
        <v>46141.71597222222</v>
      </c>
      <c r="B2453" s="5">
        <f>_xlfn.XLOOKUP(A2453,Banks!A:A,Banks!H:H,0,-1)</f>
        <v>3406.4999783886542</v>
      </c>
      <c r="C2453">
        <f>_xlfn.XLOOKUP(A2453,Energy!A:A,Energy!H:H,0,-1)</f>
        <v>11041.2720516802</v>
      </c>
      <c r="D2453">
        <f t="shared" si="152"/>
        <v>14447.772030068854</v>
      </c>
      <c r="E2453">
        <f>_xlfn.XLOOKUP(A2453,Banks!A:A,Banks!I:I,0)</f>
        <v>38877.206235655001</v>
      </c>
      <c r="F2453">
        <f>_xlfn.XLOOKUP(A2453,Energy!A:A,Energy!I:I,0)</f>
        <v>0</v>
      </c>
      <c r="G2453">
        <f t="shared" si="153"/>
        <v>38877.206235655001</v>
      </c>
      <c r="H2453">
        <f t="shared" si="154"/>
        <v>24429.434205586149</v>
      </c>
      <c r="I2453" t="b">
        <f t="shared" si="155"/>
        <v>0</v>
      </c>
    </row>
    <row r="2454" spans="1:9">
      <c r="A2454" s="1">
        <v>46141.716666666667</v>
      </c>
      <c r="B2454" s="5">
        <f>_xlfn.XLOOKUP(A2454,Banks!A:A,Banks!H:H,0,-1)</f>
        <v>3442.490620821628</v>
      </c>
      <c r="C2454">
        <f>_xlfn.XLOOKUP(A2454,Energy!A:A,Energy!H:H,0,-1)</f>
        <v>11041.2720516802</v>
      </c>
      <c r="D2454">
        <f t="shared" si="152"/>
        <v>14483.762672501827</v>
      </c>
      <c r="E2454">
        <f>_xlfn.XLOOKUP(A2454,Banks!A:A,Banks!I:I,0)</f>
        <v>38884.404364141599</v>
      </c>
      <c r="F2454">
        <f>_xlfn.XLOOKUP(A2454,Energy!A:A,Energy!I:I,0)</f>
        <v>0</v>
      </c>
      <c r="G2454">
        <f t="shared" si="153"/>
        <v>38884.404364141599</v>
      </c>
      <c r="H2454">
        <f t="shared" si="154"/>
        <v>24400.641691639772</v>
      </c>
      <c r="I2454" t="b">
        <f t="shared" si="155"/>
        <v>0</v>
      </c>
    </row>
    <row r="2455" spans="1:9">
      <c r="A2455" s="1">
        <v>46141.717361111107</v>
      </c>
      <c r="B2455" s="5">
        <f>_xlfn.XLOOKUP(A2455,Banks!A:A,Banks!H:H,0,-1)</f>
        <v>3442.490620821628</v>
      </c>
      <c r="C2455">
        <f>_xlfn.XLOOKUP(A2455,Energy!A:A,Energy!H:H,0,-1)</f>
        <v>11041.2720516802</v>
      </c>
      <c r="D2455">
        <f t="shared" si="152"/>
        <v>14483.762672501827</v>
      </c>
      <c r="E2455">
        <f>_xlfn.XLOOKUP(A2455,Banks!A:A,Banks!I:I,0)</f>
        <v>38884.404364141599</v>
      </c>
      <c r="F2455">
        <f>_xlfn.XLOOKUP(A2455,Energy!A:A,Energy!I:I,0)</f>
        <v>0</v>
      </c>
      <c r="G2455">
        <f t="shared" si="153"/>
        <v>38884.404364141599</v>
      </c>
      <c r="H2455">
        <f t="shared" si="154"/>
        <v>24400.641691639772</v>
      </c>
      <c r="I2455" t="b">
        <f t="shared" si="155"/>
        <v>0</v>
      </c>
    </row>
    <row r="2456" spans="1:9">
      <c r="A2456" s="1">
        <v>46141.718055555553</v>
      </c>
      <c r="B2456" s="5">
        <f>_xlfn.XLOOKUP(A2456,Banks!A:A,Banks!H:H,0,-1)</f>
        <v>3406.4999783886542</v>
      </c>
      <c r="C2456">
        <f>_xlfn.XLOOKUP(A2456,Energy!A:A,Energy!H:H,0,-1)</f>
        <v>11041.2720516802</v>
      </c>
      <c r="D2456">
        <f t="shared" si="152"/>
        <v>14447.772030068854</v>
      </c>
      <c r="E2456">
        <f>_xlfn.XLOOKUP(A2456,Banks!A:A,Banks!I:I,0)</f>
        <v>38877.206235655001</v>
      </c>
      <c r="F2456">
        <f>_xlfn.XLOOKUP(A2456,Energy!A:A,Energy!I:I,0)</f>
        <v>0</v>
      </c>
      <c r="G2456">
        <f t="shared" si="153"/>
        <v>38877.206235655001</v>
      </c>
      <c r="H2456">
        <f t="shared" si="154"/>
        <v>24429.434205586149</v>
      </c>
      <c r="I2456" t="b">
        <f t="shared" si="155"/>
        <v>0</v>
      </c>
    </row>
    <row r="2457" spans="1:9">
      <c r="A2457" s="1">
        <v>46141.71875</v>
      </c>
      <c r="B2457" s="5">
        <f>_xlfn.XLOOKUP(A2457,Banks!A:A,Banks!H:H,0,-1)</f>
        <v>3478.4812632545882</v>
      </c>
      <c r="C2457">
        <f>_xlfn.XLOOKUP(A2457,Energy!A:A,Energy!H:H,0,-1)</f>
        <v>11041.2720516802</v>
      </c>
      <c r="D2457">
        <f t="shared" si="152"/>
        <v>14519.753314934787</v>
      </c>
      <c r="E2457">
        <f>_xlfn.XLOOKUP(A2457,Banks!A:A,Banks!I:I,0)</f>
        <v>38891.60249262819</v>
      </c>
      <c r="F2457">
        <f>_xlfn.XLOOKUP(A2457,Energy!A:A,Energy!I:I,0)</f>
        <v>0</v>
      </c>
      <c r="G2457">
        <f t="shared" si="153"/>
        <v>38891.60249262819</v>
      </c>
      <c r="H2457">
        <f t="shared" si="154"/>
        <v>24371.849177693402</v>
      </c>
      <c r="I2457" t="b">
        <f t="shared" si="155"/>
        <v>0</v>
      </c>
    </row>
    <row r="2458" spans="1:9">
      <c r="A2458" s="1">
        <v>46141.719444444447</v>
      </c>
      <c r="B2458" s="5">
        <f>_xlfn.XLOOKUP(A2458,Banks!A:A,Banks!H:H,0,-1)</f>
        <v>3570.22944431408</v>
      </c>
      <c r="C2458">
        <f>_xlfn.XLOOKUP(A2458,Energy!A:A,Energy!H:H,0,-1)</f>
        <v>11041.2720516802</v>
      </c>
      <c r="D2458">
        <f t="shared" si="152"/>
        <v>14611.50149599428</v>
      </c>
      <c r="E2458">
        <f>_xlfn.XLOOKUP(A2458,Banks!A:A,Banks!I:I,0)</f>
        <v>0</v>
      </c>
      <c r="F2458">
        <f>_xlfn.XLOOKUP(A2458,Energy!A:A,Energy!I:I,0)</f>
        <v>0</v>
      </c>
      <c r="G2458">
        <f t="shared" si="153"/>
        <v>0</v>
      </c>
      <c r="H2458">
        <f t="shared" si="154"/>
        <v>-14611.50149599428</v>
      </c>
      <c r="I2458" t="b">
        <f t="shared" si="155"/>
        <v>0</v>
      </c>
    </row>
    <row r="2459" spans="1:9">
      <c r="A2459" s="1">
        <v>46141.795138888891</v>
      </c>
      <c r="B2459" s="5">
        <f>_xlfn.XLOOKUP(A2459,Banks!A:A,Banks!H:H,0,-1)</f>
        <v>3570.22944431408</v>
      </c>
      <c r="C2459">
        <f>_xlfn.XLOOKUP(A2459,Energy!A:A,Energy!H:H,0,-1)</f>
        <v>11041.2720516802</v>
      </c>
      <c r="D2459">
        <f t="shared" si="152"/>
        <v>14611.50149599428</v>
      </c>
      <c r="E2459">
        <f>_xlfn.XLOOKUP(A2459,Banks!A:A,Banks!I:I,0)</f>
        <v>0</v>
      </c>
      <c r="F2459">
        <f>_xlfn.XLOOKUP(A2459,Energy!A:A,Energy!I:I,0)</f>
        <v>34257.357159723972</v>
      </c>
      <c r="G2459">
        <f t="shared" si="153"/>
        <v>34257.357159723972</v>
      </c>
      <c r="H2459">
        <f t="shared" si="154"/>
        <v>19645.855663729693</v>
      </c>
      <c r="I2459" t="b">
        <f t="shared" si="155"/>
        <v>0</v>
      </c>
    </row>
    <row r="2460" spans="1:9">
      <c r="A2460" s="1">
        <v>46141.79583333333</v>
      </c>
      <c r="B2460" s="5">
        <f>_xlfn.XLOOKUP(A2460,Banks!A:A,Banks!H:H,0,-1)</f>
        <v>3570.22944431408</v>
      </c>
      <c r="C2460">
        <f>_xlfn.XLOOKUP(A2460,Energy!A:A,Energy!H:H,0,-1)</f>
        <v>11065.7987283699</v>
      </c>
      <c r="D2460">
        <f t="shared" si="152"/>
        <v>14636.02817268398</v>
      </c>
      <c r="E2460">
        <f>_xlfn.XLOOKUP(A2460,Banks!A:A,Banks!I:I,0)</f>
        <v>0</v>
      </c>
      <c r="F2460">
        <f>_xlfn.XLOOKUP(A2460,Energy!A:A,Energy!I:I,0)</f>
        <v>34262.262495061907</v>
      </c>
      <c r="G2460">
        <f t="shared" si="153"/>
        <v>34262.262495061907</v>
      </c>
      <c r="H2460">
        <f t="shared" si="154"/>
        <v>19626.234322377924</v>
      </c>
      <c r="I2460" t="b">
        <f t="shared" si="155"/>
        <v>0</v>
      </c>
    </row>
    <row r="2461" spans="1:9">
      <c r="A2461" s="1">
        <v>46141.796527777777</v>
      </c>
      <c r="B2461" s="5">
        <f>_xlfn.XLOOKUP(A2461,Banks!A:A,Banks!H:H,0,-1)</f>
        <v>3570.22944431408</v>
      </c>
      <c r="C2461">
        <f>_xlfn.XLOOKUP(A2461,Energy!A:A,Energy!H:H,0,-1)</f>
        <v>11049.022748168711</v>
      </c>
      <c r="D2461">
        <f t="shared" si="152"/>
        <v>14619.252192482791</v>
      </c>
      <c r="E2461">
        <f>_xlfn.XLOOKUP(A2461,Banks!A:A,Banks!I:I,0)</f>
        <v>0</v>
      </c>
      <c r="F2461">
        <f>_xlfn.XLOOKUP(A2461,Energy!A:A,Energy!I:I,0)</f>
        <v>34267.252802881463</v>
      </c>
      <c r="G2461">
        <f t="shared" si="153"/>
        <v>34267.252802881463</v>
      </c>
      <c r="H2461">
        <f t="shared" si="154"/>
        <v>19648.000610398674</v>
      </c>
      <c r="I2461" t="b">
        <f t="shared" si="155"/>
        <v>0</v>
      </c>
    </row>
    <row r="2462" spans="1:9">
      <c r="A2462" s="1">
        <v>46141.797222222223</v>
      </c>
      <c r="B2462" s="5">
        <f>_xlfn.XLOOKUP(A2462,Banks!A:A,Banks!H:H,0,-1)</f>
        <v>3570.22944431408</v>
      </c>
      <c r="C2462">
        <f>_xlfn.XLOOKUP(A2462,Energy!A:A,Energy!H:H,0,-1)</f>
        <v>10980.512231251831</v>
      </c>
      <c r="D2462">
        <f t="shared" si="152"/>
        <v>14550.741675565911</v>
      </c>
      <c r="E2462">
        <f>_xlfn.XLOOKUP(A2462,Banks!A:A,Banks!I:I,0)</f>
        <v>0</v>
      </c>
      <c r="F2462">
        <f>_xlfn.XLOOKUP(A2462,Energy!A:A,Energy!I:I,0)</f>
        <v>34274.414459147592</v>
      </c>
      <c r="G2462">
        <f t="shared" si="153"/>
        <v>34274.414459147592</v>
      </c>
      <c r="H2462">
        <f t="shared" si="154"/>
        <v>19723.672783581682</v>
      </c>
      <c r="I2462" t="b">
        <f t="shared" si="155"/>
        <v>0</v>
      </c>
    </row>
    <row r="2463" spans="1:9">
      <c r="A2463" s="1">
        <v>46141.79791666667</v>
      </c>
      <c r="B2463" s="5">
        <f>_xlfn.XLOOKUP(A2463,Banks!A:A,Banks!H:H,0,-1)</f>
        <v>3570.22944431408</v>
      </c>
      <c r="C2463">
        <f>_xlfn.XLOOKUP(A2463,Energy!A:A,Energy!H:H,0,-1)</f>
        <v>10953.80244701403</v>
      </c>
      <c r="D2463">
        <f t="shared" si="152"/>
        <v>14524.03189132811</v>
      </c>
      <c r="E2463">
        <f>_xlfn.XLOOKUP(A2463,Banks!A:A,Banks!I:I,0)</f>
        <v>0</v>
      </c>
      <c r="F2463">
        <f>_xlfn.XLOOKUP(A2463,Energy!A:A,Energy!I:I,0)</f>
        <v>34261.770186422698</v>
      </c>
      <c r="G2463">
        <f t="shared" si="153"/>
        <v>34261.770186422698</v>
      </c>
      <c r="H2463">
        <f t="shared" si="154"/>
        <v>19737.73829509459</v>
      </c>
      <c r="I2463" t="b">
        <f t="shared" si="155"/>
        <v>0</v>
      </c>
    </row>
    <row r="2464" spans="1:9">
      <c r="A2464" s="1">
        <v>46141.798611111109</v>
      </c>
      <c r="B2464" s="5">
        <f>_xlfn.XLOOKUP(A2464,Banks!A:A,Banks!H:H,0,-1)</f>
        <v>3570.22944431408</v>
      </c>
      <c r="C2464">
        <f>_xlfn.XLOOKUP(A2464,Energy!A:A,Energy!H:H,0,-1)</f>
        <v>10953.80244701403</v>
      </c>
      <c r="D2464">
        <f t="shared" si="152"/>
        <v>14524.03189132811</v>
      </c>
      <c r="E2464">
        <f>_xlfn.XLOOKUP(A2464,Banks!A:A,Banks!I:I,0)</f>
        <v>0</v>
      </c>
      <c r="F2464">
        <f>_xlfn.XLOOKUP(A2464,Energy!A:A,Energy!I:I,0)</f>
        <v>34261.770186422698</v>
      </c>
      <c r="G2464">
        <f t="shared" si="153"/>
        <v>34261.770186422698</v>
      </c>
      <c r="H2464">
        <f t="shared" si="154"/>
        <v>19737.73829509459</v>
      </c>
      <c r="I2464" t="b">
        <f t="shared" si="155"/>
        <v>0</v>
      </c>
    </row>
    <row r="2465" spans="1:9">
      <c r="A2465" s="1">
        <v>46141.799305555563</v>
      </c>
      <c r="B2465" s="5">
        <f>_xlfn.XLOOKUP(A2465,Banks!A:A,Banks!H:H,0,-1)</f>
        <v>3570.22944431408</v>
      </c>
      <c r="C2465">
        <f>_xlfn.XLOOKUP(A2465,Energy!A:A,Energy!H:H,0,-1)</f>
        <v>10777.038988097711</v>
      </c>
      <c r="D2465">
        <f t="shared" si="152"/>
        <v>14347.268432411791</v>
      </c>
      <c r="E2465">
        <f>_xlfn.XLOOKUP(A2465,Banks!A:A,Banks!I:I,0)</f>
        <v>0</v>
      </c>
      <c r="F2465">
        <f>_xlfn.XLOOKUP(A2465,Energy!A:A,Energy!I:I,0)</f>
        <v>34235.806186481706</v>
      </c>
      <c r="G2465">
        <f t="shared" si="153"/>
        <v>34235.806186481706</v>
      </c>
      <c r="H2465">
        <f t="shared" si="154"/>
        <v>19888.537754069916</v>
      </c>
      <c r="I2465" t="b">
        <f t="shared" si="155"/>
        <v>0</v>
      </c>
    </row>
    <row r="2466" spans="1:9">
      <c r="A2466" s="1">
        <v>46141.8</v>
      </c>
      <c r="B2466" s="5">
        <f>_xlfn.XLOOKUP(A2466,Banks!A:A,Banks!H:H,0,-1)</f>
        <v>3570.22944431408</v>
      </c>
      <c r="C2466">
        <f>_xlfn.XLOOKUP(A2466,Energy!A:A,Energy!H:H,0,-1)</f>
        <v>10813.55056748431</v>
      </c>
      <c r="D2466">
        <f t="shared" si="152"/>
        <v>14383.78001179839</v>
      </c>
      <c r="E2466">
        <f>_xlfn.XLOOKUP(A2466,Banks!A:A,Banks!I:I,0)</f>
        <v>0</v>
      </c>
      <c r="F2466">
        <f>_xlfn.XLOOKUP(A2466,Energy!A:A,Energy!I:I,0)</f>
        <v>34228.503870604392</v>
      </c>
      <c r="G2466">
        <f t="shared" si="153"/>
        <v>34228.503870604392</v>
      </c>
      <c r="H2466">
        <f t="shared" si="154"/>
        <v>19844.723858806003</v>
      </c>
      <c r="I2466" t="b">
        <f t="shared" si="155"/>
        <v>0</v>
      </c>
    </row>
    <row r="2467" spans="1:9">
      <c r="A2467" s="1">
        <v>46141.800694444442</v>
      </c>
      <c r="B2467" s="5">
        <f>_xlfn.XLOOKUP(A2467,Banks!A:A,Banks!H:H,0,-1)</f>
        <v>3570.22944431408</v>
      </c>
      <c r="C2467">
        <f>_xlfn.XLOOKUP(A2467,Energy!A:A,Energy!H:H,0,-1)</f>
        <v>10727.216332218381</v>
      </c>
      <c r="D2467">
        <f t="shared" si="152"/>
        <v>14297.445776532461</v>
      </c>
      <c r="E2467">
        <f>_xlfn.XLOOKUP(A2467,Banks!A:A,Banks!I:I,0)</f>
        <v>0</v>
      </c>
      <c r="F2467">
        <f>_xlfn.XLOOKUP(A2467,Energy!A:A,Energy!I:I,0)</f>
        <v>34200.805143726451</v>
      </c>
      <c r="G2467">
        <f t="shared" si="153"/>
        <v>34200.805143726451</v>
      </c>
      <c r="H2467">
        <f t="shared" si="154"/>
        <v>19903.359367193989</v>
      </c>
      <c r="I2467" t="b">
        <f t="shared" si="155"/>
        <v>0</v>
      </c>
    </row>
    <row r="2468" spans="1:9">
      <c r="A2468" s="1">
        <v>46141.801388888889</v>
      </c>
      <c r="B2468" s="5">
        <f>_xlfn.XLOOKUP(A2468,Banks!A:A,Banks!H:H,0,-1)</f>
        <v>3570.22944431408</v>
      </c>
      <c r="C2468">
        <f>_xlfn.XLOOKUP(A2468,Energy!A:A,Energy!H:H,0,-1)</f>
        <v>10687.95756505162</v>
      </c>
      <c r="D2468">
        <f t="shared" si="152"/>
        <v>14258.1870093657</v>
      </c>
      <c r="E2468">
        <f>_xlfn.XLOOKUP(A2468,Banks!A:A,Banks!I:I,0)</f>
        <v>0</v>
      </c>
      <c r="F2468">
        <f>_xlfn.XLOOKUP(A2468,Energy!A:A,Energy!I:I,0)</f>
        <v>34201.298894152889</v>
      </c>
      <c r="G2468">
        <f t="shared" si="153"/>
        <v>34201.298894152889</v>
      </c>
      <c r="H2468">
        <f t="shared" si="154"/>
        <v>19943.111884787191</v>
      </c>
      <c r="I2468" t="b">
        <f t="shared" si="155"/>
        <v>0</v>
      </c>
    </row>
    <row r="2469" spans="1:9">
      <c r="A2469" s="1">
        <v>46141.802083333343</v>
      </c>
      <c r="B2469" s="5">
        <f>_xlfn.XLOOKUP(A2469,Banks!A:A,Banks!H:H,0,-1)</f>
        <v>3570.22944431408</v>
      </c>
      <c r="C2469">
        <f>_xlfn.XLOOKUP(A2469,Energy!A:A,Energy!H:H,0,-1)</f>
        <v>10611.77677396246</v>
      </c>
      <c r="D2469">
        <f t="shared" si="152"/>
        <v>14182.00621827654</v>
      </c>
      <c r="E2469">
        <f>_xlfn.XLOOKUP(A2469,Banks!A:A,Banks!I:I,0)</f>
        <v>0</v>
      </c>
      <c r="F2469">
        <f>_xlfn.XLOOKUP(A2469,Energy!A:A,Energy!I:I,0)</f>
        <v>34156.853472425777</v>
      </c>
      <c r="G2469">
        <f t="shared" si="153"/>
        <v>34156.853472425777</v>
      </c>
      <c r="H2469">
        <f t="shared" si="154"/>
        <v>19974.847254149237</v>
      </c>
      <c r="I2469" t="b">
        <f t="shared" si="155"/>
        <v>0</v>
      </c>
    </row>
    <row r="2470" spans="1:9">
      <c r="A2470" s="1">
        <v>46141.802777777782</v>
      </c>
      <c r="B2470" s="5">
        <f>_xlfn.XLOOKUP(A2470,Banks!A:A,Banks!H:H,0,-1)</f>
        <v>3570.22944431408</v>
      </c>
      <c r="C2470">
        <f>_xlfn.XLOOKUP(A2470,Energy!A:A,Energy!H:H,0,-1)</f>
        <v>10681.34223796335</v>
      </c>
      <c r="D2470">
        <f t="shared" si="152"/>
        <v>14251.57168227743</v>
      </c>
      <c r="E2470">
        <f>_xlfn.XLOOKUP(A2470,Banks!A:A,Banks!I:I,0)</f>
        <v>0</v>
      </c>
      <c r="F2470">
        <f>_xlfn.XLOOKUP(A2470,Energy!A:A,Energy!I:I,0)</f>
        <v>34159.291497418737</v>
      </c>
      <c r="G2470">
        <f t="shared" si="153"/>
        <v>34159.291497418737</v>
      </c>
      <c r="H2470">
        <f t="shared" si="154"/>
        <v>19907.719815141307</v>
      </c>
      <c r="I2470" t="b">
        <f t="shared" si="155"/>
        <v>0</v>
      </c>
    </row>
    <row r="2471" spans="1:9">
      <c r="A2471" s="1">
        <v>46141.803472222222</v>
      </c>
      <c r="B2471" s="5">
        <f>_xlfn.XLOOKUP(A2471,Banks!A:A,Banks!H:H,0,-1)</f>
        <v>3570.22944431408</v>
      </c>
      <c r="C2471">
        <f>_xlfn.XLOOKUP(A2471,Energy!A:A,Energy!H:H,0,-1)</f>
        <v>10762.81939128108</v>
      </c>
      <c r="D2471">
        <f t="shared" si="152"/>
        <v>14333.04883559516</v>
      </c>
      <c r="E2471">
        <f>_xlfn.XLOOKUP(A2471,Banks!A:A,Banks!I:I,0)</f>
        <v>0</v>
      </c>
      <c r="F2471">
        <f>_xlfn.XLOOKUP(A2471,Energy!A:A,Energy!I:I,0)</f>
        <v>34160.982296327653</v>
      </c>
      <c r="G2471">
        <f t="shared" si="153"/>
        <v>34160.982296327653</v>
      </c>
      <c r="H2471">
        <f t="shared" si="154"/>
        <v>19827.933460732493</v>
      </c>
      <c r="I2471" t="b">
        <f t="shared" si="155"/>
        <v>0</v>
      </c>
    </row>
    <row r="2472" spans="1:9">
      <c r="A2472" s="1">
        <v>46141.804166666669</v>
      </c>
      <c r="B2472" s="5">
        <f>_xlfn.XLOOKUP(A2472,Banks!A:A,Banks!H:H,0,-1)</f>
        <v>3570.22944431408</v>
      </c>
      <c r="C2472">
        <f>_xlfn.XLOOKUP(A2472,Energy!A:A,Energy!H:H,0,-1)</f>
        <v>10775.859241062009</v>
      </c>
      <c r="D2472">
        <f t="shared" si="152"/>
        <v>14346.088685376089</v>
      </c>
      <c r="E2472">
        <f>_xlfn.XLOOKUP(A2472,Banks!A:A,Banks!I:I,0)</f>
        <v>0</v>
      </c>
      <c r="F2472">
        <f>_xlfn.XLOOKUP(A2472,Energy!A:A,Energy!I:I,0)</f>
        <v>34158.374326371457</v>
      </c>
      <c r="G2472">
        <f t="shared" si="153"/>
        <v>34158.374326371457</v>
      </c>
      <c r="H2472">
        <f t="shared" si="154"/>
        <v>19812.285640995367</v>
      </c>
      <c r="I2472" t="b">
        <f t="shared" si="155"/>
        <v>0</v>
      </c>
    </row>
    <row r="2473" spans="1:9">
      <c r="A2473" s="1">
        <v>46141.804861111108</v>
      </c>
      <c r="B2473" s="5">
        <f>_xlfn.XLOOKUP(A2473,Banks!A:A,Banks!H:H,0,-1)</f>
        <v>3570.22944431408</v>
      </c>
      <c r="C2473">
        <f>_xlfn.XLOOKUP(A2473,Energy!A:A,Energy!H:H,0,-1)</f>
        <v>10640.96251926864</v>
      </c>
      <c r="D2473">
        <f t="shared" si="152"/>
        <v>14211.19196358272</v>
      </c>
      <c r="E2473">
        <f>_xlfn.XLOOKUP(A2473,Banks!A:A,Banks!I:I,0)</f>
        <v>0</v>
      </c>
      <c r="F2473">
        <f>_xlfn.XLOOKUP(A2473,Energy!A:A,Energy!I:I,0)</f>
        <v>34131.394982012782</v>
      </c>
      <c r="G2473">
        <f t="shared" si="153"/>
        <v>34131.394982012782</v>
      </c>
      <c r="H2473">
        <f t="shared" si="154"/>
        <v>19920.20301843006</v>
      </c>
      <c r="I2473" t="b">
        <f t="shared" si="155"/>
        <v>0</v>
      </c>
    </row>
    <row r="2474" spans="1:9">
      <c r="A2474" s="1">
        <v>46141.805555555547</v>
      </c>
      <c r="B2474" s="5">
        <f>_xlfn.XLOOKUP(A2474,Banks!A:A,Banks!H:H,0,-1)</f>
        <v>3570.22944431408</v>
      </c>
      <c r="C2474">
        <f>_xlfn.XLOOKUP(A2474,Energy!A:A,Energy!H:H,0,-1)</f>
        <v>10659.07909113797</v>
      </c>
      <c r="D2474">
        <f t="shared" si="152"/>
        <v>14229.30853545205</v>
      </c>
      <c r="E2474">
        <f>_xlfn.XLOOKUP(A2474,Banks!A:A,Banks!I:I,0)</f>
        <v>0</v>
      </c>
      <c r="F2474">
        <f>_xlfn.XLOOKUP(A2474,Energy!A:A,Energy!I:I,0)</f>
        <v>34120.413664631997</v>
      </c>
      <c r="G2474">
        <f t="shared" si="153"/>
        <v>34120.413664631997</v>
      </c>
      <c r="H2474">
        <f t="shared" si="154"/>
        <v>19891.105129179945</v>
      </c>
      <c r="I2474" t="b">
        <f t="shared" si="155"/>
        <v>0</v>
      </c>
    </row>
    <row r="2475" spans="1:9">
      <c r="A2475" s="1">
        <v>46141.806250000001</v>
      </c>
      <c r="B2475" s="5">
        <f>_xlfn.XLOOKUP(A2475,Banks!A:A,Banks!H:H,0,-1)</f>
        <v>3570.22944431408</v>
      </c>
      <c r="C2475">
        <f>_xlfn.XLOOKUP(A2475,Energy!A:A,Energy!H:H,0,-1)</f>
        <v>10659.07909113797</v>
      </c>
      <c r="D2475">
        <f t="shared" si="152"/>
        <v>14229.30853545205</v>
      </c>
      <c r="E2475">
        <f>_xlfn.XLOOKUP(A2475,Banks!A:A,Banks!I:I,0)</f>
        <v>0</v>
      </c>
      <c r="F2475">
        <f>_xlfn.XLOOKUP(A2475,Energy!A:A,Energy!I:I,0)</f>
        <v>34120.413664631997</v>
      </c>
      <c r="G2475">
        <f t="shared" si="153"/>
        <v>34120.413664631997</v>
      </c>
      <c r="H2475">
        <f t="shared" si="154"/>
        <v>19891.105129179945</v>
      </c>
      <c r="I2475" t="b">
        <f t="shared" si="155"/>
        <v>0</v>
      </c>
    </row>
    <row r="2476" spans="1:9">
      <c r="A2476" s="1">
        <v>46141.806944444441</v>
      </c>
      <c r="B2476" s="5">
        <f>_xlfn.XLOOKUP(A2476,Banks!A:A,Banks!H:H,0,-1)</f>
        <v>3570.22944431408</v>
      </c>
      <c r="C2476">
        <f>_xlfn.XLOOKUP(A2476,Energy!A:A,Energy!H:H,0,-1)</f>
        <v>10522.416915268421</v>
      </c>
      <c r="D2476">
        <f t="shared" si="152"/>
        <v>14092.646359582501</v>
      </c>
      <c r="E2476">
        <f>_xlfn.XLOOKUP(A2476,Banks!A:A,Banks!I:I,0)</f>
        <v>0</v>
      </c>
      <c r="F2476">
        <f>_xlfn.XLOOKUP(A2476,Energy!A:A,Energy!I:I,0)</f>
        <v>34107.68586121274</v>
      </c>
      <c r="G2476">
        <f t="shared" si="153"/>
        <v>34107.68586121274</v>
      </c>
      <c r="H2476">
        <f t="shared" si="154"/>
        <v>20015.039501630239</v>
      </c>
      <c r="I2476" t="b">
        <f t="shared" si="155"/>
        <v>0</v>
      </c>
    </row>
    <row r="2477" spans="1:9">
      <c r="A2477" s="1">
        <v>46141.807638888888</v>
      </c>
      <c r="B2477" s="5">
        <f>_xlfn.XLOOKUP(A2477,Banks!A:A,Banks!H:H,0,-1)</f>
        <v>3570.22944431408</v>
      </c>
      <c r="C2477">
        <f>_xlfn.XLOOKUP(A2477,Energy!A:A,Energy!H:H,0,-1)</f>
        <v>10606.07717613426</v>
      </c>
      <c r="D2477">
        <f t="shared" si="152"/>
        <v>14176.30662044834</v>
      </c>
      <c r="E2477">
        <f>_xlfn.XLOOKUP(A2477,Banks!A:A,Banks!I:I,0)</f>
        <v>0</v>
      </c>
      <c r="F2477">
        <f>_xlfn.XLOOKUP(A2477,Energy!A:A,Energy!I:I,0)</f>
        <v>34117.115597508579</v>
      </c>
      <c r="G2477">
        <f t="shared" si="153"/>
        <v>34117.115597508579</v>
      </c>
      <c r="H2477">
        <f t="shared" si="154"/>
        <v>19940.808977060238</v>
      </c>
      <c r="I2477" t="b">
        <f t="shared" si="155"/>
        <v>0</v>
      </c>
    </row>
    <row r="2478" spans="1:9">
      <c r="A2478" s="1">
        <v>46141.808333333327</v>
      </c>
      <c r="B2478" s="5">
        <f>_xlfn.XLOOKUP(A2478,Banks!A:A,Banks!H:H,0,-1)</f>
        <v>3570.22944431408</v>
      </c>
      <c r="C2478">
        <f>_xlfn.XLOOKUP(A2478,Energy!A:A,Energy!H:H,0,-1)</f>
        <v>10632.435311344059</v>
      </c>
      <c r="D2478">
        <f t="shared" si="152"/>
        <v>14202.664755658139</v>
      </c>
      <c r="E2478">
        <f>_xlfn.XLOOKUP(A2478,Banks!A:A,Banks!I:I,0)</f>
        <v>0</v>
      </c>
      <c r="F2478">
        <f>_xlfn.XLOOKUP(A2478,Energy!A:A,Energy!I:I,0)</f>
        <v>34126.55997648045</v>
      </c>
      <c r="G2478">
        <f t="shared" si="153"/>
        <v>34126.55997648045</v>
      </c>
      <c r="H2478">
        <f t="shared" si="154"/>
        <v>19923.895220822313</v>
      </c>
      <c r="I2478" t="b">
        <f t="shared" si="155"/>
        <v>0</v>
      </c>
    </row>
    <row r="2479" spans="1:9">
      <c r="A2479" s="1">
        <v>46141.809027777781</v>
      </c>
      <c r="B2479" s="5">
        <f>_xlfn.XLOOKUP(A2479,Banks!A:A,Banks!H:H,0,-1)</f>
        <v>3570.22944431408</v>
      </c>
      <c r="C2479">
        <f>_xlfn.XLOOKUP(A2479,Energy!A:A,Energy!H:H,0,-1)</f>
        <v>10628.13510069175</v>
      </c>
      <c r="D2479">
        <f t="shared" si="152"/>
        <v>14198.36454500583</v>
      </c>
      <c r="E2479">
        <f>_xlfn.XLOOKUP(A2479,Banks!A:A,Banks!I:I,0)</f>
        <v>0</v>
      </c>
      <c r="F2479">
        <f>_xlfn.XLOOKUP(A2479,Energy!A:A,Energy!I:I,0)</f>
        <v>34129.872686279872</v>
      </c>
      <c r="G2479">
        <f t="shared" si="153"/>
        <v>34129.872686279872</v>
      </c>
      <c r="H2479">
        <f t="shared" si="154"/>
        <v>19931.50814127404</v>
      </c>
      <c r="I2479" t="b">
        <f t="shared" si="155"/>
        <v>0</v>
      </c>
    </row>
    <row r="2480" spans="1:9">
      <c r="A2480" s="1">
        <v>46141.80972222222</v>
      </c>
      <c r="B2480" s="5">
        <f>_xlfn.XLOOKUP(A2480,Banks!A:A,Banks!H:H,0,-1)</f>
        <v>3570.22944431408</v>
      </c>
      <c r="C2480">
        <f>_xlfn.XLOOKUP(A2480,Energy!A:A,Energy!H:H,0,-1)</f>
        <v>10588.94954690504</v>
      </c>
      <c r="D2480">
        <f t="shared" si="152"/>
        <v>14159.17899121912</v>
      </c>
      <c r="E2480">
        <f>_xlfn.XLOOKUP(A2480,Banks!A:A,Banks!I:I,0)</f>
        <v>0</v>
      </c>
      <c r="F2480">
        <f>_xlfn.XLOOKUP(A2480,Energy!A:A,Energy!I:I,0)</f>
        <v>34118.906011575113</v>
      </c>
      <c r="G2480">
        <f t="shared" si="153"/>
        <v>34118.906011575113</v>
      </c>
      <c r="H2480">
        <f t="shared" si="154"/>
        <v>19959.727020355993</v>
      </c>
      <c r="I2480" t="b">
        <f t="shared" si="155"/>
        <v>0</v>
      </c>
    </row>
    <row r="2481" spans="1:9">
      <c r="A2481" s="1">
        <v>46141.810416666667</v>
      </c>
      <c r="B2481" s="5">
        <f>_xlfn.XLOOKUP(A2481,Banks!A:A,Banks!H:H,0,-1)</f>
        <v>3570.22944431408</v>
      </c>
      <c r="C2481">
        <f>_xlfn.XLOOKUP(A2481,Energy!A:A,Energy!H:H,0,-1)</f>
        <v>10517.200975356051</v>
      </c>
      <c r="D2481">
        <f t="shared" si="152"/>
        <v>14087.430419670131</v>
      </c>
      <c r="E2481">
        <f>_xlfn.XLOOKUP(A2481,Banks!A:A,Banks!I:I,0)</f>
        <v>0</v>
      </c>
      <c r="F2481">
        <f>_xlfn.XLOOKUP(A2481,Energy!A:A,Energy!I:I,0)</f>
        <v>34108.729049195208</v>
      </c>
      <c r="G2481">
        <f t="shared" si="153"/>
        <v>34108.729049195208</v>
      </c>
      <c r="H2481">
        <f t="shared" si="154"/>
        <v>20021.298629525078</v>
      </c>
      <c r="I2481" t="b">
        <f t="shared" si="155"/>
        <v>0</v>
      </c>
    </row>
    <row r="2482" spans="1:9">
      <c r="A2482" s="1">
        <v>46141.811111111107</v>
      </c>
      <c r="B2482" s="5">
        <f>_xlfn.XLOOKUP(A2482,Banks!A:A,Banks!H:H,0,-1)</f>
        <v>3570.22944431408</v>
      </c>
      <c r="C2482">
        <f>_xlfn.XLOOKUP(A2482,Energy!A:A,Energy!H:H,0,-1)</f>
        <v>10506.769095531299</v>
      </c>
      <c r="D2482">
        <f t="shared" si="152"/>
        <v>14076.998539845379</v>
      </c>
      <c r="E2482">
        <f>_xlfn.XLOOKUP(A2482,Banks!A:A,Banks!I:I,0)</f>
        <v>0</v>
      </c>
      <c r="F2482">
        <f>_xlfn.XLOOKUP(A2482,Energy!A:A,Energy!I:I,0)</f>
        <v>34110.815425160159</v>
      </c>
      <c r="G2482">
        <f t="shared" si="153"/>
        <v>34110.815425160159</v>
      </c>
      <c r="H2482">
        <f t="shared" si="154"/>
        <v>20033.81688531478</v>
      </c>
      <c r="I2482" t="b">
        <f t="shared" si="155"/>
        <v>0</v>
      </c>
    </row>
    <row r="2483" spans="1:9">
      <c r="A2483" s="1">
        <v>46141.811805555553</v>
      </c>
      <c r="B2483" s="5">
        <f>_xlfn.XLOOKUP(A2483,Banks!A:A,Banks!H:H,0,-1)</f>
        <v>3570.22944431408</v>
      </c>
      <c r="C2483">
        <f>_xlfn.XLOOKUP(A2483,Energy!A:A,Energy!H:H,0,-1)</f>
        <v>10480.68939596943</v>
      </c>
      <c r="D2483">
        <f t="shared" si="152"/>
        <v>14050.91884028351</v>
      </c>
      <c r="E2483">
        <f>_xlfn.XLOOKUP(A2483,Banks!A:A,Banks!I:I,0)</f>
        <v>0</v>
      </c>
      <c r="F2483">
        <f>_xlfn.XLOOKUP(A2483,Energy!A:A,Energy!I:I,0)</f>
        <v>34116.031365072529</v>
      </c>
      <c r="G2483">
        <f t="shared" si="153"/>
        <v>34116.031365072529</v>
      </c>
      <c r="H2483">
        <f t="shared" si="154"/>
        <v>20065.11252478902</v>
      </c>
      <c r="I2483" t="b">
        <f t="shared" si="155"/>
        <v>0</v>
      </c>
    </row>
    <row r="2484" spans="1:9">
      <c r="A2484" s="1">
        <v>46141.8125</v>
      </c>
      <c r="B2484" s="5">
        <f>_xlfn.XLOOKUP(A2484,Banks!A:A,Banks!H:H,0,-1)</f>
        <v>3570.22944431408</v>
      </c>
      <c r="C2484">
        <f>_xlfn.XLOOKUP(A2484,Energy!A:A,Energy!H:H,0,-1)</f>
        <v>10526.358267956581</v>
      </c>
      <c r="D2484">
        <f t="shared" si="152"/>
        <v>14096.587712270661</v>
      </c>
      <c r="E2484">
        <f>_xlfn.XLOOKUP(A2484,Banks!A:A,Banks!I:I,0)</f>
        <v>0</v>
      </c>
      <c r="F2484">
        <f>_xlfn.XLOOKUP(A2484,Energy!A:A,Energy!I:I,0)</f>
        <v>34131.424267364797</v>
      </c>
      <c r="G2484">
        <f t="shared" si="153"/>
        <v>34131.424267364797</v>
      </c>
      <c r="H2484">
        <f t="shared" si="154"/>
        <v>20034.836555094138</v>
      </c>
      <c r="I2484" t="b">
        <f t="shared" si="155"/>
        <v>0</v>
      </c>
    </row>
    <row r="2485" spans="1:9">
      <c r="A2485" s="1">
        <v>46141.813194444447</v>
      </c>
      <c r="B2485" s="5">
        <f>_xlfn.XLOOKUP(A2485,Banks!A:A,Banks!H:H,0,-1)</f>
        <v>3570.22944431408</v>
      </c>
      <c r="C2485">
        <f>_xlfn.XLOOKUP(A2485,Energy!A:A,Energy!H:H,0,-1)</f>
        <v>10513.67006720365</v>
      </c>
      <c r="D2485">
        <f t="shared" si="152"/>
        <v>14083.899511517729</v>
      </c>
      <c r="E2485">
        <f>_xlfn.XLOOKUP(A2485,Banks!A:A,Banks!I:I,0)</f>
        <v>0</v>
      </c>
      <c r="F2485">
        <f>_xlfn.XLOOKUP(A2485,Energy!A:A,Energy!I:I,0)</f>
        <v>34137.232131074023</v>
      </c>
      <c r="G2485">
        <f t="shared" si="153"/>
        <v>34137.232131074023</v>
      </c>
      <c r="H2485">
        <f t="shared" si="154"/>
        <v>20053.332619556291</v>
      </c>
      <c r="I2485" t="b">
        <f t="shared" si="155"/>
        <v>0</v>
      </c>
    </row>
    <row r="2486" spans="1:9">
      <c r="A2486" s="1">
        <v>46141.813888888893</v>
      </c>
      <c r="B2486" s="5">
        <f>_xlfn.XLOOKUP(A2486,Banks!A:A,Banks!H:H,0,-1)</f>
        <v>3570.22944431408</v>
      </c>
      <c r="C2486">
        <f>_xlfn.XLOOKUP(A2486,Energy!A:A,Energy!H:H,0,-1)</f>
        <v>10352.41521020049</v>
      </c>
      <c r="D2486">
        <f t="shared" si="152"/>
        <v>13922.64465451457</v>
      </c>
      <c r="E2486">
        <f>_xlfn.XLOOKUP(A2486,Banks!A:A,Banks!I:I,0)</f>
        <v>0</v>
      </c>
      <c r="F2486">
        <f>_xlfn.XLOOKUP(A2486,Energy!A:A,Energy!I:I,0)</f>
        <v>34100.808407743483</v>
      </c>
      <c r="G2486">
        <f t="shared" si="153"/>
        <v>34100.808407743483</v>
      </c>
      <c r="H2486">
        <f t="shared" si="154"/>
        <v>20178.163753228913</v>
      </c>
      <c r="I2486" t="b">
        <f t="shared" si="155"/>
        <v>0</v>
      </c>
    </row>
    <row r="2487" spans="1:9">
      <c r="A2487" s="1">
        <v>46141.814583333333</v>
      </c>
      <c r="B2487" s="5">
        <f>_xlfn.XLOOKUP(A2487,Banks!A:A,Banks!H:H,0,-1)</f>
        <v>3570.22944431408</v>
      </c>
      <c r="C2487">
        <f>_xlfn.XLOOKUP(A2487,Energy!A:A,Energy!H:H,0,-1)</f>
        <v>10315.625195165931</v>
      </c>
      <c r="D2487">
        <f t="shared" si="152"/>
        <v>13885.854639480011</v>
      </c>
      <c r="E2487">
        <f>_xlfn.XLOOKUP(A2487,Banks!A:A,Banks!I:I,0)</f>
        <v>0</v>
      </c>
      <c r="F2487">
        <f>_xlfn.XLOOKUP(A2487,Energy!A:A,Energy!I:I,0)</f>
        <v>34093.450404736577</v>
      </c>
      <c r="G2487">
        <f t="shared" si="153"/>
        <v>34093.450404736577</v>
      </c>
      <c r="H2487">
        <f t="shared" si="154"/>
        <v>20207.595765256567</v>
      </c>
      <c r="I2487" t="b">
        <f t="shared" si="155"/>
        <v>0</v>
      </c>
    </row>
    <row r="2488" spans="1:9">
      <c r="A2488" s="1">
        <v>46141.81527777778</v>
      </c>
      <c r="B2488" s="5">
        <f>_xlfn.XLOOKUP(A2488,Banks!A:A,Banks!H:H,0,-1)</f>
        <v>3570.22944431408</v>
      </c>
      <c r="C2488">
        <f>_xlfn.XLOOKUP(A2488,Energy!A:A,Energy!H:H,0,-1)</f>
        <v>10367.784594289649</v>
      </c>
      <c r="D2488">
        <f t="shared" si="152"/>
        <v>13938.014038603729</v>
      </c>
      <c r="E2488">
        <f>_xlfn.XLOOKUP(A2488,Banks!A:A,Banks!I:I,0)</f>
        <v>0</v>
      </c>
      <c r="F2488">
        <f>_xlfn.XLOOKUP(A2488,Energy!A:A,Energy!I:I,0)</f>
        <v>34083.018524911829</v>
      </c>
      <c r="G2488">
        <f t="shared" si="153"/>
        <v>34083.018524911829</v>
      </c>
      <c r="H2488">
        <f t="shared" si="154"/>
        <v>20145.004486308098</v>
      </c>
      <c r="I2488" t="b">
        <f t="shared" si="155"/>
        <v>0</v>
      </c>
    </row>
    <row r="2489" spans="1:9">
      <c r="A2489" s="1">
        <v>46141.815972222219</v>
      </c>
      <c r="B2489" s="5">
        <f>_xlfn.XLOOKUP(A2489,Banks!A:A,Banks!H:H,0,-1)</f>
        <v>3570.22944431408</v>
      </c>
      <c r="C2489">
        <f>_xlfn.XLOOKUP(A2489,Energy!A:A,Energy!H:H,0,-1)</f>
        <v>10419.66555776542</v>
      </c>
      <c r="D2489">
        <f t="shared" si="152"/>
        <v>13989.8950020795</v>
      </c>
      <c r="E2489">
        <f>_xlfn.XLOOKUP(A2489,Banks!A:A,Banks!I:I,0)</f>
        <v>0</v>
      </c>
      <c r="F2489">
        <f>_xlfn.XLOOKUP(A2489,Energy!A:A,Energy!I:I,0)</f>
        <v>34057.926326202862</v>
      </c>
      <c r="G2489">
        <f t="shared" si="153"/>
        <v>34057.926326202862</v>
      </c>
      <c r="H2489">
        <f t="shared" si="154"/>
        <v>20068.03132412336</v>
      </c>
      <c r="I2489" t="b">
        <f t="shared" si="155"/>
        <v>0</v>
      </c>
    </row>
    <row r="2490" spans="1:9">
      <c r="A2490" s="1">
        <v>46141.816666666673</v>
      </c>
      <c r="B2490" s="5">
        <f>_xlfn.XLOOKUP(A2490,Banks!A:A,Banks!H:H,0,-1)</f>
        <v>3570.22944431408</v>
      </c>
      <c r="C2490">
        <f>_xlfn.XLOOKUP(A2490,Energy!A:A,Energy!H:H,0,-1)</f>
        <v>10351.30146760869</v>
      </c>
      <c r="D2490">
        <f t="shared" si="152"/>
        <v>13921.53091192277</v>
      </c>
      <c r="E2490">
        <f>_xlfn.XLOOKUP(A2490,Banks!A:A,Banks!I:I,0)</f>
        <v>0</v>
      </c>
      <c r="F2490">
        <f>_xlfn.XLOOKUP(A2490,Energy!A:A,Energy!I:I,0)</f>
        <v>34042.167132206552</v>
      </c>
      <c r="G2490">
        <f t="shared" si="153"/>
        <v>34042.167132206552</v>
      </c>
      <c r="H2490">
        <f t="shared" si="154"/>
        <v>20120.636220283784</v>
      </c>
      <c r="I2490" t="b">
        <f t="shared" si="155"/>
        <v>0</v>
      </c>
    </row>
    <row r="2491" spans="1:9">
      <c r="A2491" s="1">
        <v>46141.817361111112</v>
      </c>
      <c r="B2491" s="5">
        <f>_xlfn.XLOOKUP(A2491,Banks!A:A,Banks!H:H,0,-1)</f>
        <v>3570.22944431408</v>
      </c>
      <c r="C2491">
        <f>_xlfn.XLOOKUP(A2491,Energy!A:A,Energy!H:H,0,-1)</f>
        <v>10369.630470682059</v>
      </c>
      <c r="D2491">
        <f t="shared" si="152"/>
        <v>13939.859914996139</v>
      </c>
      <c r="E2491">
        <f>_xlfn.XLOOKUP(A2491,Banks!A:A,Banks!I:I,0)</f>
        <v>0</v>
      </c>
      <c r="F2491">
        <f>_xlfn.XLOOKUP(A2491,Energy!A:A,Energy!I:I,0)</f>
        <v>34027.05554913669</v>
      </c>
      <c r="G2491">
        <f t="shared" si="153"/>
        <v>34027.05554913669</v>
      </c>
      <c r="H2491">
        <f t="shared" si="154"/>
        <v>20087.195634140553</v>
      </c>
      <c r="I2491" t="b">
        <f t="shared" si="155"/>
        <v>0</v>
      </c>
    </row>
    <row r="2492" spans="1:9">
      <c r="A2492" s="1">
        <v>46141.818055555559</v>
      </c>
      <c r="B2492" s="5">
        <f>_xlfn.XLOOKUP(A2492,Banks!A:A,Banks!H:H,0,-1)</f>
        <v>3570.22944431408</v>
      </c>
      <c r="C2492">
        <f>_xlfn.XLOOKUP(A2492,Energy!A:A,Energy!H:H,0,-1)</f>
        <v>10408.251944236719</v>
      </c>
      <c r="D2492">
        <f t="shared" si="152"/>
        <v>13978.481388550799</v>
      </c>
      <c r="E2492">
        <f>_xlfn.XLOOKUP(A2492,Banks!A:A,Banks!I:I,0)</f>
        <v>0</v>
      </c>
      <c r="F2492">
        <f>_xlfn.XLOOKUP(A2492,Energy!A:A,Energy!I:I,0)</f>
        <v>34038.952595777519</v>
      </c>
      <c r="G2492">
        <f t="shared" si="153"/>
        <v>34038.952595777519</v>
      </c>
      <c r="H2492">
        <f t="shared" si="154"/>
        <v>20060.471207226721</v>
      </c>
      <c r="I2492" t="b">
        <f t="shared" si="155"/>
        <v>0</v>
      </c>
    </row>
    <row r="2493" spans="1:9">
      <c r="A2493" s="1">
        <v>46141.818749999999</v>
      </c>
      <c r="B2493" s="5">
        <f>_xlfn.XLOOKUP(A2493,Banks!A:A,Banks!H:H,0,-1)</f>
        <v>3570.22944431408</v>
      </c>
      <c r="C2493">
        <f>_xlfn.XLOOKUP(A2493,Energy!A:A,Energy!H:H,0,-1)</f>
        <v>10400.779683396169</v>
      </c>
      <c r="D2493">
        <f t="shared" si="152"/>
        <v>13971.009127710249</v>
      </c>
      <c r="E2493">
        <f>_xlfn.XLOOKUP(A2493,Banks!A:A,Banks!I:I,0)</f>
        <v>0</v>
      </c>
      <c r="F2493">
        <f>_xlfn.XLOOKUP(A2493,Energy!A:A,Energy!I:I,0)</f>
        <v>34043.717271504262</v>
      </c>
      <c r="G2493">
        <f t="shared" si="153"/>
        <v>34043.717271504262</v>
      </c>
      <c r="H2493">
        <f t="shared" si="154"/>
        <v>20072.708143794014</v>
      </c>
      <c r="I2493" t="b">
        <f t="shared" si="155"/>
        <v>0</v>
      </c>
    </row>
    <row r="2494" spans="1:9">
      <c r="A2494" s="1">
        <v>46141.819444444453</v>
      </c>
      <c r="B2494" s="5">
        <f>_xlfn.XLOOKUP(A2494,Banks!A:A,Banks!H:H,0,-1)</f>
        <v>3570.22944431408</v>
      </c>
      <c r="C2494">
        <f>_xlfn.XLOOKUP(A2494,Energy!A:A,Energy!H:H,0,-1)</f>
        <v>10242.052374032961</v>
      </c>
      <c r="D2494">
        <f t="shared" si="152"/>
        <v>13812.281818347041</v>
      </c>
      <c r="E2494">
        <f>_xlfn.XLOOKUP(A2494,Banks!A:A,Banks!I:I,0)</f>
        <v>0</v>
      </c>
      <c r="F2494">
        <f>_xlfn.XLOOKUP(A2494,Energy!A:A,Energy!I:I,0)</f>
        <v>34048.483389018227</v>
      </c>
      <c r="G2494">
        <f t="shared" si="153"/>
        <v>34048.483389018227</v>
      </c>
      <c r="H2494">
        <f t="shared" si="154"/>
        <v>20236.201570671186</v>
      </c>
      <c r="I2494" t="b">
        <f t="shared" si="155"/>
        <v>0</v>
      </c>
    </row>
    <row r="2495" spans="1:9">
      <c r="A2495" s="1">
        <v>46141.820138888892</v>
      </c>
      <c r="B2495" s="5">
        <f>_xlfn.XLOOKUP(A2495,Banks!A:A,Banks!H:H,0,-1)</f>
        <v>3570.22944431408</v>
      </c>
      <c r="C2495">
        <f>_xlfn.XLOOKUP(A2495,Energy!A:A,Energy!H:H,0,-1)</f>
        <v>10195.04291037771</v>
      </c>
      <c r="D2495">
        <f t="shared" si="152"/>
        <v>13765.27235469179</v>
      </c>
      <c r="E2495">
        <f>_xlfn.XLOOKUP(A2495,Banks!A:A,Banks!I:I,0)</f>
        <v>0</v>
      </c>
      <c r="F2495">
        <f>_xlfn.XLOOKUP(A2495,Energy!A:A,Energy!I:I,0)</f>
        <v>34039.081496287166</v>
      </c>
      <c r="G2495">
        <f t="shared" si="153"/>
        <v>34039.081496287166</v>
      </c>
      <c r="H2495">
        <f t="shared" si="154"/>
        <v>20273.809141595375</v>
      </c>
      <c r="I2495" t="b">
        <f t="shared" si="155"/>
        <v>0</v>
      </c>
    </row>
    <row r="2496" spans="1:9">
      <c r="A2496" s="1">
        <v>46141.820833333331</v>
      </c>
      <c r="B2496" s="5">
        <f>_xlfn.XLOOKUP(A2496,Banks!A:A,Banks!H:H,0,-1)</f>
        <v>3570.22944431408</v>
      </c>
      <c r="C2496">
        <f>_xlfn.XLOOKUP(A2496,Energy!A:A,Energy!H:H,0,-1)</f>
        <v>10304.00635936933</v>
      </c>
      <c r="D2496">
        <f t="shared" si="152"/>
        <v>13874.23580368341</v>
      </c>
      <c r="E2496">
        <f>_xlfn.XLOOKUP(A2496,Banks!A:A,Banks!I:I,0)</f>
        <v>0</v>
      </c>
      <c r="F2496">
        <f>_xlfn.XLOOKUP(A2496,Energy!A:A,Energy!I:I,0)</f>
        <v>34048.355930295809</v>
      </c>
      <c r="G2496">
        <f t="shared" si="153"/>
        <v>34048.355930295809</v>
      </c>
      <c r="H2496">
        <f t="shared" si="154"/>
        <v>20174.120126612397</v>
      </c>
      <c r="I2496" t="b">
        <f t="shared" si="155"/>
        <v>0</v>
      </c>
    </row>
    <row r="2497" spans="1:9">
      <c r="A2497" s="1">
        <v>46141.821527777778</v>
      </c>
      <c r="B2497" s="5">
        <f>_xlfn.XLOOKUP(A2497,Banks!A:A,Banks!H:H,0,-1)</f>
        <v>3570.22944431408</v>
      </c>
      <c r="C2497">
        <f>_xlfn.XLOOKUP(A2497,Energy!A:A,Energy!H:H,0,-1)</f>
        <v>10292.167883432559</v>
      </c>
      <c r="D2497">
        <f t="shared" si="152"/>
        <v>13862.397327746639</v>
      </c>
      <c r="E2497">
        <f>_xlfn.XLOOKUP(A2497,Banks!A:A,Banks!I:I,0)</f>
        <v>0</v>
      </c>
      <c r="F2497">
        <f>_xlfn.XLOOKUP(A2497,Energy!A:A,Energy!I:I,0)</f>
        <v>34037.642731248663</v>
      </c>
      <c r="G2497">
        <f t="shared" si="153"/>
        <v>34037.642731248663</v>
      </c>
      <c r="H2497">
        <f t="shared" si="154"/>
        <v>20175.245403502024</v>
      </c>
      <c r="I2497" t="b">
        <f t="shared" si="155"/>
        <v>0</v>
      </c>
    </row>
    <row r="2498" spans="1:9">
      <c r="A2498" s="1">
        <v>46141.822222222218</v>
      </c>
      <c r="B2498" s="5">
        <f>_xlfn.XLOOKUP(A2498,Banks!A:A,Banks!H:H,0,-1)</f>
        <v>3570.22944431408</v>
      </c>
      <c r="C2498">
        <f>_xlfn.XLOOKUP(A2498,Energy!A:A,Energy!H:H,0,-1)</f>
        <v>10333.895402731519</v>
      </c>
      <c r="D2498">
        <f t="shared" si="152"/>
        <v>13904.124847045599</v>
      </c>
      <c r="E2498">
        <f>_xlfn.XLOOKUP(A2498,Banks!A:A,Banks!I:I,0)</f>
        <v>0</v>
      </c>
      <c r="F2498">
        <f>_xlfn.XLOOKUP(A2498,Energy!A:A,Energy!I:I,0)</f>
        <v>34029.297227388852</v>
      </c>
      <c r="G2498">
        <f t="shared" si="153"/>
        <v>34029.297227388852</v>
      </c>
      <c r="H2498">
        <f t="shared" si="154"/>
        <v>20125.172380343254</v>
      </c>
      <c r="I2498" t="b">
        <f t="shared" si="155"/>
        <v>0</v>
      </c>
    </row>
    <row r="2499" spans="1:9">
      <c r="A2499" s="1">
        <v>46141.822916666657</v>
      </c>
      <c r="B2499" s="5">
        <f>_xlfn.XLOOKUP(A2499,Banks!A:A,Banks!H:H,0,-1)</f>
        <v>3570.22944431408</v>
      </c>
      <c r="C2499">
        <f>_xlfn.XLOOKUP(A2499,Energy!A:A,Energy!H:H,0,-1)</f>
        <v>10170.311011420121</v>
      </c>
      <c r="D2499">
        <f t="shared" ref="D2499:D2562" si="156">B2499+C2499</f>
        <v>13740.540455734201</v>
      </c>
      <c r="E2499">
        <f>_xlfn.XLOOKUP(A2499,Banks!A:A,Banks!I:I,0)</f>
        <v>0</v>
      </c>
      <c r="F2499">
        <f>_xlfn.XLOOKUP(A2499,Energy!A:A,Energy!I:I,0)</f>
        <v>34008.055416933799</v>
      </c>
      <c r="G2499">
        <f t="shared" ref="G2499:G2562" si="157">F2499+E2499</f>
        <v>34008.055416933799</v>
      </c>
      <c r="H2499">
        <f t="shared" ref="H2499:H2562" si="158">G2499-D2499</f>
        <v>20267.514961199598</v>
      </c>
      <c r="I2499" t="b">
        <f t="shared" ref="I2499:I2562" si="159">AND(E2499&gt;0,F2499&gt;0)</f>
        <v>0</v>
      </c>
    </row>
    <row r="2500" spans="1:9">
      <c r="A2500" s="1">
        <v>46141.823611111111</v>
      </c>
      <c r="B2500" s="5">
        <f>_xlfn.XLOOKUP(A2500,Banks!A:A,Banks!H:H,0,-1)</f>
        <v>3570.22944431408</v>
      </c>
      <c r="C2500">
        <f>_xlfn.XLOOKUP(A2500,Energy!A:A,Energy!H:H,0,-1)</f>
        <v>10222.89527295191</v>
      </c>
      <c r="D2500">
        <f t="shared" si="156"/>
        <v>13793.12471726599</v>
      </c>
      <c r="E2500">
        <f>_xlfn.XLOOKUP(A2500,Banks!A:A,Banks!I:I,0)</f>
        <v>0</v>
      </c>
      <c r="F2500">
        <f>_xlfn.XLOOKUP(A2500,Energy!A:A,Energy!I:I,0)</f>
        <v>33989.363005730869</v>
      </c>
      <c r="G2500">
        <f t="shared" si="157"/>
        <v>33989.363005730869</v>
      </c>
      <c r="H2500">
        <f t="shared" si="158"/>
        <v>20196.23828846488</v>
      </c>
      <c r="I2500" t="b">
        <f t="shared" si="159"/>
        <v>0</v>
      </c>
    </row>
    <row r="2501" spans="1:9">
      <c r="A2501" s="1">
        <v>46141.824305555558</v>
      </c>
      <c r="B2501" s="5">
        <f>_xlfn.XLOOKUP(A2501,Banks!A:A,Banks!H:H,0,-1)</f>
        <v>3570.22944431408</v>
      </c>
      <c r="C2501">
        <f>_xlfn.XLOOKUP(A2501,Energy!A:A,Energy!H:H,0,-1)</f>
        <v>10315.507604150411</v>
      </c>
      <c r="D2501">
        <f t="shared" si="156"/>
        <v>13885.737048464491</v>
      </c>
      <c r="E2501">
        <f>_xlfn.XLOOKUP(A2501,Banks!A:A,Banks!I:I,0)</f>
        <v>0</v>
      </c>
      <c r="F2501">
        <f>_xlfn.XLOOKUP(A2501,Energy!A:A,Energy!I:I,0)</f>
        <v>33995.367216180872</v>
      </c>
      <c r="G2501">
        <f t="shared" si="157"/>
        <v>33995.367216180872</v>
      </c>
      <c r="H2501">
        <f t="shared" si="158"/>
        <v>20109.630167716379</v>
      </c>
      <c r="I2501" t="b">
        <f t="shared" si="159"/>
        <v>0</v>
      </c>
    </row>
    <row r="2502" spans="1:9">
      <c r="A2502" s="1">
        <v>46141.824999999997</v>
      </c>
      <c r="B2502" s="5">
        <f>_xlfn.XLOOKUP(A2502,Banks!A:A,Banks!H:H,0,-1)</f>
        <v>3570.22944431408</v>
      </c>
      <c r="C2502">
        <f>_xlfn.XLOOKUP(A2502,Energy!A:A,Energy!H:H,0,-1)</f>
        <v>10361.99967734926</v>
      </c>
      <c r="D2502">
        <f t="shared" si="156"/>
        <v>13932.22912166334</v>
      </c>
      <c r="E2502">
        <f>_xlfn.XLOOKUP(A2502,Banks!A:A,Banks!I:I,0)</f>
        <v>0</v>
      </c>
      <c r="F2502">
        <f>_xlfn.XLOOKUP(A2502,Energy!A:A,Energy!I:I,0)</f>
        <v>0</v>
      </c>
      <c r="G2502">
        <f t="shared" si="157"/>
        <v>0</v>
      </c>
      <c r="H2502">
        <f t="shared" si="158"/>
        <v>-13932.22912166334</v>
      </c>
      <c r="I2502" t="b">
        <f t="shared" si="159"/>
        <v>0</v>
      </c>
    </row>
    <row r="2503" spans="1:9">
      <c r="A2503" s="1">
        <v>46142.604166666657</v>
      </c>
      <c r="B2503" s="5">
        <f>_xlfn.XLOOKUP(A2503,Banks!A:A,Banks!H:H,0,-1)</f>
        <v>3570.22944431408</v>
      </c>
      <c r="C2503">
        <f>_xlfn.XLOOKUP(A2503,Energy!A:A,Energy!H:H,0,-1)</f>
        <v>10361.99967734926</v>
      </c>
      <c r="D2503">
        <f t="shared" si="156"/>
        <v>13932.22912166334</v>
      </c>
      <c r="E2503">
        <f>_xlfn.XLOOKUP(A2503,Banks!A:A,Banks!I:I,0)</f>
        <v>0</v>
      </c>
      <c r="F2503">
        <f>_xlfn.XLOOKUP(A2503,Energy!A:A,Energy!I:I,0)</f>
        <v>34257.357159723957</v>
      </c>
      <c r="G2503">
        <f t="shared" si="157"/>
        <v>34257.357159723957</v>
      </c>
      <c r="H2503">
        <f t="shared" si="158"/>
        <v>20325.128038060619</v>
      </c>
      <c r="I2503" t="b">
        <f t="shared" si="159"/>
        <v>0</v>
      </c>
    </row>
    <row r="2504" spans="1:9">
      <c r="A2504" s="1">
        <v>46142.604861111111</v>
      </c>
      <c r="B2504" s="5">
        <f>_xlfn.XLOOKUP(A2504,Banks!A:A,Banks!H:H,0,-1)</f>
        <v>3570.22944431408</v>
      </c>
      <c r="C2504">
        <f>_xlfn.XLOOKUP(A2504,Energy!A:A,Energy!H:H,0,-1)</f>
        <v>10501.48467318756</v>
      </c>
      <c r="D2504">
        <f t="shared" si="156"/>
        <v>14071.71411750164</v>
      </c>
      <c r="E2504">
        <f>_xlfn.XLOOKUP(A2504,Banks!A:A,Banks!I:I,0)</f>
        <v>0</v>
      </c>
      <c r="F2504">
        <f>_xlfn.XLOOKUP(A2504,Energy!A:A,Energy!I:I,0)</f>
        <v>34378.761304139531</v>
      </c>
      <c r="G2504">
        <f t="shared" si="157"/>
        <v>34378.761304139531</v>
      </c>
      <c r="H2504">
        <f t="shared" si="158"/>
        <v>20307.04718663789</v>
      </c>
      <c r="I2504" t="b">
        <f t="shared" si="159"/>
        <v>0</v>
      </c>
    </row>
    <row r="2505" spans="1:9">
      <c r="A2505" s="1">
        <v>46142.605555555558</v>
      </c>
      <c r="B2505" s="5">
        <f>_xlfn.XLOOKUP(A2505,Banks!A:A,Banks!H:H,0,-1)</f>
        <v>3570.22944431408</v>
      </c>
      <c r="C2505">
        <f>_xlfn.XLOOKUP(A2505,Energy!A:A,Energy!H:H,0,-1)</f>
        <v>10164.72168041998</v>
      </c>
      <c r="D2505">
        <f t="shared" si="156"/>
        <v>13734.95112473406</v>
      </c>
      <c r="E2505">
        <f>_xlfn.XLOOKUP(A2505,Banks!A:A,Banks!I:I,0)</f>
        <v>0</v>
      </c>
      <c r="F2505">
        <f>_xlfn.XLOOKUP(A2505,Energy!A:A,Energy!I:I,0)</f>
        <v>34409.05333513693</v>
      </c>
      <c r="G2505">
        <f t="shared" si="157"/>
        <v>34409.05333513693</v>
      </c>
      <c r="H2505">
        <f t="shared" si="158"/>
        <v>20674.102210402871</v>
      </c>
      <c r="I2505" t="b">
        <f t="shared" si="159"/>
        <v>0</v>
      </c>
    </row>
    <row r="2506" spans="1:9">
      <c r="A2506" s="1">
        <v>46142.606249999997</v>
      </c>
      <c r="B2506" s="5">
        <f>_xlfn.XLOOKUP(A2506,Banks!A:A,Banks!H:H,0,-1)</f>
        <v>3570.22944431408</v>
      </c>
      <c r="C2506">
        <f>_xlfn.XLOOKUP(A2506,Energy!A:A,Energy!H:H,0,-1)</f>
        <v>10517.355349522049</v>
      </c>
      <c r="D2506">
        <f t="shared" si="156"/>
        <v>14087.584793836129</v>
      </c>
      <c r="E2506">
        <f>_xlfn.XLOOKUP(A2506,Banks!A:A,Banks!I:I,0)</f>
        <v>0</v>
      </c>
      <c r="F2506">
        <f>_xlfn.XLOOKUP(A2506,Energy!A:A,Energy!I:I,0)</f>
        <v>34506.887465357177</v>
      </c>
      <c r="G2506">
        <f t="shared" si="157"/>
        <v>34506.887465357177</v>
      </c>
      <c r="H2506">
        <f t="shared" si="158"/>
        <v>20419.302671521047</v>
      </c>
      <c r="I2506" t="b">
        <f t="shared" si="159"/>
        <v>0</v>
      </c>
    </row>
    <row r="2507" spans="1:9">
      <c r="A2507" s="1">
        <v>46142.606944444437</v>
      </c>
      <c r="B2507" s="5">
        <f>_xlfn.XLOOKUP(A2507,Banks!A:A,Banks!H:H,0,-1)</f>
        <v>3570.22944431408</v>
      </c>
      <c r="C2507">
        <f>_xlfn.XLOOKUP(A2507,Energy!A:A,Energy!H:H,0,-1)</f>
        <v>10575.267705717421</v>
      </c>
      <c r="D2507">
        <f t="shared" si="156"/>
        <v>14145.4971500315</v>
      </c>
      <c r="E2507">
        <f>_xlfn.XLOOKUP(A2507,Banks!A:A,Banks!I:I,0)</f>
        <v>0</v>
      </c>
      <c r="F2507">
        <f>_xlfn.XLOOKUP(A2507,Energy!A:A,Energy!I:I,0)</f>
        <v>34620.252050450174</v>
      </c>
      <c r="G2507">
        <f t="shared" si="157"/>
        <v>34620.252050450174</v>
      </c>
      <c r="H2507">
        <f t="shared" si="158"/>
        <v>20474.754900418673</v>
      </c>
      <c r="I2507" t="b">
        <f t="shared" si="159"/>
        <v>0</v>
      </c>
    </row>
    <row r="2508" spans="1:9">
      <c r="A2508" s="1">
        <v>46142.607638888891</v>
      </c>
      <c r="B2508" s="5">
        <f>_xlfn.XLOOKUP(A2508,Banks!A:A,Banks!H:H,0,-1)</f>
        <v>3570.22944431408</v>
      </c>
      <c r="C2508">
        <f>_xlfn.XLOOKUP(A2508,Energy!A:A,Energy!H:H,0,-1)</f>
        <v>10647.524793655241</v>
      </c>
      <c r="D2508">
        <f t="shared" si="156"/>
        <v>14217.75423796932</v>
      </c>
      <c r="E2508">
        <f>_xlfn.XLOOKUP(A2508,Banks!A:A,Banks!I:I,0)</f>
        <v>0</v>
      </c>
      <c r="F2508">
        <f>_xlfn.XLOOKUP(A2508,Energy!A:A,Energy!I:I,0)</f>
        <v>34692.628248279798</v>
      </c>
      <c r="G2508">
        <f t="shared" si="157"/>
        <v>34692.628248279798</v>
      </c>
      <c r="H2508">
        <f t="shared" si="158"/>
        <v>20474.874010310479</v>
      </c>
      <c r="I2508" t="b">
        <f t="shared" si="159"/>
        <v>0</v>
      </c>
    </row>
    <row r="2509" spans="1:9">
      <c r="A2509" s="1">
        <v>46142.60833333333</v>
      </c>
      <c r="B2509" s="5">
        <f>_xlfn.XLOOKUP(A2509,Banks!A:A,Banks!H:H,0,-1)</f>
        <v>3570.22944431408</v>
      </c>
      <c r="C2509">
        <f>_xlfn.XLOOKUP(A2509,Energy!A:A,Energy!H:H,0,-1)</f>
        <v>10787.572750979451</v>
      </c>
      <c r="D2509">
        <f t="shared" si="156"/>
        <v>14357.802195293531</v>
      </c>
      <c r="E2509">
        <f>_xlfn.XLOOKUP(A2509,Banks!A:A,Banks!I:I,0)</f>
        <v>0</v>
      </c>
      <c r="F2509">
        <f>_xlfn.XLOOKUP(A2509,Energy!A:A,Energy!I:I,0)</f>
        <v>34618.028229030118</v>
      </c>
      <c r="G2509">
        <f t="shared" si="157"/>
        <v>34618.028229030118</v>
      </c>
      <c r="H2509">
        <f t="shared" si="158"/>
        <v>20260.226033736588</v>
      </c>
      <c r="I2509" t="b">
        <f t="shared" si="159"/>
        <v>0</v>
      </c>
    </row>
    <row r="2510" spans="1:9">
      <c r="A2510" s="1">
        <v>46142.609027777777</v>
      </c>
      <c r="B2510" s="5">
        <f>_xlfn.XLOOKUP(A2510,Banks!A:A,Banks!H:H,0,-1)</f>
        <v>3570.22944431408</v>
      </c>
      <c r="C2510">
        <f>_xlfn.XLOOKUP(A2510,Energy!A:A,Energy!H:H,0,-1)</f>
        <v>10282.73917423358</v>
      </c>
      <c r="D2510">
        <f t="shared" si="156"/>
        <v>13852.96861854766</v>
      </c>
      <c r="E2510">
        <f>_xlfn.XLOOKUP(A2510,Banks!A:A,Banks!I:I,0)</f>
        <v>0</v>
      </c>
      <c r="F2510">
        <f>_xlfn.XLOOKUP(A2510,Energy!A:A,Energy!I:I,0)</f>
        <v>34798.41044628527</v>
      </c>
      <c r="G2510">
        <f t="shared" si="157"/>
        <v>34798.41044628527</v>
      </c>
      <c r="H2510">
        <f t="shared" si="158"/>
        <v>20945.44182773761</v>
      </c>
      <c r="I2510" t="b">
        <f t="shared" si="159"/>
        <v>0</v>
      </c>
    </row>
    <row r="2511" spans="1:9">
      <c r="A2511" s="1">
        <v>46142.609722222223</v>
      </c>
      <c r="B2511" s="5">
        <f>_xlfn.XLOOKUP(A2511,Banks!A:A,Banks!H:H,0,-1)</f>
        <v>3570.22944431408</v>
      </c>
      <c r="C2511">
        <f>_xlfn.XLOOKUP(A2511,Energy!A:A,Energy!H:H,0,-1)</f>
        <v>10177.23332450696</v>
      </c>
      <c r="D2511">
        <f t="shared" si="156"/>
        <v>13747.46276882104</v>
      </c>
      <c r="E2511">
        <f>_xlfn.XLOOKUP(A2511,Banks!A:A,Banks!I:I,0)</f>
        <v>0</v>
      </c>
      <c r="F2511">
        <f>_xlfn.XLOOKUP(A2511,Energy!A:A,Energy!I:I,0)</f>
        <v>34819.511616230593</v>
      </c>
      <c r="G2511">
        <f t="shared" si="157"/>
        <v>34819.511616230593</v>
      </c>
      <c r="H2511">
        <f t="shared" si="158"/>
        <v>21072.048847409555</v>
      </c>
      <c r="I2511" t="b">
        <f t="shared" si="159"/>
        <v>0</v>
      </c>
    </row>
    <row r="2512" spans="1:9">
      <c r="A2512" s="1">
        <v>46142.61041666667</v>
      </c>
      <c r="B2512" s="5">
        <f>_xlfn.XLOOKUP(A2512,Banks!A:A,Banks!H:H,0,-1)</f>
        <v>3570.22944431408</v>
      </c>
      <c r="C2512">
        <f>_xlfn.XLOOKUP(A2512,Energy!A:A,Energy!H:H,0,-1)</f>
        <v>10202.05823032499</v>
      </c>
      <c r="D2512">
        <f t="shared" si="156"/>
        <v>13772.28767463907</v>
      </c>
      <c r="E2512">
        <f>_xlfn.XLOOKUP(A2512,Banks!A:A,Banks!I:I,0)</f>
        <v>0</v>
      </c>
      <c r="F2512">
        <f>_xlfn.XLOOKUP(A2512,Energy!A:A,Energy!I:I,0)</f>
        <v>34814.546635066989</v>
      </c>
      <c r="G2512">
        <f t="shared" si="157"/>
        <v>34814.546635066989</v>
      </c>
      <c r="H2512">
        <f t="shared" si="158"/>
        <v>21042.25896042792</v>
      </c>
      <c r="I2512" t="b">
        <f t="shared" si="159"/>
        <v>0</v>
      </c>
    </row>
    <row r="2513" spans="1:9">
      <c r="A2513" s="1">
        <v>46142.611111111109</v>
      </c>
      <c r="B2513" s="5">
        <f>_xlfn.XLOOKUP(A2513,Banks!A:A,Banks!H:H,0,-1)</f>
        <v>3570.22944431408</v>
      </c>
      <c r="C2513">
        <f>_xlfn.XLOOKUP(A2513,Energy!A:A,Energy!H:H,0,-1)</f>
        <v>10369.91943515922</v>
      </c>
      <c r="D2513">
        <f t="shared" si="156"/>
        <v>13940.1488794733</v>
      </c>
      <c r="E2513">
        <f>_xlfn.XLOOKUP(A2513,Banks!A:A,Banks!I:I,0)</f>
        <v>0</v>
      </c>
      <c r="F2513">
        <f>_xlfn.XLOOKUP(A2513,Energy!A:A,Energy!I:I,0)</f>
        <v>34830.741441961218</v>
      </c>
      <c r="G2513">
        <f t="shared" si="157"/>
        <v>34830.741441961218</v>
      </c>
      <c r="H2513">
        <f t="shared" si="158"/>
        <v>20890.592562487916</v>
      </c>
      <c r="I2513" t="b">
        <f t="shared" si="159"/>
        <v>0</v>
      </c>
    </row>
    <row r="2514" spans="1:9">
      <c r="A2514" s="1">
        <v>46142.611805555563</v>
      </c>
      <c r="B2514" s="5">
        <f>_xlfn.XLOOKUP(A2514,Banks!A:A,Banks!H:H,0,-1)</f>
        <v>3570.22944431408</v>
      </c>
      <c r="C2514">
        <f>_xlfn.XLOOKUP(A2514,Energy!A:A,Energy!H:H,0,-1)</f>
        <v>10499.63142160564</v>
      </c>
      <c r="D2514">
        <f t="shared" si="156"/>
        <v>14069.86086591972</v>
      </c>
      <c r="E2514">
        <f>_xlfn.XLOOKUP(A2514,Banks!A:A,Banks!I:I,0)</f>
        <v>0</v>
      </c>
      <c r="F2514">
        <f>_xlfn.XLOOKUP(A2514,Energy!A:A,Energy!I:I,0)</f>
        <v>34856.683839250487</v>
      </c>
      <c r="G2514">
        <f t="shared" si="157"/>
        <v>34856.683839250487</v>
      </c>
      <c r="H2514">
        <f t="shared" si="158"/>
        <v>20786.822973330767</v>
      </c>
      <c r="I2514" t="b">
        <f t="shared" si="159"/>
        <v>0</v>
      </c>
    </row>
    <row r="2515" spans="1:9">
      <c r="A2515" s="1">
        <v>46142.612500000003</v>
      </c>
      <c r="B2515" s="5">
        <f>_xlfn.XLOOKUP(A2515,Banks!A:A,Banks!H:H,0,-1)</f>
        <v>3570.22944431408</v>
      </c>
      <c r="C2515">
        <f>_xlfn.XLOOKUP(A2515,Energy!A:A,Energy!H:H,0,-1)</f>
        <v>10539.15464150797</v>
      </c>
      <c r="D2515">
        <f t="shared" si="156"/>
        <v>14109.38408582205</v>
      </c>
      <c r="E2515">
        <f>_xlfn.XLOOKUP(A2515,Banks!A:A,Banks!I:I,0)</f>
        <v>0</v>
      </c>
      <c r="F2515">
        <f>_xlfn.XLOOKUP(A2515,Energy!A:A,Energy!I:I,0)</f>
        <v>34781.011300310267</v>
      </c>
      <c r="G2515">
        <f t="shared" si="157"/>
        <v>34781.011300310267</v>
      </c>
      <c r="H2515">
        <f t="shared" si="158"/>
        <v>20671.627214488217</v>
      </c>
      <c r="I2515" t="b">
        <f t="shared" si="159"/>
        <v>0</v>
      </c>
    </row>
    <row r="2516" spans="1:9">
      <c r="A2516" s="1">
        <v>46142.613194444442</v>
      </c>
      <c r="B2516" s="5">
        <f>_xlfn.XLOOKUP(A2516,Banks!A:A,Banks!H:H,0,-1)</f>
        <v>3570.22944431408</v>
      </c>
      <c r="C2516">
        <f>_xlfn.XLOOKUP(A2516,Energy!A:A,Energy!H:H,0,-1)</f>
        <v>10362.46793062852</v>
      </c>
      <c r="D2516">
        <f t="shared" si="156"/>
        <v>13932.6973749426</v>
      </c>
      <c r="E2516">
        <f>_xlfn.XLOOKUP(A2516,Banks!A:A,Banks!I:I,0)</f>
        <v>0</v>
      </c>
      <c r="F2516">
        <f>_xlfn.XLOOKUP(A2516,Energy!A:A,Energy!I:I,0)</f>
        <v>34837.526109661077</v>
      </c>
      <c r="G2516">
        <f t="shared" si="157"/>
        <v>34837.526109661077</v>
      </c>
      <c r="H2516">
        <f t="shared" si="158"/>
        <v>20904.828734718478</v>
      </c>
      <c r="I2516" t="b">
        <f t="shared" si="159"/>
        <v>0</v>
      </c>
    </row>
    <row r="2517" spans="1:9">
      <c r="A2517" s="1">
        <v>46142.613888888889</v>
      </c>
      <c r="B2517" s="5">
        <f>_xlfn.XLOOKUP(A2517,Banks!A:A,Banks!H:H,0,-1)</f>
        <v>3570.22944431408</v>
      </c>
      <c r="C2517">
        <f>_xlfn.XLOOKUP(A2517,Energy!A:A,Energy!H:H,0,-1)</f>
        <v>10481.591183487481</v>
      </c>
      <c r="D2517">
        <f t="shared" si="156"/>
        <v>14051.82062780156</v>
      </c>
      <c r="E2517">
        <f>_xlfn.XLOOKUP(A2517,Banks!A:A,Banks!I:I,0)</f>
        <v>0</v>
      </c>
      <c r="F2517">
        <f>_xlfn.XLOOKUP(A2517,Energy!A:A,Energy!I:I,0)</f>
        <v>34861.350760232883</v>
      </c>
      <c r="G2517">
        <f t="shared" si="157"/>
        <v>34861.350760232883</v>
      </c>
      <c r="H2517">
        <f t="shared" si="158"/>
        <v>20809.530132431322</v>
      </c>
      <c r="I2517" t="b">
        <f t="shared" si="159"/>
        <v>0</v>
      </c>
    </row>
    <row r="2518" spans="1:9">
      <c r="A2518" s="1">
        <v>46142.614583333343</v>
      </c>
      <c r="B2518" s="5">
        <f>_xlfn.XLOOKUP(A2518,Banks!A:A,Banks!H:H,0,-1)</f>
        <v>3570.22944431408</v>
      </c>
      <c r="C2518">
        <f>_xlfn.XLOOKUP(A2518,Energy!A:A,Energy!H:H,0,-1)</f>
        <v>10427.62709637749</v>
      </c>
      <c r="D2518">
        <f t="shared" si="156"/>
        <v>13997.85654069157</v>
      </c>
      <c r="E2518">
        <f>_xlfn.XLOOKUP(A2518,Banks!A:A,Banks!I:I,0)</f>
        <v>0</v>
      </c>
      <c r="F2518">
        <f>_xlfn.XLOOKUP(A2518,Energy!A:A,Energy!I:I,0)</f>
        <v>34886.967804677319</v>
      </c>
      <c r="G2518">
        <f t="shared" si="157"/>
        <v>34886.967804677319</v>
      </c>
      <c r="H2518">
        <f t="shared" si="158"/>
        <v>20889.111263985749</v>
      </c>
      <c r="I2518" t="b">
        <f t="shared" si="159"/>
        <v>0</v>
      </c>
    </row>
    <row r="2519" spans="1:9">
      <c r="A2519" s="1">
        <v>46142.615277777782</v>
      </c>
      <c r="B2519" s="5">
        <f>_xlfn.XLOOKUP(A2519,Banks!A:A,Banks!H:H,0,-1)</f>
        <v>3570.22944431408</v>
      </c>
      <c r="C2519">
        <f>_xlfn.XLOOKUP(A2519,Energy!A:A,Energy!H:H,0,-1)</f>
        <v>10467.33484733048</v>
      </c>
      <c r="D2519">
        <f t="shared" si="156"/>
        <v>14037.564291644559</v>
      </c>
      <c r="E2519">
        <f>_xlfn.XLOOKUP(A2519,Banks!A:A,Banks!I:I,0)</f>
        <v>0</v>
      </c>
      <c r="F2519">
        <f>_xlfn.XLOOKUP(A2519,Energy!A:A,Energy!I:I,0)</f>
        <v>34894.909354867923</v>
      </c>
      <c r="G2519">
        <f t="shared" si="157"/>
        <v>34894.909354867923</v>
      </c>
      <c r="H2519">
        <f t="shared" si="158"/>
        <v>20857.345063223365</v>
      </c>
      <c r="I2519" t="b">
        <f t="shared" si="159"/>
        <v>0</v>
      </c>
    </row>
    <row r="2520" spans="1:9">
      <c r="A2520" s="1">
        <v>46142.615972222222</v>
      </c>
      <c r="B2520" s="5">
        <f>_xlfn.XLOOKUP(A2520,Banks!A:A,Banks!H:H,0,-1)</f>
        <v>3570.22944431408</v>
      </c>
      <c r="C2520">
        <f>_xlfn.XLOOKUP(A2520,Energy!A:A,Energy!H:H,0,-1)</f>
        <v>10450.96170128938</v>
      </c>
      <c r="D2520">
        <f t="shared" si="156"/>
        <v>14021.19114560346</v>
      </c>
      <c r="E2520">
        <f>_xlfn.XLOOKUP(A2520,Banks!A:A,Banks!I:I,0)</f>
        <v>0</v>
      </c>
      <c r="F2520">
        <f>_xlfn.XLOOKUP(A2520,Energy!A:A,Energy!I:I,0)</f>
        <v>34883.359757053688</v>
      </c>
      <c r="G2520">
        <f t="shared" si="157"/>
        <v>34883.359757053688</v>
      </c>
      <c r="H2520">
        <f t="shared" si="158"/>
        <v>20862.16861145023</v>
      </c>
      <c r="I2520" t="b">
        <f t="shared" si="159"/>
        <v>0</v>
      </c>
    </row>
    <row r="2521" spans="1:9">
      <c r="A2521" s="1">
        <v>46142.616666666669</v>
      </c>
      <c r="B2521" s="5">
        <f>_xlfn.XLOOKUP(A2521,Banks!A:A,Banks!H:H,0,-1)</f>
        <v>3570.22944431408</v>
      </c>
      <c r="C2521">
        <f>_xlfn.XLOOKUP(A2521,Energy!A:A,Energy!H:H,0,-1)</f>
        <v>10488.689105676331</v>
      </c>
      <c r="D2521">
        <f t="shared" si="156"/>
        <v>14058.918549990411</v>
      </c>
      <c r="E2521">
        <f>_xlfn.XLOOKUP(A2521,Banks!A:A,Banks!I:I,0)</f>
        <v>0</v>
      </c>
      <c r="F2521">
        <f>_xlfn.XLOOKUP(A2521,Energy!A:A,Energy!I:I,0)</f>
        <v>34884.285263046273</v>
      </c>
      <c r="G2521">
        <f t="shared" si="157"/>
        <v>34884.285263046273</v>
      </c>
      <c r="H2521">
        <f t="shared" si="158"/>
        <v>20825.366713055861</v>
      </c>
      <c r="I2521" t="b">
        <f t="shared" si="159"/>
        <v>0</v>
      </c>
    </row>
    <row r="2522" spans="1:9">
      <c r="A2522" s="1">
        <v>46142.617361111108</v>
      </c>
      <c r="B2522" s="5">
        <f>_xlfn.XLOOKUP(A2522,Banks!A:A,Banks!H:H,0,-1)</f>
        <v>3570.22944431408</v>
      </c>
      <c r="C2522">
        <f>_xlfn.XLOOKUP(A2522,Energy!A:A,Energy!H:H,0,-1)</f>
        <v>10535.385150432499</v>
      </c>
      <c r="D2522">
        <f t="shared" si="156"/>
        <v>14105.614594746579</v>
      </c>
      <c r="E2522">
        <f>_xlfn.XLOOKUP(A2522,Banks!A:A,Banks!I:I,0)</f>
        <v>0</v>
      </c>
      <c r="F2522">
        <f>_xlfn.XLOOKUP(A2522,Energy!A:A,Energy!I:I,0)</f>
        <v>0</v>
      </c>
      <c r="G2522">
        <f t="shared" si="157"/>
        <v>0</v>
      </c>
      <c r="H2522">
        <f t="shared" si="158"/>
        <v>-14105.614594746579</v>
      </c>
      <c r="I2522" t="b">
        <f t="shared" si="159"/>
        <v>0</v>
      </c>
    </row>
    <row r="2523" spans="1:9">
      <c r="A2523" s="1">
        <v>46142.79583333333</v>
      </c>
      <c r="B2523" s="5">
        <f>_xlfn.XLOOKUP(A2523,Banks!A:A,Banks!H:H,0,-1)</f>
        <v>3570.22944431408</v>
      </c>
      <c r="C2523">
        <f>_xlfn.XLOOKUP(A2523,Energy!A:A,Energy!H:H,0,-1)</f>
        <v>10535.385150432499</v>
      </c>
      <c r="D2523">
        <f t="shared" si="156"/>
        <v>14105.614594746579</v>
      </c>
      <c r="E2523">
        <f>_xlfn.XLOOKUP(A2523,Banks!A:A,Banks!I:I,0)</f>
        <v>38881.089812954488</v>
      </c>
      <c r="F2523">
        <f>_xlfn.XLOOKUP(A2523,Energy!A:A,Energy!I:I,0)</f>
        <v>0</v>
      </c>
      <c r="G2523">
        <f t="shared" si="157"/>
        <v>38881.089812954488</v>
      </c>
      <c r="H2523">
        <f t="shared" si="158"/>
        <v>24775.47521820791</v>
      </c>
      <c r="I2523" t="b">
        <f t="shared" si="159"/>
        <v>0</v>
      </c>
    </row>
    <row r="2524" spans="1:9">
      <c r="A2524" s="1">
        <v>46142.796527777777</v>
      </c>
      <c r="B2524" s="5">
        <f>_xlfn.XLOOKUP(A2524,Banks!A:A,Banks!H:H,0,-1)</f>
        <v>3579.0571279299038</v>
      </c>
      <c r="C2524">
        <f>_xlfn.XLOOKUP(A2524,Energy!A:A,Energy!H:H,0,-1)</f>
        <v>10535.385150432499</v>
      </c>
      <c r="D2524">
        <f t="shared" si="156"/>
        <v>14114.442278362403</v>
      </c>
      <c r="E2524">
        <f>_xlfn.XLOOKUP(A2524,Banks!A:A,Banks!I:I,0)</f>
        <v>38879.324276231331</v>
      </c>
      <c r="F2524">
        <f>_xlfn.XLOOKUP(A2524,Energy!A:A,Energy!I:I,0)</f>
        <v>0</v>
      </c>
      <c r="G2524">
        <f t="shared" si="157"/>
        <v>38879.324276231331</v>
      </c>
      <c r="H2524">
        <f t="shared" si="158"/>
        <v>24764.881997868928</v>
      </c>
      <c r="I2524" t="b">
        <f t="shared" si="159"/>
        <v>0</v>
      </c>
    </row>
    <row r="2525" spans="1:9">
      <c r="A2525" s="1">
        <v>46142.797222222223</v>
      </c>
      <c r="B2525" s="5">
        <f>_xlfn.XLOOKUP(A2525,Banks!A:A,Banks!H:H,0,-1)</f>
        <v>3534.918709850811</v>
      </c>
      <c r="C2525">
        <f>_xlfn.XLOOKUP(A2525,Energy!A:A,Energy!H:H,0,-1)</f>
        <v>10535.385150432499</v>
      </c>
      <c r="D2525">
        <f t="shared" si="156"/>
        <v>14070.303860283311</v>
      </c>
      <c r="E2525">
        <f>_xlfn.XLOOKUP(A2525,Banks!A:A,Banks!I:I,0)</f>
        <v>38888.15195984715</v>
      </c>
      <c r="F2525">
        <f>_xlfn.XLOOKUP(A2525,Energy!A:A,Energy!I:I,0)</f>
        <v>0</v>
      </c>
      <c r="G2525">
        <f t="shared" si="157"/>
        <v>38888.15195984715</v>
      </c>
      <c r="H2525">
        <f t="shared" si="158"/>
        <v>24817.848099563838</v>
      </c>
      <c r="I2525" t="b">
        <f t="shared" si="159"/>
        <v>0</v>
      </c>
    </row>
    <row r="2526" spans="1:9">
      <c r="A2526" s="1">
        <v>46142.79791666667</v>
      </c>
      <c r="B2526" s="5">
        <f>_xlfn.XLOOKUP(A2526,Banks!A:A,Banks!H:H,0,-1)</f>
        <v>3570.22944431408</v>
      </c>
      <c r="C2526">
        <f>_xlfn.XLOOKUP(A2526,Energy!A:A,Energy!H:H,0,-1)</f>
        <v>10535.385150432499</v>
      </c>
      <c r="D2526">
        <f t="shared" si="156"/>
        <v>14105.614594746579</v>
      </c>
      <c r="E2526">
        <f>_xlfn.XLOOKUP(A2526,Banks!A:A,Banks!I:I,0)</f>
        <v>38881.089812954488</v>
      </c>
      <c r="F2526">
        <f>_xlfn.XLOOKUP(A2526,Energy!A:A,Energy!I:I,0)</f>
        <v>0</v>
      </c>
      <c r="G2526">
        <f t="shared" si="157"/>
        <v>38881.089812954488</v>
      </c>
      <c r="H2526">
        <f t="shared" si="158"/>
        <v>24775.47521820791</v>
      </c>
      <c r="I2526" t="b">
        <f t="shared" si="159"/>
        <v>0</v>
      </c>
    </row>
    <row r="2527" spans="1:9">
      <c r="A2527" s="1">
        <v>46142.798611111109</v>
      </c>
      <c r="B2527" s="5">
        <f>_xlfn.XLOOKUP(A2527,Banks!A:A,Banks!H:H,0,-1)</f>
        <v>3515.4870085029479</v>
      </c>
      <c r="C2527">
        <f>_xlfn.XLOOKUP(A2527,Energy!A:A,Energy!H:H,0,-1)</f>
        <v>10535.385150432499</v>
      </c>
      <c r="D2527">
        <f t="shared" si="156"/>
        <v>14050.872158935446</v>
      </c>
      <c r="E2527">
        <f>_xlfn.XLOOKUP(A2527,Banks!A:A,Banks!I:I,0)</f>
        <v>38887.796693023898</v>
      </c>
      <c r="F2527">
        <f>_xlfn.XLOOKUP(A2527,Energy!A:A,Energy!I:I,0)</f>
        <v>0</v>
      </c>
      <c r="G2527">
        <f t="shared" si="157"/>
        <v>38887.796693023898</v>
      </c>
      <c r="H2527">
        <f t="shared" si="158"/>
        <v>24836.924534088452</v>
      </c>
      <c r="I2527" t="b">
        <f t="shared" si="159"/>
        <v>0</v>
      </c>
    </row>
    <row r="2528" spans="1:9">
      <c r="A2528" s="1">
        <v>46142.799305555563</v>
      </c>
      <c r="B2528" s="5">
        <f>_xlfn.XLOOKUP(A2528,Banks!A:A,Banks!H:H,0,-1)</f>
        <v>3533.1423757345829</v>
      </c>
      <c r="C2528">
        <f>_xlfn.XLOOKUP(A2528,Energy!A:A,Energy!H:H,0,-1)</f>
        <v>10535.385150432499</v>
      </c>
      <c r="D2528">
        <f t="shared" si="156"/>
        <v>14068.527526167083</v>
      </c>
      <c r="E2528">
        <f>_xlfn.XLOOKUP(A2528,Banks!A:A,Banks!I:I,0)</f>
        <v>38884.265619577571</v>
      </c>
      <c r="F2528">
        <f>_xlfn.XLOOKUP(A2528,Energy!A:A,Energy!I:I,0)</f>
        <v>0</v>
      </c>
      <c r="G2528">
        <f t="shared" si="157"/>
        <v>38884.265619577571</v>
      </c>
      <c r="H2528">
        <f t="shared" si="158"/>
        <v>24815.738093410488</v>
      </c>
      <c r="I2528" t="b">
        <f t="shared" si="159"/>
        <v>0</v>
      </c>
    </row>
    <row r="2529" spans="1:9">
      <c r="A2529" s="1">
        <v>46142.8</v>
      </c>
      <c r="B2529" s="5">
        <f>_xlfn.XLOOKUP(A2529,Banks!A:A,Banks!H:H,0,-1)</f>
        <v>3471.3485904238551</v>
      </c>
      <c r="C2529">
        <f>_xlfn.XLOOKUP(A2529,Energy!A:A,Energy!H:H,0,-1)</f>
        <v>10535.385150432499</v>
      </c>
      <c r="D2529">
        <f t="shared" si="156"/>
        <v>14006.733740856354</v>
      </c>
      <c r="E2529">
        <f>_xlfn.XLOOKUP(A2529,Banks!A:A,Banks!I:I,0)</f>
        <v>38896.624376639717</v>
      </c>
      <c r="F2529">
        <f>_xlfn.XLOOKUP(A2529,Energy!A:A,Energy!I:I,0)</f>
        <v>0</v>
      </c>
      <c r="G2529">
        <f t="shared" si="157"/>
        <v>38896.624376639717</v>
      </c>
      <c r="H2529">
        <f t="shared" si="158"/>
        <v>24889.890635783362</v>
      </c>
      <c r="I2529" t="b">
        <f t="shared" si="159"/>
        <v>0</v>
      </c>
    </row>
    <row r="2530" spans="1:9">
      <c r="A2530" s="1">
        <v>46142.800694444442</v>
      </c>
      <c r="B2530" s="5">
        <f>_xlfn.XLOOKUP(A2530,Banks!A:A,Banks!H:H,0,-1)</f>
        <v>3471.3485904238551</v>
      </c>
      <c r="C2530">
        <f>_xlfn.XLOOKUP(A2530,Energy!A:A,Energy!H:H,0,-1)</f>
        <v>10535.385150432499</v>
      </c>
      <c r="D2530">
        <f t="shared" si="156"/>
        <v>14006.733740856354</v>
      </c>
      <c r="E2530">
        <f>_xlfn.XLOOKUP(A2530,Banks!A:A,Banks!I:I,0)</f>
        <v>38896.624376639717</v>
      </c>
      <c r="F2530">
        <f>_xlfn.XLOOKUP(A2530,Energy!A:A,Energy!I:I,0)</f>
        <v>0</v>
      </c>
      <c r="G2530">
        <f t="shared" si="157"/>
        <v>38896.624376639717</v>
      </c>
      <c r="H2530">
        <f t="shared" si="158"/>
        <v>24889.890635783362</v>
      </c>
      <c r="I2530" t="b">
        <f t="shared" si="159"/>
        <v>0</v>
      </c>
    </row>
    <row r="2531" spans="1:9">
      <c r="A2531" s="1">
        <v>46142.801388888889</v>
      </c>
      <c r="B2531" s="5">
        <f>_xlfn.XLOOKUP(A2531,Banks!A:A,Banks!H:H,0,-1)</f>
        <v>3548.7849133503528</v>
      </c>
      <c r="C2531">
        <f>_xlfn.XLOOKUP(A2531,Energy!A:A,Energy!H:H,0,-1)</f>
        <v>10535.385150432499</v>
      </c>
      <c r="D2531">
        <f t="shared" si="156"/>
        <v>14084.170063782853</v>
      </c>
      <c r="E2531">
        <f>_xlfn.XLOOKUP(A2531,Banks!A:A,Banks!I:I,0)</f>
        <v>38922.704861564001</v>
      </c>
      <c r="F2531">
        <f>_xlfn.XLOOKUP(A2531,Energy!A:A,Energy!I:I,0)</f>
        <v>0</v>
      </c>
      <c r="G2531">
        <f t="shared" si="157"/>
        <v>38922.704861564001</v>
      </c>
      <c r="H2531">
        <f t="shared" si="158"/>
        <v>24838.534797781147</v>
      </c>
      <c r="I2531" t="b">
        <f t="shared" si="159"/>
        <v>0</v>
      </c>
    </row>
    <row r="2532" spans="1:9">
      <c r="A2532" s="1">
        <v>46142.802083333343</v>
      </c>
      <c r="B2532" s="5">
        <f>_xlfn.XLOOKUP(A2532,Banks!A:A,Banks!H:H,0,-1)</f>
        <v>3531.129546118706</v>
      </c>
      <c r="C2532">
        <f>_xlfn.XLOOKUP(A2532,Energy!A:A,Energy!H:H,0,-1)</f>
        <v>10535.385150432499</v>
      </c>
      <c r="D2532">
        <f t="shared" si="156"/>
        <v>14066.514696551205</v>
      </c>
      <c r="E2532">
        <f>_xlfn.XLOOKUP(A2532,Banks!A:A,Banks!I:I,0)</f>
        <v>38926.235935010343</v>
      </c>
      <c r="F2532">
        <f>_xlfn.XLOOKUP(A2532,Energy!A:A,Energy!I:I,0)</f>
        <v>0</v>
      </c>
      <c r="G2532">
        <f t="shared" si="157"/>
        <v>38926.235935010343</v>
      </c>
      <c r="H2532">
        <f t="shared" si="158"/>
        <v>24859.72123845914</v>
      </c>
      <c r="I2532" t="b">
        <f t="shared" si="159"/>
        <v>0</v>
      </c>
    </row>
    <row r="2533" spans="1:9">
      <c r="A2533" s="1">
        <v>46142.802777777782</v>
      </c>
      <c r="B2533" s="5">
        <f>_xlfn.XLOOKUP(A2533,Banks!A:A,Banks!H:H,0,-1)</f>
        <v>3513.474178887071</v>
      </c>
      <c r="C2533">
        <f>_xlfn.XLOOKUP(A2533,Energy!A:A,Energy!H:H,0,-1)</f>
        <v>10535.385150432499</v>
      </c>
      <c r="D2533">
        <f t="shared" si="156"/>
        <v>14048.85932931957</v>
      </c>
      <c r="E2533">
        <f>_xlfn.XLOOKUP(A2533,Banks!A:A,Banks!I:I,0)</f>
        <v>38929.767008456663</v>
      </c>
      <c r="F2533">
        <f>_xlfn.XLOOKUP(A2533,Energy!A:A,Energy!I:I,0)</f>
        <v>0</v>
      </c>
      <c r="G2533">
        <f t="shared" si="157"/>
        <v>38929.767008456663</v>
      </c>
      <c r="H2533">
        <f t="shared" si="158"/>
        <v>24880.907679137094</v>
      </c>
      <c r="I2533" t="b">
        <f t="shared" si="159"/>
        <v>0</v>
      </c>
    </row>
    <row r="2534" spans="1:9">
      <c r="A2534" s="1">
        <v>46142.803472222222</v>
      </c>
      <c r="B2534" s="5">
        <f>_xlfn.XLOOKUP(A2534,Banks!A:A,Banks!H:H,0,-1)</f>
        <v>3560.1318569080358</v>
      </c>
      <c r="C2534">
        <f>_xlfn.XLOOKUP(A2534,Energy!A:A,Energy!H:H,0,-1)</f>
        <v>10535.385150432499</v>
      </c>
      <c r="D2534">
        <f t="shared" si="156"/>
        <v>14095.517007340535</v>
      </c>
      <c r="E2534">
        <f>_xlfn.XLOOKUP(A2534,Banks!A:A,Banks!I:I,0)</f>
        <v>38939.098544060857</v>
      </c>
      <c r="F2534">
        <f>_xlfn.XLOOKUP(A2534,Energy!A:A,Energy!I:I,0)</f>
        <v>0</v>
      </c>
      <c r="G2534">
        <f t="shared" si="157"/>
        <v>38939.098544060857</v>
      </c>
      <c r="H2534">
        <f t="shared" si="158"/>
        <v>24843.581536720321</v>
      </c>
      <c r="I2534" t="b">
        <f t="shared" si="159"/>
        <v>0</v>
      </c>
    </row>
    <row r="2535" spans="1:9">
      <c r="A2535" s="1">
        <v>46142.804166666669</v>
      </c>
      <c r="B2535" s="5">
        <f>_xlfn.XLOOKUP(A2535,Banks!A:A,Banks!H:H,0,-1)</f>
        <v>3560.1318569080358</v>
      </c>
      <c r="C2535">
        <f>_xlfn.XLOOKUP(A2535,Energy!A:A,Energy!H:H,0,-1)</f>
        <v>10535.385150432499</v>
      </c>
      <c r="D2535">
        <f t="shared" si="156"/>
        <v>14095.517007340535</v>
      </c>
      <c r="E2535">
        <f>_xlfn.XLOOKUP(A2535,Banks!A:A,Banks!I:I,0)</f>
        <v>38939.098544060857</v>
      </c>
      <c r="F2535">
        <f>_xlfn.XLOOKUP(A2535,Energy!A:A,Energy!I:I,0)</f>
        <v>0</v>
      </c>
      <c r="G2535">
        <f t="shared" si="157"/>
        <v>38939.098544060857</v>
      </c>
      <c r="H2535">
        <f t="shared" si="158"/>
        <v>24843.581536720321</v>
      </c>
      <c r="I2535" t="b">
        <f t="shared" si="159"/>
        <v>0</v>
      </c>
    </row>
    <row r="2536" spans="1:9">
      <c r="A2536" s="1">
        <v>46142.804861111108</v>
      </c>
      <c r="B2536" s="5">
        <f>_xlfn.XLOOKUP(A2536,Banks!A:A,Banks!H:H,0,-1)</f>
        <v>3542.4764896764009</v>
      </c>
      <c r="C2536">
        <f>_xlfn.XLOOKUP(A2536,Energy!A:A,Energy!H:H,0,-1)</f>
        <v>10535.385150432499</v>
      </c>
      <c r="D2536">
        <f t="shared" si="156"/>
        <v>14077.8616401089</v>
      </c>
      <c r="E2536">
        <f>_xlfn.XLOOKUP(A2536,Banks!A:A,Banks!I:I,0)</f>
        <v>38942.629617507177</v>
      </c>
      <c r="F2536">
        <f>_xlfn.XLOOKUP(A2536,Energy!A:A,Energy!I:I,0)</f>
        <v>0</v>
      </c>
      <c r="G2536">
        <f t="shared" si="157"/>
        <v>38942.629617507177</v>
      </c>
      <c r="H2536">
        <f t="shared" si="158"/>
        <v>24864.767977398275</v>
      </c>
      <c r="I2536" t="b">
        <f t="shared" si="159"/>
        <v>0</v>
      </c>
    </row>
    <row r="2537" spans="1:9">
      <c r="A2537" s="1">
        <v>46142.805555555547</v>
      </c>
      <c r="B2537" s="5">
        <f>_xlfn.XLOOKUP(A2537,Banks!A:A,Banks!H:H,0,-1)</f>
        <v>3542.4764896764009</v>
      </c>
      <c r="C2537">
        <f>_xlfn.XLOOKUP(A2537,Energy!A:A,Energy!H:H,0,-1)</f>
        <v>10535.385150432499</v>
      </c>
      <c r="D2537">
        <f t="shared" si="156"/>
        <v>14077.8616401089</v>
      </c>
      <c r="E2537">
        <f>_xlfn.XLOOKUP(A2537,Banks!A:A,Banks!I:I,0)</f>
        <v>38942.629617507177</v>
      </c>
      <c r="F2537">
        <f>_xlfn.XLOOKUP(A2537,Energy!A:A,Energy!I:I,0)</f>
        <v>0</v>
      </c>
      <c r="G2537">
        <f t="shared" si="157"/>
        <v>38942.629617507177</v>
      </c>
      <c r="H2537">
        <f t="shared" si="158"/>
        <v>24864.767977398275</v>
      </c>
      <c r="I2537" t="b">
        <f t="shared" si="159"/>
        <v>0</v>
      </c>
    </row>
    <row r="2538" spans="1:9">
      <c r="A2538" s="1">
        <v>46142.806250000001</v>
      </c>
      <c r="B2538" s="5">
        <f>_xlfn.XLOOKUP(A2538,Banks!A:A,Banks!H:H,0,-1)</f>
        <v>3546.0291579088321</v>
      </c>
      <c r="C2538">
        <f>_xlfn.XLOOKUP(A2538,Energy!A:A,Energy!H:H,0,-1)</f>
        <v>10535.385150432499</v>
      </c>
      <c r="D2538">
        <f t="shared" si="156"/>
        <v>14081.414308341331</v>
      </c>
      <c r="E2538">
        <f>_xlfn.XLOOKUP(A2538,Banks!A:A,Banks!I:I,0)</f>
        <v>38950.402298046327</v>
      </c>
      <c r="F2538">
        <f>_xlfn.XLOOKUP(A2538,Energy!A:A,Energy!I:I,0)</f>
        <v>0</v>
      </c>
      <c r="G2538">
        <f t="shared" si="157"/>
        <v>38950.402298046327</v>
      </c>
      <c r="H2538">
        <f t="shared" si="158"/>
        <v>24868.987989704998</v>
      </c>
      <c r="I2538" t="b">
        <f t="shared" si="159"/>
        <v>0</v>
      </c>
    </row>
    <row r="2539" spans="1:9">
      <c r="A2539" s="1">
        <v>46142.806944444441</v>
      </c>
      <c r="B2539" s="5">
        <f>_xlfn.XLOOKUP(A2539,Banks!A:A,Banks!H:H,0,-1)</f>
        <v>3546.0291579088321</v>
      </c>
      <c r="C2539">
        <f>_xlfn.XLOOKUP(A2539,Energy!A:A,Energy!H:H,0,-1)</f>
        <v>10535.385150432499</v>
      </c>
      <c r="D2539">
        <f t="shared" si="156"/>
        <v>14081.414308341331</v>
      </c>
      <c r="E2539">
        <f>_xlfn.XLOOKUP(A2539,Banks!A:A,Banks!I:I,0)</f>
        <v>38950.402298046327</v>
      </c>
      <c r="F2539">
        <f>_xlfn.XLOOKUP(A2539,Energy!A:A,Energy!I:I,0)</f>
        <v>0</v>
      </c>
      <c r="G2539">
        <f t="shared" si="157"/>
        <v>38950.402298046327</v>
      </c>
      <c r="H2539">
        <f t="shared" si="158"/>
        <v>24868.987989704998</v>
      </c>
      <c r="I2539" t="b">
        <f t="shared" si="159"/>
        <v>0</v>
      </c>
    </row>
    <row r="2540" spans="1:9">
      <c r="A2540" s="1">
        <v>46142.807638888888</v>
      </c>
      <c r="B2540" s="5">
        <f>_xlfn.XLOOKUP(A2540,Banks!A:A,Banks!H:H,0,-1)</f>
        <v>3546.0291579088321</v>
      </c>
      <c r="C2540">
        <f>_xlfn.XLOOKUP(A2540,Energy!A:A,Energy!H:H,0,-1)</f>
        <v>10535.385150432499</v>
      </c>
      <c r="D2540">
        <f t="shared" si="156"/>
        <v>14081.414308341331</v>
      </c>
      <c r="E2540">
        <f>_xlfn.XLOOKUP(A2540,Banks!A:A,Banks!I:I,0)</f>
        <v>38950.402298046327</v>
      </c>
      <c r="F2540">
        <f>_xlfn.XLOOKUP(A2540,Energy!A:A,Energy!I:I,0)</f>
        <v>0</v>
      </c>
      <c r="G2540">
        <f t="shared" si="157"/>
        <v>38950.402298046327</v>
      </c>
      <c r="H2540">
        <f t="shared" si="158"/>
        <v>24868.987989704998</v>
      </c>
      <c r="I2540" t="b">
        <f t="shared" si="159"/>
        <v>0</v>
      </c>
    </row>
    <row r="2541" spans="1:9">
      <c r="A2541" s="1">
        <v>46142.808333333327</v>
      </c>
      <c r="B2541" s="5">
        <f>_xlfn.XLOOKUP(A2541,Banks!A:A,Banks!H:H,0,-1)</f>
        <v>3538.1878358339709</v>
      </c>
      <c r="C2541">
        <f>_xlfn.XLOOKUP(A2541,Energy!A:A,Energy!H:H,0,-1)</f>
        <v>10535.385150432499</v>
      </c>
      <c r="D2541">
        <f t="shared" si="156"/>
        <v>14073.57298626647</v>
      </c>
      <c r="E2541">
        <f>_xlfn.XLOOKUP(A2541,Banks!A:A,Banks!I:I,0)</f>
        <v>0</v>
      </c>
      <c r="F2541">
        <f>_xlfn.XLOOKUP(A2541,Energy!A:A,Energy!I:I,0)</f>
        <v>0</v>
      </c>
      <c r="G2541">
        <f t="shared" si="157"/>
        <v>0</v>
      </c>
      <c r="H2541">
        <f t="shared" si="158"/>
        <v>-14073.57298626647</v>
      </c>
      <c r="I2541" t="b">
        <f t="shared" si="159"/>
        <v>0</v>
      </c>
    </row>
    <row r="2542" spans="1:9">
      <c r="A2542" s="1">
        <v>46143.604166666657</v>
      </c>
      <c r="B2542" s="5">
        <f>_xlfn.XLOOKUP(A2542,Banks!A:A,Banks!H:H,0,-1)</f>
        <v>3538.1878358339709</v>
      </c>
      <c r="C2542">
        <f>_xlfn.XLOOKUP(A2542,Energy!A:A,Energy!H:H,0,-1)</f>
        <v>10535.385150432499</v>
      </c>
      <c r="D2542">
        <f t="shared" si="156"/>
        <v>14073.57298626647</v>
      </c>
      <c r="E2542">
        <f>_xlfn.XLOOKUP(A2542,Banks!A:A,Banks!I:I,0)</f>
        <v>0</v>
      </c>
      <c r="F2542">
        <f>_xlfn.XLOOKUP(A2542,Energy!A:A,Energy!I:I,0)</f>
        <v>34257.357159723972</v>
      </c>
      <c r="G2542">
        <f t="shared" si="157"/>
        <v>34257.357159723972</v>
      </c>
      <c r="H2542">
        <f t="shared" si="158"/>
        <v>20183.784173457501</v>
      </c>
      <c r="I2542" t="b">
        <f t="shared" si="159"/>
        <v>0</v>
      </c>
    </row>
    <row r="2543" spans="1:9">
      <c r="A2543" s="1">
        <v>46143.604861111111</v>
      </c>
      <c r="B2543" s="5">
        <f>_xlfn.XLOOKUP(A2543,Banks!A:A,Banks!H:H,0,-1)</f>
        <v>3538.1878358339709</v>
      </c>
      <c r="C2543">
        <f>_xlfn.XLOOKUP(A2543,Energy!A:A,Energy!H:H,0,-1)</f>
        <v>11280.26355433796</v>
      </c>
      <c r="D2543">
        <f t="shared" si="156"/>
        <v>14818.451390171931</v>
      </c>
      <c r="E2543">
        <f>_xlfn.XLOOKUP(A2543,Banks!A:A,Banks!I:I,0)</f>
        <v>0</v>
      </c>
      <c r="F2543">
        <f>_xlfn.XLOOKUP(A2543,Energy!A:A,Energy!I:I,0)</f>
        <v>34246.550736283119</v>
      </c>
      <c r="G2543">
        <f t="shared" si="157"/>
        <v>34246.550736283119</v>
      </c>
      <c r="H2543">
        <f t="shared" si="158"/>
        <v>19428.099346111187</v>
      </c>
      <c r="I2543" t="b">
        <f t="shared" si="159"/>
        <v>0</v>
      </c>
    </row>
    <row r="2544" spans="1:9">
      <c r="A2544" s="1">
        <v>46143.605555555558</v>
      </c>
      <c r="B2544" s="5">
        <f>_xlfn.XLOOKUP(A2544,Banks!A:A,Banks!H:H,0,-1)</f>
        <v>3538.1878358339709</v>
      </c>
      <c r="C2544">
        <f>_xlfn.XLOOKUP(A2544,Energy!A:A,Energy!H:H,0,-1)</f>
        <v>11892.75116532115</v>
      </c>
      <c r="D2544">
        <f t="shared" si="156"/>
        <v>15430.93900115512</v>
      </c>
      <c r="E2544">
        <f>_xlfn.XLOOKUP(A2544,Banks!A:A,Banks!I:I,0)</f>
        <v>0</v>
      </c>
      <c r="F2544">
        <f>_xlfn.XLOOKUP(A2544,Energy!A:A,Energy!I:I,0)</f>
        <v>0</v>
      </c>
      <c r="G2544">
        <f t="shared" si="157"/>
        <v>0</v>
      </c>
      <c r="H2544">
        <f t="shared" si="158"/>
        <v>-15430.93900115512</v>
      </c>
      <c r="I2544" t="b">
        <f t="shared" si="159"/>
        <v>0</v>
      </c>
    </row>
    <row r="2545" spans="1:9">
      <c r="A2545" s="1">
        <v>46146.604166666657</v>
      </c>
      <c r="B2545" s="5">
        <f>_xlfn.XLOOKUP(A2545,Banks!A:A,Banks!H:H,0,-1)</f>
        <v>3538.1878358339709</v>
      </c>
      <c r="C2545">
        <f>_xlfn.XLOOKUP(A2545,Energy!A:A,Energy!H:H,0,-1)</f>
        <v>11892.75116532115</v>
      </c>
      <c r="D2545">
        <f t="shared" si="156"/>
        <v>15430.93900115512</v>
      </c>
      <c r="E2545">
        <f>_xlfn.XLOOKUP(A2545,Banks!A:A,Banks!I:I,0)</f>
        <v>38881.089812954488</v>
      </c>
      <c r="F2545">
        <f>_xlfn.XLOOKUP(A2545,Energy!A:A,Energy!I:I,0)</f>
        <v>0</v>
      </c>
      <c r="G2545">
        <f t="shared" si="157"/>
        <v>38881.089812954488</v>
      </c>
      <c r="H2545">
        <f t="shared" si="158"/>
        <v>23450.150811799365</v>
      </c>
      <c r="I2545" t="b">
        <f t="shared" si="159"/>
        <v>0</v>
      </c>
    </row>
    <row r="2546" spans="1:9">
      <c r="A2546" s="1">
        <v>46146.604861111111</v>
      </c>
      <c r="B2546" s="5">
        <f>_xlfn.XLOOKUP(A2546,Banks!A:A,Banks!H:H,0,-1)</f>
        <v>4175.874201919828</v>
      </c>
      <c r="C2546">
        <f>_xlfn.XLOOKUP(A2546,Energy!A:A,Energy!H:H,0,-1)</f>
        <v>11892.75116532115</v>
      </c>
      <c r="D2546">
        <f t="shared" si="156"/>
        <v>16068.625367240977</v>
      </c>
      <c r="E2546">
        <f>_xlfn.XLOOKUP(A2546,Banks!A:A,Banks!I:I,0)</f>
        <v>39008.627086171662</v>
      </c>
      <c r="F2546">
        <f>_xlfn.XLOOKUP(A2546,Energy!A:A,Energy!I:I,0)</f>
        <v>0</v>
      </c>
      <c r="G2546">
        <f t="shared" si="157"/>
        <v>39008.627086171662</v>
      </c>
      <c r="H2546">
        <f t="shared" si="158"/>
        <v>22940.001718930685</v>
      </c>
      <c r="I2546" t="b">
        <f t="shared" si="159"/>
        <v>0</v>
      </c>
    </row>
    <row r="2547" spans="1:9">
      <c r="A2547" s="1">
        <v>46146.605555555558</v>
      </c>
      <c r="B2547" s="5">
        <f>_xlfn.XLOOKUP(A2547,Banks!A:A,Banks!H:H,0,-1)</f>
        <v>4166.892703805951</v>
      </c>
      <c r="C2547">
        <f>_xlfn.XLOOKUP(A2547,Energy!A:A,Energy!H:H,0,-1)</f>
        <v>11892.75116532115</v>
      </c>
      <c r="D2547">
        <f t="shared" si="156"/>
        <v>16059.6438691271</v>
      </c>
      <c r="E2547">
        <f>_xlfn.XLOOKUP(A2547,Banks!A:A,Banks!I:I,0)</f>
        <v>39006.83078654889</v>
      </c>
      <c r="F2547">
        <f>_xlfn.XLOOKUP(A2547,Energy!A:A,Energy!I:I,0)</f>
        <v>0</v>
      </c>
      <c r="G2547">
        <f t="shared" si="157"/>
        <v>39006.83078654889</v>
      </c>
      <c r="H2547">
        <f t="shared" si="158"/>
        <v>22947.18691742179</v>
      </c>
      <c r="I2547" t="b">
        <f t="shared" si="159"/>
        <v>0</v>
      </c>
    </row>
    <row r="2548" spans="1:9">
      <c r="A2548" s="1">
        <v>46146.606249999997</v>
      </c>
      <c r="B2548" s="5">
        <f>_xlfn.XLOOKUP(A2548,Banks!A:A,Banks!H:H,0,-1)</f>
        <v>3415.450236070395</v>
      </c>
      <c r="C2548">
        <f>_xlfn.XLOOKUP(A2548,Energy!A:A,Energy!H:H,0,-1)</f>
        <v>11892.75116532115</v>
      </c>
      <c r="D2548">
        <f t="shared" si="156"/>
        <v>15308.201401391545</v>
      </c>
      <c r="E2548">
        <f>_xlfn.XLOOKUP(A2548,Banks!A:A,Banks!I:I,0)</f>
        <v>38991.859714800506</v>
      </c>
      <c r="F2548">
        <f>_xlfn.XLOOKUP(A2548,Energy!A:A,Energy!I:I,0)</f>
        <v>0</v>
      </c>
      <c r="G2548">
        <f t="shared" si="157"/>
        <v>38991.859714800506</v>
      </c>
      <c r="H2548">
        <f t="shared" si="158"/>
        <v>23683.65831340896</v>
      </c>
      <c r="I2548" t="b">
        <f t="shared" si="159"/>
        <v>0</v>
      </c>
    </row>
    <row r="2549" spans="1:9">
      <c r="A2549" s="1">
        <v>46146.606944444437</v>
      </c>
      <c r="B2549" s="5">
        <f>_xlfn.XLOOKUP(A2549,Banks!A:A,Banks!H:H,0,-1)</f>
        <v>3523.2282134370239</v>
      </c>
      <c r="C2549">
        <f>_xlfn.XLOOKUP(A2549,Energy!A:A,Energy!H:H,0,-1)</f>
        <v>11892.75116532115</v>
      </c>
      <c r="D2549">
        <f t="shared" si="156"/>
        <v>15415.979378758173</v>
      </c>
      <c r="E2549">
        <f>_xlfn.XLOOKUP(A2549,Banks!A:A,Banks!I:I,0)</f>
        <v>39013.415310273827</v>
      </c>
      <c r="F2549">
        <f>_xlfn.XLOOKUP(A2549,Energy!A:A,Energy!I:I,0)</f>
        <v>0</v>
      </c>
      <c r="G2549">
        <f t="shared" si="157"/>
        <v>39013.415310273827</v>
      </c>
      <c r="H2549">
        <f t="shared" si="158"/>
        <v>23597.435931515654</v>
      </c>
      <c r="I2549" t="b">
        <f t="shared" si="159"/>
        <v>0</v>
      </c>
    </row>
    <row r="2550" spans="1:9">
      <c r="A2550" s="1">
        <v>46146.607638888891</v>
      </c>
      <c r="B2550" s="5">
        <f>_xlfn.XLOOKUP(A2550,Banks!A:A,Banks!H:H,0,-1)</f>
        <v>3487.3022209814771</v>
      </c>
      <c r="C2550">
        <f>_xlfn.XLOOKUP(A2550,Energy!A:A,Energy!H:H,0,-1)</f>
        <v>11892.75116532115</v>
      </c>
      <c r="D2550">
        <f t="shared" si="156"/>
        <v>15380.053386302627</v>
      </c>
      <c r="E2550">
        <f>_xlfn.XLOOKUP(A2550,Banks!A:A,Banks!I:I,0)</f>
        <v>39006.230111782723</v>
      </c>
      <c r="F2550">
        <f>_xlfn.XLOOKUP(A2550,Energy!A:A,Energy!I:I,0)</f>
        <v>0</v>
      </c>
      <c r="G2550">
        <f t="shared" si="157"/>
        <v>39006.230111782723</v>
      </c>
      <c r="H2550">
        <f t="shared" si="158"/>
        <v>23626.176725480094</v>
      </c>
      <c r="I2550" t="b">
        <f t="shared" si="159"/>
        <v>0</v>
      </c>
    </row>
    <row r="2551" spans="1:9">
      <c r="A2551" s="1">
        <v>46146.60833333333</v>
      </c>
      <c r="B2551" s="5">
        <f>_xlfn.XLOOKUP(A2551,Banks!A:A,Banks!H:H,0,-1)</f>
        <v>3642.4432141265102</v>
      </c>
      <c r="C2551">
        <f>_xlfn.XLOOKUP(A2551,Energy!A:A,Energy!H:H,0,-1)</f>
        <v>11892.75116532115</v>
      </c>
      <c r="D2551">
        <f t="shared" si="156"/>
        <v>15535.194379447659</v>
      </c>
      <c r="E2551">
        <f>_xlfn.XLOOKUP(A2551,Banks!A:A,Banks!I:I,0)</f>
        <v>38975.201913153724</v>
      </c>
      <c r="F2551">
        <f>_xlfn.XLOOKUP(A2551,Energy!A:A,Energy!I:I,0)</f>
        <v>0</v>
      </c>
      <c r="G2551">
        <f t="shared" si="157"/>
        <v>38975.201913153724</v>
      </c>
      <c r="H2551">
        <f t="shared" si="158"/>
        <v>23440.007533706063</v>
      </c>
      <c r="I2551" t="b">
        <f t="shared" si="159"/>
        <v>0</v>
      </c>
    </row>
    <row r="2552" spans="1:9">
      <c r="A2552" s="1">
        <v>46146.609027777777</v>
      </c>
      <c r="B2552" s="5">
        <f>_xlfn.XLOOKUP(A2552,Banks!A:A,Banks!H:H,0,-1)</f>
        <v>3732.2581952653709</v>
      </c>
      <c r="C2552">
        <f>_xlfn.XLOOKUP(A2552,Energy!A:A,Energy!H:H,0,-1)</f>
        <v>11892.75116532115</v>
      </c>
      <c r="D2552">
        <f t="shared" si="156"/>
        <v>15625.00936058652</v>
      </c>
      <c r="E2552">
        <f>_xlfn.XLOOKUP(A2552,Banks!A:A,Banks!I:I,0)</f>
        <v>38993.164909381492</v>
      </c>
      <c r="F2552">
        <f>_xlfn.XLOOKUP(A2552,Energy!A:A,Energy!I:I,0)</f>
        <v>0</v>
      </c>
      <c r="G2552">
        <f t="shared" si="157"/>
        <v>38993.164909381492</v>
      </c>
      <c r="H2552">
        <f t="shared" si="158"/>
        <v>23368.155548794974</v>
      </c>
      <c r="I2552" t="b">
        <f t="shared" si="159"/>
        <v>0</v>
      </c>
    </row>
    <row r="2553" spans="1:9">
      <c r="A2553" s="1">
        <v>46146.609722222223</v>
      </c>
      <c r="B2553" s="5">
        <f>_xlfn.XLOOKUP(A2553,Banks!A:A,Banks!H:H,0,-1)</f>
        <v>3768.1841877209058</v>
      </c>
      <c r="C2553">
        <f>_xlfn.XLOOKUP(A2553,Energy!A:A,Energy!H:H,0,-1)</f>
        <v>11892.75116532115</v>
      </c>
      <c r="D2553">
        <f t="shared" si="156"/>
        <v>15660.935353042056</v>
      </c>
      <c r="E2553">
        <f>_xlfn.XLOOKUP(A2553,Banks!A:A,Banks!I:I,0)</f>
        <v>39000.350107872589</v>
      </c>
      <c r="F2553">
        <f>_xlfn.XLOOKUP(A2553,Energy!A:A,Energy!I:I,0)</f>
        <v>0</v>
      </c>
      <c r="G2553">
        <f t="shared" si="157"/>
        <v>39000.350107872589</v>
      </c>
      <c r="H2553">
        <f t="shared" si="158"/>
        <v>23339.414754830534</v>
      </c>
      <c r="I2553" t="b">
        <f t="shared" si="159"/>
        <v>0</v>
      </c>
    </row>
    <row r="2554" spans="1:9">
      <c r="A2554" s="1">
        <v>46146.61041666667</v>
      </c>
      <c r="B2554" s="5">
        <f>_xlfn.XLOOKUP(A2554,Banks!A:A,Banks!H:H,0,-1)</f>
        <v>3750.221191493139</v>
      </c>
      <c r="C2554">
        <f>_xlfn.XLOOKUP(A2554,Energy!A:A,Energy!H:H,0,-1)</f>
        <v>11892.75116532115</v>
      </c>
      <c r="D2554">
        <f t="shared" si="156"/>
        <v>15642.972356814289</v>
      </c>
      <c r="E2554">
        <f>_xlfn.XLOOKUP(A2554,Banks!A:A,Banks!I:I,0)</f>
        <v>38996.757508627037</v>
      </c>
      <c r="F2554">
        <f>_xlfn.XLOOKUP(A2554,Energy!A:A,Energy!I:I,0)</f>
        <v>0</v>
      </c>
      <c r="G2554">
        <f t="shared" si="157"/>
        <v>38996.757508627037</v>
      </c>
      <c r="H2554">
        <f t="shared" si="158"/>
        <v>23353.78515181275</v>
      </c>
      <c r="I2554" t="b">
        <f t="shared" si="159"/>
        <v>0</v>
      </c>
    </row>
    <row r="2555" spans="1:9">
      <c r="A2555" s="1">
        <v>46146.611111111109</v>
      </c>
      <c r="B2555" s="5">
        <f>_xlfn.XLOOKUP(A2555,Banks!A:A,Banks!H:H,0,-1)</f>
        <v>3703.5009306723659</v>
      </c>
      <c r="C2555">
        <f>_xlfn.XLOOKUP(A2555,Energy!A:A,Energy!H:H,0,-1)</f>
        <v>11892.75116532115</v>
      </c>
      <c r="D2555">
        <f t="shared" si="156"/>
        <v>15596.252095993515</v>
      </c>
      <c r="E2555">
        <f>_xlfn.XLOOKUP(A2555,Banks!A:A,Banks!I:I,0)</f>
        <v>38970.175568335653</v>
      </c>
      <c r="F2555">
        <f>_xlfn.XLOOKUP(A2555,Energy!A:A,Energy!I:I,0)</f>
        <v>0</v>
      </c>
      <c r="G2555">
        <f t="shared" si="157"/>
        <v>38970.175568335653</v>
      </c>
      <c r="H2555">
        <f t="shared" si="158"/>
        <v>23373.92347234214</v>
      </c>
      <c r="I2555" t="b">
        <f t="shared" si="159"/>
        <v>0</v>
      </c>
    </row>
    <row r="2556" spans="1:9">
      <c r="A2556" s="1">
        <v>46146.611805555563</v>
      </c>
      <c r="B2556" s="5">
        <f>_xlfn.XLOOKUP(A2556,Banks!A:A,Banks!H:H,0,-1)</f>
        <v>3595.7229533057371</v>
      </c>
      <c r="C2556">
        <f>_xlfn.XLOOKUP(A2556,Energy!A:A,Energy!H:H,0,-1)</f>
        <v>11892.75116532115</v>
      </c>
      <c r="D2556">
        <f t="shared" si="156"/>
        <v>15488.474118626888</v>
      </c>
      <c r="E2556">
        <f>_xlfn.XLOOKUP(A2556,Banks!A:A,Banks!I:I,0)</f>
        <v>38948.619972862332</v>
      </c>
      <c r="F2556">
        <f>_xlfn.XLOOKUP(A2556,Energy!A:A,Energy!I:I,0)</f>
        <v>0</v>
      </c>
      <c r="G2556">
        <f t="shared" si="157"/>
        <v>38948.619972862332</v>
      </c>
      <c r="H2556">
        <f t="shared" si="158"/>
        <v>23460.145854235445</v>
      </c>
      <c r="I2556" t="b">
        <f t="shared" si="159"/>
        <v>0</v>
      </c>
    </row>
    <row r="2557" spans="1:9">
      <c r="A2557" s="1">
        <v>46146.612500000003</v>
      </c>
      <c r="B2557" s="5">
        <f>_xlfn.XLOOKUP(A2557,Banks!A:A,Banks!H:H,0,-1)</f>
        <v>3613.6859495335038</v>
      </c>
      <c r="C2557">
        <f>_xlfn.XLOOKUP(A2557,Energy!A:A,Energy!H:H,0,-1)</f>
        <v>11892.75116532115</v>
      </c>
      <c r="D2557">
        <f t="shared" si="156"/>
        <v>15506.437114854652</v>
      </c>
      <c r="E2557">
        <f>_xlfn.XLOOKUP(A2557,Banks!A:A,Banks!I:I,0)</f>
        <v>38952.212572107877</v>
      </c>
      <c r="F2557">
        <f>_xlfn.XLOOKUP(A2557,Energy!A:A,Energy!I:I,0)</f>
        <v>0</v>
      </c>
      <c r="G2557">
        <f t="shared" si="157"/>
        <v>38952.212572107877</v>
      </c>
      <c r="H2557">
        <f t="shared" si="158"/>
        <v>23445.775457253225</v>
      </c>
      <c r="I2557" t="b">
        <f t="shared" si="159"/>
        <v>0</v>
      </c>
    </row>
    <row r="2558" spans="1:9">
      <c r="A2558" s="1">
        <v>46146.613194444442</v>
      </c>
      <c r="B2558" s="5">
        <f>_xlfn.XLOOKUP(A2558,Banks!A:A,Banks!H:H,0,-1)</f>
        <v>3610.7649288455959</v>
      </c>
      <c r="C2558">
        <f>_xlfn.XLOOKUP(A2558,Energy!A:A,Energy!H:H,0,-1)</f>
        <v>11892.75116532115</v>
      </c>
      <c r="D2558">
        <f t="shared" si="156"/>
        <v>15503.516094166745</v>
      </c>
      <c r="E2558">
        <f>_xlfn.XLOOKUP(A2558,Banks!A:A,Banks!I:I,0)</f>
        <v>38902.500386807711</v>
      </c>
      <c r="F2558">
        <f>_xlfn.XLOOKUP(A2558,Energy!A:A,Energy!I:I,0)</f>
        <v>0</v>
      </c>
      <c r="G2558">
        <f t="shared" si="157"/>
        <v>38902.500386807711</v>
      </c>
      <c r="H2558">
        <f t="shared" si="158"/>
        <v>23398.984292640966</v>
      </c>
      <c r="I2558" t="b">
        <f t="shared" si="159"/>
        <v>0</v>
      </c>
    </row>
    <row r="2559" spans="1:9">
      <c r="A2559" s="1">
        <v>46146.613888888889</v>
      </c>
      <c r="B2559" s="5">
        <f>_xlfn.XLOOKUP(A2559,Banks!A:A,Banks!H:H,0,-1)</f>
        <v>3606.455456813781</v>
      </c>
      <c r="C2559">
        <f>_xlfn.XLOOKUP(A2559,Energy!A:A,Energy!H:H,0,-1)</f>
        <v>11892.75116532115</v>
      </c>
      <c r="D2559">
        <f t="shared" si="156"/>
        <v>15499.206622134931</v>
      </c>
      <c r="E2559">
        <f>_xlfn.XLOOKUP(A2559,Banks!A:A,Banks!I:I,0)</f>
        <v>38903.362281214067</v>
      </c>
      <c r="F2559">
        <f>_xlfn.XLOOKUP(A2559,Energy!A:A,Energy!I:I,0)</f>
        <v>0</v>
      </c>
      <c r="G2559">
        <f t="shared" si="157"/>
        <v>38903.362281214067</v>
      </c>
      <c r="H2559">
        <f t="shared" si="158"/>
        <v>23404.155659079137</v>
      </c>
      <c r="I2559" t="b">
        <f t="shared" si="159"/>
        <v>0</v>
      </c>
    </row>
    <row r="2560" spans="1:9">
      <c r="A2560" s="1">
        <v>46146.614583333343</v>
      </c>
      <c r="B2560" s="5">
        <f>_xlfn.XLOOKUP(A2560,Banks!A:A,Banks!H:H,0,-1)</f>
        <v>3631.2040385680748</v>
      </c>
      <c r="C2560">
        <f>_xlfn.XLOOKUP(A2560,Energy!A:A,Energy!H:H,0,-1)</f>
        <v>11892.75116532115</v>
      </c>
      <c r="D2560">
        <f t="shared" si="156"/>
        <v>15523.955203889225</v>
      </c>
      <c r="E2560">
        <f>_xlfn.XLOOKUP(A2560,Banks!A:A,Banks!I:I,0)</f>
        <v>38866.079171653219</v>
      </c>
      <c r="F2560">
        <f>_xlfn.XLOOKUP(A2560,Energy!A:A,Energy!I:I,0)</f>
        <v>0</v>
      </c>
      <c r="G2560">
        <f t="shared" si="157"/>
        <v>38866.079171653219</v>
      </c>
      <c r="H2560">
        <f t="shared" si="158"/>
        <v>23342.123967763993</v>
      </c>
      <c r="I2560" t="b">
        <f t="shared" si="159"/>
        <v>0</v>
      </c>
    </row>
    <row r="2561" spans="1:9">
      <c r="A2561" s="1">
        <v>46146.615277777782</v>
      </c>
      <c r="B2561" s="5">
        <f>_xlfn.XLOOKUP(A2561,Banks!A:A,Banks!H:H,0,-1)</f>
        <v>3526.6890476538952</v>
      </c>
      <c r="C2561">
        <f>_xlfn.XLOOKUP(A2561,Energy!A:A,Energy!H:H,0,-1)</f>
        <v>11892.75116532115</v>
      </c>
      <c r="D2561">
        <f t="shared" si="156"/>
        <v>15419.440212975045</v>
      </c>
      <c r="E2561">
        <f>_xlfn.XLOOKUP(A2561,Banks!A:A,Banks!I:I,0)</f>
        <v>38876.20437209939</v>
      </c>
      <c r="F2561">
        <f>_xlfn.XLOOKUP(A2561,Energy!A:A,Energy!I:I,0)</f>
        <v>0</v>
      </c>
      <c r="G2561">
        <f t="shared" si="157"/>
        <v>38876.20437209939</v>
      </c>
      <c r="H2561">
        <f t="shared" si="158"/>
        <v>23456.764159124345</v>
      </c>
      <c r="I2561" t="b">
        <f t="shared" si="159"/>
        <v>0</v>
      </c>
    </row>
    <row r="2562" spans="1:9">
      <c r="A2562" s="1">
        <v>46146.615972222222</v>
      </c>
      <c r="B2562" s="5">
        <f>_xlfn.XLOOKUP(A2562,Banks!A:A,Banks!H:H,0,-1)</f>
        <v>3571.5965382233321</v>
      </c>
      <c r="C2562">
        <f>_xlfn.XLOOKUP(A2562,Energy!A:A,Energy!H:H,0,-1)</f>
        <v>11892.75116532115</v>
      </c>
      <c r="D2562">
        <f t="shared" si="156"/>
        <v>15464.347703544481</v>
      </c>
      <c r="E2562">
        <f>_xlfn.XLOOKUP(A2562,Banks!A:A,Banks!I:I,0)</f>
        <v>38885.185870213281</v>
      </c>
      <c r="F2562">
        <f>_xlfn.XLOOKUP(A2562,Energy!A:A,Energy!I:I,0)</f>
        <v>0</v>
      </c>
      <c r="G2562">
        <f t="shared" si="157"/>
        <v>38885.185870213281</v>
      </c>
      <c r="H2562">
        <f t="shared" si="158"/>
        <v>23420.8381666688</v>
      </c>
      <c r="I2562" t="b">
        <f t="shared" si="159"/>
        <v>0</v>
      </c>
    </row>
    <row r="2563" spans="1:9">
      <c r="A2563" s="1">
        <v>46146.616666666669</v>
      </c>
      <c r="B2563" s="5">
        <f>_xlfn.XLOOKUP(A2563,Banks!A:A,Banks!H:H,0,-1)</f>
        <v>3619.404461194933</v>
      </c>
      <c r="C2563">
        <f>_xlfn.XLOOKUP(A2563,Energy!A:A,Energy!H:H,0,-1)</f>
        <v>11892.75116532115</v>
      </c>
      <c r="D2563">
        <f t="shared" ref="D2563:D2626" si="160">B2563+C2563</f>
        <v>15512.155626516083</v>
      </c>
      <c r="E2563">
        <f>_xlfn.XLOOKUP(A2563,Banks!A:A,Banks!I:I,0)</f>
        <v>38922.328075811172</v>
      </c>
      <c r="F2563">
        <f>_xlfn.XLOOKUP(A2563,Energy!A:A,Energy!I:I,0)</f>
        <v>0</v>
      </c>
      <c r="G2563">
        <f t="shared" ref="G2563:G2626" si="161">F2563+E2563</f>
        <v>38922.328075811172</v>
      </c>
      <c r="H2563">
        <f t="shared" ref="H2563:H2626" si="162">G2563-D2563</f>
        <v>23410.172449295089</v>
      </c>
      <c r="I2563" t="b">
        <f t="shared" ref="I2563:I2626" si="163">AND(E2563&gt;0,F2563&gt;0)</f>
        <v>0</v>
      </c>
    </row>
    <row r="2564" spans="1:9">
      <c r="A2564" s="1">
        <v>46146.617361111108</v>
      </c>
      <c r="B2564" s="5">
        <f>_xlfn.XLOOKUP(A2564,Banks!A:A,Banks!H:H,0,-1)</f>
        <v>3574.4969706255092</v>
      </c>
      <c r="C2564">
        <f>_xlfn.XLOOKUP(A2564,Energy!A:A,Energy!H:H,0,-1)</f>
        <v>11892.75116532115</v>
      </c>
      <c r="D2564">
        <f t="shared" si="160"/>
        <v>15467.248135946658</v>
      </c>
      <c r="E2564">
        <f>_xlfn.XLOOKUP(A2564,Banks!A:A,Banks!I:I,0)</f>
        <v>38913.346577697281</v>
      </c>
      <c r="F2564">
        <f>_xlfn.XLOOKUP(A2564,Energy!A:A,Energy!I:I,0)</f>
        <v>0</v>
      </c>
      <c r="G2564">
        <f t="shared" si="161"/>
        <v>38913.346577697281</v>
      </c>
      <c r="H2564">
        <f t="shared" si="162"/>
        <v>23446.098441750622</v>
      </c>
      <c r="I2564" t="b">
        <f t="shared" si="163"/>
        <v>0</v>
      </c>
    </row>
    <row r="2565" spans="1:9">
      <c r="A2565" s="1">
        <v>46146.618055555547</v>
      </c>
      <c r="B2565" s="5">
        <f>_xlfn.XLOOKUP(A2565,Banks!A:A,Banks!H:H,0,-1)</f>
        <v>3536.0536881038011</v>
      </c>
      <c r="C2565">
        <f>_xlfn.XLOOKUP(A2565,Energy!A:A,Energy!H:H,0,-1)</f>
        <v>11892.75116532115</v>
      </c>
      <c r="D2565">
        <f t="shared" si="160"/>
        <v>15428.80485342495</v>
      </c>
      <c r="E2565">
        <f>_xlfn.XLOOKUP(A2565,Banks!A:A,Banks!I:I,0)</f>
        <v>38903.072237973851</v>
      </c>
      <c r="F2565">
        <f>_xlfn.XLOOKUP(A2565,Energy!A:A,Energy!I:I,0)</f>
        <v>0</v>
      </c>
      <c r="G2565">
        <f t="shared" si="161"/>
        <v>38903.072237973851</v>
      </c>
      <c r="H2565">
        <f t="shared" si="162"/>
        <v>23474.267384548901</v>
      </c>
      <c r="I2565" t="b">
        <f t="shared" si="163"/>
        <v>0</v>
      </c>
    </row>
    <row r="2566" spans="1:9">
      <c r="A2566" s="1">
        <v>46146.618750000001</v>
      </c>
      <c r="B2566" s="5">
        <f>_xlfn.XLOOKUP(A2566,Banks!A:A,Banks!H:H,0,-1)</f>
        <v>3571.9796805593351</v>
      </c>
      <c r="C2566">
        <f>_xlfn.XLOOKUP(A2566,Energy!A:A,Energy!H:H,0,-1)</f>
        <v>11892.75116532115</v>
      </c>
      <c r="D2566">
        <f t="shared" si="160"/>
        <v>15464.730845880484</v>
      </c>
      <c r="E2566">
        <f>_xlfn.XLOOKUP(A2566,Banks!A:A,Banks!I:I,0)</f>
        <v>38910.257436464963</v>
      </c>
      <c r="F2566">
        <f>_xlfn.XLOOKUP(A2566,Energy!A:A,Energy!I:I,0)</f>
        <v>0</v>
      </c>
      <c r="G2566">
        <f t="shared" si="161"/>
        <v>38910.257436464963</v>
      </c>
      <c r="H2566">
        <f t="shared" si="162"/>
        <v>23445.526590584479</v>
      </c>
      <c r="I2566" t="b">
        <f t="shared" si="163"/>
        <v>0</v>
      </c>
    </row>
    <row r="2567" spans="1:9">
      <c r="A2567" s="1">
        <v>46146.619444444441</v>
      </c>
      <c r="B2567" s="5">
        <f>_xlfn.XLOOKUP(A2567,Banks!A:A,Banks!H:H,0,-1)</f>
        <v>3509.1915469050559</v>
      </c>
      <c r="C2567">
        <f>_xlfn.XLOOKUP(A2567,Energy!A:A,Energy!H:H,0,-1)</f>
        <v>11892.75116532115</v>
      </c>
      <c r="D2567">
        <f t="shared" si="160"/>
        <v>15401.942712226206</v>
      </c>
      <c r="E2567">
        <f>_xlfn.XLOOKUP(A2567,Banks!A:A,Banks!I:I,0)</f>
        <v>38983.88925037023</v>
      </c>
      <c r="F2567">
        <f>_xlfn.XLOOKUP(A2567,Energy!A:A,Energy!I:I,0)</f>
        <v>0</v>
      </c>
      <c r="G2567">
        <f t="shared" si="161"/>
        <v>38983.88925037023</v>
      </c>
      <c r="H2567">
        <f t="shared" si="162"/>
        <v>23581.946538144024</v>
      </c>
      <c r="I2567" t="b">
        <f t="shared" si="163"/>
        <v>0</v>
      </c>
    </row>
    <row r="2568" spans="1:9">
      <c r="A2568" s="1">
        <v>46146.620138888888</v>
      </c>
      <c r="B2568" s="5">
        <f>_xlfn.XLOOKUP(A2568,Banks!A:A,Banks!H:H,0,-1)</f>
        <v>3564.7343886467729</v>
      </c>
      <c r="C2568">
        <f>_xlfn.XLOOKUP(A2568,Energy!A:A,Energy!H:H,0,-1)</f>
        <v>11892.75116532115</v>
      </c>
      <c r="D2568">
        <f t="shared" si="160"/>
        <v>15457.485553967923</v>
      </c>
      <c r="E2568">
        <f>_xlfn.XLOOKUP(A2568,Banks!A:A,Banks!I:I,0)</f>
        <v>0</v>
      </c>
      <c r="F2568">
        <f>_xlfn.XLOOKUP(A2568,Energy!A:A,Energy!I:I,0)</f>
        <v>0</v>
      </c>
      <c r="G2568">
        <f t="shared" si="161"/>
        <v>0</v>
      </c>
      <c r="H2568">
        <f t="shared" si="162"/>
        <v>-15457.485553967923</v>
      </c>
      <c r="I2568" t="b">
        <f t="shared" si="163"/>
        <v>0</v>
      </c>
    </row>
    <row r="2569" spans="1:9">
      <c r="A2569" s="1">
        <v>46147.604861111111</v>
      </c>
      <c r="B2569" s="5">
        <f>_xlfn.XLOOKUP(A2569,Banks!A:A,Banks!H:H,0,-1)</f>
        <v>3564.7343886467729</v>
      </c>
      <c r="C2569">
        <f>_xlfn.XLOOKUP(A2569,Energy!A:A,Energy!H:H,0,-1)</f>
        <v>11892.75116532115</v>
      </c>
      <c r="D2569">
        <f t="shared" si="160"/>
        <v>15457.485553967923</v>
      </c>
      <c r="E2569">
        <f>_xlfn.XLOOKUP(A2569,Banks!A:A,Banks!I:I,0)</f>
        <v>0</v>
      </c>
      <c r="F2569">
        <f>_xlfn.XLOOKUP(A2569,Energy!A:A,Energy!I:I,0)</f>
        <v>34257.357159723972</v>
      </c>
      <c r="G2569">
        <f t="shared" si="161"/>
        <v>34257.357159723972</v>
      </c>
      <c r="H2569">
        <f t="shared" si="162"/>
        <v>18799.871605756049</v>
      </c>
      <c r="I2569" t="b">
        <f t="shared" si="163"/>
        <v>0</v>
      </c>
    </row>
    <row r="2570" spans="1:9">
      <c r="A2570" s="1">
        <v>46147.605555555558</v>
      </c>
      <c r="B2570" s="5">
        <f>_xlfn.XLOOKUP(A2570,Banks!A:A,Banks!H:H,0,-1)</f>
        <v>3564.7343886467729</v>
      </c>
      <c r="C2570">
        <f>_xlfn.XLOOKUP(A2570,Energy!A:A,Energy!H:H,0,-1)</f>
        <v>12097.64077725473</v>
      </c>
      <c r="D2570">
        <f t="shared" si="160"/>
        <v>15662.375165901503</v>
      </c>
      <c r="E2570">
        <f>_xlfn.XLOOKUP(A2570,Banks!A:A,Banks!I:I,0)</f>
        <v>0</v>
      </c>
      <c r="F2570">
        <f>_xlfn.XLOOKUP(A2570,Energy!A:A,Energy!I:I,0)</f>
        <v>34212.192728362417</v>
      </c>
      <c r="G2570">
        <f t="shared" si="161"/>
        <v>34212.192728362417</v>
      </c>
      <c r="H2570">
        <f t="shared" si="162"/>
        <v>18549.817562460914</v>
      </c>
      <c r="I2570" t="b">
        <f t="shared" si="163"/>
        <v>0</v>
      </c>
    </row>
    <row r="2571" spans="1:9">
      <c r="A2571" s="1">
        <v>46147.606249999997</v>
      </c>
      <c r="B2571" s="5">
        <f>_xlfn.XLOOKUP(A2571,Banks!A:A,Banks!H:H,0,-1)</f>
        <v>3564.7343886467729</v>
      </c>
      <c r="C2571">
        <f>_xlfn.XLOOKUP(A2571,Energy!A:A,Energy!H:H,0,-1)</f>
        <v>11927.563850152321</v>
      </c>
      <c r="D2571">
        <f t="shared" si="160"/>
        <v>15492.298238799094</v>
      </c>
      <c r="E2571">
        <f>_xlfn.XLOOKUP(A2571,Banks!A:A,Banks!I:I,0)</f>
        <v>0</v>
      </c>
      <c r="F2571">
        <f>_xlfn.XLOOKUP(A2571,Energy!A:A,Energy!I:I,0)</f>
        <v>34178.177342941941</v>
      </c>
      <c r="G2571">
        <f t="shared" si="161"/>
        <v>34178.177342941941</v>
      </c>
      <c r="H2571">
        <f t="shared" si="162"/>
        <v>18685.879104142849</v>
      </c>
      <c r="I2571" t="b">
        <f t="shared" si="163"/>
        <v>0</v>
      </c>
    </row>
    <row r="2572" spans="1:9">
      <c r="A2572" s="1">
        <v>46147.606944444437</v>
      </c>
      <c r="B2572" s="5">
        <f>_xlfn.XLOOKUP(A2572,Banks!A:A,Banks!H:H,0,-1)</f>
        <v>3564.7343886467729</v>
      </c>
      <c r="C2572">
        <f>_xlfn.XLOOKUP(A2572,Energy!A:A,Energy!H:H,0,-1)</f>
        <v>11775.89067716852</v>
      </c>
      <c r="D2572">
        <f t="shared" si="160"/>
        <v>15340.625065815293</v>
      </c>
      <c r="E2572">
        <f>_xlfn.XLOOKUP(A2572,Banks!A:A,Banks!I:I,0)</f>
        <v>0</v>
      </c>
      <c r="F2572">
        <f>_xlfn.XLOOKUP(A2572,Energy!A:A,Energy!I:I,0)</f>
        <v>34211.651859269819</v>
      </c>
      <c r="G2572">
        <f t="shared" si="161"/>
        <v>34211.651859269819</v>
      </c>
      <c r="H2572">
        <f t="shared" si="162"/>
        <v>18871.026793454526</v>
      </c>
      <c r="I2572" t="b">
        <f t="shared" si="163"/>
        <v>0</v>
      </c>
    </row>
    <row r="2573" spans="1:9">
      <c r="A2573" s="1">
        <v>46147.607638888891</v>
      </c>
      <c r="B2573" s="5">
        <f>_xlfn.XLOOKUP(A2573,Banks!A:A,Banks!H:H,0,-1)</f>
        <v>3564.7343886467729</v>
      </c>
      <c r="C2573">
        <f>_xlfn.XLOOKUP(A2573,Energy!A:A,Energy!H:H,0,-1)</f>
        <v>11951.20074048947</v>
      </c>
      <c r="D2573">
        <f t="shared" si="160"/>
        <v>15515.935129136244</v>
      </c>
      <c r="E2573">
        <f>_xlfn.XLOOKUP(A2573,Banks!A:A,Banks!I:I,0)</f>
        <v>0</v>
      </c>
      <c r="F2573">
        <f>_xlfn.XLOOKUP(A2573,Energy!A:A,Energy!I:I,0)</f>
        <v>34246.713871934007</v>
      </c>
      <c r="G2573">
        <f t="shared" si="161"/>
        <v>34246.713871934007</v>
      </c>
      <c r="H2573">
        <f t="shared" si="162"/>
        <v>18730.778742797764</v>
      </c>
      <c r="I2573" t="b">
        <f t="shared" si="163"/>
        <v>0</v>
      </c>
    </row>
    <row r="2574" spans="1:9">
      <c r="A2574" s="1">
        <v>46147.60833333333</v>
      </c>
      <c r="B2574" s="5">
        <f>_xlfn.XLOOKUP(A2574,Banks!A:A,Banks!H:H,0,-1)</f>
        <v>3564.7343886467729</v>
      </c>
      <c r="C2574">
        <f>_xlfn.XLOOKUP(A2574,Energy!A:A,Energy!H:H,0,-1)</f>
        <v>11940.734468052389</v>
      </c>
      <c r="D2574">
        <f t="shared" si="160"/>
        <v>15505.468856699163</v>
      </c>
      <c r="E2574">
        <f>_xlfn.XLOOKUP(A2574,Banks!A:A,Banks!I:I,0)</f>
        <v>0</v>
      </c>
      <c r="F2574">
        <f>_xlfn.XLOOKUP(A2574,Energy!A:A,Energy!I:I,0)</f>
        <v>34244.620617446599</v>
      </c>
      <c r="G2574">
        <f t="shared" si="161"/>
        <v>34244.620617446599</v>
      </c>
      <c r="H2574">
        <f t="shared" si="162"/>
        <v>18739.151760747438</v>
      </c>
      <c r="I2574" t="b">
        <f t="shared" si="163"/>
        <v>0</v>
      </c>
    </row>
    <row r="2575" spans="1:9">
      <c r="A2575" s="1">
        <v>46147.609027777777</v>
      </c>
      <c r="B2575" s="5">
        <f>_xlfn.XLOOKUP(A2575,Banks!A:A,Banks!H:H,0,-1)</f>
        <v>3564.7343886467729</v>
      </c>
      <c r="C2575">
        <f>_xlfn.XLOOKUP(A2575,Energy!A:A,Energy!H:H,0,-1)</f>
        <v>11723.559314983169</v>
      </c>
      <c r="D2575">
        <f t="shared" si="160"/>
        <v>15288.293703629943</v>
      </c>
      <c r="E2575">
        <f>_xlfn.XLOOKUP(A2575,Banks!A:A,Banks!I:I,0)</f>
        <v>0</v>
      </c>
      <c r="F2575">
        <f>_xlfn.XLOOKUP(A2575,Energy!A:A,Energy!I:I,0)</f>
        <v>34201.185586832748</v>
      </c>
      <c r="G2575">
        <f t="shared" si="161"/>
        <v>34201.185586832748</v>
      </c>
      <c r="H2575">
        <f t="shared" si="162"/>
        <v>18912.891883202807</v>
      </c>
      <c r="I2575" t="b">
        <f t="shared" si="163"/>
        <v>0</v>
      </c>
    </row>
    <row r="2576" spans="1:9">
      <c r="A2576" s="1">
        <v>46147.609722222223</v>
      </c>
      <c r="B2576" s="5">
        <f>_xlfn.XLOOKUP(A2576,Banks!A:A,Banks!H:H,0,-1)</f>
        <v>3564.7343886467729</v>
      </c>
      <c r="C2576">
        <f>_xlfn.XLOOKUP(A2576,Energy!A:A,Energy!H:H,0,-1)</f>
        <v>11723.559314983169</v>
      </c>
      <c r="D2576">
        <f t="shared" si="160"/>
        <v>15288.293703629943</v>
      </c>
      <c r="E2576">
        <f>_xlfn.XLOOKUP(A2576,Banks!A:A,Banks!I:I,0)</f>
        <v>0</v>
      </c>
      <c r="F2576">
        <f>_xlfn.XLOOKUP(A2576,Energy!A:A,Energy!I:I,0)</f>
        <v>34201.185586832748</v>
      </c>
      <c r="G2576">
        <f t="shared" si="161"/>
        <v>34201.185586832748</v>
      </c>
      <c r="H2576">
        <f t="shared" si="162"/>
        <v>18912.891883202807</v>
      </c>
      <c r="I2576" t="b">
        <f t="shared" si="163"/>
        <v>0</v>
      </c>
    </row>
    <row r="2577" spans="1:9">
      <c r="A2577" s="1">
        <v>46147.61041666667</v>
      </c>
      <c r="B2577" s="5">
        <f>_xlfn.XLOOKUP(A2577,Banks!A:A,Banks!H:H,0,-1)</f>
        <v>3564.7343886467729</v>
      </c>
      <c r="C2577">
        <f>_xlfn.XLOOKUP(A2577,Energy!A:A,Energy!H:H,0,-1)</f>
        <v>12142.21021246603</v>
      </c>
      <c r="D2577">
        <f t="shared" si="160"/>
        <v>15706.944601112804</v>
      </c>
      <c r="E2577">
        <f>_xlfn.XLOOKUP(A2577,Banks!A:A,Banks!I:I,0)</f>
        <v>0</v>
      </c>
      <c r="F2577">
        <f>_xlfn.XLOOKUP(A2577,Energy!A:A,Energy!I:I,0)</f>
        <v>34284.915766329323</v>
      </c>
      <c r="G2577">
        <f t="shared" si="161"/>
        <v>34284.915766329323</v>
      </c>
      <c r="H2577">
        <f t="shared" si="162"/>
        <v>18577.971165216521</v>
      </c>
      <c r="I2577" t="b">
        <f t="shared" si="163"/>
        <v>0</v>
      </c>
    </row>
    <row r="2578" spans="1:9">
      <c r="A2578" s="1">
        <v>46147.611111111109</v>
      </c>
      <c r="B2578" s="5">
        <f>_xlfn.XLOOKUP(A2578,Banks!A:A,Banks!H:H,0,-1)</f>
        <v>3564.7343886467729</v>
      </c>
      <c r="C2578">
        <f>_xlfn.XLOOKUP(A2578,Energy!A:A,Energy!H:H,0,-1)</f>
        <v>11599.56988498504</v>
      </c>
      <c r="D2578">
        <f t="shared" si="160"/>
        <v>15164.304273631813</v>
      </c>
      <c r="E2578">
        <f>_xlfn.XLOOKUP(A2578,Banks!A:A,Banks!I:I,0)</f>
        <v>0</v>
      </c>
      <c r="F2578">
        <f>_xlfn.XLOOKUP(A2578,Energy!A:A,Energy!I:I,0)</f>
        <v>34416.469631187072</v>
      </c>
      <c r="G2578">
        <f t="shared" si="161"/>
        <v>34416.469631187072</v>
      </c>
      <c r="H2578">
        <f t="shared" si="162"/>
        <v>19252.165357555259</v>
      </c>
      <c r="I2578" t="b">
        <f t="shared" si="163"/>
        <v>0</v>
      </c>
    </row>
    <row r="2579" spans="1:9">
      <c r="A2579" s="1">
        <v>46147.611805555563</v>
      </c>
      <c r="B2579" s="5">
        <f>_xlfn.XLOOKUP(A2579,Banks!A:A,Banks!H:H,0,-1)</f>
        <v>3564.7343886467729</v>
      </c>
      <c r="C2579">
        <f>_xlfn.XLOOKUP(A2579,Energy!A:A,Energy!H:H,0,-1)</f>
        <v>11391.22695590779</v>
      </c>
      <c r="D2579">
        <f t="shared" si="160"/>
        <v>14955.961344554564</v>
      </c>
      <c r="E2579">
        <f>_xlfn.XLOOKUP(A2579,Banks!A:A,Banks!I:I,0)</f>
        <v>0</v>
      </c>
      <c r="F2579">
        <f>_xlfn.XLOOKUP(A2579,Energy!A:A,Energy!I:I,0)</f>
        <v>34399.527091354918</v>
      </c>
      <c r="G2579">
        <f t="shared" si="161"/>
        <v>34399.527091354918</v>
      </c>
      <c r="H2579">
        <f t="shared" si="162"/>
        <v>19443.565746800356</v>
      </c>
      <c r="I2579" t="b">
        <f t="shared" si="163"/>
        <v>0</v>
      </c>
    </row>
    <row r="2580" spans="1:9">
      <c r="A2580" s="1">
        <v>46147.612500000003</v>
      </c>
      <c r="B2580" s="5">
        <f>_xlfn.XLOOKUP(A2580,Banks!A:A,Banks!H:H,0,-1)</f>
        <v>3564.7343886467729</v>
      </c>
      <c r="C2580">
        <f>_xlfn.XLOOKUP(A2580,Energy!A:A,Energy!H:H,0,-1)</f>
        <v>11396.460092126341</v>
      </c>
      <c r="D2580">
        <f t="shared" si="160"/>
        <v>14961.194480773114</v>
      </c>
      <c r="E2580">
        <f>_xlfn.XLOOKUP(A2580,Banks!A:A,Banks!I:I,0)</f>
        <v>0</v>
      </c>
      <c r="F2580">
        <f>_xlfn.XLOOKUP(A2580,Energy!A:A,Energy!I:I,0)</f>
        <v>34400.573718598644</v>
      </c>
      <c r="G2580">
        <f t="shared" si="161"/>
        <v>34400.573718598644</v>
      </c>
      <c r="H2580">
        <f t="shared" si="162"/>
        <v>19439.379237825531</v>
      </c>
      <c r="I2580" t="b">
        <f t="shared" si="163"/>
        <v>0</v>
      </c>
    </row>
    <row r="2581" spans="1:9">
      <c r="A2581" s="1">
        <v>46147.613194444442</v>
      </c>
      <c r="B2581" s="5">
        <f>_xlfn.XLOOKUP(A2581,Banks!A:A,Banks!H:H,0,-1)</f>
        <v>3564.7343886467729</v>
      </c>
      <c r="C2581">
        <f>_xlfn.XLOOKUP(A2581,Energy!A:A,Energy!H:H,0,-1)</f>
        <v>11356.57937279844</v>
      </c>
      <c r="D2581">
        <f t="shared" si="160"/>
        <v>14921.313761445213</v>
      </c>
      <c r="E2581">
        <f>_xlfn.XLOOKUP(A2581,Banks!A:A,Banks!I:I,0)</f>
        <v>0</v>
      </c>
      <c r="F2581">
        <f>_xlfn.XLOOKUP(A2581,Energy!A:A,Energy!I:I,0)</f>
        <v>34408.549862464213</v>
      </c>
      <c r="G2581">
        <f t="shared" si="161"/>
        <v>34408.549862464213</v>
      </c>
      <c r="H2581">
        <f t="shared" si="162"/>
        <v>19487.236101019</v>
      </c>
      <c r="I2581" t="b">
        <f t="shared" si="163"/>
        <v>0</v>
      </c>
    </row>
    <row r="2582" spans="1:9">
      <c r="A2582" s="1">
        <v>46147.613888888889</v>
      </c>
      <c r="B2582" s="5">
        <f>_xlfn.XLOOKUP(A2582,Banks!A:A,Banks!H:H,0,-1)</f>
        <v>3564.7343886467729</v>
      </c>
      <c r="C2582">
        <f>_xlfn.XLOOKUP(A2582,Energy!A:A,Energy!H:H,0,-1)</f>
        <v>11356.57937279844</v>
      </c>
      <c r="D2582">
        <f t="shared" si="160"/>
        <v>14921.313761445213</v>
      </c>
      <c r="E2582">
        <f>_xlfn.XLOOKUP(A2582,Banks!A:A,Banks!I:I,0)</f>
        <v>0</v>
      </c>
      <c r="F2582">
        <f>_xlfn.XLOOKUP(A2582,Energy!A:A,Energy!I:I,0)</f>
        <v>34408.549862464213</v>
      </c>
      <c r="G2582">
        <f t="shared" si="161"/>
        <v>34408.549862464213</v>
      </c>
      <c r="H2582">
        <f t="shared" si="162"/>
        <v>19487.236101019</v>
      </c>
      <c r="I2582" t="b">
        <f t="shared" si="163"/>
        <v>0</v>
      </c>
    </row>
    <row r="2583" spans="1:9">
      <c r="A2583" s="1">
        <v>46147.614583333343</v>
      </c>
      <c r="B2583" s="5">
        <f>_xlfn.XLOOKUP(A2583,Banks!A:A,Banks!H:H,0,-1)</f>
        <v>3564.7343886467729</v>
      </c>
      <c r="C2583">
        <f>_xlfn.XLOOKUP(A2583,Energy!A:A,Energy!H:H,0,-1)</f>
        <v>11259.766352755531</v>
      </c>
      <c r="D2583">
        <f t="shared" si="160"/>
        <v>14824.500741402304</v>
      </c>
      <c r="E2583">
        <f>_xlfn.XLOOKUP(A2583,Banks!A:A,Banks!I:I,0)</f>
        <v>0</v>
      </c>
      <c r="F2583">
        <f>_xlfn.XLOOKUP(A2583,Energy!A:A,Energy!I:I,0)</f>
        <v>34389.187258455633</v>
      </c>
      <c r="G2583">
        <f t="shared" si="161"/>
        <v>34389.187258455633</v>
      </c>
      <c r="H2583">
        <f t="shared" si="162"/>
        <v>19564.686517053327</v>
      </c>
      <c r="I2583" t="b">
        <f t="shared" si="163"/>
        <v>0</v>
      </c>
    </row>
    <row r="2584" spans="1:9">
      <c r="A2584" s="1">
        <v>46147.615277777782</v>
      </c>
      <c r="B2584" s="5">
        <f>_xlfn.XLOOKUP(A2584,Banks!A:A,Banks!H:H,0,-1)</f>
        <v>3564.7343886467729</v>
      </c>
      <c r="C2584">
        <f>_xlfn.XLOOKUP(A2584,Energy!A:A,Energy!H:H,0,-1)</f>
        <v>11259.766352755531</v>
      </c>
      <c r="D2584">
        <f t="shared" si="160"/>
        <v>14824.500741402304</v>
      </c>
      <c r="E2584">
        <f>_xlfn.XLOOKUP(A2584,Banks!A:A,Banks!I:I,0)</f>
        <v>0</v>
      </c>
      <c r="F2584">
        <f>_xlfn.XLOOKUP(A2584,Energy!A:A,Energy!I:I,0)</f>
        <v>34389.187258455633</v>
      </c>
      <c r="G2584">
        <f t="shared" si="161"/>
        <v>34389.187258455633</v>
      </c>
      <c r="H2584">
        <f t="shared" si="162"/>
        <v>19564.686517053327</v>
      </c>
      <c r="I2584" t="b">
        <f t="shared" si="163"/>
        <v>0</v>
      </c>
    </row>
    <row r="2585" spans="1:9">
      <c r="A2585" s="1">
        <v>46147.615972222222</v>
      </c>
      <c r="B2585" s="5">
        <f>_xlfn.XLOOKUP(A2585,Banks!A:A,Banks!H:H,0,-1)</f>
        <v>3564.7343886467729</v>
      </c>
      <c r="C2585">
        <f>_xlfn.XLOOKUP(A2585,Energy!A:A,Energy!H:H,0,-1)</f>
        <v>11212.6681267887</v>
      </c>
      <c r="D2585">
        <f t="shared" si="160"/>
        <v>14777.402515435473</v>
      </c>
      <c r="E2585">
        <f>_xlfn.XLOOKUP(A2585,Banks!A:A,Banks!I:I,0)</f>
        <v>0</v>
      </c>
      <c r="F2585">
        <f>_xlfn.XLOOKUP(A2585,Energy!A:A,Energy!I:I,0)</f>
        <v>34379.767613262273</v>
      </c>
      <c r="G2585">
        <f t="shared" si="161"/>
        <v>34379.767613262273</v>
      </c>
      <c r="H2585">
        <f t="shared" si="162"/>
        <v>19602.365097826798</v>
      </c>
      <c r="I2585" t="b">
        <f t="shared" si="163"/>
        <v>0</v>
      </c>
    </row>
    <row r="2586" spans="1:9">
      <c r="A2586" s="1">
        <v>46147.616666666669</v>
      </c>
      <c r="B2586" s="5">
        <f>_xlfn.XLOOKUP(A2586,Banks!A:A,Banks!H:H,0,-1)</f>
        <v>3564.7343886467729</v>
      </c>
      <c r="C2586">
        <f>_xlfn.XLOOKUP(A2586,Energy!A:A,Energy!H:H,0,-1)</f>
        <v>11416.760439311591</v>
      </c>
      <c r="D2586">
        <f t="shared" si="160"/>
        <v>14981.494827958364</v>
      </c>
      <c r="E2586">
        <f>_xlfn.XLOOKUP(A2586,Banks!A:A,Banks!I:I,0)</f>
        <v>0</v>
      </c>
      <c r="F2586">
        <f>_xlfn.XLOOKUP(A2586,Energy!A:A,Energy!I:I,0)</f>
        <v>34420.586075766842</v>
      </c>
      <c r="G2586">
        <f t="shared" si="161"/>
        <v>34420.586075766842</v>
      </c>
      <c r="H2586">
        <f t="shared" si="162"/>
        <v>19439.091247808479</v>
      </c>
      <c r="I2586" t="b">
        <f t="shared" si="163"/>
        <v>0</v>
      </c>
    </row>
    <row r="2587" spans="1:9">
      <c r="A2587" s="1">
        <v>46147.617361111108</v>
      </c>
      <c r="B2587" s="5">
        <f>_xlfn.XLOOKUP(A2587,Banks!A:A,Banks!H:H,0,-1)</f>
        <v>3564.7343886467729</v>
      </c>
      <c r="C2587">
        <f>_xlfn.XLOOKUP(A2587,Energy!A:A,Energy!H:H,0,-1)</f>
        <v>11356.57937279844</v>
      </c>
      <c r="D2587">
        <f t="shared" si="160"/>
        <v>14921.313761445213</v>
      </c>
      <c r="E2587">
        <f>_xlfn.XLOOKUP(A2587,Banks!A:A,Banks!I:I,0)</f>
        <v>0</v>
      </c>
      <c r="F2587">
        <f>_xlfn.XLOOKUP(A2587,Energy!A:A,Energy!I:I,0)</f>
        <v>34408.549862464213</v>
      </c>
      <c r="G2587">
        <f t="shared" si="161"/>
        <v>34408.549862464213</v>
      </c>
      <c r="H2587">
        <f t="shared" si="162"/>
        <v>19487.236101019</v>
      </c>
      <c r="I2587" t="b">
        <f t="shared" si="163"/>
        <v>0</v>
      </c>
    </row>
    <row r="2588" spans="1:9">
      <c r="A2588" s="1">
        <v>46147.618055555547</v>
      </c>
      <c r="B2588" s="5">
        <f>_xlfn.XLOOKUP(A2588,Banks!A:A,Banks!H:H,0,-1)</f>
        <v>3564.7343886467729</v>
      </c>
      <c r="C2588">
        <f>_xlfn.XLOOKUP(A2588,Energy!A:A,Energy!H:H,0,-1)</f>
        <v>11346.113100361359</v>
      </c>
      <c r="D2588">
        <f t="shared" si="160"/>
        <v>14910.847489008132</v>
      </c>
      <c r="E2588">
        <f>_xlfn.XLOOKUP(A2588,Banks!A:A,Banks!I:I,0)</f>
        <v>0</v>
      </c>
      <c r="F2588">
        <f>_xlfn.XLOOKUP(A2588,Energy!A:A,Energy!I:I,0)</f>
        <v>34406.456607976797</v>
      </c>
      <c r="G2588">
        <f t="shared" si="161"/>
        <v>34406.456607976797</v>
      </c>
      <c r="H2588">
        <f t="shared" si="162"/>
        <v>19495.609118968663</v>
      </c>
      <c r="I2588" t="b">
        <f t="shared" si="163"/>
        <v>0</v>
      </c>
    </row>
    <row r="2589" spans="1:9">
      <c r="A2589" s="1">
        <v>46147.618750000001</v>
      </c>
      <c r="B2589" s="5">
        <f>_xlfn.XLOOKUP(A2589,Banks!A:A,Banks!H:H,0,-1)</f>
        <v>3564.7343886467729</v>
      </c>
      <c r="C2589">
        <f>_xlfn.XLOOKUP(A2589,Energy!A:A,Energy!H:H,0,-1)</f>
        <v>11568.45294338741</v>
      </c>
      <c r="D2589">
        <f t="shared" si="160"/>
        <v>15133.187332034184</v>
      </c>
      <c r="E2589">
        <f>_xlfn.XLOOKUP(A2589,Banks!A:A,Banks!I:I,0)</f>
        <v>0</v>
      </c>
      <c r="F2589">
        <f>_xlfn.XLOOKUP(A2589,Energy!A:A,Energy!I:I,0)</f>
        <v>34353.61562142193</v>
      </c>
      <c r="G2589">
        <f t="shared" si="161"/>
        <v>34353.61562142193</v>
      </c>
      <c r="H2589">
        <f t="shared" si="162"/>
        <v>19220.428289387746</v>
      </c>
      <c r="I2589" t="b">
        <f t="shared" si="163"/>
        <v>0</v>
      </c>
    </row>
    <row r="2590" spans="1:9">
      <c r="A2590" s="1">
        <v>46147.619444444441</v>
      </c>
      <c r="B2590" s="5">
        <f>_xlfn.XLOOKUP(A2590,Banks!A:A,Banks!H:H,0,-1)</f>
        <v>3564.7343886467729</v>
      </c>
      <c r="C2590">
        <f>_xlfn.XLOOKUP(A2590,Energy!A:A,Energy!H:H,0,-1)</f>
        <v>11568.45294338741</v>
      </c>
      <c r="D2590">
        <f t="shared" si="160"/>
        <v>15133.187332034184</v>
      </c>
      <c r="E2590">
        <f>_xlfn.XLOOKUP(A2590,Banks!A:A,Banks!I:I,0)</f>
        <v>0</v>
      </c>
      <c r="F2590">
        <f>_xlfn.XLOOKUP(A2590,Energy!A:A,Energy!I:I,0)</f>
        <v>34353.61562142193</v>
      </c>
      <c r="G2590">
        <f t="shared" si="161"/>
        <v>34353.61562142193</v>
      </c>
      <c r="H2590">
        <f t="shared" si="162"/>
        <v>19220.428289387746</v>
      </c>
      <c r="I2590" t="b">
        <f t="shared" si="163"/>
        <v>0</v>
      </c>
    </row>
    <row r="2591" spans="1:9">
      <c r="A2591" s="1">
        <v>46147.620138888888</v>
      </c>
      <c r="B2591" s="5">
        <f>_xlfn.XLOOKUP(A2591,Banks!A:A,Banks!H:H,0,-1)</f>
        <v>3564.7343886467729</v>
      </c>
      <c r="C2591">
        <f>_xlfn.XLOOKUP(A2591,Energy!A:A,Energy!H:H,0,-1)</f>
        <v>11854.140931486771</v>
      </c>
      <c r="D2591">
        <f t="shared" si="160"/>
        <v>15418.875320133544</v>
      </c>
      <c r="E2591">
        <f>_xlfn.XLOOKUP(A2591,Banks!A:A,Banks!I:I,0)</f>
        <v>0</v>
      </c>
      <c r="F2591">
        <f>_xlfn.XLOOKUP(A2591,Energy!A:A,Energy!I:I,0)</f>
        <v>0</v>
      </c>
      <c r="G2591">
        <f t="shared" si="161"/>
        <v>0</v>
      </c>
      <c r="H2591">
        <f t="shared" si="162"/>
        <v>-15418.875320133544</v>
      </c>
      <c r="I2591" t="b">
        <f t="shared" si="163"/>
        <v>0</v>
      </c>
    </row>
    <row r="2592" spans="1:9">
      <c r="A2592" s="1">
        <v>46149.604166666657</v>
      </c>
      <c r="B2592" s="5">
        <f>_xlfn.XLOOKUP(A2592,Banks!A:A,Banks!H:H,0,-1)</f>
        <v>3564.7343886467729</v>
      </c>
      <c r="C2592">
        <f>_xlfn.XLOOKUP(A2592,Energy!A:A,Energy!H:H,0,-1)</f>
        <v>11854.140931486771</v>
      </c>
      <c r="D2592">
        <f t="shared" si="160"/>
        <v>15418.875320133544</v>
      </c>
      <c r="E2592">
        <f>_xlfn.XLOOKUP(A2592,Banks!A:A,Banks!I:I,0)</f>
        <v>0</v>
      </c>
      <c r="F2592">
        <f>_xlfn.XLOOKUP(A2592,Energy!A:A,Energy!I:I,0)</f>
        <v>34257.357159723957</v>
      </c>
      <c r="G2592">
        <f t="shared" si="161"/>
        <v>34257.357159723957</v>
      </c>
      <c r="H2592">
        <f t="shared" si="162"/>
        <v>18838.481839590415</v>
      </c>
      <c r="I2592" t="b">
        <f t="shared" si="163"/>
        <v>0</v>
      </c>
    </row>
    <row r="2593" spans="1:9">
      <c r="A2593" s="1">
        <v>46149.604861111111</v>
      </c>
      <c r="B2593" s="5">
        <f>_xlfn.XLOOKUP(A2593,Banks!A:A,Banks!H:H,0,-1)</f>
        <v>3564.7343886467729</v>
      </c>
      <c r="C2593">
        <f>_xlfn.XLOOKUP(A2593,Energy!A:A,Energy!H:H,0,-1)</f>
        <v>12528.663300847689</v>
      </c>
      <c r="D2593">
        <f t="shared" si="160"/>
        <v>16093.397689494463</v>
      </c>
      <c r="E2593">
        <f>_xlfn.XLOOKUP(A2593,Banks!A:A,Banks!I:I,0)</f>
        <v>0</v>
      </c>
      <c r="F2593">
        <f>_xlfn.XLOOKUP(A2593,Energy!A:A,Energy!I:I,0)</f>
        <v>34224.44825126198</v>
      </c>
      <c r="G2593">
        <f t="shared" si="161"/>
        <v>34224.44825126198</v>
      </c>
      <c r="H2593">
        <f t="shared" si="162"/>
        <v>18131.050561767515</v>
      </c>
      <c r="I2593" t="b">
        <f t="shared" si="163"/>
        <v>0</v>
      </c>
    </row>
    <row r="2594" spans="1:9">
      <c r="A2594" s="1">
        <v>46149.605555555558</v>
      </c>
      <c r="B2594" s="5">
        <f>_xlfn.XLOOKUP(A2594,Banks!A:A,Banks!H:H,0,-1)</f>
        <v>3564.7343886467729</v>
      </c>
      <c r="C2594">
        <f>_xlfn.XLOOKUP(A2594,Energy!A:A,Energy!H:H,0,-1)</f>
        <v>12589.63891060378</v>
      </c>
      <c r="D2594">
        <f t="shared" si="160"/>
        <v>16154.373299250554</v>
      </c>
      <c r="E2594">
        <f>_xlfn.XLOOKUP(A2594,Banks!A:A,Banks!I:I,0)</f>
        <v>0</v>
      </c>
      <c r="F2594">
        <f>_xlfn.XLOOKUP(A2594,Energy!A:A,Energy!I:I,0)</f>
        <v>34236.643373213199</v>
      </c>
      <c r="G2594">
        <f t="shared" si="161"/>
        <v>34236.643373213199</v>
      </c>
      <c r="H2594">
        <f t="shared" si="162"/>
        <v>18082.270073962645</v>
      </c>
      <c r="I2594" t="b">
        <f t="shared" si="163"/>
        <v>0</v>
      </c>
    </row>
    <row r="2595" spans="1:9">
      <c r="A2595" s="1">
        <v>46149.606249999997</v>
      </c>
      <c r="B2595" s="5">
        <f>_xlfn.XLOOKUP(A2595,Banks!A:A,Banks!H:H,0,-1)</f>
        <v>3564.7343886467729</v>
      </c>
      <c r="C2595">
        <f>_xlfn.XLOOKUP(A2595,Energy!A:A,Energy!H:H,0,-1)</f>
        <v>12722.676604617091</v>
      </c>
      <c r="D2595">
        <f t="shared" si="160"/>
        <v>16287.410993263864</v>
      </c>
      <c r="E2595">
        <f>_xlfn.XLOOKUP(A2595,Banks!A:A,Banks!I:I,0)</f>
        <v>0</v>
      </c>
      <c r="F2595">
        <f>_xlfn.XLOOKUP(A2595,Energy!A:A,Energy!I:I,0)</f>
        <v>34263.250912015857</v>
      </c>
      <c r="G2595">
        <f t="shared" si="161"/>
        <v>34263.250912015857</v>
      </c>
      <c r="H2595">
        <f t="shared" si="162"/>
        <v>17975.839918751994</v>
      </c>
      <c r="I2595" t="b">
        <f t="shared" si="163"/>
        <v>0</v>
      </c>
    </row>
    <row r="2596" spans="1:9">
      <c r="A2596" s="1">
        <v>46149.606944444437</v>
      </c>
      <c r="B2596" s="5">
        <f>_xlfn.XLOOKUP(A2596,Banks!A:A,Banks!H:H,0,-1)</f>
        <v>3564.7343886467729</v>
      </c>
      <c r="C2596">
        <f>_xlfn.XLOOKUP(A2596,Energy!A:A,Energy!H:H,0,-1)</f>
        <v>12755.936028120421</v>
      </c>
      <c r="D2596">
        <f t="shared" si="160"/>
        <v>16320.670416767194</v>
      </c>
      <c r="E2596">
        <f>_xlfn.XLOOKUP(A2596,Banks!A:A,Banks!I:I,0)</f>
        <v>0</v>
      </c>
      <c r="F2596">
        <f>_xlfn.XLOOKUP(A2596,Energy!A:A,Energy!I:I,0)</f>
        <v>34269.902796716517</v>
      </c>
      <c r="G2596">
        <f t="shared" si="161"/>
        <v>34269.902796716517</v>
      </c>
      <c r="H2596">
        <f t="shared" si="162"/>
        <v>17949.232379949324</v>
      </c>
      <c r="I2596" t="b">
        <f t="shared" si="163"/>
        <v>0</v>
      </c>
    </row>
    <row r="2597" spans="1:9">
      <c r="A2597" s="1">
        <v>46149.607638888891</v>
      </c>
      <c r="B2597" s="5">
        <f>_xlfn.XLOOKUP(A2597,Banks!A:A,Banks!H:H,0,-1)</f>
        <v>3564.7343886467729</v>
      </c>
      <c r="C2597">
        <f>_xlfn.XLOOKUP(A2597,Energy!A:A,Energy!H:H,0,-1)</f>
        <v>12519.45849035703</v>
      </c>
      <c r="D2597">
        <f t="shared" si="160"/>
        <v>16084.192879003804</v>
      </c>
      <c r="E2597">
        <f>_xlfn.XLOOKUP(A2597,Banks!A:A,Banks!I:I,0)</f>
        <v>0</v>
      </c>
      <c r="F2597">
        <f>_xlfn.XLOOKUP(A2597,Energy!A:A,Energy!I:I,0)</f>
        <v>34343.805843071859</v>
      </c>
      <c r="G2597">
        <f t="shared" si="161"/>
        <v>34343.805843071859</v>
      </c>
      <c r="H2597">
        <f t="shared" si="162"/>
        <v>18259.612964068056</v>
      </c>
      <c r="I2597" t="b">
        <f t="shared" si="163"/>
        <v>0</v>
      </c>
    </row>
    <row r="2598" spans="1:9">
      <c r="A2598" s="1">
        <v>46149.60833333333</v>
      </c>
      <c r="B2598" s="5">
        <f>_xlfn.XLOOKUP(A2598,Banks!A:A,Banks!H:H,0,-1)</f>
        <v>3564.7343886467729</v>
      </c>
      <c r="C2598">
        <f>_xlfn.XLOOKUP(A2598,Energy!A:A,Energy!H:H,0,-1)</f>
        <v>12552.717913860361</v>
      </c>
      <c r="D2598">
        <f t="shared" si="160"/>
        <v>16117.452302507134</v>
      </c>
      <c r="E2598">
        <f>_xlfn.XLOOKUP(A2598,Banks!A:A,Banks!I:I,0)</f>
        <v>0</v>
      </c>
      <c r="F2598">
        <f>_xlfn.XLOOKUP(A2598,Energy!A:A,Energy!I:I,0)</f>
        <v>34350.457727772533</v>
      </c>
      <c r="G2598">
        <f t="shared" si="161"/>
        <v>34350.457727772533</v>
      </c>
      <c r="H2598">
        <f t="shared" si="162"/>
        <v>18233.005425265401</v>
      </c>
      <c r="I2598" t="b">
        <f t="shared" si="163"/>
        <v>0</v>
      </c>
    </row>
    <row r="2599" spans="1:9">
      <c r="A2599" s="1">
        <v>46149.609027777777</v>
      </c>
      <c r="B2599" s="5">
        <f>_xlfn.XLOOKUP(A2599,Banks!A:A,Banks!H:H,0,-1)</f>
        <v>3564.7343886467729</v>
      </c>
      <c r="C2599">
        <f>_xlfn.XLOOKUP(A2599,Energy!A:A,Energy!H:H,0,-1)</f>
        <v>12267.998887146619</v>
      </c>
      <c r="D2599">
        <f t="shared" si="160"/>
        <v>15832.733275793393</v>
      </c>
      <c r="E2599">
        <f>_xlfn.XLOOKUP(A2599,Banks!A:A,Banks!I:I,0)</f>
        <v>0</v>
      </c>
      <c r="F2599">
        <f>_xlfn.XLOOKUP(A2599,Energy!A:A,Energy!I:I,0)</f>
        <v>34438.443661718382</v>
      </c>
      <c r="G2599">
        <f t="shared" si="161"/>
        <v>34438.443661718382</v>
      </c>
      <c r="H2599">
        <f t="shared" si="162"/>
        <v>18605.710385924991</v>
      </c>
      <c r="I2599" t="b">
        <f t="shared" si="163"/>
        <v>0</v>
      </c>
    </row>
    <row r="2600" spans="1:9">
      <c r="A2600" s="1">
        <v>46149.609722222223</v>
      </c>
      <c r="B2600" s="5">
        <f>_xlfn.XLOOKUP(A2600,Banks!A:A,Banks!H:H,0,-1)</f>
        <v>3564.7343886467729</v>
      </c>
      <c r="C2600">
        <f>_xlfn.XLOOKUP(A2600,Energy!A:A,Energy!H:H,0,-1)</f>
        <v>12284.628598898291</v>
      </c>
      <c r="D2600">
        <f t="shared" si="160"/>
        <v>15849.362987545064</v>
      </c>
      <c r="E2600">
        <f>_xlfn.XLOOKUP(A2600,Banks!A:A,Banks!I:I,0)</f>
        <v>0</v>
      </c>
      <c r="F2600">
        <f>_xlfn.XLOOKUP(A2600,Energy!A:A,Energy!I:I,0)</f>
        <v>34441.769604068722</v>
      </c>
      <c r="G2600">
        <f t="shared" si="161"/>
        <v>34441.769604068722</v>
      </c>
      <c r="H2600">
        <f t="shared" si="162"/>
        <v>18592.406616523658</v>
      </c>
      <c r="I2600" t="b">
        <f t="shared" si="163"/>
        <v>0</v>
      </c>
    </row>
    <row r="2601" spans="1:9">
      <c r="A2601" s="1">
        <v>46149.61041666667</v>
      </c>
      <c r="B2601" s="5">
        <f>_xlfn.XLOOKUP(A2601,Banks!A:A,Banks!H:H,0,-1)</f>
        <v>3564.7343886467729</v>
      </c>
      <c r="C2601">
        <f>_xlfn.XLOOKUP(A2601,Energy!A:A,Energy!H:H,0,-1)</f>
        <v>12184.850328388309</v>
      </c>
      <c r="D2601">
        <f t="shared" si="160"/>
        <v>15749.584717035083</v>
      </c>
      <c r="E2601">
        <f>_xlfn.XLOOKUP(A2601,Banks!A:A,Banks!I:I,0)</f>
        <v>0</v>
      </c>
      <c r="F2601">
        <f>_xlfn.XLOOKUP(A2601,Energy!A:A,Energy!I:I,0)</f>
        <v>34421.813949966723</v>
      </c>
      <c r="G2601">
        <f t="shared" si="161"/>
        <v>34421.813949966723</v>
      </c>
      <c r="H2601">
        <f t="shared" si="162"/>
        <v>18672.229232931641</v>
      </c>
      <c r="I2601" t="b">
        <f t="shared" si="163"/>
        <v>0</v>
      </c>
    </row>
    <row r="2602" spans="1:9">
      <c r="A2602" s="1">
        <v>46149.611111111109</v>
      </c>
      <c r="B2602" s="5">
        <f>_xlfn.XLOOKUP(A2602,Banks!A:A,Banks!H:H,0,-1)</f>
        <v>3564.7343886467729</v>
      </c>
      <c r="C2602">
        <f>_xlfn.XLOOKUP(A2602,Energy!A:A,Energy!H:H,0,-1)</f>
        <v>12096.158532379441</v>
      </c>
      <c r="D2602">
        <f t="shared" si="160"/>
        <v>15660.892921026214</v>
      </c>
      <c r="E2602">
        <f>_xlfn.XLOOKUP(A2602,Banks!A:A,Banks!I:I,0)</f>
        <v>0</v>
      </c>
      <c r="F2602">
        <f>_xlfn.XLOOKUP(A2602,Energy!A:A,Energy!I:I,0)</f>
        <v>34404.075590764944</v>
      </c>
      <c r="G2602">
        <f t="shared" si="161"/>
        <v>34404.075590764944</v>
      </c>
      <c r="H2602">
        <f t="shared" si="162"/>
        <v>18743.18266973873</v>
      </c>
      <c r="I2602" t="b">
        <f t="shared" si="163"/>
        <v>0</v>
      </c>
    </row>
    <row r="2603" spans="1:9">
      <c r="A2603" s="1">
        <v>46149.611805555563</v>
      </c>
      <c r="B2603" s="5">
        <f>_xlfn.XLOOKUP(A2603,Banks!A:A,Banks!H:H,0,-1)</f>
        <v>3564.7343886467729</v>
      </c>
      <c r="C2603">
        <f>_xlfn.XLOOKUP(A2603,Energy!A:A,Energy!H:H,0,-1)</f>
        <v>12123.87471863222</v>
      </c>
      <c r="D2603">
        <f t="shared" si="160"/>
        <v>15688.609107278993</v>
      </c>
      <c r="E2603">
        <f>_xlfn.XLOOKUP(A2603,Banks!A:A,Banks!I:I,0)</f>
        <v>0</v>
      </c>
      <c r="F2603">
        <f>_xlfn.XLOOKUP(A2603,Energy!A:A,Energy!I:I,0)</f>
        <v>34409.618828015497</v>
      </c>
      <c r="G2603">
        <f t="shared" si="161"/>
        <v>34409.618828015497</v>
      </c>
      <c r="H2603">
        <f t="shared" si="162"/>
        <v>18721.009720736503</v>
      </c>
      <c r="I2603" t="b">
        <f t="shared" si="163"/>
        <v>0</v>
      </c>
    </row>
    <row r="2604" spans="1:9">
      <c r="A2604" s="1">
        <v>46149.612500000003</v>
      </c>
      <c r="B2604" s="5">
        <f>_xlfn.XLOOKUP(A2604,Banks!A:A,Banks!H:H,0,-1)</f>
        <v>3564.7343886467729</v>
      </c>
      <c r="C2604">
        <f>_xlfn.XLOOKUP(A2604,Energy!A:A,Energy!H:H,0,-1)</f>
        <v>12280.02778071359</v>
      </c>
      <c r="D2604">
        <f t="shared" si="160"/>
        <v>15844.762169360363</v>
      </c>
      <c r="E2604">
        <f>_xlfn.XLOOKUP(A2604,Banks!A:A,Banks!I:I,0)</f>
        <v>0</v>
      </c>
      <c r="F2604">
        <f>_xlfn.XLOOKUP(A2604,Energy!A:A,Energy!I:I,0)</f>
        <v>34391.691985000558</v>
      </c>
      <c r="G2604">
        <f t="shared" si="161"/>
        <v>34391.691985000558</v>
      </c>
      <c r="H2604">
        <f t="shared" si="162"/>
        <v>18546.929815640193</v>
      </c>
      <c r="I2604" t="b">
        <f t="shared" si="163"/>
        <v>0</v>
      </c>
    </row>
    <row r="2605" spans="1:9">
      <c r="A2605" s="1">
        <v>46149.613194444442</v>
      </c>
      <c r="B2605" s="5">
        <f>_xlfn.XLOOKUP(A2605,Banks!A:A,Banks!H:H,0,-1)</f>
        <v>3564.7343886467729</v>
      </c>
      <c r="C2605">
        <f>_xlfn.XLOOKUP(A2605,Energy!A:A,Energy!H:H,0,-1)</f>
        <v>12191.18591012055</v>
      </c>
      <c r="D2605">
        <f t="shared" si="160"/>
        <v>15755.920298767323</v>
      </c>
      <c r="E2605">
        <f>_xlfn.XLOOKUP(A2605,Banks!A:A,Banks!I:I,0)</f>
        <v>0</v>
      </c>
      <c r="F2605">
        <f>_xlfn.XLOOKUP(A2605,Energy!A:A,Energy!I:I,0)</f>
        <v>34391.72199991739</v>
      </c>
      <c r="G2605">
        <f t="shared" si="161"/>
        <v>34391.72199991739</v>
      </c>
      <c r="H2605">
        <f t="shared" si="162"/>
        <v>18635.801701150067</v>
      </c>
      <c r="I2605" t="b">
        <f t="shared" si="163"/>
        <v>0</v>
      </c>
    </row>
    <row r="2606" spans="1:9">
      <c r="A2606" s="1">
        <v>46149.613888888889</v>
      </c>
      <c r="B2606" s="5">
        <f>_xlfn.XLOOKUP(A2606,Banks!A:A,Banks!H:H,0,-1)</f>
        <v>3564.7343886467729</v>
      </c>
      <c r="C2606">
        <f>_xlfn.XLOOKUP(A2606,Energy!A:A,Energy!H:H,0,-1)</f>
        <v>12296.507417881079</v>
      </c>
      <c r="D2606">
        <f t="shared" si="160"/>
        <v>15861.241806527853</v>
      </c>
      <c r="E2606">
        <f>_xlfn.XLOOKUP(A2606,Banks!A:A,Banks!I:I,0)</f>
        <v>0</v>
      </c>
      <c r="F2606">
        <f>_xlfn.XLOOKUP(A2606,Energy!A:A,Energy!I:I,0)</f>
        <v>34412.786301469489</v>
      </c>
      <c r="G2606">
        <f t="shared" si="161"/>
        <v>34412.786301469489</v>
      </c>
      <c r="H2606">
        <f t="shared" si="162"/>
        <v>18551.544494941634</v>
      </c>
      <c r="I2606" t="b">
        <f t="shared" si="163"/>
        <v>0</v>
      </c>
    </row>
    <row r="2607" spans="1:9">
      <c r="A2607" s="1">
        <v>46149.614583333343</v>
      </c>
      <c r="B2607" s="5">
        <f>_xlfn.XLOOKUP(A2607,Banks!A:A,Banks!H:H,0,-1)</f>
        <v>3564.7343886467729</v>
      </c>
      <c r="C2607">
        <f>_xlfn.XLOOKUP(A2607,Energy!A:A,Energy!H:H,0,-1)</f>
        <v>12485.184080151659</v>
      </c>
      <c r="D2607">
        <f t="shared" si="160"/>
        <v>16049.918468798433</v>
      </c>
      <c r="E2607">
        <f>_xlfn.XLOOKUP(A2607,Banks!A:A,Banks!I:I,0)</f>
        <v>0</v>
      </c>
      <c r="F2607">
        <f>_xlfn.XLOOKUP(A2607,Energy!A:A,Energy!I:I,0)</f>
        <v>0</v>
      </c>
      <c r="G2607">
        <f t="shared" si="161"/>
        <v>0</v>
      </c>
      <c r="H2607">
        <f t="shared" si="162"/>
        <v>-16049.918468798433</v>
      </c>
      <c r="I2607" t="b">
        <f t="shared" si="163"/>
        <v>0</v>
      </c>
    </row>
    <row r="2608" spans="1:9">
      <c r="A2608" s="1">
        <v>46150.605555555558</v>
      </c>
      <c r="B2608" s="5">
        <f>_xlfn.XLOOKUP(A2608,Banks!A:A,Banks!H:H,0,-1)</f>
        <v>3564.7343886467729</v>
      </c>
      <c r="C2608">
        <f>_xlfn.XLOOKUP(A2608,Energy!A:A,Energy!H:H,0,-1)</f>
        <v>12485.184080151659</v>
      </c>
      <c r="D2608">
        <f t="shared" si="160"/>
        <v>16049.918468798433</v>
      </c>
      <c r="E2608">
        <f>_xlfn.XLOOKUP(A2608,Banks!A:A,Banks!I:I,0)</f>
        <v>0</v>
      </c>
      <c r="F2608">
        <f>_xlfn.XLOOKUP(A2608,Energy!A:A,Energy!I:I,0)</f>
        <v>34257.357159723972</v>
      </c>
      <c r="G2608">
        <f t="shared" si="161"/>
        <v>34257.357159723972</v>
      </c>
      <c r="H2608">
        <f t="shared" si="162"/>
        <v>18207.438690925541</v>
      </c>
      <c r="I2608" t="b">
        <f t="shared" si="163"/>
        <v>0</v>
      </c>
    </row>
    <row r="2609" spans="1:9">
      <c r="A2609" s="1">
        <v>46150.606249999997</v>
      </c>
      <c r="B2609" s="5">
        <f>_xlfn.XLOOKUP(A2609,Banks!A:A,Banks!H:H,0,-1)</f>
        <v>3564.7343886467729</v>
      </c>
      <c r="C2609">
        <f>_xlfn.XLOOKUP(A2609,Energy!A:A,Energy!H:H,0,-1)</f>
        <v>12608.84253823276</v>
      </c>
      <c r="D2609">
        <f t="shared" si="160"/>
        <v>16173.576926879534</v>
      </c>
      <c r="E2609">
        <f>_xlfn.XLOOKUP(A2609,Banks!A:A,Banks!I:I,0)</f>
        <v>0</v>
      </c>
      <c r="F2609">
        <f>_xlfn.XLOOKUP(A2609,Energy!A:A,Energy!I:I,0)</f>
        <v>34288.862545985066</v>
      </c>
      <c r="G2609">
        <f t="shared" si="161"/>
        <v>34288.862545985066</v>
      </c>
      <c r="H2609">
        <f t="shared" si="162"/>
        <v>18115.285619105533</v>
      </c>
      <c r="I2609" t="b">
        <f t="shared" si="163"/>
        <v>0</v>
      </c>
    </row>
    <row r="2610" spans="1:9">
      <c r="A2610" s="1">
        <v>46150.606944444437</v>
      </c>
      <c r="B2610" s="5">
        <f>_xlfn.XLOOKUP(A2610,Banks!A:A,Banks!H:H,0,-1)</f>
        <v>3564.7343886467729</v>
      </c>
      <c r="C2610">
        <f>_xlfn.XLOOKUP(A2610,Energy!A:A,Energy!H:H,0,-1)</f>
        <v>12476.52000205082</v>
      </c>
      <c r="D2610">
        <f t="shared" si="160"/>
        <v>16041.254390697593</v>
      </c>
      <c r="E2610">
        <f>_xlfn.XLOOKUP(A2610,Banks!A:A,Banks!I:I,0)</f>
        <v>0</v>
      </c>
      <c r="F2610">
        <f>_xlfn.XLOOKUP(A2610,Energy!A:A,Energy!I:I,0)</f>
        <v>34262.398038748681</v>
      </c>
      <c r="G2610">
        <f t="shared" si="161"/>
        <v>34262.398038748681</v>
      </c>
      <c r="H2610">
        <f t="shared" si="162"/>
        <v>18221.143648051089</v>
      </c>
      <c r="I2610" t="b">
        <f t="shared" si="163"/>
        <v>0</v>
      </c>
    </row>
    <row r="2611" spans="1:9">
      <c r="A2611" s="1">
        <v>46150.607638888891</v>
      </c>
      <c r="B2611" s="5">
        <f>_xlfn.XLOOKUP(A2611,Banks!A:A,Banks!H:H,0,-1)</f>
        <v>3564.7343886467729</v>
      </c>
      <c r="C2611">
        <f>_xlfn.XLOOKUP(A2611,Energy!A:A,Energy!H:H,0,-1)</f>
        <v>12962.20175896649</v>
      </c>
      <c r="D2611">
        <f t="shared" si="160"/>
        <v>16526.936147613262</v>
      </c>
      <c r="E2611">
        <f>_xlfn.XLOOKUP(A2611,Banks!A:A,Banks!I:I,0)</f>
        <v>0</v>
      </c>
      <c r="F2611">
        <f>_xlfn.XLOOKUP(A2611,Energy!A:A,Energy!I:I,0)</f>
        <v>0</v>
      </c>
      <c r="G2611">
        <f t="shared" si="161"/>
        <v>0</v>
      </c>
      <c r="H2611">
        <f t="shared" si="162"/>
        <v>-16526.936147613262</v>
      </c>
      <c r="I2611" t="b">
        <f t="shared" si="163"/>
        <v>0</v>
      </c>
    </row>
    <row r="2612" spans="1:9">
      <c r="A2612" s="1">
        <v>46154.743055555547</v>
      </c>
      <c r="B2612" s="5">
        <f>_xlfn.XLOOKUP(A2612,Banks!A:A,Banks!H:H,0,-1)</f>
        <v>3564.7343886467729</v>
      </c>
      <c r="C2612">
        <f>_xlfn.XLOOKUP(A2612,Energy!A:A,Energy!H:H,0,-1)</f>
        <v>12962.20175896649</v>
      </c>
      <c r="D2612">
        <f t="shared" si="160"/>
        <v>16526.936147613262</v>
      </c>
      <c r="E2612">
        <f>_xlfn.XLOOKUP(A2612,Banks!A:A,Banks!I:I,0)</f>
        <v>39300.382176039697</v>
      </c>
      <c r="F2612">
        <f>_xlfn.XLOOKUP(A2612,Energy!A:A,Energy!I:I,0)</f>
        <v>0</v>
      </c>
      <c r="G2612">
        <f t="shared" si="161"/>
        <v>39300.382176039697</v>
      </c>
      <c r="H2612">
        <f t="shared" si="162"/>
        <v>22773.446028426435</v>
      </c>
      <c r="I2612" t="b">
        <f t="shared" si="163"/>
        <v>0</v>
      </c>
    </row>
    <row r="2613" spans="1:9">
      <c r="A2613" s="1">
        <v>46154.743750000001</v>
      </c>
      <c r="B2613" s="5">
        <f>_xlfn.XLOOKUP(A2613,Banks!A:A,Banks!H:H,0,-1)</f>
        <v>3595.2258240819251</v>
      </c>
      <c r="C2613">
        <f>_xlfn.XLOOKUP(A2613,Energy!A:A,Energy!H:H,0,-1)</f>
        <v>12962.20175896649</v>
      </c>
      <c r="D2613">
        <f t="shared" si="160"/>
        <v>16557.427583048415</v>
      </c>
      <c r="E2613">
        <f>_xlfn.XLOOKUP(A2613,Banks!A:A,Banks!I:I,0)</f>
        <v>39324.845936037658</v>
      </c>
      <c r="F2613">
        <f>_xlfn.XLOOKUP(A2613,Energy!A:A,Energy!I:I,0)</f>
        <v>0</v>
      </c>
      <c r="G2613">
        <f t="shared" si="161"/>
        <v>39324.845936037658</v>
      </c>
      <c r="H2613">
        <f t="shared" si="162"/>
        <v>22767.418352989243</v>
      </c>
      <c r="I2613" t="b">
        <f t="shared" si="163"/>
        <v>0</v>
      </c>
    </row>
    <row r="2614" spans="1:9">
      <c r="A2614" s="1">
        <v>46154.744444444441</v>
      </c>
      <c r="B2614" s="5">
        <f>_xlfn.XLOOKUP(A2614,Banks!A:A,Banks!H:H,0,-1)</f>
        <v>3645.6339250482192</v>
      </c>
      <c r="C2614">
        <f>_xlfn.XLOOKUP(A2614,Energy!A:A,Energy!H:H,0,-1)</f>
        <v>12962.20175896649</v>
      </c>
      <c r="D2614">
        <f t="shared" si="160"/>
        <v>16607.83568401471</v>
      </c>
      <c r="E2614">
        <f>_xlfn.XLOOKUP(A2614,Banks!A:A,Banks!I:I,0)</f>
        <v>39316.562083319986</v>
      </c>
      <c r="F2614">
        <f>_xlfn.XLOOKUP(A2614,Energy!A:A,Energy!I:I,0)</f>
        <v>0</v>
      </c>
      <c r="G2614">
        <f t="shared" si="161"/>
        <v>39316.562083319986</v>
      </c>
      <c r="H2614">
        <f t="shared" si="162"/>
        <v>22708.726399305277</v>
      </c>
      <c r="I2614" t="b">
        <f t="shared" si="163"/>
        <v>0</v>
      </c>
    </row>
    <row r="2615" spans="1:9">
      <c r="A2615" s="1">
        <v>46154.745138888888</v>
      </c>
      <c r="B2615" s="5">
        <f>_xlfn.XLOOKUP(A2615,Banks!A:A,Banks!H:H,0,-1)</f>
        <v>3596.8913361938312</v>
      </c>
      <c r="C2615">
        <f>_xlfn.XLOOKUP(A2615,Energy!A:A,Energy!H:H,0,-1)</f>
        <v>12962.20175896649</v>
      </c>
      <c r="D2615">
        <f t="shared" si="160"/>
        <v>16559.093095160322</v>
      </c>
      <c r="E2615">
        <f>_xlfn.XLOOKUP(A2615,Banks!A:A,Banks!I:I,0)</f>
        <v>39336.198322206597</v>
      </c>
      <c r="F2615">
        <f>_xlfn.XLOOKUP(A2615,Energy!A:A,Energy!I:I,0)</f>
        <v>0</v>
      </c>
      <c r="G2615">
        <f t="shared" si="161"/>
        <v>39336.198322206597</v>
      </c>
      <c r="H2615">
        <f t="shared" si="162"/>
        <v>22777.105227046275</v>
      </c>
      <c r="I2615" t="b">
        <f t="shared" si="163"/>
        <v>0</v>
      </c>
    </row>
    <row r="2616" spans="1:9">
      <c r="A2616" s="1">
        <v>46154.745833333327</v>
      </c>
      <c r="B2616" s="5">
        <f>_xlfn.XLOOKUP(A2616,Banks!A:A,Banks!H:H,0,-1)</f>
        <v>3523.4294445501218</v>
      </c>
      <c r="C2616">
        <f>_xlfn.XLOOKUP(A2616,Energy!A:A,Energy!H:H,0,-1)</f>
        <v>12962.20175896649</v>
      </c>
      <c r="D2616">
        <f t="shared" si="160"/>
        <v>16485.631203516612</v>
      </c>
      <c r="E2616">
        <f>_xlfn.XLOOKUP(A2616,Banks!A:A,Banks!I:I,0)</f>
        <v>39350.890700535347</v>
      </c>
      <c r="F2616">
        <f>_xlfn.XLOOKUP(A2616,Energy!A:A,Energy!I:I,0)</f>
        <v>0</v>
      </c>
      <c r="G2616">
        <f t="shared" si="161"/>
        <v>39350.890700535347</v>
      </c>
      <c r="H2616">
        <f t="shared" si="162"/>
        <v>22865.259497018735</v>
      </c>
      <c r="I2616" t="b">
        <f t="shared" si="163"/>
        <v>0</v>
      </c>
    </row>
    <row r="2617" spans="1:9">
      <c r="A2617" s="1">
        <v>46154.746527777781</v>
      </c>
      <c r="B2617" s="5">
        <f>_xlfn.XLOOKUP(A2617,Banks!A:A,Banks!H:H,0,-1)</f>
        <v>3546.677134305075</v>
      </c>
      <c r="C2617">
        <f>_xlfn.XLOOKUP(A2617,Energy!A:A,Energy!H:H,0,-1)</f>
        <v>12962.20175896649</v>
      </c>
      <c r="D2617">
        <f t="shared" si="160"/>
        <v>16508.878893271565</v>
      </c>
      <c r="E2617">
        <f>_xlfn.XLOOKUP(A2617,Banks!A:A,Banks!I:I,0)</f>
        <v>39340.847860157577</v>
      </c>
      <c r="F2617">
        <f>_xlfn.XLOOKUP(A2617,Energy!A:A,Energy!I:I,0)</f>
        <v>0</v>
      </c>
      <c r="G2617">
        <f t="shared" si="161"/>
        <v>39340.847860157577</v>
      </c>
      <c r="H2617">
        <f t="shared" si="162"/>
        <v>22831.968966886012</v>
      </c>
      <c r="I2617" t="b">
        <f t="shared" si="163"/>
        <v>0</v>
      </c>
    </row>
    <row r="2618" spans="1:9">
      <c r="A2618" s="1">
        <v>46154.74722222222</v>
      </c>
      <c r="B2618" s="5">
        <f>_xlfn.XLOOKUP(A2618,Banks!A:A,Banks!H:H,0,-1)</f>
        <v>3473.215242661367</v>
      </c>
      <c r="C2618">
        <f>_xlfn.XLOOKUP(A2618,Energy!A:A,Energy!H:H,0,-1)</f>
        <v>12962.20175896649</v>
      </c>
      <c r="D2618">
        <f t="shared" si="160"/>
        <v>16435.417001627859</v>
      </c>
      <c r="E2618">
        <f>_xlfn.XLOOKUP(A2618,Banks!A:A,Banks!I:I,0)</f>
        <v>39355.540238486326</v>
      </c>
      <c r="F2618">
        <f>_xlfn.XLOOKUP(A2618,Energy!A:A,Energy!I:I,0)</f>
        <v>0</v>
      </c>
      <c r="G2618">
        <f t="shared" si="161"/>
        <v>39355.540238486326</v>
      </c>
      <c r="H2618">
        <f t="shared" si="162"/>
        <v>22920.123236858468</v>
      </c>
      <c r="I2618" t="b">
        <f t="shared" si="163"/>
        <v>0</v>
      </c>
    </row>
    <row r="2619" spans="1:9">
      <c r="A2619" s="1">
        <v>46154.747916666667</v>
      </c>
      <c r="B2619" s="5">
        <f>_xlfn.XLOOKUP(A2619,Banks!A:A,Banks!H:H,0,-1)</f>
        <v>3607.660005175379</v>
      </c>
      <c r="C2619">
        <f>_xlfn.XLOOKUP(A2619,Energy!A:A,Energy!H:H,0,-1)</f>
        <v>12962.20175896649</v>
      </c>
      <c r="D2619">
        <f t="shared" si="160"/>
        <v>16569.861764141868</v>
      </c>
      <c r="E2619">
        <f>_xlfn.XLOOKUP(A2619,Banks!A:A,Banks!I:I,0)</f>
        <v>39389.775380153507</v>
      </c>
      <c r="F2619">
        <f>_xlfn.XLOOKUP(A2619,Energy!A:A,Energy!I:I,0)</f>
        <v>0</v>
      </c>
      <c r="G2619">
        <f t="shared" si="161"/>
        <v>39389.775380153507</v>
      </c>
      <c r="H2619">
        <f t="shared" si="162"/>
        <v>22819.91361601164</v>
      </c>
      <c r="I2619" t="b">
        <f t="shared" si="163"/>
        <v>0</v>
      </c>
    </row>
    <row r="2620" spans="1:9">
      <c r="A2620" s="1">
        <v>46154.748611111107</v>
      </c>
      <c r="B2620" s="5">
        <f>_xlfn.XLOOKUP(A2620,Banks!A:A,Banks!H:H,0,-1)</f>
        <v>3528.9280985326159</v>
      </c>
      <c r="C2620">
        <f>_xlfn.XLOOKUP(A2620,Energy!A:A,Energy!H:H,0,-1)</f>
        <v>12962.20175896649</v>
      </c>
      <c r="D2620">
        <f t="shared" si="160"/>
        <v>16491.129857499105</v>
      </c>
      <c r="E2620">
        <f>_xlfn.XLOOKUP(A2620,Banks!A:A,Banks!I:I,0)</f>
        <v>39418.106133811183</v>
      </c>
      <c r="F2620">
        <f>_xlfn.XLOOKUP(A2620,Energy!A:A,Energy!I:I,0)</f>
        <v>0</v>
      </c>
      <c r="G2620">
        <f t="shared" si="161"/>
        <v>39418.106133811183</v>
      </c>
      <c r="H2620">
        <f t="shared" si="162"/>
        <v>22926.976276312078</v>
      </c>
      <c r="I2620" t="b">
        <f t="shared" si="163"/>
        <v>0</v>
      </c>
    </row>
    <row r="2621" spans="1:9">
      <c r="A2621" s="1">
        <v>46154.749305555553</v>
      </c>
      <c r="B2621" s="5">
        <f>_xlfn.XLOOKUP(A2621,Banks!A:A,Banks!H:H,0,-1)</f>
        <v>3547.9895881678171</v>
      </c>
      <c r="C2621">
        <f>_xlfn.XLOOKUP(A2621,Energy!A:A,Energy!H:H,0,-1)</f>
        <v>12962.20175896649</v>
      </c>
      <c r="D2621">
        <f t="shared" si="160"/>
        <v>16510.191347134307</v>
      </c>
      <c r="E2621">
        <f>_xlfn.XLOOKUP(A2621,Banks!A:A,Banks!I:I,0)</f>
        <v>39443.956999231334</v>
      </c>
      <c r="F2621">
        <f>_xlfn.XLOOKUP(A2621,Energy!A:A,Energy!I:I,0)</f>
        <v>0</v>
      </c>
      <c r="G2621">
        <f t="shared" si="161"/>
        <v>39443.956999231334</v>
      </c>
      <c r="H2621">
        <f t="shared" si="162"/>
        <v>22933.765652097027</v>
      </c>
      <c r="I2621" t="b">
        <f t="shared" si="163"/>
        <v>0</v>
      </c>
    </row>
    <row r="2622" spans="1:9">
      <c r="A2622" s="1">
        <v>46154.75</v>
      </c>
      <c r="B2622" s="5">
        <f>_xlfn.XLOOKUP(A2622,Banks!A:A,Banks!H:H,0,-1)</f>
        <v>3584.0245172653872</v>
      </c>
      <c r="C2622">
        <f>_xlfn.XLOOKUP(A2622,Energy!A:A,Energy!H:H,0,-1)</f>
        <v>12962.20175896649</v>
      </c>
      <c r="D2622">
        <f t="shared" si="160"/>
        <v>16546.226276231879</v>
      </c>
      <c r="E2622">
        <f>_xlfn.XLOOKUP(A2622,Banks!A:A,Banks!I:I,0)</f>
        <v>39407.086850064617</v>
      </c>
      <c r="F2622">
        <f>_xlfn.XLOOKUP(A2622,Energy!A:A,Energy!I:I,0)</f>
        <v>0</v>
      </c>
      <c r="G2622">
        <f t="shared" si="161"/>
        <v>39407.086850064617</v>
      </c>
      <c r="H2622">
        <f t="shared" si="162"/>
        <v>22860.860573832739</v>
      </c>
      <c r="I2622" t="b">
        <f t="shared" si="163"/>
        <v>0</v>
      </c>
    </row>
    <row r="2623" spans="1:9">
      <c r="A2623" s="1">
        <v>46154.750694444447</v>
      </c>
      <c r="B2623" s="5">
        <f>_xlfn.XLOOKUP(A2623,Banks!A:A,Banks!H:H,0,-1)</f>
        <v>3564.3017508117841</v>
      </c>
      <c r="C2623">
        <f>_xlfn.XLOOKUP(A2623,Energy!A:A,Energy!H:H,0,-1)</f>
        <v>12962.20175896649</v>
      </c>
      <c r="D2623">
        <f t="shared" si="160"/>
        <v>16526.503509778275</v>
      </c>
      <c r="E2623">
        <f>_xlfn.XLOOKUP(A2623,Banks!A:A,Banks!I:I,0)</f>
        <v>39436.200148013573</v>
      </c>
      <c r="F2623">
        <f>_xlfn.XLOOKUP(A2623,Energy!A:A,Energy!I:I,0)</f>
        <v>0</v>
      </c>
      <c r="G2623">
        <f t="shared" si="161"/>
        <v>39436.200148013573</v>
      </c>
      <c r="H2623">
        <f t="shared" si="162"/>
        <v>22909.696638235298</v>
      </c>
      <c r="I2623" t="b">
        <f t="shared" si="163"/>
        <v>0</v>
      </c>
    </row>
    <row r="2624" spans="1:9">
      <c r="A2624" s="1">
        <v>46154.751388888893</v>
      </c>
      <c r="B2624" s="5">
        <f>_xlfn.XLOOKUP(A2624,Banks!A:A,Banks!H:H,0,-1)</f>
        <v>3557.3662237007979</v>
      </c>
      <c r="C2624">
        <f>_xlfn.XLOOKUP(A2624,Energy!A:A,Energy!H:H,0,-1)</f>
        <v>12962.20175896649</v>
      </c>
      <c r="D2624">
        <f t="shared" si="160"/>
        <v>16519.567982667289</v>
      </c>
      <c r="E2624">
        <f>_xlfn.XLOOKUP(A2624,Banks!A:A,Banks!I:I,0)</f>
        <v>39438.486137173561</v>
      </c>
      <c r="F2624">
        <f>_xlfn.XLOOKUP(A2624,Energy!A:A,Energy!I:I,0)</f>
        <v>0</v>
      </c>
      <c r="G2624">
        <f t="shared" si="161"/>
        <v>39438.486137173561</v>
      </c>
      <c r="H2624">
        <f t="shared" si="162"/>
        <v>22918.918154506271</v>
      </c>
      <c r="I2624" t="b">
        <f t="shared" si="163"/>
        <v>0</v>
      </c>
    </row>
    <row r="2625" spans="1:9">
      <c r="A2625" s="1">
        <v>46154.752083333333</v>
      </c>
      <c r="B2625" s="5">
        <f>_xlfn.XLOOKUP(A2625,Banks!A:A,Banks!H:H,0,-1)</f>
        <v>3559.613433045281</v>
      </c>
      <c r="C2625">
        <f>_xlfn.XLOOKUP(A2625,Energy!A:A,Energy!H:H,0,-1)</f>
        <v>12962.20175896649</v>
      </c>
      <c r="D2625">
        <f t="shared" si="160"/>
        <v>16521.815192011771</v>
      </c>
      <c r="E2625">
        <f>_xlfn.XLOOKUP(A2625,Banks!A:A,Banks!I:I,0)</f>
        <v>39438.935579042452</v>
      </c>
      <c r="F2625">
        <f>_xlfn.XLOOKUP(A2625,Energy!A:A,Energy!I:I,0)</f>
        <v>0</v>
      </c>
      <c r="G2625">
        <f t="shared" si="161"/>
        <v>39438.935579042452</v>
      </c>
      <c r="H2625">
        <f t="shared" si="162"/>
        <v>22917.120387030682</v>
      </c>
      <c r="I2625" t="b">
        <f t="shared" si="163"/>
        <v>0</v>
      </c>
    </row>
    <row r="2626" spans="1:9">
      <c r="A2626" s="1">
        <v>46154.75277777778</v>
      </c>
      <c r="B2626" s="5">
        <f>_xlfn.XLOOKUP(A2626,Banks!A:A,Banks!H:H,0,-1)</f>
        <v>3528.5403003775518</v>
      </c>
      <c r="C2626">
        <f>_xlfn.XLOOKUP(A2626,Energy!A:A,Energy!H:H,0,-1)</f>
        <v>12962.20175896649</v>
      </c>
      <c r="D2626">
        <f t="shared" si="160"/>
        <v>16490.74205934404</v>
      </c>
      <c r="E2626">
        <f>_xlfn.XLOOKUP(A2626,Banks!A:A,Banks!I:I,0)</f>
        <v>39425.374763344538</v>
      </c>
      <c r="F2626">
        <f>_xlfn.XLOOKUP(A2626,Energy!A:A,Energy!I:I,0)</f>
        <v>0</v>
      </c>
      <c r="G2626">
        <f t="shared" si="161"/>
        <v>39425.374763344538</v>
      </c>
      <c r="H2626">
        <f t="shared" si="162"/>
        <v>22934.632704000498</v>
      </c>
      <c r="I2626" t="b">
        <f t="shared" si="163"/>
        <v>0</v>
      </c>
    </row>
    <row r="2627" spans="1:9">
      <c r="A2627" s="1">
        <v>46154.753472222219</v>
      </c>
      <c r="B2627" s="5">
        <f>_xlfn.XLOOKUP(A2627,Banks!A:A,Banks!H:H,0,-1)</f>
        <v>3533.034719066517</v>
      </c>
      <c r="C2627">
        <f>_xlfn.XLOOKUP(A2627,Energy!A:A,Energy!H:H,0,-1)</f>
        <v>12962.20175896649</v>
      </c>
      <c r="D2627">
        <f t="shared" ref="D2627:D2690" si="164">B2627+C2627</f>
        <v>16495.236478033006</v>
      </c>
      <c r="E2627">
        <f>_xlfn.XLOOKUP(A2627,Banks!A:A,Banks!I:I,0)</f>
        <v>39426.273647082329</v>
      </c>
      <c r="F2627">
        <f>_xlfn.XLOOKUP(A2627,Energy!A:A,Energy!I:I,0)</f>
        <v>0</v>
      </c>
      <c r="G2627">
        <f t="shared" ref="G2627:G2690" si="165">F2627+E2627</f>
        <v>39426.273647082329</v>
      </c>
      <c r="H2627">
        <f t="shared" ref="H2627:H2690" si="166">G2627-D2627</f>
        <v>22931.037169049323</v>
      </c>
      <c r="I2627" t="b">
        <f t="shared" ref="I2627:I2690" si="167">AND(E2627&gt;0,F2627&gt;0)</f>
        <v>0</v>
      </c>
    </row>
    <row r="2628" spans="1:9">
      <c r="A2628" s="1">
        <v>46154.754166666673</v>
      </c>
      <c r="B2628" s="5">
        <f>_xlfn.XLOOKUP(A2628,Banks!A:A,Banks!H:H,0,-1)</f>
        <v>3516.9164555000748</v>
      </c>
      <c r="C2628">
        <f>_xlfn.XLOOKUP(A2628,Energy!A:A,Energy!H:H,0,-1)</f>
        <v>12962.20175896649</v>
      </c>
      <c r="D2628">
        <f t="shared" si="164"/>
        <v>16479.118214466565</v>
      </c>
      <c r="E2628">
        <f>_xlfn.XLOOKUP(A2628,Banks!A:A,Banks!I:I,0)</f>
        <v>39430.396183533419</v>
      </c>
      <c r="F2628">
        <f>_xlfn.XLOOKUP(A2628,Energy!A:A,Energy!I:I,0)</f>
        <v>0</v>
      </c>
      <c r="G2628">
        <f t="shared" si="165"/>
        <v>39430.396183533419</v>
      </c>
      <c r="H2628">
        <f t="shared" si="166"/>
        <v>22951.277969066854</v>
      </c>
      <c r="I2628" t="b">
        <f t="shared" si="167"/>
        <v>0</v>
      </c>
    </row>
    <row r="2629" spans="1:9">
      <c r="A2629" s="1">
        <v>46154.754861111112</v>
      </c>
      <c r="B2629" s="5">
        <f>_xlfn.XLOOKUP(A2629,Banks!A:A,Banks!H:H,0,-1)</f>
        <v>3532.2591227564271</v>
      </c>
      <c r="C2629">
        <f>_xlfn.XLOOKUP(A2629,Energy!A:A,Energy!H:H,0,-1)</f>
        <v>12962.20175896649</v>
      </c>
      <c r="D2629">
        <f t="shared" si="164"/>
        <v>16494.460881722916</v>
      </c>
      <c r="E2629">
        <f>_xlfn.XLOOKUP(A2629,Banks!A:A,Banks!I:I,0)</f>
        <v>39440.810906149047</v>
      </c>
      <c r="F2629">
        <f>_xlfn.XLOOKUP(A2629,Energy!A:A,Energy!I:I,0)</f>
        <v>0</v>
      </c>
      <c r="G2629">
        <f t="shared" si="165"/>
        <v>39440.810906149047</v>
      </c>
      <c r="H2629">
        <f t="shared" si="166"/>
        <v>22946.35002442613</v>
      </c>
      <c r="I2629" t="b">
        <f t="shared" si="167"/>
        <v>0</v>
      </c>
    </row>
    <row r="2630" spans="1:9">
      <c r="A2630" s="1">
        <v>46154.755555555559</v>
      </c>
      <c r="B2630" s="5">
        <f>_xlfn.XLOOKUP(A2630,Banks!A:A,Banks!H:H,0,-1)</f>
        <v>3495.5281769345661</v>
      </c>
      <c r="C2630">
        <f>_xlfn.XLOOKUP(A2630,Energy!A:A,Energy!H:H,0,-1)</f>
        <v>12962.20175896649</v>
      </c>
      <c r="D2630">
        <f t="shared" si="164"/>
        <v>16457.729935901058</v>
      </c>
      <c r="E2630">
        <f>_xlfn.XLOOKUP(A2630,Banks!A:A,Banks!I:I,0)</f>
        <v>39448.157095313421</v>
      </c>
      <c r="F2630">
        <f>_xlfn.XLOOKUP(A2630,Energy!A:A,Energy!I:I,0)</f>
        <v>0</v>
      </c>
      <c r="G2630">
        <f t="shared" si="165"/>
        <v>39448.157095313421</v>
      </c>
      <c r="H2630">
        <f t="shared" si="166"/>
        <v>22990.427159412364</v>
      </c>
      <c r="I2630" t="b">
        <f t="shared" si="167"/>
        <v>0</v>
      </c>
    </row>
    <row r="2631" spans="1:9">
      <c r="A2631" s="1">
        <v>46154.756249999999</v>
      </c>
      <c r="B2631" s="5">
        <f>_xlfn.XLOOKUP(A2631,Banks!A:A,Banks!H:H,0,-1)</f>
        <v>3559.613433045281</v>
      </c>
      <c r="C2631">
        <f>_xlfn.XLOOKUP(A2631,Energy!A:A,Energy!H:H,0,-1)</f>
        <v>12962.20175896649</v>
      </c>
      <c r="D2631">
        <f t="shared" si="164"/>
        <v>16521.815192011771</v>
      </c>
      <c r="E2631">
        <f>_xlfn.XLOOKUP(A2631,Banks!A:A,Banks!I:I,0)</f>
        <v>39438.935579042452</v>
      </c>
      <c r="F2631">
        <f>_xlfn.XLOOKUP(A2631,Energy!A:A,Energy!I:I,0)</f>
        <v>0</v>
      </c>
      <c r="G2631">
        <f t="shared" si="165"/>
        <v>39438.935579042452</v>
      </c>
      <c r="H2631">
        <f t="shared" si="166"/>
        <v>22917.120387030682</v>
      </c>
      <c r="I2631" t="b">
        <f t="shared" si="167"/>
        <v>0</v>
      </c>
    </row>
    <row r="2632" spans="1:9">
      <c r="A2632" s="1">
        <v>46154.756944444453</v>
      </c>
      <c r="B2632" s="5">
        <f>_xlfn.XLOOKUP(A2632,Banks!A:A,Banks!H:H,0,-1)</f>
        <v>3502.660716754594</v>
      </c>
      <c r="C2632">
        <f>_xlfn.XLOOKUP(A2632,Energy!A:A,Energy!H:H,0,-1)</f>
        <v>12962.20175896649</v>
      </c>
      <c r="D2632">
        <f t="shared" si="164"/>
        <v>16464.862475721086</v>
      </c>
      <c r="E2632">
        <f>_xlfn.XLOOKUP(A2632,Banks!A:A,Banks!I:I,0)</f>
        <v>0</v>
      </c>
      <c r="F2632">
        <f>_xlfn.XLOOKUP(A2632,Energy!A:A,Energy!I:I,0)</f>
        <v>0</v>
      </c>
      <c r="G2632">
        <f t="shared" si="165"/>
        <v>0</v>
      </c>
      <c r="H2632">
        <f t="shared" si="166"/>
        <v>-16464.862475721086</v>
      </c>
      <c r="I2632" t="b">
        <f t="shared" si="167"/>
        <v>0</v>
      </c>
    </row>
    <row r="2633" spans="1:9">
      <c r="A2633" s="1">
        <v>46155.606944444437</v>
      </c>
      <c r="B2633" s="5">
        <f>_xlfn.XLOOKUP(A2633,Banks!A:A,Banks!H:H,0,-1)</f>
        <v>3502.660716754594</v>
      </c>
      <c r="C2633">
        <f>_xlfn.XLOOKUP(A2633,Energy!A:A,Energy!H:H,0,-1)</f>
        <v>12962.20175896649</v>
      </c>
      <c r="D2633">
        <f t="shared" si="164"/>
        <v>16464.862475721086</v>
      </c>
      <c r="E2633">
        <f>_xlfn.XLOOKUP(A2633,Banks!A:A,Banks!I:I,0)</f>
        <v>39300.382176039697</v>
      </c>
      <c r="F2633">
        <f>_xlfn.XLOOKUP(A2633,Energy!A:A,Energy!I:I,0)</f>
        <v>0</v>
      </c>
      <c r="G2633">
        <f t="shared" si="165"/>
        <v>39300.382176039697</v>
      </c>
      <c r="H2633">
        <f t="shared" si="166"/>
        <v>22835.519700318611</v>
      </c>
      <c r="I2633" t="b">
        <f t="shared" si="167"/>
        <v>0</v>
      </c>
    </row>
    <row r="2634" spans="1:9">
      <c r="A2634" s="1">
        <v>46155.607638888891</v>
      </c>
      <c r="B2634" s="5">
        <f>_xlfn.XLOOKUP(A2634,Banks!A:A,Banks!H:H,0,-1)</f>
        <v>3666.9450625222871</v>
      </c>
      <c r="C2634">
        <f>_xlfn.XLOOKUP(A2634,Energy!A:A,Energy!H:H,0,-1)</f>
        <v>12962.20175896649</v>
      </c>
      <c r="D2634">
        <f t="shared" si="164"/>
        <v>16629.146821488779</v>
      </c>
      <c r="E2634">
        <f>_xlfn.XLOOKUP(A2634,Banks!A:A,Banks!I:I,0)</f>
        <v>39234.170354602284</v>
      </c>
      <c r="F2634">
        <f>_xlfn.XLOOKUP(A2634,Energy!A:A,Energy!I:I,0)</f>
        <v>0</v>
      </c>
      <c r="G2634">
        <f t="shared" si="165"/>
        <v>39234.170354602284</v>
      </c>
      <c r="H2634">
        <f t="shared" si="166"/>
        <v>22605.023533113505</v>
      </c>
      <c r="I2634" t="b">
        <f t="shared" si="167"/>
        <v>0</v>
      </c>
    </row>
    <row r="2635" spans="1:9">
      <c r="A2635" s="1">
        <v>46155.60833333333</v>
      </c>
      <c r="B2635" s="5">
        <f>_xlfn.XLOOKUP(A2635,Banks!A:A,Banks!H:H,0,-1)</f>
        <v>3432.6234666089999</v>
      </c>
      <c r="C2635">
        <f>_xlfn.XLOOKUP(A2635,Energy!A:A,Energy!H:H,0,-1)</f>
        <v>12962.20175896649</v>
      </c>
      <c r="D2635">
        <f t="shared" si="164"/>
        <v>16394.825225575489</v>
      </c>
      <c r="E2635">
        <f>_xlfn.XLOOKUP(A2635,Banks!A:A,Banks!I:I,0)</f>
        <v>39214.324769217157</v>
      </c>
      <c r="F2635">
        <f>_xlfn.XLOOKUP(A2635,Energy!A:A,Energy!I:I,0)</f>
        <v>0</v>
      </c>
      <c r="G2635">
        <f t="shared" si="165"/>
        <v>39214.324769217157</v>
      </c>
      <c r="H2635">
        <f t="shared" si="166"/>
        <v>22819.499543641668</v>
      </c>
      <c r="I2635" t="b">
        <f t="shared" si="167"/>
        <v>0</v>
      </c>
    </row>
    <row r="2636" spans="1:9">
      <c r="A2636" s="1">
        <v>46155.609027777777</v>
      </c>
      <c r="B2636" s="5">
        <f>_xlfn.XLOOKUP(A2636,Banks!A:A,Banks!H:H,0,-1)</f>
        <v>3432.6234666089999</v>
      </c>
      <c r="C2636">
        <f>_xlfn.XLOOKUP(A2636,Energy!A:A,Energy!H:H,0,-1)</f>
        <v>12962.20175896649</v>
      </c>
      <c r="D2636">
        <f t="shared" si="164"/>
        <v>16394.825225575489</v>
      </c>
      <c r="E2636">
        <f>_xlfn.XLOOKUP(A2636,Banks!A:A,Banks!I:I,0)</f>
        <v>39214.324769217157</v>
      </c>
      <c r="F2636">
        <f>_xlfn.XLOOKUP(A2636,Energy!A:A,Energy!I:I,0)</f>
        <v>0</v>
      </c>
      <c r="G2636">
        <f t="shared" si="165"/>
        <v>39214.324769217157</v>
      </c>
      <c r="H2636">
        <f t="shared" si="166"/>
        <v>22819.499543641668</v>
      </c>
      <c r="I2636" t="b">
        <f t="shared" si="167"/>
        <v>0</v>
      </c>
    </row>
    <row r="2637" spans="1:9">
      <c r="A2637" s="1">
        <v>46155.609722222223</v>
      </c>
      <c r="B2637" s="5">
        <f>_xlfn.XLOOKUP(A2637,Banks!A:A,Banks!H:H,0,-1)</f>
        <v>3532.1104134587272</v>
      </c>
      <c r="C2637">
        <f>_xlfn.XLOOKUP(A2637,Energy!A:A,Energy!H:H,0,-1)</f>
        <v>12962.20175896649</v>
      </c>
      <c r="D2637">
        <f t="shared" si="164"/>
        <v>16494.312172425216</v>
      </c>
      <c r="E2637">
        <f>_xlfn.XLOOKUP(A2637,Banks!A:A,Banks!I:I,0)</f>
        <v>39264.843390224312</v>
      </c>
      <c r="F2637">
        <f>_xlfn.XLOOKUP(A2637,Energy!A:A,Energy!I:I,0)</f>
        <v>0</v>
      </c>
      <c r="G2637">
        <f t="shared" si="165"/>
        <v>39264.843390224312</v>
      </c>
      <c r="H2637">
        <f t="shared" si="166"/>
        <v>22770.531217799096</v>
      </c>
      <c r="I2637" t="b">
        <f t="shared" si="167"/>
        <v>0</v>
      </c>
    </row>
    <row r="2638" spans="1:9">
      <c r="A2638" s="1">
        <v>46155.61041666667</v>
      </c>
      <c r="B2638" s="5">
        <f>_xlfn.XLOOKUP(A2638,Banks!A:A,Banks!H:H,0,-1)</f>
        <v>3365.7740737202098</v>
      </c>
      <c r="C2638">
        <f>_xlfn.XLOOKUP(A2638,Energy!A:A,Energy!H:H,0,-1)</f>
        <v>12962.20175896649</v>
      </c>
      <c r="D2638">
        <f t="shared" si="164"/>
        <v>16327.9758326867</v>
      </c>
      <c r="E2638">
        <f>_xlfn.XLOOKUP(A2638,Banks!A:A,Banks!I:I,0)</f>
        <v>39205.458012938987</v>
      </c>
      <c r="F2638">
        <f>_xlfn.XLOOKUP(A2638,Energy!A:A,Energy!I:I,0)</f>
        <v>0</v>
      </c>
      <c r="G2638">
        <f t="shared" si="165"/>
        <v>39205.458012938987</v>
      </c>
      <c r="H2638">
        <f t="shared" si="166"/>
        <v>22877.482180252286</v>
      </c>
      <c r="I2638" t="b">
        <f t="shared" si="167"/>
        <v>0</v>
      </c>
    </row>
    <row r="2639" spans="1:9">
      <c r="A2639" s="1">
        <v>46155.611111111109</v>
      </c>
      <c r="B2639" s="5">
        <f>_xlfn.XLOOKUP(A2639,Banks!A:A,Banks!H:H,0,-1)</f>
        <v>3310.1824865804078</v>
      </c>
      <c r="C2639">
        <f>_xlfn.XLOOKUP(A2639,Energy!A:A,Energy!H:H,0,-1)</f>
        <v>12962.20175896649</v>
      </c>
      <c r="D2639">
        <f t="shared" si="164"/>
        <v>16272.384245546898</v>
      </c>
      <c r="E2639">
        <f>_xlfn.XLOOKUP(A2639,Banks!A:A,Banks!I:I,0)</f>
        <v>39194.339695511029</v>
      </c>
      <c r="F2639">
        <f>_xlfn.XLOOKUP(A2639,Energy!A:A,Energy!I:I,0)</f>
        <v>0</v>
      </c>
      <c r="G2639">
        <f t="shared" si="165"/>
        <v>39194.339695511029</v>
      </c>
      <c r="H2639">
        <f t="shared" si="166"/>
        <v>22921.955449964131</v>
      </c>
      <c r="I2639" t="b">
        <f t="shared" si="167"/>
        <v>0</v>
      </c>
    </row>
    <row r="2640" spans="1:9">
      <c r="A2640" s="1">
        <v>46155.611805555563</v>
      </c>
      <c r="B2640" s="5">
        <f>_xlfn.XLOOKUP(A2640,Banks!A:A,Banks!H:H,0,-1)</f>
        <v>3263.856163963887</v>
      </c>
      <c r="C2640">
        <f>_xlfn.XLOOKUP(A2640,Energy!A:A,Energy!H:H,0,-1)</f>
        <v>12962.20175896649</v>
      </c>
      <c r="D2640">
        <f t="shared" si="164"/>
        <v>16226.057922930377</v>
      </c>
      <c r="E2640">
        <f>_xlfn.XLOOKUP(A2640,Banks!A:A,Banks!I:I,0)</f>
        <v>39185.074430987726</v>
      </c>
      <c r="F2640">
        <f>_xlfn.XLOOKUP(A2640,Energy!A:A,Energy!I:I,0)</f>
        <v>0</v>
      </c>
      <c r="G2640">
        <f t="shared" si="165"/>
        <v>39185.074430987726</v>
      </c>
      <c r="H2640">
        <f t="shared" si="166"/>
        <v>22959.01650805735</v>
      </c>
      <c r="I2640" t="b">
        <f t="shared" si="167"/>
        <v>0</v>
      </c>
    </row>
    <row r="2641" spans="1:9">
      <c r="A2641" s="1">
        <v>46155.612500000003</v>
      </c>
      <c r="B2641" s="5">
        <f>_xlfn.XLOOKUP(A2641,Banks!A:A,Banks!H:H,0,-1)</f>
        <v>3352.4441085782578</v>
      </c>
      <c r="C2641">
        <f>_xlfn.XLOOKUP(A2641,Energy!A:A,Energy!H:H,0,-1)</f>
        <v>12962.20175896649</v>
      </c>
      <c r="D2641">
        <f t="shared" si="164"/>
        <v>16314.645867544748</v>
      </c>
      <c r="E2641">
        <f>_xlfn.XLOOKUP(A2641,Banks!A:A,Banks!I:I,0)</f>
        <v>39178.475159492809</v>
      </c>
      <c r="F2641">
        <f>_xlfn.XLOOKUP(A2641,Energy!A:A,Energy!I:I,0)</f>
        <v>0</v>
      </c>
      <c r="G2641">
        <f t="shared" si="165"/>
        <v>39178.475159492809</v>
      </c>
      <c r="H2641">
        <f t="shared" si="166"/>
        <v>22863.829291948059</v>
      </c>
      <c r="I2641" t="b">
        <f t="shared" si="167"/>
        <v>0</v>
      </c>
    </row>
    <row r="2642" spans="1:9">
      <c r="A2642" s="1">
        <v>46155.613194444442</v>
      </c>
      <c r="B2642" s="5">
        <f>_xlfn.XLOOKUP(A2642,Banks!A:A,Banks!H:H,0,-1)</f>
        <v>3387.9510471267308</v>
      </c>
      <c r="C2642">
        <f>_xlfn.XLOOKUP(A2642,Energy!A:A,Energy!H:H,0,-1)</f>
        <v>12962.20175896649</v>
      </c>
      <c r="D2642">
        <f t="shared" si="164"/>
        <v>16350.152806093221</v>
      </c>
      <c r="E2642">
        <f>_xlfn.XLOOKUP(A2642,Banks!A:A,Banks!I:I,0)</f>
        <v>39163.961560164476</v>
      </c>
      <c r="F2642">
        <f>_xlfn.XLOOKUP(A2642,Energy!A:A,Energy!I:I,0)</f>
        <v>0</v>
      </c>
      <c r="G2642">
        <f t="shared" si="165"/>
        <v>39163.961560164476</v>
      </c>
      <c r="H2642">
        <f t="shared" si="166"/>
        <v>22813.808754071255</v>
      </c>
      <c r="I2642" t="b">
        <f t="shared" si="167"/>
        <v>0</v>
      </c>
    </row>
    <row r="2643" spans="1:9">
      <c r="A2643" s="1">
        <v>46155.613888888889</v>
      </c>
      <c r="B2643" s="5">
        <f>_xlfn.XLOOKUP(A2643,Banks!A:A,Banks!H:H,0,-1)</f>
        <v>3455.657117955212</v>
      </c>
      <c r="C2643">
        <f>_xlfn.XLOOKUP(A2643,Energy!A:A,Energy!H:H,0,-1)</f>
        <v>12962.20175896649</v>
      </c>
      <c r="D2643">
        <f t="shared" si="164"/>
        <v>16417.858876921702</v>
      </c>
      <c r="E2643">
        <f>_xlfn.XLOOKUP(A2643,Banks!A:A,Banks!I:I,0)</f>
        <v>39217.130250566559</v>
      </c>
      <c r="F2643">
        <f>_xlfn.XLOOKUP(A2643,Energy!A:A,Energy!I:I,0)</f>
        <v>0</v>
      </c>
      <c r="G2643">
        <f t="shared" si="165"/>
        <v>39217.130250566559</v>
      </c>
      <c r="H2643">
        <f t="shared" si="166"/>
        <v>22799.271373644857</v>
      </c>
      <c r="I2643" t="b">
        <f t="shared" si="167"/>
        <v>0</v>
      </c>
    </row>
    <row r="2644" spans="1:9">
      <c r="A2644" s="1">
        <v>46155.614583333343</v>
      </c>
      <c r="B2644" s="5">
        <f>_xlfn.XLOOKUP(A2644,Banks!A:A,Banks!H:H,0,-1)</f>
        <v>3624.4244206003</v>
      </c>
      <c r="C2644">
        <f>_xlfn.XLOOKUP(A2644,Energy!A:A,Energy!H:H,0,-1)</f>
        <v>12962.20175896649</v>
      </c>
      <c r="D2644">
        <f t="shared" si="164"/>
        <v>16586.626179566789</v>
      </c>
      <c r="E2644">
        <f>_xlfn.XLOOKUP(A2644,Banks!A:A,Banks!I:I,0)</f>
        <v>39246.38058879599</v>
      </c>
      <c r="F2644">
        <f>_xlfn.XLOOKUP(A2644,Energy!A:A,Energy!I:I,0)</f>
        <v>0</v>
      </c>
      <c r="G2644">
        <f t="shared" si="165"/>
        <v>39246.38058879599</v>
      </c>
      <c r="H2644">
        <f t="shared" si="166"/>
        <v>22659.754409229201</v>
      </c>
      <c r="I2644" t="b">
        <f t="shared" si="167"/>
        <v>0</v>
      </c>
    </row>
    <row r="2645" spans="1:9">
      <c r="A2645" s="1">
        <v>46155.615277777782</v>
      </c>
      <c r="B2645" s="5">
        <f>_xlfn.XLOOKUP(A2645,Banks!A:A,Banks!H:H,0,-1)</f>
        <v>3615.1591560770062</v>
      </c>
      <c r="C2645">
        <f>_xlfn.XLOOKUP(A2645,Energy!A:A,Energy!H:H,0,-1)</f>
        <v>12962.20175896649</v>
      </c>
      <c r="D2645">
        <f t="shared" si="164"/>
        <v>16577.360915043497</v>
      </c>
      <c r="E2645">
        <f>_xlfn.XLOOKUP(A2645,Banks!A:A,Banks!I:I,0)</f>
        <v>39244.527535891328</v>
      </c>
      <c r="F2645">
        <f>_xlfn.XLOOKUP(A2645,Energy!A:A,Energy!I:I,0)</f>
        <v>0</v>
      </c>
      <c r="G2645">
        <f t="shared" si="165"/>
        <v>39244.527535891328</v>
      </c>
      <c r="H2645">
        <f t="shared" si="166"/>
        <v>22667.166620847831</v>
      </c>
      <c r="I2645" t="b">
        <f t="shared" si="167"/>
        <v>0</v>
      </c>
    </row>
    <row r="2646" spans="1:9">
      <c r="A2646" s="1">
        <v>46155.615972222222</v>
      </c>
      <c r="B2646" s="5">
        <f>_xlfn.XLOOKUP(A2646,Banks!A:A,Banks!H:H,0,-1)</f>
        <v>3560.244845120078</v>
      </c>
      <c r="C2646">
        <f>_xlfn.XLOOKUP(A2646,Energy!A:A,Energy!H:H,0,-1)</f>
        <v>12962.20175896649</v>
      </c>
      <c r="D2646">
        <f t="shared" si="164"/>
        <v>16522.446604086566</v>
      </c>
      <c r="E2646">
        <f>_xlfn.XLOOKUP(A2646,Banks!A:A,Banks!I:I,0)</f>
        <v>39307.395879413212</v>
      </c>
      <c r="F2646">
        <f>_xlfn.XLOOKUP(A2646,Energy!A:A,Energy!I:I,0)</f>
        <v>0</v>
      </c>
      <c r="G2646">
        <f t="shared" si="165"/>
        <v>39307.395879413212</v>
      </c>
      <c r="H2646">
        <f t="shared" si="166"/>
        <v>22784.949275326646</v>
      </c>
      <c r="I2646" t="b">
        <f t="shared" si="167"/>
        <v>0</v>
      </c>
    </row>
    <row r="2647" spans="1:9">
      <c r="A2647" s="1">
        <v>46155.616666666669</v>
      </c>
      <c r="B2647" s="5">
        <f>_xlfn.XLOOKUP(A2647,Banks!A:A,Banks!H:H,0,-1)</f>
        <v>3453.544627717868</v>
      </c>
      <c r="C2647">
        <f>_xlfn.XLOOKUP(A2647,Energy!A:A,Energy!H:H,0,-1)</f>
        <v>12962.20175896649</v>
      </c>
      <c r="D2647">
        <f t="shared" si="164"/>
        <v>16415.746386684357</v>
      </c>
      <c r="E2647">
        <f>_xlfn.XLOOKUP(A2647,Banks!A:A,Banks!I:I,0)</f>
        <v>39380.621404224148</v>
      </c>
      <c r="F2647">
        <f>_xlfn.XLOOKUP(A2647,Energy!A:A,Energy!I:I,0)</f>
        <v>0</v>
      </c>
      <c r="G2647">
        <f t="shared" si="165"/>
        <v>39380.621404224148</v>
      </c>
      <c r="H2647">
        <f t="shared" si="166"/>
        <v>22964.875017539791</v>
      </c>
      <c r="I2647" t="b">
        <f t="shared" si="167"/>
        <v>0</v>
      </c>
    </row>
    <row r="2648" spans="1:9">
      <c r="A2648" s="1">
        <v>46155.617361111108</v>
      </c>
      <c r="B2648" s="5">
        <f>_xlfn.XLOOKUP(A2648,Banks!A:A,Banks!H:H,0,-1)</f>
        <v>3416.4835696246528</v>
      </c>
      <c r="C2648">
        <f>_xlfn.XLOOKUP(A2648,Energy!A:A,Energy!H:H,0,-1)</f>
        <v>12962.20175896649</v>
      </c>
      <c r="D2648">
        <f t="shared" si="164"/>
        <v>16378.685328591142</v>
      </c>
      <c r="E2648">
        <f>_xlfn.XLOOKUP(A2648,Banks!A:A,Banks!I:I,0)</f>
        <v>39373.209192605507</v>
      </c>
      <c r="F2648">
        <f>_xlfn.XLOOKUP(A2648,Energy!A:A,Energy!I:I,0)</f>
        <v>0</v>
      </c>
      <c r="G2648">
        <f t="shared" si="165"/>
        <v>39373.209192605507</v>
      </c>
      <c r="H2648">
        <f t="shared" si="166"/>
        <v>22994.523864014365</v>
      </c>
      <c r="I2648" t="b">
        <f t="shared" si="167"/>
        <v>0</v>
      </c>
    </row>
    <row r="2649" spans="1:9">
      <c r="A2649" s="1">
        <v>46155.618055555547</v>
      </c>
      <c r="B2649" s="5">
        <f>_xlfn.XLOOKUP(A2649,Banks!A:A,Banks!H:H,0,-1)</f>
        <v>3509.1362148576818</v>
      </c>
      <c r="C2649">
        <f>_xlfn.XLOOKUP(A2649,Energy!A:A,Energy!H:H,0,-1)</f>
        <v>12962.20175896649</v>
      </c>
      <c r="D2649">
        <f t="shared" si="164"/>
        <v>16471.337973824171</v>
      </c>
      <c r="E2649">
        <f>_xlfn.XLOOKUP(A2649,Banks!A:A,Banks!I:I,0)</f>
        <v>39391.739721652113</v>
      </c>
      <c r="F2649">
        <f>_xlfn.XLOOKUP(A2649,Energy!A:A,Energy!I:I,0)</f>
        <v>0</v>
      </c>
      <c r="G2649">
        <f t="shared" si="165"/>
        <v>39391.739721652113</v>
      </c>
      <c r="H2649">
        <f t="shared" si="166"/>
        <v>22920.401747827942</v>
      </c>
      <c r="I2649" t="b">
        <f t="shared" si="167"/>
        <v>0</v>
      </c>
    </row>
    <row r="2650" spans="1:9">
      <c r="A2650" s="1">
        <v>46155.618750000001</v>
      </c>
      <c r="B2650" s="5">
        <f>_xlfn.XLOOKUP(A2650,Banks!A:A,Banks!H:H,0,-1)</f>
        <v>3286.769866298423</v>
      </c>
      <c r="C2650">
        <f>_xlfn.XLOOKUP(A2650,Energy!A:A,Energy!H:H,0,-1)</f>
        <v>12962.20175896649</v>
      </c>
      <c r="D2650">
        <f t="shared" si="164"/>
        <v>16248.971625264912</v>
      </c>
      <c r="E2650">
        <f>_xlfn.XLOOKUP(A2650,Banks!A:A,Banks!I:I,0)</f>
        <v>39347.266451940261</v>
      </c>
      <c r="F2650">
        <f>_xlfn.XLOOKUP(A2650,Energy!A:A,Energy!I:I,0)</f>
        <v>0</v>
      </c>
      <c r="G2650">
        <f t="shared" si="165"/>
        <v>39347.266451940261</v>
      </c>
      <c r="H2650">
        <f t="shared" si="166"/>
        <v>23098.294826675348</v>
      </c>
      <c r="I2650" t="b">
        <f t="shared" si="167"/>
        <v>0</v>
      </c>
    </row>
    <row r="2651" spans="1:9">
      <c r="A2651" s="1">
        <v>46155.619444444441</v>
      </c>
      <c r="B2651" s="5">
        <f>_xlfn.XLOOKUP(A2651,Banks!A:A,Banks!H:H,0,-1)</f>
        <v>3502.9197366787171</v>
      </c>
      <c r="C2651">
        <f>_xlfn.XLOOKUP(A2651,Energy!A:A,Energy!H:H,0,-1)</f>
        <v>12962.20175896649</v>
      </c>
      <c r="D2651">
        <f t="shared" si="164"/>
        <v>16465.121495645206</v>
      </c>
      <c r="E2651">
        <f>_xlfn.XLOOKUP(A2651,Banks!A:A,Banks!I:I,0)</f>
        <v>39304.036477864203</v>
      </c>
      <c r="F2651">
        <f>_xlfn.XLOOKUP(A2651,Energy!A:A,Energy!I:I,0)</f>
        <v>0</v>
      </c>
      <c r="G2651">
        <f t="shared" si="165"/>
        <v>39304.036477864203</v>
      </c>
      <c r="H2651">
        <f t="shared" si="166"/>
        <v>22838.914982218997</v>
      </c>
      <c r="I2651" t="b">
        <f t="shared" si="167"/>
        <v>0</v>
      </c>
    </row>
    <row r="2652" spans="1:9">
      <c r="A2652" s="1">
        <v>46155.620138888888</v>
      </c>
      <c r="B2652" s="5">
        <f>_xlfn.XLOOKUP(A2652,Banks!A:A,Banks!H:H,0,-1)</f>
        <v>3243.4923300262558</v>
      </c>
      <c r="C2652">
        <f>_xlfn.XLOOKUP(A2652,Energy!A:A,Energy!H:H,0,-1)</f>
        <v>12962.20175896649</v>
      </c>
      <c r="D2652">
        <f t="shared" si="164"/>
        <v>16205.694088992746</v>
      </c>
      <c r="E2652">
        <f>_xlfn.XLOOKUP(A2652,Banks!A:A,Banks!I:I,0)</f>
        <v>39252.15099653371</v>
      </c>
      <c r="F2652">
        <f>_xlfn.XLOOKUP(A2652,Energy!A:A,Energy!I:I,0)</f>
        <v>0</v>
      </c>
      <c r="G2652">
        <f t="shared" si="165"/>
        <v>39252.15099653371</v>
      </c>
      <c r="H2652">
        <f t="shared" si="166"/>
        <v>23046.456907540964</v>
      </c>
      <c r="I2652" t="b">
        <f t="shared" si="167"/>
        <v>0</v>
      </c>
    </row>
    <row r="2653" spans="1:9">
      <c r="A2653" s="1">
        <v>46155.620833333327</v>
      </c>
      <c r="B2653" s="5">
        <f>_xlfn.XLOOKUP(A2653,Banks!A:A,Banks!H:H,0,-1)</f>
        <v>3413.6307871488962</v>
      </c>
      <c r="C2653">
        <f>_xlfn.XLOOKUP(A2653,Energy!A:A,Energy!H:H,0,-1)</f>
        <v>12962.20175896649</v>
      </c>
      <c r="D2653">
        <f t="shared" si="164"/>
        <v>16375.832546115387</v>
      </c>
      <c r="E2653">
        <f>_xlfn.XLOOKUP(A2653,Banks!A:A,Banks!I:I,0)</f>
        <v>0</v>
      </c>
      <c r="F2653">
        <f>_xlfn.XLOOKUP(A2653,Energy!A:A,Energy!I:I,0)</f>
        <v>0</v>
      </c>
      <c r="G2653">
        <f t="shared" si="165"/>
        <v>0</v>
      </c>
      <c r="H2653">
        <f t="shared" si="166"/>
        <v>-16375.832546115387</v>
      </c>
      <c r="I2653" t="b">
        <f t="shared" si="167"/>
        <v>0</v>
      </c>
    </row>
    <row r="2654" spans="1:9">
      <c r="A2654" s="1">
        <v>46160.834722222222</v>
      </c>
      <c r="B2654" s="5">
        <f>_xlfn.XLOOKUP(A2654,Banks!A:A,Banks!H:H,0,-1)</f>
        <v>3413.6307871488962</v>
      </c>
      <c r="C2654">
        <f>_xlfn.XLOOKUP(A2654,Energy!A:A,Energy!H:H,0,-1)</f>
        <v>12962.20175896649</v>
      </c>
      <c r="D2654">
        <f t="shared" si="164"/>
        <v>16375.832546115387</v>
      </c>
      <c r="E2654">
        <f>_xlfn.XLOOKUP(A2654,Banks!A:A,Banks!I:I,0)</f>
        <v>39300.382176039697</v>
      </c>
      <c r="F2654">
        <f>_xlfn.XLOOKUP(A2654,Energy!A:A,Energy!I:I,0)</f>
        <v>0</v>
      </c>
      <c r="G2654">
        <f t="shared" si="165"/>
        <v>39300.382176039697</v>
      </c>
      <c r="H2654">
        <f t="shared" si="166"/>
        <v>22924.54962992431</v>
      </c>
      <c r="I2654" t="b">
        <f t="shared" si="167"/>
        <v>0</v>
      </c>
    </row>
    <row r="2655" spans="1:9">
      <c r="A2655" s="1">
        <v>46160.835416666669</v>
      </c>
      <c r="B2655" s="5">
        <f>_xlfn.XLOOKUP(A2655,Banks!A:A,Banks!H:H,0,-1)</f>
        <v>3687.873330274424</v>
      </c>
      <c r="C2655">
        <f>_xlfn.XLOOKUP(A2655,Energy!A:A,Energy!H:H,0,-1)</f>
        <v>12962.20175896649</v>
      </c>
      <c r="D2655">
        <f t="shared" si="164"/>
        <v>16650.075089240912</v>
      </c>
      <c r="E2655">
        <f>_xlfn.XLOOKUP(A2655,Banks!A:A,Banks!I:I,0)</f>
        <v>39370.133814322042</v>
      </c>
      <c r="F2655">
        <f>_xlfn.XLOOKUP(A2655,Energy!A:A,Energy!I:I,0)</f>
        <v>0</v>
      </c>
      <c r="G2655">
        <f t="shared" si="165"/>
        <v>39370.133814322042</v>
      </c>
      <c r="H2655">
        <f t="shared" si="166"/>
        <v>22720.05872508113</v>
      </c>
      <c r="I2655" t="b">
        <f t="shared" si="167"/>
        <v>0</v>
      </c>
    </row>
    <row r="2656" spans="1:9">
      <c r="A2656" s="1">
        <v>46160.836111111108</v>
      </c>
      <c r="B2656" s="5">
        <f>_xlfn.XLOOKUP(A2656,Banks!A:A,Banks!H:H,0,-1)</f>
        <v>3699.9177619823308</v>
      </c>
      <c r="C2656">
        <f>_xlfn.XLOOKUP(A2656,Energy!A:A,Energy!H:H,0,-1)</f>
        <v>12962.20175896649</v>
      </c>
      <c r="D2656">
        <f t="shared" si="164"/>
        <v>16662.119520948821</v>
      </c>
      <c r="E2656">
        <f>_xlfn.XLOOKUP(A2656,Banks!A:A,Banks!I:I,0)</f>
        <v>0</v>
      </c>
      <c r="F2656">
        <f>_xlfn.XLOOKUP(A2656,Energy!A:A,Energy!I:I,0)</f>
        <v>0</v>
      </c>
      <c r="G2656">
        <f t="shared" si="165"/>
        <v>0</v>
      </c>
      <c r="H2656">
        <f t="shared" si="166"/>
        <v>-16662.119520948821</v>
      </c>
      <c r="I2656" t="b">
        <f t="shared" si="167"/>
        <v>0</v>
      </c>
    </row>
    <row r="2657" spans="1:9">
      <c r="A2657" s="1">
        <v>46162.604166666657</v>
      </c>
      <c r="B2657" s="5">
        <f>_xlfn.XLOOKUP(A2657,Banks!A:A,Banks!H:H,0,-1)</f>
        <v>3699.9177619823308</v>
      </c>
      <c r="C2657">
        <f>_xlfn.XLOOKUP(A2657,Energy!A:A,Energy!H:H,0,-1)</f>
        <v>12962.20175896649</v>
      </c>
      <c r="D2657">
        <f t="shared" si="164"/>
        <v>16662.119520948821</v>
      </c>
      <c r="E2657">
        <f>_xlfn.XLOOKUP(A2657,Banks!A:A,Banks!I:I,0)</f>
        <v>39300.382176039697</v>
      </c>
      <c r="F2657">
        <f>_xlfn.XLOOKUP(A2657,Energy!A:A,Energy!I:I,0)</f>
        <v>0</v>
      </c>
      <c r="G2657">
        <f t="shared" si="165"/>
        <v>39300.382176039697</v>
      </c>
      <c r="H2657">
        <f t="shared" si="166"/>
        <v>22638.262655090875</v>
      </c>
      <c r="I2657" t="b">
        <f t="shared" si="167"/>
        <v>0</v>
      </c>
    </row>
    <row r="2658" spans="1:9">
      <c r="A2658" s="1">
        <v>46162.604861111111</v>
      </c>
      <c r="B2658" s="5">
        <f>_xlfn.XLOOKUP(A2658,Banks!A:A,Banks!H:H,0,-1)</f>
        <v>3883.985985209205</v>
      </c>
      <c r="C2658">
        <f>_xlfn.XLOOKUP(A2658,Energy!A:A,Energy!H:H,0,-1)</f>
        <v>12962.20175896649</v>
      </c>
      <c r="D2658">
        <f t="shared" si="164"/>
        <v>16846.187744175695</v>
      </c>
      <c r="E2658">
        <f>_xlfn.XLOOKUP(A2658,Banks!A:A,Banks!I:I,0)</f>
        <v>39187.579213241661</v>
      </c>
      <c r="F2658">
        <f>_xlfn.XLOOKUP(A2658,Energy!A:A,Energy!I:I,0)</f>
        <v>0</v>
      </c>
      <c r="G2658">
        <f t="shared" si="165"/>
        <v>39187.579213241661</v>
      </c>
      <c r="H2658">
        <f t="shared" si="166"/>
        <v>22341.391469065966</v>
      </c>
      <c r="I2658" t="b">
        <f t="shared" si="167"/>
        <v>0</v>
      </c>
    </row>
    <row r="2659" spans="1:9">
      <c r="A2659" s="1">
        <v>46162.605555555558</v>
      </c>
      <c r="B2659" s="5">
        <f>_xlfn.XLOOKUP(A2659,Banks!A:A,Banks!H:H,0,-1)</f>
        <v>3913.3522309526429</v>
      </c>
      <c r="C2659">
        <f>_xlfn.XLOOKUP(A2659,Energy!A:A,Energy!H:H,0,-1)</f>
        <v>12962.20175896649</v>
      </c>
      <c r="D2659">
        <f t="shared" si="164"/>
        <v>16875.553989919132</v>
      </c>
      <c r="E2659">
        <f>_xlfn.XLOOKUP(A2659,Banks!A:A,Banks!I:I,0)</f>
        <v>39055.057100505182</v>
      </c>
      <c r="F2659">
        <f>_xlfn.XLOOKUP(A2659,Energy!A:A,Energy!I:I,0)</f>
        <v>0</v>
      </c>
      <c r="G2659">
        <f t="shared" si="165"/>
        <v>39055.057100505182</v>
      </c>
      <c r="H2659">
        <f t="shared" si="166"/>
        <v>22179.503110586051</v>
      </c>
      <c r="I2659" t="b">
        <f t="shared" si="167"/>
        <v>0</v>
      </c>
    </row>
    <row r="2660" spans="1:9">
      <c r="A2660" s="1">
        <v>46162.606249999997</v>
      </c>
      <c r="B2660" s="5">
        <f>_xlfn.XLOOKUP(A2660,Banks!A:A,Banks!H:H,0,-1)</f>
        <v>3708.2859616418368</v>
      </c>
      <c r="C2660">
        <f>_xlfn.XLOOKUP(A2660,Energy!A:A,Energy!H:H,0,-1)</f>
        <v>12962.20175896649</v>
      </c>
      <c r="D2660">
        <f t="shared" si="164"/>
        <v>16670.487720608326</v>
      </c>
      <c r="E2660">
        <f>_xlfn.XLOOKUP(A2660,Banks!A:A,Banks!I:I,0)</f>
        <v>39032.745922573442</v>
      </c>
      <c r="F2660">
        <f>_xlfn.XLOOKUP(A2660,Energy!A:A,Energy!I:I,0)</f>
        <v>0</v>
      </c>
      <c r="G2660">
        <f t="shared" si="165"/>
        <v>39032.745922573442</v>
      </c>
      <c r="H2660">
        <f t="shared" si="166"/>
        <v>22362.258201965116</v>
      </c>
      <c r="I2660" t="b">
        <f t="shared" si="167"/>
        <v>0</v>
      </c>
    </row>
    <row r="2661" spans="1:9">
      <c r="A2661" s="1">
        <v>46162.606944444437</v>
      </c>
      <c r="B2661" s="5">
        <f>_xlfn.XLOOKUP(A2661,Banks!A:A,Banks!H:H,0,-1)</f>
        <v>3717.6369996070562</v>
      </c>
      <c r="C2661">
        <f>_xlfn.XLOOKUP(A2661,Energy!A:A,Energy!H:H,0,-1)</f>
        <v>12962.20175896649</v>
      </c>
      <c r="D2661">
        <f t="shared" si="164"/>
        <v>16679.838758573547</v>
      </c>
      <c r="E2661">
        <f>_xlfn.XLOOKUP(A2661,Banks!A:A,Banks!I:I,0)</f>
        <v>39030.875714980401</v>
      </c>
      <c r="F2661">
        <f>_xlfn.XLOOKUP(A2661,Energy!A:A,Energy!I:I,0)</f>
        <v>0</v>
      </c>
      <c r="G2661">
        <f t="shared" si="165"/>
        <v>39030.875714980401</v>
      </c>
      <c r="H2661">
        <f t="shared" si="166"/>
        <v>22351.036956406853</v>
      </c>
      <c r="I2661" t="b">
        <f t="shared" si="167"/>
        <v>0</v>
      </c>
    </row>
    <row r="2662" spans="1:9">
      <c r="A2662" s="1">
        <v>46162.607638888891</v>
      </c>
      <c r="B2662" s="5">
        <f>_xlfn.XLOOKUP(A2662,Banks!A:A,Banks!H:H,0,-1)</f>
        <v>3773.74322739833</v>
      </c>
      <c r="C2662">
        <f>_xlfn.XLOOKUP(A2662,Energy!A:A,Energy!H:H,0,-1)</f>
        <v>12962.20175896649</v>
      </c>
      <c r="D2662">
        <f t="shared" si="164"/>
        <v>16735.944986364819</v>
      </c>
      <c r="E2662">
        <f>_xlfn.XLOOKUP(A2662,Banks!A:A,Banks!I:I,0)</f>
        <v>39019.654469422137</v>
      </c>
      <c r="F2662">
        <f>_xlfn.XLOOKUP(A2662,Energy!A:A,Energy!I:I,0)</f>
        <v>0</v>
      </c>
      <c r="G2662">
        <f t="shared" si="165"/>
        <v>39019.654469422137</v>
      </c>
      <c r="H2662">
        <f t="shared" si="166"/>
        <v>22283.709483057319</v>
      </c>
      <c r="I2662" t="b">
        <f t="shared" si="167"/>
        <v>0</v>
      </c>
    </row>
    <row r="2663" spans="1:9">
      <c r="A2663" s="1">
        <v>46162.60833333333</v>
      </c>
      <c r="B2663" s="5">
        <f>_xlfn.XLOOKUP(A2663,Banks!A:A,Banks!H:H,0,-1)</f>
        <v>3597.7257117768841</v>
      </c>
      <c r="C2663">
        <f>_xlfn.XLOOKUP(A2663,Energy!A:A,Energy!H:H,0,-1)</f>
        <v>12962.20175896649</v>
      </c>
      <c r="D2663">
        <f t="shared" si="164"/>
        <v>16559.927470743372</v>
      </c>
      <c r="E2663">
        <f>_xlfn.XLOOKUP(A2663,Banks!A:A,Banks!I:I,0)</f>
        <v>39062.99968520565</v>
      </c>
      <c r="F2663">
        <f>_xlfn.XLOOKUP(A2663,Energy!A:A,Energy!I:I,0)</f>
        <v>0</v>
      </c>
      <c r="G2663">
        <f t="shared" si="165"/>
        <v>39062.99968520565</v>
      </c>
      <c r="H2663">
        <f t="shared" si="166"/>
        <v>22503.072214462278</v>
      </c>
      <c r="I2663" t="b">
        <f t="shared" si="167"/>
        <v>0</v>
      </c>
    </row>
    <row r="2664" spans="1:9">
      <c r="A2664" s="1">
        <v>46162.609027777777</v>
      </c>
      <c r="B2664" s="5">
        <f>_xlfn.XLOOKUP(A2664,Banks!A:A,Banks!H:H,0,-1)</f>
        <v>3822.3953272283688</v>
      </c>
      <c r="C2664">
        <f>_xlfn.XLOOKUP(A2664,Energy!A:A,Energy!H:H,0,-1)</f>
        <v>12962.20175896649</v>
      </c>
      <c r="D2664">
        <f t="shared" si="164"/>
        <v>16784.597086194859</v>
      </c>
      <c r="E2664">
        <f>_xlfn.XLOOKUP(A2664,Banks!A:A,Banks!I:I,0)</f>
        <v>39265.031046111537</v>
      </c>
      <c r="F2664">
        <f>_xlfn.XLOOKUP(A2664,Energy!A:A,Energy!I:I,0)</f>
        <v>0</v>
      </c>
      <c r="G2664">
        <f t="shared" si="165"/>
        <v>39265.031046111537</v>
      </c>
      <c r="H2664">
        <f t="shared" si="166"/>
        <v>22480.433959916678</v>
      </c>
      <c r="I2664" t="b">
        <f t="shared" si="167"/>
        <v>0</v>
      </c>
    </row>
    <row r="2665" spans="1:9">
      <c r="A2665" s="1">
        <v>46162.609722222223</v>
      </c>
      <c r="B2665" s="5">
        <f>_xlfn.XLOOKUP(A2665,Banks!A:A,Banks!H:H,0,-1)</f>
        <v>3710.1828716457949</v>
      </c>
      <c r="C2665">
        <f>_xlfn.XLOOKUP(A2665,Energy!A:A,Energy!H:H,0,-1)</f>
        <v>12962.20175896649</v>
      </c>
      <c r="D2665">
        <f t="shared" si="164"/>
        <v>16672.384630612287</v>
      </c>
      <c r="E2665">
        <f>_xlfn.XLOOKUP(A2665,Banks!A:A,Banks!I:I,0)</f>
        <v>39287.473537228063</v>
      </c>
      <c r="F2665">
        <f>_xlfn.XLOOKUP(A2665,Energy!A:A,Energy!I:I,0)</f>
        <v>0</v>
      </c>
      <c r="G2665">
        <f t="shared" si="165"/>
        <v>39287.473537228063</v>
      </c>
      <c r="H2665">
        <f t="shared" si="166"/>
        <v>22615.088906615776</v>
      </c>
      <c r="I2665" t="b">
        <f t="shared" si="167"/>
        <v>0</v>
      </c>
    </row>
    <row r="2666" spans="1:9">
      <c r="A2666" s="1">
        <v>46162.61041666667</v>
      </c>
      <c r="B2666" s="5">
        <f>_xlfn.XLOOKUP(A2666,Banks!A:A,Banks!H:H,0,-1)</f>
        <v>3607.3214540284398</v>
      </c>
      <c r="C2666">
        <f>_xlfn.XLOOKUP(A2666,Energy!A:A,Energy!H:H,0,-1)</f>
        <v>12962.20175896649</v>
      </c>
      <c r="D2666">
        <f t="shared" si="164"/>
        <v>16569.523212994929</v>
      </c>
      <c r="E2666">
        <f>_xlfn.XLOOKUP(A2666,Banks!A:A,Banks!I:I,0)</f>
        <v>39308.045820751533</v>
      </c>
      <c r="F2666">
        <f>_xlfn.XLOOKUP(A2666,Energy!A:A,Energy!I:I,0)</f>
        <v>0</v>
      </c>
      <c r="G2666">
        <f t="shared" si="165"/>
        <v>39308.045820751533</v>
      </c>
      <c r="H2666">
        <f t="shared" si="166"/>
        <v>22738.522607756604</v>
      </c>
      <c r="I2666" t="b">
        <f t="shared" si="167"/>
        <v>0</v>
      </c>
    </row>
    <row r="2667" spans="1:9">
      <c r="A2667" s="1">
        <v>46162.611111111109</v>
      </c>
      <c r="B2667" s="5">
        <f>_xlfn.XLOOKUP(A2667,Banks!A:A,Banks!H:H,0,-1)</f>
        <v>3893.538948879504</v>
      </c>
      <c r="C2667">
        <f>_xlfn.XLOOKUP(A2667,Energy!A:A,Energy!H:H,0,-1)</f>
        <v>12962.20175896649</v>
      </c>
      <c r="D2667">
        <f t="shared" si="164"/>
        <v>16855.740707845995</v>
      </c>
      <c r="E2667">
        <f>_xlfn.XLOOKUP(A2667,Banks!A:A,Banks!I:I,0)</f>
        <v>0</v>
      </c>
      <c r="F2667">
        <f>_xlfn.XLOOKUP(A2667,Energy!A:A,Energy!I:I,0)</f>
        <v>0</v>
      </c>
      <c r="G2667">
        <f t="shared" si="165"/>
        <v>0</v>
      </c>
      <c r="H2667">
        <f t="shared" si="166"/>
        <v>-16855.740707845995</v>
      </c>
      <c r="I2667" t="b">
        <f t="shared" si="167"/>
        <v>0</v>
      </c>
    </row>
    <row r="2668" spans="1:9">
      <c r="A2668" s="1">
        <v>46164.838888888888</v>
      </c>
      <c r="B2668" s="5">
        <f>_xlfn.XLOOKUP(A2668,Banks!A:A,Banks!H:H,0,-1)</f>
        <v>3893.538948879504</v>
      </c>
      <c r="C2668">
        <f>_xlfn.XLOOKUP(A2668,Energy!A:A,Energy!H:H,0,-1)</f>
        <v>12962.20175896649</v>
      </c>
      <c r="D2668">
        <f t="shared" si="164"/>
        <v>16855.740707845995</v>
      </c>
      <c r="E2668">
        <f>_xlfn.XLOOKUP(A2668,Banks!A:A,Banks!I:I,0)</f>
        <v>43949.229234905833</v>
      </c>
      <c r="F2668">
        <f>_xlfn.XLOOKUP(A2668,Energy!A:A,Energy!I:I,0)</f>
        <v>0</v>
      </c>
      <c r="G2668">
        <f t="shared" si="165"/>
        <v>43949.229234905833</v>
      </c>
      <c r="H2668">
        <f t="shared" si="166"/>
        <v>27093.488527059839</v>
      </c>
      <c r="I2668" t="b">
        <f t="shared" si="167"/>
        <v>0</v>
      </c>
    </row>
    <row r="2669" spans="1:9">
      <c r="A2669" s="1">
        <v>46164.839583333327</v>
      </c>
      <c r="B2669" s="5">
        <f>_xlfn.XLOOKUP(A2669,Banks!A:A,Banks!H:H,0,-1)</f>
        <v>3862.922025406378</v>
      </c>
      <c r="C2669">
        <f>_xlfn.XLOOKUP(A2669,Energy!A:A,Energy!H:H,0,-1)</f>
        <v>12962.20175896649</v>
      </c>
      <c r="D2669">
        <f t="shared" si="164"/>
        <v>16825.123784372867</v>
      </c>
      <c r="E2669">
        <f>_xlfn.XLOOKUP(A2669,Banks!A:A,Banks!I:I,0)</f>
        <v>43966.242840474391</v>
      </c>
      <c r="F2669">
        <f>_xlfn.XLOOKUP(A2669,Energy!A:A,Energy!I:I,0)</f>
        <v>0</v>
      </c>
      <c r="G2669">
        <f t="shared" si="165"/>
        <v>43966.242840474391</v>
      </c>
      <c r="H2669">
        <f t="shared" si="166"/>
        <v>27141.119056101525</v>
      </c>
      <c r="I2669" t="b">
        <f t="shared" si="167"/>
        <v>0</v>
      </c>
    </row>
    <row r="2670" spans="1:9">
      <c r="A2670" s="1">
        <v>46164.840277777781</v>
      </c>
      <c r="B2670" s="5">
        <f>_xlfn.XLOOKUP(A2670,Banks!A:A,Banks!H:H,0,-1)</f>
        <v>3930.4049136740018</v>
      </c>
      <c r="C2670">
        <f>_xlfn.XLOOKUP(A2670,Energy!A:A,Energy!H:H,0,-1)</f>
        <v>12962.20175896649</v>
      </c>
      <c r="D2670">
        <f t="shared" si="164"/>
        <v>16892.606672640493</v>
      </c>
      <c r="E2670">
        <f>_xlfn.XLOOKUP(A2670,Banks!A:A,Banks!I:I,0)</f>
        <v>43952.746262820867</v>
      </c>
      <c r="F2670">
        <f>_xlfn.XLOOKUP(A2670,Energy!A:A,Energy!I:I,0)</f>
        <v>0</v>
      </c>
      <c r="G2670">
        <f t="shared" si="165"/>
        <v>43952.746262820867</v>
      </c>
      <c r="H2670">
        <f t="shared" si="166"/>
        <v>27060.139590180373</v>
      </c>
      <c r="I2670" t="b">
        <f t="shared" si="167"/>
        <v>0</v>
      </c>
    </row>
    <row r="2671" spans="1:9">
      <c r="A2671" s="1">
        <v>46164.84097222222</v>
      </c>
      <c r="B2671" s="5">
        <f>_xlfn.XLOOKUP(A2671,Banks!A:A,Banks!H:H,0,-1)</f>
        <v>3945.2674980306761</v>
      </c>
      <c r="C2671">
        <f>_xlfn.XLOOKUP(A2671,Energy!A:A,Energy!H:H,0,-1)</f>
        <v>12962.20175896649</v>
      </c>
      <c r="D2671">
        <f t="shared" si="164"/>
        <v>16907.469256997167</v>
      </c>
      <c r="E2671">
        <f>_xlfn.XLOOKUP(A2671,Banks!A:A,Banks!I:I,0)</f>
        <v>43959.574944736058</v>
      </c>
      <c r="F2671">
        <f>_xlfn.XLOOKUP(A2671,Energy!A:A,Energy!I:I,0)</f>
        <v>0</v>
      </c>
      <c r="G2671">
        <f t="shared" si="165"/>
        <v>43959.574944736058</v>
      </c>
      <c r="H2671">
        <f t="shared" si="166"/>
        <v>27052.105687738891</v>
      </c>
      <c r="I2671" t="b">
        <f t="shared" si="167"/>
        <v>0</v>
      </c>
    </row>
    <row r="2672" spans="1:9">
      <c r="A2672" s="1">
        <v>46164.841666666667</v>
      </c>
      <c r="B2672" s="5">
        <f>_xlfn.XLOOKUP(A2672,Banks!A:A,Banks!H:H,0,-1)</f>
        <v>3935.6270854210252</v>
      </c>
      <c r="C2672">
        <f>_xlfn.XLOOKUP(A2672,Energy!A:A,Energy!H:H,0,-1)</f>
        <v>12962.20175896649</v>
      </c>
      <c r="D2672">
        <f t="shared" si="164"/>
        <v>16897.828844387514</v>
      </c>
      <c r="E2672">
        <f>_xlfn.XLOOKUP(A2672,Banks!A:A,Banks!I:I,0)</f>
        <v>43961.503027257997</v>
      </c>
      <c r="F2672">
        <f>_xlfn.XLOOKUP(A2672,Energy!A:A,Energy!I:I,0)</f>
        <v>0</v>
      </c>
      <c r="G2672">
        <f t="shared" si="165"/>
        <v>43961.503027257997</v>
      </c>
      <c r="H2672">
        <f t="shared" si="166"/>
        <v>27063.674182870483</v>
      </c>
      <c r="I2672" t="b">
        <f t="shared" si="167"/>
        <v>0</v>
      </c>
    </row>
    <row r="2673" spans="1:9">
      <c r="A2673" s="1">
        <v>46164.842361111107</v>
      </c>
      <c r="B2673" s="5">
        <f>_xlfn.XLOOKUP(A2673,Banks!A:A,Banks!H:H,0,-1)</f>
        <v>3925.9866728113611</v>
      </c>
      <c r="C2673">
        <f>_xlfn.XLOOKUP(A2673,Energy!A:A,Energy!H:H,0,-1)</f>
        <v>12962.20175896649</v>
      </c>
      <c r="D2673">
        <f t="shared" si="164"/>
        <v>16888.188431777853</v>
      </c>
      <c r="E2673">
        <f>_xlfn.XLOOKUP(A2673,Banks!A:A,Banks!I:I,0)</f>
        <v>43963.431109779922</v>
      </c>
      <c r="F2673">
        <f>_xlfn.XLOOKUP(A2673,Energy!A:A,Energy!I:I,0)</f>
        <v>0</v>
      </c>
      <c r="G2673">
        <f t="shared" si="165"/>
        <v>43963.431109779922</v>
      </c>
      <c r="H2673">
        <f t="shared" si="166"/>
        <v>27075.242678002069</v>
      </c>
      <c r="I2673" t="b">
        <f t="shared" si="167"/>
        <v>0</v>
      </c>
    </row>
    <row r="2674" spans="1:9">
      <c r="A2674" s="1">
        <v>46164.843055555553</v>
      </c>
      <c r="B2674" s="5">
        <f>_xlfn.XLOOKUP(A2674,Banks!A:A,Banks!H:H,0,-1)</f>
        <v>3965.798131514277</v>
      </c>
      <c r="C2674">
        <f>_xlfn.XLOOKUP(A2674,Energy!A:A,Energy!H:H,0,-1)</f>
        <v>12962.20175896649</v>
      </c>
      <c r="D2674">
        <f t="shared" si="164"/>
        <v>16927.999890480765</v>
      </c>
      <c r="E2674">
        <f>_xlfn.XLOOKUP(A2674,Banks!A:A,Banks!I:I,0)</f>
        <v>43959.824906388923</v>
      </c>
      <c r="F2674">
        <f>_xlfn.XLOOKUP(A2674,Energy!A:A,Energy!I:I,0)</f>
        <v>0</v>
      </c>
      <c r="G2674">
        <f t="shared" si="165"/>
        <v>43959.824906388923</v>
      </c>
      <c r="H2674">
        <f t="shared" si="166"/>
        <v>27031.825015908158</v>
      </c>
      <c r="I2674" t="b">
        <f t="shared" si="167"/>
        <v>0</v>
      </c>
    </row>
    <row r="2675" spans="1:9">
      <c r="A2675" s="1">
        <v>46164.84375</v>
      </c>
      <c r="B2675" s="5">
        <f>_xlfn.XLOOKUP(A2675,Banks!A:A,Banks!H:H,0,-1)</f>
        <v>3929.7850643428828</v>
      </c>
      <c r="C2675">
        <f>_xlfn.XLOOKUP(A2675,Energy!A:A,Energy!H:H,0,-1)</f>
        <v>12962.20175896649</v>
      </c>
      <c r="D2675">
        <f t="shared" si="164"/>
        <v>16891.986823309373</v>
      </c>
      <c r="E2675">
        <f>_xlfn.XLOOKUP(A2675,Banks!A:A,Banks!I:I,0)</f>
        <v>0</v>
      </c>
      <c r="F2675">
        <f>_xlfn.XLOOKUP(A2675,Energy!A:A,Energy!I:I,0)</f>
        <v>0</v>
      </c>
      <c r="G2675">
        <f t="shared" si="165"/>
        <v>0</v>
      </c>
      <c r="H2675">
        <f t="shared" si="166"/>
        <v>-16891.986823309373</v>
      </c>
      <c r="I2675" t="b">
        <f t="shared" si="167"/>
        <v>0</v>
      </c>
    </row>
    <row r="2676" spans="1:9">
      <c r="A2676" s="1">
        <v>46168.604166666657</v>
      </c>
      <c r="B2676" s="5">
        <f>_xlfn.XLOOKUP(A2676,Banks!A:A,Banks!H:H,0,-1)</f>
        <v>3929.7850643428828</v>
      </c>
      <c r="C2676">
        <f>_xlfn.XLOOKUP(A2676,Energy!A:A,Energy!H:H,0,-1)</f>
        <v>12962.20175896649</v>
      </c>
      <c r="D2676">
        <f t="shared" si="164"/>
        <v>16891.986823309373</v>
      </c>
      <c r="E2676">
        <f>_xlfn.XLOOKUP(A2676,Banks!A:A,Banks!I:I,0)</f>
        <v>43949.229234905833</v>
      </c>
      <c r="F2676">
        <f>_xlfn.XLOOKUP(A2676,Energy!A:A,Energy!I:I,0)</f>
        <v>35077.236568004242</v>
      </c>
      <c r="G2676">
        <f t="shared" si="165"/>
        <v>79026.465802910068</v>
      </c>
      <c r="H2676">
        <f t="shared" si="166"/>
        <v>62134.478979600695</v>
      </c>
      <c r="I2676" t="b">
        <f t="shared" si="167"/>
        <v>1</v>
      </c>
    </row>
    <row r="2677" spans="1:9">
      <c r="A2677" s="1">
        <v>46168.604861111111</v>
      </c>
      <c r="B2677" s="5">
        <f>_xlfn.XLOOKUP(A2677,Banks!A:A,Banks!H:H,0,-1)</f>
        <v>4216.7565585078073</v>
      </c>
      <c r="C2677">
        <f>_xlfn.XLOOKUP(A2677,Energy!A:A,Energy!H:H,0,-1)</f>
        <v>12558.24044097289</v>
      </c>
      <c r="D2677">
        <f t="shared" si="164"/>
        <v>16774.996999480696</v>
      </c>
      <c r="E2677">
        <f>_xlfn.XLOOKUP(A2677,Banks!A:A,Banks!I:I,0)</f>
        <v>43891.834936072853</v>
      </c>
      <c r="F2677">
        <f>_xlfn.XLOOKUP(A2677,Energy!A:A,Energy!I:I,0)</f>
        <v>35230.562884654028</v>
      </c>
      <c r="G2677">
        <f t="shared" si="165"/>
        <v>79122.397820726881</v>
      </c>
      <c r="H2677">
        <f t="shared" si="166"/>
        <v>62347.400821246185</v>
      </c>
      <c r="I2677" t="b">
        <f t="shared" si="167"/>
        <v>1</v>
      </c>
    </row>
    <row r="2678" spans="1:9">
      <c r="A2678" s="1">
        <v>46168.605555555558</v>
      </c>
      <c r="B2678" s="5">
        <f>_xlfn.XLOOKUP(A2678,Banks!A:A,Banks!H:H,0,-1)</f>
        <v>4782.2810790730246</v>
      </c>
      <c r="C2678">
        <f>_xlfn.XLOOKUP(A2678,Energy!A:A,Energy!H:H,0,-1)</f>
        <v>13014.490414567441</v>
      </c>
      <c r="D2678">
        <f t="shared" si="164"/>
        <v>17796.771493640466</v>
      </c>
      <c r="E2678">
        <f>_xlfn.XLOOKUP(A2678,Banks!A:A,Banks!I:I,0)</f>
        <v>0</v>
      </c>
      <c r="F2678">
        <f>_xlfn.XLOOKUP(A2678,Energy!A:A,Energy!I:I,0)</f>
        <v>35186.544366340473</v>
      </c>
      <c r="G2678">
        <f t="shared" si="165"/>
        <v>35186.544366340473</v>
      </c>
      <c r="H2678">
        <f t="shared" si="166"/>
        <v>17389.772872700007</v>
      </c>
      <c r="I2678" t="b">
        <f t="shared" si="167"/>
        <v>0</v>
      </c>
    </row>
    <row r="2679" spans="1:9">
      <c r="A2679" s="1">
        <v>46168.606249999997</v>
      </c>
      <c r="B2679" s="5">
        <f>_xlfn.XLOOKUP(A2679,Banks!A:A,Banks!H:H,0,-1)</f>
        <v>4782.2810790730246</v>
      </c>
      <c r="C2679">
        <f>_xlfn.XLOOKUP(A2679,Energy!A:A,Energy!H:H,0,-1)</f>
        <v>13001.282928282961</v>
      </c>
      <c r="D2679">
        <f t="shared" si="164"/>
        <v>17783.564007355984</v>
      </c>
      <c r="E2679">
        <f>_xlfn.XLOOKUP(A2679,Banks!A:A,Banks!I:I,0)</f>
        <v>0</v>
      </c>
      <c r="F2679">
        <f>_xlfn.XLOOKUP(A2679,Energy!A:A,Energy!I:I,0)</f>
        <v>35222.922632458321</v>
      </c>
      <c r="G2679">
        <f t="shared" si="165"/>
        <v>35222.922632458321</v>
      </c>
      <c r="H2679">
        <f t="shared" si="166"/>
        <v>17439.358625102337</v>
      </c>
      <c r="I2679" t="b">
        <f t="shared" si="167"/>
        <v>0</v>
      </c>
    </row>
    <row r="2680" spans="1:9">
      <c r="A2680" s="1">
        <v>46168.606944444437</v>
      </c>
      <c r="B2680" s="5">
        <f>_xlfn.XLOOKUP(A2680,Banks!A:A,Banks!H:H,0,-1)</f>
        <v>4782.2810790730246</v>
      </c>
      <c r="C2680">
        <f>_xlfn.XLOOKUP(A2680,Energy!A:A,Energy!H:H,0,-1)</f>
        <v>12630.59517622282</v>
      </c>
      <c r="D2680">
        <f t="shared" si="164"/>
        <v>17412.876255295843</v>
      </c>
      <c r="E2680">
        <f>_xlfn.XLOOKUP(A2680,Banks!A:A,Banks!I:I,0)</f>
        <v>0</v>
      </c>
      <c r="F2680">
        <f>_xlfn.XLOOKUP(A2680,Energy!A:A,Energy!I:I,0)</f>
        <v>35297.060182870358</v>
      </c>
      <c r="G2680">
        <f t="shared" si="165"/>
        <v>35297.060182870358</v>
      </c>
      <c r="H2680">
        <f t="shared" si="166"/>
        <v>17884.183927574515</v>
      </c>
      <c r="I2680" t="b">
        <f t="shared" si="167"/>
        <v>0</v>
      </c>
    </row>
    <row r="2681" spans="1:9">
      <c r="A2681" s="1">
        <v>46168.607638888891</v>
      </c>
      <c r="B2681" s="5">
        <f>_xlfn.XLOOKUP(A2681,Banks!A:A,Banks!H:H,0,-1)</f>
        <v>4782.2810790730246</v>
      </c>
      <c r="C2681">
        <f>_xlfn.XLOOKUP(A2681,Energy!A:A,Energy!H:H,0,-1)</f>
        <v>12608.44379727856</v>
      </c>
      <c r="D2681">
        <f t="shared" si="164"/>
        <v>17390.724876351585</v>
      </c>
      <c r="E2681">
        <f>_xlfn.XLOOKUP(A2681,Banks!A:A,Banks!I:I,0)</f>
        <v>0</v>
      </c>
      <c r="F2681">
        <f>_xlfn.XLOOKUP(A2681,Energy!A:A,Energy!I:I,0)</f>
        <v>35308.237812431413</v>
      </c>
      <c r="G2681">
        <f t="shared" si="165"/>
        <v>35308.237812431413</v>
      </c>
      <c r="H2681">
        <f t="shared" si="166"/>
        <v>17917.512936079827</v>
      </c>
      <c r="I2681" t="b">
        <f t="shared" si="167"/>
        <v>0</v>
      </c>
    </row>
    <row r="2682" spans="1:9">
      <c r="A2682" s="1">
        <v>46168.60833333333</v>
      </c>
      <c r="B2682" s="5">
        <f>_xlfn.XLOOKUP(A2682,Banks!A:A,Banks!H:H,0,-1)</f>
        <v>4782.2810790730246</v>
      </c>
      <c r="C2682">
        <f>_xlfn.XLOOKUP(A2682,Energy!A:A,Energy!H:H,0,-1)</f>
        <v>12702.038414042419</v>
      </c>
      <c r="D2682">
        <f t="shared" si="164"/>
        <v>17484.319493115443</v>
      </c>
      <c r="E2682">
        <f>_xlfn.XLOOKUP(A2682,Banks!A:A,Banks!I:I,0)</f>
        <v>0</v>
      </c>
      <c r="F2682">
        <f>_xlfn.XLOOKUP(A2682,Energy!A:A,Energy!I:I,0)</f>
        <v>35407.597580091991</v>
      </c>
      <c r="G2682">
        <f t="shared" si="165"/>
        <v>35407.597580091991</v>
      </c>
      <c r="H2682">
        <f t="shared" si="166"/>
        <v>17923.278086976548</v>
      </c>
      <c r="I2682" t="b">
        <f t="shared" si="167"/>
        <v>0</v>
      </c>
    </row>
    <row r="2683" spans="1:9">
      <c r="A2683" s="1">
        <v>46168.609027777777</v>
      </c>
      <c r="B2683" s="5">
        <f>_xlfn.XLOOKUP(A2683,Banks!A:A,Banks!H:H,0,-1)</f>
        <v>4782.2810790730246</v>
      </c>
      <c r="C2683">
        <f>_xlfn.XLOOKUP(A2683,Energy!A:A,Energy!H:H,0,-1)</f>
        <v>12754.06476520875</v>
      </c>
      <c r="D2683">
        <f t="shared" si="164"/>
        <v>17536.345844281775</v>
      </c>
      <c r="E2683">
        <f>_xlfn.XLOOKUP(A2683,Banks!A:A,Banks!I:I,0)</f>
        <v>0</v>
      </c>
      <c r="F2683">
        <f>_xlfn.XLOOKUP(A2683,Energy!A:A,Energy!I:I,0)</f>
        <v>35397.192309858743</v>
      </c>
      <c r="G2683">
        <f t="shared" si="165"/>
        <v>35397.192309858743</v>
      </c>
      <c r="H2683">
        <f t="shared" si="166"/>
        <v>17860.846465576968</v>
      </c>
      <c r="I2683" t="b">
        <f t="shared" si="167"/>
        <v>0</v>
      </c>
    </row>
    <row r="2684" spans="1:9">
      <c r="A2684" s="1">
        <v>46168.609722222223</v>
      </c>
      <c r="B2684" s="5">
        <f>_xlfn.XLOOKUP(A2684,Banks!A:A,Banks!H:H,0,-1)</f>
        <v>4782.2810790730246</v>
      </c>
      <c r="C2684">
        <f>_xlfn.XLOOKUP(A2684,Energy!A:A,Energy!H:H,0,-1)</f>
        <v>12552.462654439199</v>
      </c>
      <c r="D2684">
        <f t="shared" si="164"/>
        <v>17334.743733512223</v>
      </c>
      <c r="E2684">
        <f>_xlfn.XLOOKUP(A2684,Banks!A:A,Banks!I:I,0)</f>
        <v>0</v>
      </c>
      <c r="F2684">
        <f>_xlfn.XLOOKUP(A2684,Energy!A:A,Energy!I:I,0)</f>
        <v>35437.512732012641</v>
      </c>
      <c r="G2684">
        <f t="shared" si="165"/>
        <v>35437.512732012641</v>
      </c>
      <c r="H2684">
        <f t="shared" si="166"/>
        <v>18102.768998500418</v>
      </c>
      <c r="I2684" t="b">
        <f t="shared" si="167"/>
        <v>0</v>
      </c>
    </row>
    <row r="2685" spans="1:9">
      <c r="A2685" s="1">
        <v>46168.61041666667</v>
      </c>
      <c r="B2685" s="5">
        <f>_xlfn.XLOOKUP(A2685,Banks!A:A,Banks!H:H,0,-1)</f>
        <v>4782.2810790730246</v>
      </c>
      <c r="C2685">
        <f>_xlfn.XLOOKUP(A2685,Energy!A:A,Energy!H:H,0,-1)</f>
        <v>12779.984945757809</v>
      </c>
      <c r="D2685">
        <f t="shared" si="164"/>
        <v>17562.266024830835</v>
      </c>
      <c r="E2685">
        <f>_xlfn.XLOOKUP(A2685,Banks!A:A,Banks!I:I,0)</f>
        <v>0</v>
      </c>
      <c r="F2685">
        <f>_xlfn.XLOOKUP(A2685,Energy!A:A,Energy!I:I,0)</f>
        <v>35516.834318534493</v>
      </c>
      <c r="G2685">
        <f t="shared" si="165"/>
        <v>35516.834318534493</v>
      </c>
      <c r="H2685">
        <f t="shared" si="166"/>
        <v>17954.568293703658</v>
      </c>
      <c r="I2685" t="b">
        <f t="shared" si="167"/>
        <v>0</v>
      </c>
    </row>
    <row r="2686" spans="1:9">
      <c r="A2686" s="1">
        <v>46168.611111111109</v>
      </c>
      <c r="B2686" s="5">
        <f>_xlfn.XLOOKUP(A2686,Banks!A:A,Banks!H:H,0,-1)</f>
        <v>4782.2810790730246</v>
      </c>
      <c r="C2686">
        <f>_xlfn.XLOOKUP(A2686,Energy!A:A,Energy!H:H,0,-1)</f>
        <v>12777.03464654924</v>
      </c>
      <c r="D2686">
        <f t="shared" si="164"/>
        <v>17559.315725622266</v>
      </c>
      <c r="E2686">
        <f>_xlfn.XLOOKUP(A2686,Banks!A:A,Banks!I:I,0)</f>
        <v>0</v>
      </c>
      <c r="F2686">
        <f>_xlfn.XLOOKUP(A2686,Energy!A:A,Energy!I:I,0)</f>
        <v>35466.81922508475</v>
      </c>
      <c r="G2686">
        <f t="shared" si="165"/>
        <v>35466.81922508475</v>
      </c>
      <c r="H2686">
        <f t="shared" si="166"/>
        <v>17907.503499462484</v>
      </c>
      <c r="I2686" t="b">
        <f t="shared" si="167"/>
        <v>0</v>
      </c>
    </row>
    <row r="2687" spans="1:9">
      <c r="A2687" s="1">
        <v>46168.611805555563</v>
      </c>
      <c r="B2687" s="5">
        <f>_xlfn.XLOOKUP(A2687,Banks!A:A,Banks!H:H,0,-1)</f>
        <v>4782.2810790730246</v>
      </c>
      <c r="C2687">
        <f>_xlfn.XLOOKUP(A2687,Energy!A:A,Energy!H:H,0,-1)</f>
        <v>12671.96254332746</v>
      </c>
      <c r="D2687">
        <f t="shared" si="164"/>
        <v>17454.243622400485</v>
      </c>
      <c r="E2687">
        <f>_xlfn.XLOOKUP(A2687,Banks!A:A,Banks!I:I,0)</f>
        <v>0</v>
      </c>
      <c r="F2687">
        <f>_xlfn.XLOOKUP(A2687,Energy!A:A,Energy!I:I,0)</f>
        <v>35440.602169323764</v>
      </c>
      <c r="G2687">
        <f t="shared" si="165"/>
        <v>35440.602169323764</v>
      </c>
      <c r="H2687">
        <f t="shared" si="166"/>
        <v>17986.358546923278</v>
      </c>
      <c r="I2687" t="b">
        <f t="shared" si="167"/>
        <v>0</v>
      </c>
    </row>
    <row r="2688" spans="1:9">
      <c r="A2688" s="1">
        <v>46168.612500000003</v>
      </c>
      <c r="B2688" s="5">
        <f>_xlfn.XLOOKUP(A2688,Banks!A:A,Banks!H:H,0,-1)</f>
        <v>4782.2810790730246</v>
      </c>
      <c r="C2688">
        <f>_xlfn.XLOOKUP(A2688,Energy!A:A,Energy!H:H,0,-1)</f>
        <v>12829.77159665303</v>
      </c>
      <c r="D2688">
        <f t="shared" si="164"/>
        <v>17612.052675726056</v>
      </c>
      <c r="E2688">
        <f>_xlfn.XLOOKUP(A2688,Banks!A:A,Banks!I:I,0)</f>
        <v>0</v>
      </c>
      <c r="F2688">
        <f>_xlfn.XLOOKUP(A2688,Energy!A:A,Energy!I:I,0)</f>
        <v>35446.150804405697</v>
      </c>
      <c r="G2688">
        <f t="shared" si="165"/>
        <v>35446.150804405697</v>
      </c>
      <c r="H2688">
        <f t="shared" si="166"/>
        <v>17834.098128679641</v>
      </c>
      <c r="I2688" t="b">
        <f t="shared" si="167"/>
        <v>0</v>
      </c>
    </row>
    <row r="2689" spans="1:9">
      <c r="A2689" s="1">
        <v>46168.613194444442</v>
      </c>
      <c r="B2689" s="5">
        <f>_xlfn.XLOOKUP(A2689,Banks!A:A,Banks!H:H,0,-1)</f>
        <v>4782.2810790730246</v>
      </c>
      <c r="C2689">
        <f>_xlfn.XLOOKUP(A2689,Energy!A:A,Energy!H:H,0,-1)</f>
        <v>12761.58745999366</v>
      </c>
      <c r="D2689">
        <f t="shared" si="164"/>
        <v>17543.868539066683</v>
      </c>
      <c r="E2689">
        <f>_xlfn.XLOOKUP(A2689,Banks!A:A,Banks!I:I,0)</f>
        <v>0</v>
      </c>
      <c r="F2689">
        <f>_xlfn.XLOOKUP(A2689,Energy!A:A,Energy!I:I,0)</f>
        <v>35442.919247307087</v>
      </c>
      <c r="G2689">
        <f t="shared" si="165"/>
        <v>35442.919247307087</v>
      </c>
      <c r="H2689">
        <f t="shared" si="166"/>
        <v>17899.050708240404</v>
      </c>
      <c r="I2689" t="b">
        <f t="shared" si="167"/>
        <v>0</v>
      </c>
    </row>
    <row r="2690" spans="1:9">
      <c r="A2690" s="1">
        <v>46168.613888888889</v>
      </c>
      <c r="B2690" s="5">
        <f>_xlfn.XLOOKUP(A2690,Banks!A:A,Banks!H:H,0,-1)</f>
        <v>4782.2810790730246</v>
      </c>
      <c r="C2690">
        <f>_xlfn.XLOOKUP(A2690,Energy!A:A,Energy!H:H,0,-1)</f>
        <v>12880.376749944469</v>
      </c>
      <c r="D2690">
        <f t="shared" si="164"/>
        <v>17662.657829017495</v>
      </c>
      <c r="E2690">
        <f>_xlfn.XLOOKUP(A2690,Banks!A:A,Banks!I:I,0)</f>
        <v>0</v>
      </c>
      <c r="F2690">
        <f>_xlfn.XLOOKUP(A2690,Energy!A:A,Energy!I:I,0)</f>
        <v>35456.271835063992</v>
      </c>
      <c r="G2690">
        <f t="shared" si="165"/>
        <v>35456.271835063992</v>
      </c>
      <c r="H2690">
        <f t="shared" si="166"/>
        <v>17793.614006046497</v>
      </c>
      <c r="I2690" t="b">
        <f t="shared" si="167"/>
        <v>0</v>
      </c>
    </row>
    <row r="2691" spans="1:9">
      <c r="A2691" s="1">
        <v>46168.614583333343</v>
      </c>
      <c r="B2691" s="5">
        <f>_xlfn.XLOOKUP(A2691,Banks!A:A,Banks!H:H,0,-1)</f>
        <v>4782.2810790730246</v>
      </c>
      <c r="C2691">
        <f>_xlfn.XLOOKUP(A2691,Energy!A:A,Energy!H:H,0,-1)</f>
        <v>12751.02147096608</v>
      </c>
      <c r="D2691">
        <f t="shared" ref="D2691:D2754" si="168">B2691+C2691</f>
        <v>17533.302550039105</v>
      </c>
      <c r="E2691">
        <f>_xlfn.XLOOKUP(A2691,Banks!A:A,Banks!I:I,0)</f>
        <v>0</v>
      </c>
      <c r="F2691">
        <f>_xlfn.XLOOKUP(A2691,Energy!A:A,Energy!I:I,0)</f>
        <v>35472.021860201377</v>
      </c>
      <c r="G2691">
        <f t="shared" ref="G2691:G2754" si="169">F2691+E2691</f>
        <v>35472.021860201377</v>
      </c>
      <c r="H2691">
        <f t="shared" ref="H2691:H2754" si="170">G2691-D2691</f>
        <v>17938.719310162272</v>
      </c>
      <c r="I2691" t="b">
        <f t="shared" ref="I2691:I2754" si="171">AND(E2691&gt;0,F2691&gt;0)</f>
        <v>0</v>
      </c>
    </row>
    <row r="2692" spans="1:9">
      <c r="A2692" s="1">
        <v>46168.615277777782</v>
      </c>
      <c r="B2692" s="5">
        <f>_xlfn.XLOOKUP(A2692,Banks!A:A,Banks!H:H,0,-1)</f>
        <v>4782.2810790730246</v>
      </c>
      <c r="C2692">
        <f>_xlfn.XLOOKUP(A2692,Energy!A:A,Energy!H:H,0,-1)</f>
        <v>12657.22595570932</v>
      </c>
      <c r="D2692">
        <f t="shared" si="168"/>
        <v>17439.507034782346</v>
      </c>
      <c r="E2692">
        <f>_xlfn.XLOOKUP(A2692,Banks!A:A,Banks!I:I,0)</f>
        <v>0</v>
      </c>
      <c r="F2692">
        <f>_xlfn.XLOOKUP(A2692,Energy!A:A,Energy!I:I,0)</f>
        <v>35406.439041100333</v>
      </c>
      <c r="G2692">
        <f t="shared" si="169"/>
        <v>35406.439041100333</v>
      </c>
      <c r="H2692">
        <f t="shared" si="170"/>
        <v>17966.932006317988</v>
      </c>
      <c r="I2692" t="b">
        <f t="shared" si="171"/>
        <v>0</v>
      </c>
    </row>
    <row r="2693" spans="1:9">
      <c r="A2693" s="1">
        <v>46168.615972222222</v>
      </c>
      <c r="B2693" s="5">
        <f>_xlfn.XLOOKUP(A2693,Banks!A:A,Banks!H:H,0,-1)</f>
        <v>4782.2810790730246</v>
      </c>
      <c r="C2693">
        <f>_xlfn.XLOOKUP(A2693,Energy!A:A,Energy!H:H,0,-1)</f>
        <v>12573.19283550858</v>
      </c>
      <c r="D2693">
        <f t="shared" si="168"/>
        <v>17355.473914581606</v>
      </c>
      <c r="E2693">
        <f>_xlfn.XLOOKUP(A2693,Banks!A:A,Banks!I:I,0)</f>
        <v>0</v>
      </c>
      <c r="F2693">
        <f>_xlfn.XLOOKUP(A2693,Energy!A:A,Energy!I:I,0)</f>
        <v>35446.861403343151</v>
      </c>
      <c r="G2693">
        <f t="shared" si="169"/>
        <v>35446.861403343151</v>
      </c>
      <c r="H2693">
        <f t="shared" si="170"/>
        <v>18091.387488761546</v>
      </c>
      <c r="I2693" t="b">
        <f t="shared" si="171"/>
        <v>0</v>
      </c>
    </row>
    <row r="2694" spans="1:9">
      <c r="A2694" s="1">
        <v>46168.616666666669</v>
      </c>
      <c r="B2694" s="5">
        <f>_xlfn.XLOOKUP(A2694,Banks!A:A,Banks!H:H,0,-1)</f>
        <v>4782.2810790730246</v>
      </c>
      <c r="C2694">
        <f>_xlfn.XLOOKUP(A2694,Energy!A:A,Energy!H:H,0,-1)</f>
        <v>12554.903253203211</v>
      </c>
      <c r="D2694">
        <f t="shared" si="168"/>
        <v>17337.184332276236</v>
      </c>
      <c r="E2694">
        <f>_xlfn.XLOOKUP(A2694,Banks!A:A,Banks!I:I,0)</f>
        <v>0</v>
      </c>
      <c r="F2694">
        <f>_xlfn.XLOOKUP(A2694,Energy!A:A,Energy!I:I,0)</f>
        <v>35464.014027348603</v>
      </c>
      <c r="G2694">
        <f t="shared" si="169"/>
        <v>35464.014027348603</v>
      </c>
      <c r="H2694">
        <f t="shared" si="170"/>
        <v>18126.829695072367</v>
      </c>
      <c r="I2694" t="b">
        <f t="shared" si="171"/>
        <v>0</v>
      </c>
    </row>
    <row r="2695" spans="1:9">
      <c r="A2695" s="1">
        <v>46168.617361111108</v>
      </c>
      <c r="B2695" s="5">
        <f>_xlfn.XLOOKUP(A2695,Banks!A:A,Banks!H:H,0,-1)</f>
        <v>4782.2810790730246</v>
      </c>
      <c r="C2695">
        <f>_xlfn.XLOOKUP(A2695,Energy!A:A,Energy!H:H,0,-1)</f>
        <v>12645.748469251401</v>
      </c>
      <c r="D2695">
        <f t="shared" si="168"/>
        <v>17428.029548324426</v>
      </c>
      <c r="E2695">
        <f>_xlfn.XLOOKUP(A2695,Banks!A:A,Banks!I:I,0)</f>
        <v>0</v>
      </c>
      <c r="F2695">
        <f>_xlfn.XLOOKUP(A2695,Energy!A:A,Energy!I:I,0)</f>
        <v>35479.581752999933</v>
      </c>
      <c r="G2695">
        <f t="shared" si="169"/>
        <v>35479.581752999933</v>
      </c>
      <c r="H2695">
        <f t="shared" si="170"/>
        <v>18051.552204675507</v>
      </c>
      <c r="I2695" t="b">
        <f t="shared" si="171"/>
        <v>0</v>
      </c>
    </row>
    <row r="2696" spans="1:9">
      <c r="A2696" s="1">
        <v>46168.618055555547</v>
      </c>
      <c r="B2696" s="5">
        <f>_xlfn.XLOOKUP(A2696,Banks!A:A,Banks!H:H,0,-1)</f>
        <v>4782.2810790730246</v>
      </c>
      <c r="C2696">
        <f>_xlfn.XLOOKUP(A2696,Energy!A:A,Energy!H:H,0,-1)</f>
        <v>12505.317500800869</v>
      </c>
      <c r="D2696">
        <f t="shared" si="168"/>
        <v>17287.598579873895</v>
      </c>
      <c r="E2696">
        <f>_xlfn.XLOOKUP(A2696,Banks!A:A,Banks!I:I,0)</f>
        <v>0</v>
      </c>
      <c r="F2696">
        <f>_xlfn.XLOOKUP(A2696,Energy!A:A,Energy!I:I,0)</f>
        <v>35500.92059291785</v>
      </c>
      <c r="G2696">
        <f t="shared" si="169"/>
        <v>35500.92059291785</v>
      </c>
      <c r="H2696">
        <f t="shared" si="170"/>
        <v>18213.322013043955</v>
      </c>
      <c r="I2696" t="b">
        <f t="shared" si="171"/>
        <v>0</v>
      </c>
    </row>
    <row r="2697" spans="1:9">
      <c r="A2697" s="1">
        <v>46168.618750000001</v>
      </c>
      <c r="B2697" s="5">
        <f>_xlfn.XLOOKUP(A2697,Banks!A:A,Banks!H:H,0,-1)</f>
        <v>4782.2810790730246</v>
      </c>
      <c r="C2697">
        <f>_xlfn.XLOOKUP(A2697,Energy!A:A,Energy!H:H,0,-1)</f>
        <v>12523.25178363753</v>
      </c>
      <c r="D2697">
        <f t="shared" si="168"/>
        <v>17305.532862710555</v>
      </c>
      <c r="E2697">
        <f>_xlfn.XLOOKUP(A2697,Banks!A:A,Banks!I:I,0)</f>
        <v>0</v>
      </c>
      <c r="F2697">
        <f>_xlfn.XLOOKUP(A2697,Energy!A:A,Energy!I:I,0)</f>
        <v>35488.899544135267</v>
      </c>
      <c r="G2697">
        <f t="shared" si="169"/>
        <v>35488.899544135267</v>
      </c>
      <c r="H2697">
        <f t="shared" si="170"/>
        <v>18183.366681424712</v>
      </c>
      <c r="I2697" t="b">
        <f t="shared" si="171"/>
        <v>0</v>
      </c>
    </row>
    <row r="2698" spans="1:9">
      <c r="A2698" s="1">
        <v>46168.619444444441</v>
      </c>
      <c r="B2698" s="5">
        <f>_xlfn.XLOOKUP(A2698,Banks!A:A,Banks!H:H,0,-1)</f>
        <v>4782.2810790730246</v>
      </c>
      <c r="C2698">
        <f>_xlfn.XLOOKUP(A2698,Energy!A:A,Energy!H:H,0,-1)</f>
        <v>12553.99175577286</v>
      </c>
      <c r="D2698">
        <f t="shared" si="168"/>
        <v>17336.272834845884</v>
      </c>
      <c r="E2698">
        <f>_xlfn.XLOOKUP(A2698,Banks!A:A,Banks!I:I,0)</f>
        <v>0</v>
      </c>
      <c r="F2698">
        <f>_xlfn.XLOOKUP(A2698,Energy!A:A,Energy!I:I,0)</f>
        <v>35508.054126353927</v>
      </c>
      <c r="G2698">
        <f t="shared" si="169"/>
        <v>35508.054126353927</v>
      </c>
      <c r="H2698">
        <f t="shared" si="170"/>
        <v>18171.781291508043</v>
      </c>
      <c r="I2698" t="b">
        <f t="shared" si="171"/>
        <v>0</v>
      </c>
    </row>
    <row r="2699" spans="1:9">
      <c r="A2699" s="1">
        <v>46168.620138888888</v>
      </c>
      <c r="B2699" s="5">
        <f>_xlfn.XLOOKUP(A2699,Banks!A:A,Banks!H:H,0,-1)</f>
        <v>4782.2810790730246</v>
      </c>
      <c r="C2699">
        <f>_xlfn.XLOOKUP(A2699,Energy!A:A,Energy!H:H,0,-1)</f>
        <v>12562.580348963929</v>
      </c>
      <c r="D2699">
        <f t="shared" si="168"/>
        <v>17344.861428036955</v>
      </c>
      <c r="E2699">
        <f>_xlfn.XLOOKUP(A2699,Banks!A:A,Banks!I:I,0)</f>
        <v>0</v>
      </c>
      <c r="F2699">
        <f>_xlfn.XLOOKUP(A2699,Energy!A:A,Energy!I:I,0)</f>
        <v>35538.38633813362</v>
      </c>
      <c r="G2699">
        <f t="shared" si="169"/>
        <v>35538.38633813362</v>
      </c>
      <c r="H2699">
        <f t="shared" si="170"/>
        <v>18193.524910096665</v>
      </c>
      <c r="I2699" t="b">
        <f t="shared" si="171"/>
        <v>0</v>
      </c>
    </row>
    <row r="2700" spans="1:9">
      <c r="A2700" s="1">
        <v>46168.620833333327</v>
      </c>
      <c r="B2700" s="5">
        <f>_xlfn.XLOOKUP(A2700,Banks!A:A,Banks!H:H,0,-1)</f>
        <v>4782.2810790730246</v>
      </c>
      <c r="C2700">
        <f>_xlfn.XLOOKUP(A2700,Energy!A:A,Energy!H:H,0,-1)</f>
        <v>12605.10660950887</v>
      </c>
      <c r="D2700">
        <f t="shared" si="168"/>
        <v>17387.387688581894</v>
      </c>
      <c r="E2700">
        <f>_xlfn.XLOOKUP(A2700,Banks!A:A,Banks!I:I,0)</f>
        <v>0</v>
      </c>
      <c r="F2700">
        <f>_xlfn.XLOOKUP(A2700,Energy!A:A,Energy!I:I,0)</f>
        <v>35541.688955125981</v>
      </c>
      <c r="G2700">
        <f t="shared" si="169"/>
        <v>35541.688955125981</v>
      </c>
      <c r="H2700">
        <f t="shared" si="170"/>
        <v>18154.301266544087</v>
      </c>
      <c r="I2700" t="b">
        <f t="shared" si="171"/>
        <v>0</v>
      </c>
    </row>
    <row r="2701" spans="1:9">
      <c r="A2701" s="1">
        <v>46168.621527777781</v>
      </c>
      <c r="B2701" s="5">
        <f>_xlfn.XLOOKUP(A2701,Banks!A:A,Banks!H:H,0,-1)</f>
        <v>4782.2810790730246</v>
      </c>
      <c r="C2701">
        <f>_xlfn.XLOOKUP(A2701,Energy!A:A,Energy!H:H,0,-1)</f>
        <v>12645.69774315104</v>
      </c>
      <c r="D2701">
        <f t="shared" si="168"/>
        <v>17427.978822224064</v>
      </c>
      <c r="E2701">
        <f>_xlfn.XLOOKUP(A2701,Banks!A:A,Banks!I:I,0)</f>
        <v>0</v>
      </c>
      <c r="F2701">
        <f>_xlfn.XLOOKUP(A2701,Energy!A:A,Energy!I:I,0)</f>
        <v>0</v>
      </c>
      <c r="G2701">
        <f t="shared" si="169"/>
        <v>0</v>
      </c>
      <c r="H2701">
        <f t="shared" si="170"/>
        <v>-17427.978822224064</v>
      </c>
      <c r="I2701" t="b">
        <f t="shared" si="171"/>
        <v>0</v>
      </c>
    </row>
    <row r="2702" spans="1:9">
      <c r="A2702" s="1">
        <v>46169.604166666657</v>
      </c>
      <c r="B2702" s="5">
        <f>_xlfn.XLOOKUP(A2702,Banks!A:A,Banks!H:H,0,-1)</f>
        <v>4782.2810790730246</v>
      </c>
      <c r="C2702">
        <f>_xlfn.XLOOKUP(A2702,Energy!A:A,Energy!H:H,0,-1)</f>
        <v>12645.69774315104</v>
      </c>
      <c r="D2702">
        <f t="shared" si="168"/>
        <v>17427.978822224064</v>
      </c>
      <c r="E2702">
        <f>_xlfn.XLOOKUP(A2702,Banks!A:A,Banks!I:I,0)</f>
        <v>0</v>
      </c>
      <c r="F2702">
        <f>_xlfn.XLOOKUP(A2702,Energy!A:A,Energy!I:I,0)</f>
        <v>35077.236568004242</v>
      </c>
      <c r="G2702">
        <f t="shared" si="169"/>
        <v>35077.236568004242</v>
      </c>
      <c r="H2702">
        <f t="shared" si="170"/>
        <v>17649.257745780178</v>
      </c>
      <c r="I2702" t="b">
        <f t="shared" si="171"/>
        <v>0</v>
      </c>
    </row>
    <row r="2703" spans="1:9">
      <c r="A2703" s="1">
        <v>46169.604861111111</v>
      </c>
      <c r="B2703" s="5">
        <f>_xlfn.XLOOKUP(A2703,Banks!A:A,Banks!H:H,0,-1)</f>
        <v>4782.2810790730246</v>
      </c>
      <c r="C2703">
        <f>_xlfn.XLOOKUP(A2703,Energy!A:A,Energy!H:H,0,-1)</f>
        <v>12558.200959584319</v>
      </c>
      <c r="D2703">
        <f t="shared" si="168"/>
        <v>17340.482038657345</v>
      </c>
      <c r="E2703">
        <f>_xlfn.XLOOKUP(A2703,Banks!A:A,Banks!I:I,0)</f>
        <v>0</v>
      </c>
      <c r="F2703">
        <f>_xlfn.XLOOKUP(A2703,Energy!A:A,Energy!I:I,0)</f>
        <v>35030.119196569001</v>
      </c>
      <c r="G2703">
        <f t="shared" si="169"/>
        <v>35030.119196569001</v>
      </c>
      <c r="H2703">
        <f t="shared" si="170"/>
        <v>17689.637157911657</v>
      </c>
      <c r="I2703" t="b">
        <f t="shared" si="171"/>
        <v>0</v>
      </c>
    </row>
    <row r="2704" spans="1:9">
      <c r="A2704" s="1">
        <v>46169.605555555558</v>
      </c>
      <c r="B2704" s="5">
        <f>_xlfn.XLOOKUP(A2704,Banks!A:A,Banks!H:H,0,-1)</f>
        <v>4782.2810790730246</v>
      </c>
      <c r="C2704">
        <f>_xlfn.XLOOKUP(A2704,Energy!A:A,Energy!H:H,0,-1)</f>
        <v>12715.002213994339</v>
      </c>
      <c r="D2704">
        <f t="shared" si="168"/>
        <v>17497.283293067365</v>
      </c>
      <c r="E2704">
        <f>_xlfn.XLOOKUP(A2704,Banks!A:A,Banks!I:I,0)</f>
        <v>0</v>
      </c>
      <c r="F2704">
        <f>_xlfn.XLOOKUP(A2704,Energy!A:A,Energy!I:I,0)</f>
        <v>34998.75894568699</v>
      </c>
      <c r="G2704">
        <f t="shared" si="169"/>
        <v>34998.75894568699</v>
      </c>
      <c r="H2704">
        <f t="shared" si="170"/>
        <v>17501.475652619625</v>
      </c>
      <c r="I2704" t="b">
        <f t="shared" si="171"/>
        <v>0</v>
      </c>
    </row>
    <row r="2705" spans="1:9">
      <c r="A2705" s="1">
        <v>46169.606249999997</v>
      </c>
      <c r="B2705" s="5">
        <f>_xlfn.XLOOKUP(A2705,Banks!A:A,Banks!H:H,0,-1)</f>
        <v>4782.2810790730246</v>
      </c>
      <c r="C2705">
        <f>_xlfn.XLOOKUP(A2705,Energy!A:A,Energy!H:H,0,-1)</f>
        <v>12751.42712585039</v>
      </c>
      <c r="D2705">
        <f t="shared" si="168"/>
        <v>17533.708204923416</v>
      </c>
      <c r="E2705">
        <f>_xlfn.XLOOKUP(A2705,Banks!A:A,Banks!I:I,0)</f>
        <v>0</v>
      </c>
      <c r="F2705">
        <f>_xlfn.XLOOKUP(A2705,Energy!A:A,Energy!I:I,0)</f>
        <v>35013.012872698651</v>
      </c>
      <c r="G2705">
        <f t="shared" si="169"/>
        <v>35013.012872698651</v>
      </c>
      <c r="H2705">
        <f t="shared" si="170"/>
        <v>17479.304667775235</v>
      </c>
      <c r="I2705" t="b">
        <f t="shared" si="171"/>
        <v>0</v>
      </c>
    </row>
    <row r="2706" spans="1:9">
      <c r="A2706" s="1">
        <v>46169.606944444437</v>
      </c>
      <c r="B2706" s="5">
        <f>_xlfn.XLOOKUP(A2706,Banks!A:A,Banks!H:H,0,-1)</f>
        <v>4782.2810790730246</v>
      </c>
      <c r="C2706">
        <f>_xlfn.XLOOKUP(A2706,Energy!A:A,Energy!H:H,0,-1)</f>
        <v>12541.57876391239</v>
      </c>
      <c r="D2706">
        <f t="shared" si="168"/>
        <v>17323.859842985414</v>
      </c>
      <c r="E2706">
        <f>_xlfn.XLOOKUP(A2706,Banks!A:A,Banks!I:I,0)</f>
        <v>0</v>
      </c>
      <c r="F2706">
        <f>_xlfn.XLOOKUP(A2706,Energy!A:A,Energy!I:I,0)</f>
        <v>34984.981089591944</v>
      </c>
      <c r="G2706">
        <f t="shared" si="169"/>
        <v>34984.981089591944</v>
      </c>
      <c r="H2706">
        <f t="shared" si="170"/>
        <v>17661.12124660653</v>
      </c>
      <c r="I2706" t="b">
        <f t="shared" si="171"/>
        <v>0</v>
      </c>
    </row>
    <row r="2707" spans="1:9">
      <c r="A2707" s="1">
        <v>46169.607638888891</v>
      </c>
      <c r="B2707" s="5">
        <f>_xlfn.XLOOKUP(A2707,Banks!A:A,Banks!H:H,0,-1)</f>
        <v>4782.2810790730246</v>
      </c>
      <c r="C2707">
        <f>_xlfn.XLOOKUP(A2707,Energy!A:A,Energy!H:H,0,-1)</f>
        <v>12628.67042871338</v>
      </c>
      <c r="D2707">
        <f t="shared" si="168"/>
        <v>17410.951507786405</v>
      </c>
      <c r="E2707">
        <f>_xlfn.XLOOKUP(A2707,Banks!A:A,Banks!I:I,0)</f>
        <v>0</v>
      </c>
      <c r="F2707">
        <f>_xlfn.XLOOKUP(A2707,Energy!A:A,Energy!I:I,0)</f>
        <v>35086.026758237487</v>
      </c>
      <c r="G2707">
        <f t="shared" si="169"/>
        <v>35086.026758237487</v>
      </c>
      <c r="H2707">
        <f t="shared" si="170"/>
        <v>17675.075250451082</v>
      </c>
      <c r="I2707" t="b">
        <f t="shared" si="171"/>
        <v>0</v>
      </c>
    </row>
    <row r="2708" spans="1:9">
      <c r="A2708" s="1">
        <v>46169.60833333333</v>
      </c>
      <c r="B2708" s="5">
        <f>_xlfn.XLOOKUP(A2708,Banks!A:A,Banks!H:H,0,-1)</f>
        <v>4782.2810790730246</v>
      </c>
      <c r="C2708">
        <f>_xlfn.XLOOKUP(A2708,Energy!A:A,Energy!H:H,0,-1)</f>
        <v>12615.98359727257</v>
      </c>
      <c r="D2708">
        <f t="shared" si="168"/>
        <v>17398.264676345596</v>
      </c>
      <c r="E2708">
        <f>_xlfn.XLOOKUP(A2708,Banks!A:A,Banks!I:I,0)</f>
        <v>0</v>
      </c>
      <c r="F2708">
        <f>_xlfn.XLOOKUP(A2708,Energy!A:A,Energy!I:I,0)</f>
        <v>35182.796853075677</v>
      </c>
      <c r="G2708">
        <f t="shared" si="169"/>
        <v>35182.796853075677</v>
      </c>
      <c r="H2708">
        <f t="shared" si="170"/>
        <v>17784.532176730081</v>
      </c>
      <c r="I2708" t="b">
        <f t="shared" si="171"/>
        <v>0</v>
      </c>
    </row>
    <row r="2709" spans="1:9">
      <c r="A2709" s="1">
        <v>46169.609027777777</v>
      </c>
      <c r="B2709" s="5">
        <f>_xlfn.XLOOKUP(A2709,Banks!A:A,Banks!H:H,0,-1)</f>
        <v>4782.2810790730246</v>
      </c>
      <c r="C2709">
        <f>_xlfn.XLOOKUP(A2709,Energy!A:A,Energy!H:H,0,-1)</f>
        <v>12511.454463467009</v>
      </c>
      <c r="D2709">
        <f t="shared" si="168"/>
        <v>17293.735542540035</v>
      </c>
      <c r="E2709">
        <f>_xlfn.XLOOKUP(A2709,Banks!A:A,Banks!I:I,0)</f>
        <v>0</v>
      </c>
      <c r="F2709">
        <f>_xlfn.XLOOKUP(A2709,Energy!A:A,Energy!I:I,0)</f>
        <v>35174.086679435357</v>
      </c>
      <c r="G2709">
        <f t="shared" si="169"/>
        <v>35174.086679435357</v>
      </c>
      <c r="H2709">
        <f t="shared" si="170"/>
        <v>17880.351136895322</v>
      </c>
      <c r="I2709" t="b">
        <f t="shared" si="171"/>
        <v>0</v>
      </c>
    </row>
    <row r="2710" spans="1:9">
      <c r="A2710" s="1">
        <v>46169.609722222223</v>
      </c>
      <c r="B2710" s="5">
        <f>_xlfn.XLOOKUP(A2710,Banks!A:A,Banks!H:H,0,-1)</f>
        <v>4782.2810790730246</v>
      </c>
      <c r="C2710">
        <f>_xlfn.XLOOKUP(A2710,Energy!A:A,Energy!H:H,0,-1)</f>
        <v>12531.64719101345</v>
      </c>
      <c r="D2710">
        <f t="shared" si="168"/>
        <v>17313.928270086475</v>
      </c>
      <c r="E2710">
        <f>_xlfn.XLOOKUP(A2710,Banks!A:A,Banks!I:I,0)</f>
        <v>0</v>
      </c>
      <c r="F2710">
        <f>_xlfn.XLOOKUP(A2710,Energy!A:A,Energy!I:I,0)</f>
        <v>35178.125224944641</v>
      </c>
      <c r="G2710">
        <f t="shared" si="169"/>
        <v>35178.125224944641</v>
      </c>
      <c r="H2710">
        <f t="shared" si="170"/>
        <v>17864.196954858166</v>
      </c>
      <c r="I2710" t="b">
        <f t="shared" si="171"/>
        <v>0</v>
      </c>
    </row>
    <row r="2711" spans="1:9">
      <c r="A2711" s="1">
        <v>46169.61041666667</v>
      </c>
      <c r="B2711" s="5">
        <f>_xlfn.XLOOKUP(A2711,Banks!A:A,Banks!H:H,0,-1)</f>
        <v>4782.2810790730246</v>
      </c>
      <c r="C2711">
        <f>_xlfn.XLOOKUP(A2711,Energy!A:A,Energy!H:H,0,-1)</f>
        <v>12535.207651285669</v>
      </c>
      <c r="D2711">
        <f t="shared" si="168"/>
        <v>17317.488730358695</v>
      </c>
      <c r="E2711">
        <f>_xlfn.XLOOKUP(A2711,Banks!A:A,Banks!I:I,0)</f>
        <v>0</v>
      </c>
      <c r="F2711">
        <f>_xlfn.XLOOKUP(A2711,Energy!A:A,Energy!I:I,0)</f>
        <v>35196.259678600203</v>
      </c>
      <c r="G2711">
        <f t="shared" si="169"/>
        <v>35196.259678600203</v>
      </c>
      <c r="H2711">
        <f t="shared" si="170"/>
        <v>17878.770948241508</v>
      </c>
      <c r="I2711" t="b">
        <f t="shared" si="171"/>
        <v>0</v>
      </c>
    </row>
    <row r="2712" spans="1:9">
      <c r="A2712" s="1">
        <v>46169.611111111109</v>
      </c>
      <c r="B2712" s="5">
        <f>_xlfn.XLOOKUP(A2712,Banks!A:A,Banks!H:H,0,-1)</f>
        <v>4782.2810790730246</v>
      </c>
      <c r="C2712">
        <f>_xlfn.XLOOKUP(A2712,Energy!A:A,Energy!H:H,0,-1)</f>
        <v>12388.69776633</v>
      </c>
      <c r="D2712">
        <f t="shared" si="168"/>
        <v>17170.978845403024</v>
      </c>
      <c r="E2712">
        <f>_xlfn.XLOOKUP(A2712,Banks!A:A,Banks!I:I,0)</f>
        <v>0</v>
      </c>
      <c r="F2712">
        <f>_xlfn.XLOOKUP(A2712,Energy!A:A,Energy!I:I,0)</f>
        <v>35247.1005649742</v>
      </c>
      <c r="G2712">
        <f t="shared" si="169"/>
        <v>35247.1005649742</v>
      </c>
      <c r="H2712">
        <f t="shared" si="170"/>
        <v>18076.121719571176</v>
      </c>
      <c r="I2712" t="b">
        <f t="shared" si="171"/>
        <v>0</v>
      </c>
    </row>
    <row r="2713" spans="1:9">
      <c r="A2713" s="1">
        <v>46169.611805555563</v>
      </c>
      <c r="B2713" s="5">
        <f>_xlfn.XLOOKUP(A2713,Banks!A:A,Banks!H:H,0,-1)</f>
        <v>4782.2810790730246</v>
      </c>
      <c r="C2713">
        <f>_xlfn.XLOOKUP(A2713,Energy!A:A,Energy!H:H,0,-1)</f>
        <v>12372.855593382699</v>
      </c>
      <c r="D2713">
        <f t="shared" si="168"/>
        <v>17155.136672455723</v>
      </c>
      <c r="E2713">
        <f>_xlfn.XLOOKUP(A2713,Banks!A:A,Banks!I:I,0)</f>
        <v>0</v>
      </c>
      <c r="F2713">
        <f>_xlfn.XLOOKUP(A2713,Energy!A:A,Energy!I:I,0)</f>
        <v>35271.807908946517</v>
      </c>
      <c r="G2713">
        <f t="shared" si="169"/>
        <v>35271.807908946517</v>
      </c>
      <c r="H2713">
        <f t="shared" si="170"/>
        <v>18116.671236490794</v>
      </c>
      <c r="I2713" t="b">
        <f t="shared" si="171"/>
        <v>0</v>
      </c>
    </row>
    <row r="2714" spans="1:9">
      <c r="A2714" s="1">
        <v>46169.612500000003</v>
      </c>
      <c r="B2714" s="5">
        <f>_xlfn.XLOOKUP(A2714,Banks!A:A,Banks!H:H,0,-1)</f>
        <v>4782.2810790730246</v>
      </c>
      <c r="C2714">
        <f>_xlfn.XLOOKUP(A2714,Energy!A:A,Energy!H:H,0,-1)</f>
        <v>12292.864705921589</v>
      </c>
      <c r="D2714">
        <f t="shared" si="168"/>
        <v>17075.145784994613</v>
      </c>
      <c r="E2714">
        <f>_xlfn.XLOOKUP(A2714,Banks!A:A,Banks!I:I,0)</f>
        <v>0</v>
      </c>
      <c r="F2714">
        <f>_xlfn.XLOOKUP(A2714,Energy!A:A,Energy!I:I,0)</f>
        <v>35325.49917785875</v>
      </c>
      <c r="G2714">
        <f t="shared" si="169"/>
        <v>35325.49917785875</v>
      </c>
      <c r="H2714">
        <f t="shared" si="170"/>
        <v>18250.353392864137</v>
      </c>
      <c r="I2714" t="b">
        <f t="shared" si="171"/>
        <v>0</v>
      </c>
    </row>
    <row r="2715" spans="1:9">
      <c r="A2715" s="1">
        <v>46169.613194444442</v>
      </c>
      <c r="B2715" s="5">
        <f>_xlfn.XLOOKUP(A2715,Banks!A:A,Banks!H:H,0,-1)</f>
        <v>4782.2810790730246</v>
      </c>
      <c r="C2715">
        <f>_xlfn.XLOOKUP(A2715,Energy!A:A,Energy!H:H,0,-1)</f>
        <v>12250.0988962457</v>
      </c>
      <c r="D2715">
        <f t="shared" si="168"/>
        <v>17032.379975318723</v>
      </c>
      <c r="E2715">
        <f>_xlfn.XLOOKUP(A2715,Banks!A:A,Banks!I:I,0)</f>
        <v>0</v>
      </c>
      <c r="F2715">
        <f>_xlfn.XLOOKUP(A2715,Energy!A:A,Energy!I:I,0)</f>
        <v>35344.82179448536</v>
      </c>
      <c r="G2715">
        <f t="shared" si="169"/>
        <v>35344.82179448536</v>
      </c>
      <c r="H2715">
        <f t="shared" si="170"/>
        <v>18312.441819166637</v>
      </c>
      <c r="I2715" t="b">
        <f t="shared" si="171"/>
        <v>0</v>
      </c>
    </row>
    <row r="2716" spans="1:9">
      <c r="A2716" s="1">
        <v>46169.613888888889</v>
      </c>
      <c r="B2716" s="5">
        <f>_xlfn.XLOOKUP(A2716,Banks!A:A,Banks!H:H,0,-1)</f>
        <v>4782.2810790730246</v>
      </c>
      <c r="C2716">
        <f>_xlfn.XLOOKUP(A2716,Energy!A:A,Energy!H:H,0,-1)</f>
        <v>12209.73358435742</v>
      </c>
      <c r="D2716">
        <f t="shared" si="168"/>
        <v>16992.014663430444</v>
      </c>
      <c r="E2716">
        <f>_xlfn.XLOOKUP(A2716,Banks!A:A,Banks!I:I,0)</f>
        <v>0</v>
      </c>
      <c r="F2716">
        <f>_xlfn.XLOOKUP(A2716,Energy!A:A,Energy!I:I,0)</f>
        <v>35218.27667322012</v>
      </c>
      <c r="G2716">
        <f t="shared" si="169"/>
        <v>35218.27667322012</v>
      </c>
      <c r="H2716">
        <f t="shared" si="170"/>
        <v>18226.262009789676</v>
      </c>
      <c r="I2716" t="b">
        <f t="shared" si="171"/>
        <v>0</v>
      </c>
    </row>
    <row r="2717" spans="1:9">
      <c r="A2717" s="1">
        <v>46169.614583333343</v>
      </c>
      <c r="B2717" s="5">
        <f>_xlfn.XLOOKUP(A2717,Banks!A:A,Banks!H:H,0,-1)</f>
        <v>4782.2810790730246</v>
      </c>
      <c r="C2717">
        <f>_xlfn.XLOOKUP(A2717,Energy!A:A,Energy!H:H,0,-1)</f>
        <v>12155.4912637368</v>
      </c>
      <c r="D2717">
        <f t="shared" si="168"/>
        <v>16937.772342809825</v>
      </c>
      <c r="E2717">
        <f>_xlfn.XLOOKUP(A2717,Banks!A:A,Banks!I:I,0)</f>
        <v>0</v>
      </c>
      <c r="F2717">
        <f>_xlfn.XLOOKUP(A2717,Energy!A:A,Energy!I:I,0)</f>
        <v>35202.201500615673</v>
      </c>
      <c r="G2717">
        <f t="shared" si="169"/>
        <v>35202.201500615673</v>
      </c>
      <c r="H2717">
        <f t="shared" si="170"/>
        <v>18264.429157805847</v>
      </c>
      <c r="I2717" t="b">
        <f t="shared" si="171"/>
        <v>0</v>
      </c>
    </row>
    <row r="2718" spans="1:9">
      <c r="A2718" s="1">
        <v>46169.615277777782</v>
      </c>
      <c r="B2718" s="5">
        <f>_xlfn.XLOOKUP(A2718,Banks!A:A,Banks!H:H,0,-1)</f>
        <v>4782.2810790730246</v>
      </c>
      <c r="C2718">
        <f>_xlfn.XLOOKUP(A2718,Energy!A:A,Energy!H:H,0,-1)</f>
        <v>12012.546874854521</v>
      </c>
      <c r="D2718">
        <f t="shared" si="168"/>
        <v>16794.827953927546</v>
      </c>
      <c r="E2718">
        <f>_xlfn.XLOOKUP(A2718,Banks!A:A,Banks!I:I,0)</f>
        <v>0</v>
      </c>
      <c r="F2718">
        <f>_xlfn.XLOOKUP(A2718,Energy!A:A,Energy!I:I,0)</f>
        <v>35241.559833083556</v>
      </c>
      <c r="G2718">
        <f t="shared" si="169"/>
        <v>35241.559833083556</v>
      </c>
      <c r="H2718">
        <f t="shared" si="170"/>
        <v>18446.73187915601</v>
      </c>
      <c r="I2718" t="b">
        <f t="shared" si="171"/>
        <v>0</v>
      </c>
    </row>
    <row r="2719" spans="1:9">
      <c r="A2719" s="1">
        <v>46169.615972222222</v>
      </c>
      <c r="B2719" s="5">
        <f>_xlfn.XLOOKUP(A2719,Banks!A:A,Banks!H:H,0,-1)</f>
        <v>4782.2810790730246</v>
      </c>
      <c r="C2719">
        <f>_xlfn.XLOOKUP(A2719,Energy!A:A,Energy!H:H,0,-1)</f>
        <v>12151.11553013195</v>
      </c>
      <c r="D2719">
        <f t="shared" si="168"/>
        <v>16933.396609204974</v>
      </c>
      <c r="E2719">
        <f>_xlfn.XLOOKUP(A2719,Banks!A:A,Banks!I:I,0)</f>
        <v>0</v>
      </c>
      <c r="F2719">
        <f>_xlfn.XLOOKUP(A2719,Energy!A:A,Energy!I:I,0)</f>
        <v>35321.540648942391</v>
      </c>
      <c r="G2719">
        <f t="shared" si="169"/>
        <v>35321.540648942391</v>
      </c>
      <c r="H2719">
        <f t="shared" si="170"/>
        <v>18388.144039737417</v>
      </c>
      <c r="I2719" t="b">
        <f t="shared" si="171"/>
        <v>0</v>
      </c>
    </row>
    <row r="2720" spans="1:9">
      <c r="A2720" s="1">
        <v>46169.616666666669</v>
      </c>
      <c r="B2720" s="5">
        <f>_xlfn.XLOOKUP(A2720,Banks!A:A,Banks!H:H,0,-1)</f>
        <v>4782.2810790730246</v>
      </c>
      <c r="C2720">
        <f>_xlfn.XLOOKUP(A2720,Energy!A:A,Energy!H:H,0,-1)</f>
        <v>12200.22223762766</v>
      </c>
      <c r="D2720">
        <f t="shared" si="168"/>
        <v>16982.503316700684</v>
      </c>
      <c r="E2720">
        <f>_xlfn.XLOOKUP(A2720,Banks!A:A,Banks!I:I,0)</f>
        <v>0</v>
      </c>
      <c r="F2720">
        <f>_xlfn.XLOOKUP(A2720,Energy!A:A,Energy!I:I,0)</f>
        <v>35268.641488677516</v>
      </c>
      <c r="G2720">
        <f t="shared" si="169"/>
        <v>35268.641488677516</v>
      </c>
      <c r="H2720">
        <f t="shared" si="170"/>
        <v>18286.138171976832</v>
      </c>
      <c r="I2720" t="b">
        <f t="shared" si="171"/>
        <v>0</v>
      </c>
    </row>
    <row r="2721" spans="1:9">
      <c r="A2721" s="1">
        <v>46169.617361111108</v>
      </c>
      <c r="B2721" s="5">
        <f>_xlfn.XLOOKUP(A2721,Banks!A:A,Banks!H:H,0,-1)</f>
        <v>4782.2810790730246</v>
      </c>
      <c r="C2721">
        <f>_xlfn.XLOOKUP(A2721,Energy!A:A,Energy!H:H,0,-1)</f>
        <v>12136.06848731269</v>
      </c>
      <c r="D2721">
        <f t="shared" si="168"/>
        <v>16918.349566385714</v>
      </c>
      <c r="E2721">
        <f>_xlfn.XLOOKUP(A2721,Banks!A:A,Banks!I:I,0)</f>
        <v>0</v>
      </c>
      <c r="F2721">
        <f>_xlfn.XLOOKUP(A2721,Energy!A:A,Energy!I:I,0)</f>
        <v>35327.242421179093</v>
      </c>
      <c r="G2721">
        <f t="shared" si="169"/>
        <v>35327.242421179093</v>
      </c>
      <c r="H2721">
        <f t="shared" si="170"/>
        <v>18408.892854793379</v>
      </c>
      <c r="I2721" t="b">
        <f t="shared" si="171"/>
        <v>0</v>
      </c>
    </row>
    <row r="2722" spans="1:9">
      <c r="A2722" s="1">
        <v>46169.618055555547</v>
      </c>
      <c r="B2722" s="5">
        <f>_xlfn.XLOOKUP(A2722,Banks!A:A,Banks!H:H,0,-1)</f>
        <v>4782.2810790730246</v>
      </c>
      <c r="C2722">
        <f>_xlfn.XLOOKUP(A2722,Energy!A:A,Energy!H:H,0,-1)</f>
        <v>12054.10739983545</v>
      </c>
      <c r="D2722">
        <f t="shared" si="168"/>
        <v>16836.388478908473</v>
      </c>
      <c r="E2722">
        <f>_xlfn.XLOOKUP(A2722,Banks!A:A,Banks!I:I,0)</f>
        <v>0</v>
      </c>
      <c r="F2722">
        <f>_xlfn.XLOOKUP(A2722,Energy!A:A,Energy!I:I,0)</f>
        <v>35324.78809296454</v>
      </c>
      <c r="G2722">
        <f t="shared" si="169"/>
        <v>35324.78809296454</v>
      </c>
      <c r="H2722">
        <f t="shared" si="170"/>
        <v>18488.399614056067</v>
      </c>
      <c r="I2722" t="b">
        <f t="shared" si="171"/>
        <v>0</v>
      </c>
    </row>
    <row r="2723" spans="1:9">
      <c r="A2723" s="1">
        <v>46169.618750000001</v>
      </c>
      <c r="B2723" s="5">
        <f>_xlfn.XLOOKUP(A2723,Banks!A:A,Banks!H:H,0,-1)</f>
        <v>4782.2810790730246</v>
      </c>
      <c r="C2723">
        <f>_xlfn.XLOOKUP(A2723,Energy!A:A,Energy!H:H,0,-1)</f>
        <v>12126.57224798638</v>
      </c>
      <c r="D2723">
        <f t="shared" si="168"/>
        <v>16908.853327059405</v>
      </c>
      <c r="E2723">
        <f>_xlfn.XLOOKUP(A2723,Banks!A:A,Banks!I:I,0)</f>
        <v>0</v>
      </c>
      <c r="F2723">
        <f>_xlfn.XLOOKUP(A2723,Energy!A:A,Energy!I:I,0)</f>
        <v>35288.756213951492</v>
      </c>
      <c r="G2723">
        <f t="shared" si="169"/>
        <v>35288.756213951492</v>
      </c>
      <c r="H2723">
        <f t="shared" si="170"/>
        <v>18379.902886892087</v>
      </c>
      <c r="I2723" t="b">
        <f t="shared" si="171"/>
        <v>0</v>
      </c>
    </row>
    <row r="2724" spans="1:9">
      <c r="A2724" s="1">
        <v>46169.619444444441</v>
      </c>
      <c r="B2724" s="5">
        <f>_xlfn.XLOOKUP(A2724,Banks!A:A,Banks!H:H,0,-1)</f>
        <v>4782.2810790730246</v>
      </c>
      <c r="C2724">
        <f>_xlfn.XLOOKUP(A2724,Energy!A:A,Energy!H:H,0,-1)</f>
        <v>12025.208527289609</v>
      </c>
      <c r="D2724">
        <f t="shared" si="168"/>
        <v>16807.489606362633</v>
      </c>
      <c r="E2724">
        <f>_xlfn.XLOOKUP(A2724,Banks!A:A,Banks!I:I,0)</f>
        <v>0</v>
      </c>
      <c r="F2724">
        <f>_xlfn.XLOOKUP(A2724,Energy!A:A,Energy!I:I,0)</f>
        <v>35292.874776053701</v>
      </c>
      <c r="G2724">
        <f t="shared" si="169"/>
        <v>35292.874776053701</v>
      </c>
      <c r="H2724">
        <f t="shared" si="170"/>
        <v>18485.385169691068</v>
      </c>
      <c r="I2724" t="b">
        <f t="shared" si="171"/>
        <v>0</v>
      </c>
    </row>
    <row r="2725" spans="1:9">
      <c r="A2725" s="1">
        <v>46169.620138888888</v>
      </c>
      <c r="B2725" s="5">
        <f>_xlfn.XLOOKUP(A2725,Banks!A:A,Banks!H:H,0,-1)</f>
        <v>4782.2810790730246</v>
      </c>
      <c r="C2725">
        <f>_xlfn.XLOOKUP(A2725,Energy!A:A,Energy!H:H,0,-1)</f>
        <v>12202.207545047229</v>
      </c>
      <c r="D2725">
        <f t="shared" si="168"/>
        <v>16984.488624120255</v>
      </c>
      <c r="E2725">
        <f>_xlfn.XLOOKUP(A2725,Banks!A:A,Banks!I:I,0)</f>
        <v>0</v>
      </c>
      <c r="F2725">
        <f>_xlfn.XLOOKUP(A2725,Energy!A:A,Energy!I:I,0)</f>
        <v>35235.936063119312</v>
      </c>
      <c r="G2725">
        <f t="shared" si="169"/>
        <v>35235.936063119312</v>
      </c>
      <c r="H2725">
        <f t="shared" si="170"/>
        <v>18251.447438999057</v>
      </c>
      <c r="I2725" t="b">
        <f t="shared" si="171"/>
        <v>0</v>
      </c>
    </row>
    <row r="2726" spans="1:9">
      <c r="A2726" s="1">
        <v>46169.620833333327</v>
      </c>
      <c r="B2726" s="5">
        <f>_xlfn.XLOOKUP(A2726,Banks!A:A,Banks!H:H,0,-1)</f>
        <v>4782.2810790730246</v>
      </c>
      <c r="C2726">
        <f>_xlfn.XLOOKUP(A2726,Energy!A:A,Energy!H:H,0,-1)</f>
        <v>12177.254108334761</v>
      </c>
      <c r="D2726">
        <f t="shared" si="168"/>
        <v>16959.535187407786</v>
      </c>
      <c r="E2726">
        <f>_xlfn.XLOOKUP(A2726,Banks!A:A,Banks!I:I,0)</f>
        <v>0</v>
      </c>
      <c r="F2726">
        <f>_xlfn.XLOOKUP(A2726,Energy!A:A,Energy!I:I,0)</f>
        <v>35286.696932900377</v>
      </c>
      <c r="G2726">
        <f t="shared" si="169"/>
        <v>35286.696932900377</v>
      </c>
      <c r="H2726">
        <f t="shared" si="170"/>
        <v>18327.161745492591</v>
      </c>
      <c r="I2726" t="b">
        <f t="shared" si="171"/>
        <v>0</v>
      </c>
    </row>
    <row r="2727" spans="1:9">
      <c r="A2727" s="1">
        <v>46169.621527777781</v>
      </c>
      <c r="B2727" s="5">
        <f>_xlfn.XLOOKUP(A2727,Banks!A:A,Banks!H:H,0,-1)</f>
        <v>4782.2810790730246</v>
      </c>
      <c r="C2727">
        <f>_xlfn.XLOOKUP(A2727,Energy!A:A,Energy!H:H,0,-1)</f>
        <v>12263.560714609979</v>
      </c>
      <c r="D2727">
        <f t="shared" si="168"/>
        <v>17045.841793683005</v>
      </c>
      <c r="E2727">
        <f>_xlfn.XLOOKUP(A2727,Banks!A:A,Banks!I:I,0)</f>
        <v>0</v>
      </c>
      <c r="F2727">
        <f>_xlfn.XLOOKUP(A2727,Energy!A:A,Energy!I:I,0)</f>
        <v>35347.514158158221</v>
      </c>
      <c r="G2727">
        <f t="shared" si="169"/>
        <v>35347.514158158221</v>
      </c>
      <c r="H2727">
        <f t="shared" si="170"/>
        <v>18301.672364475216</v>
      </c>
      <c r="I2727" t="b">
        <f t="shared" si="171"/>
        <v>0</v>
      </c>
    </row>
    <row r="2728" spans="1:9">
      <c r="A2728" s="1">
        <v>46169.62222222222</v>
      </c>
      <c r="B2728" s="5">
        <f>_xlfn.XLOOKUP(A2728,Banks!A:A,Banks!H:H,0,-1)</f>
        <v>4782.2810790730246</v>
      </c>
      <c r="C2728">
        <f>_xlfn.XLOOKUP(A2728,Energy!A:A,Energy!H:H,0,-1)</f>
        <v>12158.236450676401</v>
      </c>
      <c r="D2728">
        <f t="shared" si="168"/>
        <v>16940.517529749424</v>
      </c>
      <c r="E2728">
        <f>_xlfn.XLOOKUP(A2728,Banks!A:A,Banks!I:I,0)</f>
        <v>0</v>
      </c>
      <c r="F2728">
        <f>_xlfn.XLOOKUP(A2728,Energy!A:A,Energy!I:I,0)</f>
        <v>35357.809556253509</v>
      </c>
      <c r="G2728">
        <f t="shared" si="169"/>
        <v>35357.809556253509</v>
      </c>
      <c r="H2728">
        <f t="shared" si="170"/>
        <v>18417.292026504085</v>
      </c>
      <c r="I2728" t="b">
        <f t="shared" si="171"/>
        <v>0</v>
      </c>
    </row>
    <row r="2729" spans="1:9">
      <c r="A2729" s="1">
        <v>46169.622916666667</v>
      </c>
      <c r="B2729" s="5">
        <f>_xlfn.XLOOKUP(A2729,Banks!A:A,Banks!H:H,0,-1)</f>
        <v>4782.2810790730246</v>
      </c>
      <c r="C2729">
        <f>_xlfn.XLOOKUP(A2729,Energy!A:A,Energy!H:H,0,-1)</f>
        <v>12156.25617905798</v>
      </c>
      <c r="D2729">
        <f t="shared" si="168"/>
        <v>16938.537258131004</v>
      </c>
      <c r="E2729">
        <f>_xlfn.XLOOKUP(A2729,Banks!A:A,Banks!I:I,0)</f>
        <v>0</v>
      </c>
      <c r="F2729">
        <f>_xlfn.XLOOKUP(A2729,Energy!A:A,Energy!I:I,0)</f>
        <v>35360.897974250052</v>
      </c>
      <c r="G2729">
        <f t="shared" si="169"/>
        <v>35360.897974250052</v>
      </c>
      <c r="H2729">
        <f t="shared" si="170"/>
        <v>18422.360716119048</v>
      </c>
      <c r="I2729" t="b">
        <f t="shared" si="171"/>
        <v>0</v>
      </c>
    </row>
    <row r="2730" spans="1:9">
      <c r="A2730" s="1">
        <v>46169.623611111107</v>
      </c>
      <c r="B2730" s="5">
        <f>_xlfn.XLOOKUP(A2730,Banks!A:A,Banks!H:H,0,-1)</f>
        <v>4782.2810790730246</v>
      </c>
      <c r="C2730">
        <f>_xlfn.XLOOKUP(A2730,Energy!A:A,Energy!H:H,0,-1)</f>
        <v>12128.932459364811</v>
      </c>
      <c r="D2730">
        <f t="shared" si="168"/>
        <v>16911.213538437834</v>
      </c>
      <c r="E2730">
        <f>_xlfn.XLOOKUP(A2730,Banks!A:A,Banks!I:I,0)</f>
        <v>0</v>
      </c>
      <c r="F2730">
        <f>_xlfn.XLOOKUP(A2730,Energy!A:A,Energy!I:I,0)</f>
        <v>35379.824536552973</v>
      </c>
      <c r="G2730">
        <f t="shared" si="169"/>
        <v>35379.824536552973</v>
      </c>
      <c r="H2730">
        <f t="shared" si="170"/>
        <v>18468.610998115138</v>
      </c>
      <c r="I2730" t="b">
        <f t="shared" si="171"/>
        <v>0</v>
      </c>
    </row>
    <row r="2731" spans="1:9">
      <c r="A2731" s="1">
        <v>46169.624305555553</v>
      </c>
      <c r="B2731" s="5">
        <f>_xlfn.XLOOKUP(A2731,Banks!A:A,Banks!H:H,0,-1)</f>
        <v>4782.2810790730246</v>
      </c>
      <c r="C2731">
        <f>_xlfn.XLOOKUP(A2731,Energy!A:A,Energy!H:H,0,-1)</f>
        <v>12210.903618444339</v>
      </c>
      <c r="D2731">
        <f t="shared" si="168"/>
        <v>16993.184697517365</v>
      </c>
      <c r="E2731">
        <f>_xlfn.XLOOKUP(A2731,Banks!A:A,Banks!I:I,0)</f>
        <v>0</v>
      </c>
      <c r="F2731">
        <f>_xlfn.XLOOKUP(A2731,Energy!A:A,Energy!I:I,0)</f>
        <v>35323.044849644197</v>
      </c>
      <c r="G2731">
        <f t="shared" si="169"/>
        <v>35323.044849644197</v>
      </c>
      <c r="H2731">
        <f t="shared" si="170"/>
        <v>18329.860152126832</v>
      </c>
      <c r="I2731" t="b">
        <f t="shared" si="171"/>
        <v>0</v>
      </c>
    </row>
    <row r="2732" spans="1:9">
      <c r="A2732" s="1">
        <v>46169.625</v>
      </c>
      <c r="B2732" s="5">
        <f>_xlfn.XLOOKUP(A2732,Banks!A:A,Banks!H:H,0,-1)</f>
        <v>4782.2810790730246</v>
      </c>
      <c r="C2732">
        <f>_xlfn.XLOOKUP(A2732,Energy!A:A,Energy!H:H,0,-1)</f>
        <v>12091.727524784161</v>
      </c>
      <c r="D2732">
        <f t="shared" si="168"/>
        <v>16874.008603857186</v>
      </c>
      <c r="E2732">
        <f>_xlfn.XLOOKUP(A2732,Banks!A:A,Banks!I:I,0)</f>
        <v>0</v>
      </c>
      <c r="F2732">
        <f>_xlfn.XLOOKUP(A2732,Energy!A:A,Energy!I:I,0)</f>
        <v>35295.725158591929</v>
      </c>
      <c r="G2732">
        <f t="shared" si="169"/>
        <v>35295.725158591929</v>
      </c>
      <c r="H2732">
        <f t="shared" si="170"/>
        <v>18421.716554734743</v>
      </c>
      <c r="I2732" t="b">
        <f t="shared" si="171"/>
        <v>0</v>
      </c>
    </row>
    <row r="2733" spans="1:9">
      <c r="A2733" s="1">
        <v>46169.625694444447</v>
      </c>
      <c r="B2733" s="5">
        <f>_xlfn.XLOOKUP(A2733,Banks!A:A,Banks!H:H,0,-1)</f>
        <v>4782.2810790730246</v>
      </c>
      <c r="C2733">
        <f>_xlfn.XLOOKUP(A2733,Energy!A:A,Energy!H:H,0,-1)</f>
        <v>12198.700003991689</v>
      </c>
      <c r="D2733">
        <f t="shared" si="168"/>
        <v>16980.981083064715</v>
      </c>
      <c r="E2733">
        <f>_xlfn.XLOOKUP(A2733,Banks!A:A,Banks!I:I,0)</f>
        <v>0</v>
      </c>
      <c r="F2733">
        <f>_xlfn.XLOOKUP(A2733,Energy!A:A,Energy!I:I,0)</f>
        <v>0</v>
      </c>
      <c r="G2733">
        <f t="shared" si="169"/>
        <v>0</v>
      </c>
      <c r="H2733">
        <f t="shared" si="170"/>
        <v>-16980.981083064715</v>
      </c>
      <c r="I2733" t="b">
        <f t="shared" si="171"/>
        <v>0</v>
      </c>
    </row>
    <row r="2734" spans="1:9">
      <c r="A2734" s="1">
        <v>46169.784722222219</v>
      </c>
      <c r="B2734" s="5">
        <f>_xlfn.XLOOKUP(A2734,Banks!A:A,Banks!H:H,0,-1)</f>
        <v>4782.2810790730246</v>
      </c>
      <c r="C2734">
        <f>_xlfn.XLOOKUP(A2734,Energy!A:A,Energy!H:H,0,-1)</f>
        <v>12198.700003991689</v>
      </c>
      <c r="D2734">
        <f t="shared" si="168"/>
        <v>16980.981083064715</v>
      </c>
      <c r="E2734">
        <f>_xlfn.XLOOKUP(A2734,Banks!A:A,Banks!I:I,0)</f>
        <v>43949.229234905833</v>
      </c>
      <c r="F2734">
        <f>_xlfn.XLOOKUP(A2734,Energy!A:A,Energy!I:I,0)</f>
        <v>0</v>
      </c>
      <c r="G2734">
        <f t="shared" si="169"/>
        <v>43949.229234905833</v>
      </c>
      <c r="H2734">
        <f t="shared" si="170"/>
        <v>26968.248151841119</v>
      </c>
      <c r="I2734" t="b">
        <f t="shared" si="171"/>
        <v>0</v>
      </c>
    </row>
    <row r="2735" spans="1:9">
      <c r="A2735" s="1">
        <v>46169.785416666673</v>
      </c>
      <c r="B2735" s="5">
        <f>_xlfn.XLOOKUP(A2735,Banks!A:A,Banks!H:H,0,-1)</f>
        <v>4860.1930385588184</v>
      </c>
      <c r="C2735">
        <f>_xlfn.XLOOKUP(A2735,Energy!A:A,Energy!H:H,0,-1)</f>
        <v>12198.700003991689</v>
      </c>
      <c r="D2735">
        <f t="shared" si="168"/>
        <v>17058.89304255051</v>
      </c>
      <c r="E2735">
        <f>_xlfn.XLOOKUP(A2735,Banks!A:A,Banks!I:I,0)</f>
        <v>43933.646843008668</v>
      </c>
      <c r="F2735">
        <f>_xlfn.XLOOKUP(A2735,Energy!A:A,Energy!I:I,0)</f>
        <v>0</v>
      </c>
      <c r="G2735">
        <f t="shared" si="169"/>
        <v>43933.646843008668</v>
      </c>
      <c r="H2735">
        <f t="shared" si="170"/>
        <v>26874.753800458158</v>
      </c>
      <c r="I2735" t="b">
        <f t="shared" si="171"/>
        <v>0</v>
      </c>
    </row>
    <row r="2736" spans="1:9">
      <c r="A2736" s="1">
        <v>46169.786111111112</v>
      </c>
      <c r="B2736" s="5">
        <f>_xlfn.XLOOKUP(A2736,Banks!A:A,Banks!H:H,0,-1)</f>
        <v>4821.237058815922</v>
      </c>
      <c r="C2736">
        <f>_xlfn.XLOOKUP(A2736,Energy!A:A,Energy!H:H,0,-1)</f>
        <v>12198.700003991689</v>
      </c>
      <c r="D2736">
        <f t="shared" si="168"/>
        <v>17019.93706280761</v>
      </c>
      <c r="E2736">
        <f>_xlfn.XLOOKUP(A2736,Banks!A:A,Banks!I:I,0)</f>
        <v>43941.438038957247</v>
      </c>
      <c r="F2736">
        <f>_xlfn.XLOOKUP(A2736,Energy!A:A,Energy!I:I,0)</f>
        <v>0</v>
      </c>
      <c r="G2736">
        <f t="shared" si="169"/>
        <v>43941.438038957247</v>
      </c>
      <c r="H2736">
        <f t="shared" si="170"/>
        <v>26921.500976149637</v>
      </c>
      <c r="I2736" t="b">
        <f t="shared" si="171"/>
        <v>0</v>
      </c>
    </row>
    <row r="2737" spans="1:9">
      <c r="A2737" s="1">
        <v>46169.786805555559</v>
      </c>
      <c r="B2737" s="5">
        <f>_xlfn.XLOOKUP(A2737,Banks!A:A,Banks!H:H,0,-1)</f>
        <v>4675.1521347800772</v>
      </c>
      <c r="C2737">
        <f>_xlfn.XLOOKUP(A2737,Energy!A:A,Energy!H:H,0,-1)</f>
        <v>12198.700003991689</v>
      </c>
      <c r="D2737">
        <f t="shared" si="168"/>
        <v>16873.852138771766</v>
      </c>
      <c r="E2737">
        <f>_xlfn.XLOOKUP(A2737,Banks!A:A,Banks!I:I,0)</f>
        <v>43970.655023764419</v>
      </c>
      <c r="F2737">
        <f>_xlfn.XLOOKUP(A2737,Energy!A:A,Energy!I:I,0)</f>
        <v>0</v>
      </c>
      <c r="G2737">
        <f t="shared" si="169"/>
        <v>43970.655023764419</v>
      </c>
      <c r="H2737">
        <f t="shared" si="170"/>
        <v>27096.802884992652</v>
      </c>
      <c r="I2737" t="b">
        <f t="shared" si="171"/>
        <v>0</v>
      </c>
    </row>
    <row r="2738" spans="1:9">
      <c r="A2738" s="1">
        <v>46169.787499999999</v>
      </c>
      <c r="B2738" s="5">
        <f>_xlfn.XLOOKUP(A2738,Banks!A:A,Banks!H:H,0,-1)</f>
        <v>4852.731109859551</v>
      </c>
      <c r="C2738">
        <f>_xlfn.XLOOKUP(A2738,Energy!A:A,Energy!H:H,0,-1)</f>
        <v>12198.700003991689</v>
      </c>
      <c r="D2738">
        <f t="shared" si="168"/>
        <v>17051.431113851242</v>
      </c>
      <c r="E2738">
        <f>_xlfn.XLOOKUP(A2738,Banks!A:A,Banks!I:I,0)</f>
        <v>43982.797230934579</v>
      </c>
      <c r="F2738">
        <f>_xlfn.XLOOKUP(A2738,Energy!A:A,Energy!I:I,0)</f>
        <v>0</v>
      </c>
      <c r="G2738">
        <f t="shared" si="169"/>
        <v>43982.797230934579</v>
      </c>
      <c r="H2738">
        <f t="shared" si="170"/>
        <v>26931.366117083337</v>
      </c>
      <c r="I2738" t="b">
        <f t="shared" si="171"/>
        <v>0</v>
      </c>
    </row>
    <row r="2739" spans="1:9">
      <c r="A2739" s="1">
        <v>46169.788194444453</v>
      </c>
      <c r="B2739" s="5">
        <f>_xlfn.XLOOKUP(A2739,Banks!A:A,Banks!H:H,0,-1)</f>
        <v>4862.4701047952794</v>
      </c>
      <c r="C2739">
        <f>_xlfn.XLOOKUP(A2739,Energy!A:A,Energy!H:H,0,-1)</f>
        <v>12198.700003991689</v>
      </c>
      <c r="D2739">
        <f t="shared" si="168"/>
        <v>17061.17010878697</v>
      </c>
      <c r="E2739">
        <f>_xlfn.XLOOKUP(A2739,Banks!A:A,Banks!I:I,0)</f>
        <v>43980.849431947427</v>
      </c>
      <c r="F2739">
        <f>_xlfn.XLOOKUP(A2739,Energy!A:A,Energy!I:I,0)</f>
        <v>0</v>
      </c>
      <c r="G2739">
        <f t="shared" si="169"/>
        <v>43980.849431947427</v>
      </c>
      <c r="H2739">
        <f t="shared" si="170"/>
        <v>26919.679323160457</v>
      </c>
      <c r="I2739" t="b">
        <f t="shared" si="171"/>
        <v>0</v>
      </c>
    </row>
    <row r="2740" spans="1:9">
      <c r="A2740" s="1">
        <v>46169.788888888892</v>
      </c>
      <c r="B2740" s="5">
        <f>_xlfn.XLOOKUP(A2740,Banks!A:A,Banks!H:H,0,-1)</f>
        <v>4911.1650794738889</v>
      </c>
      <c r="C2740">
        <f>_xlfn.XLOOKUP(A2740,Energy!A:A,Energy!H:H,0,-1)</f>
        <v>12198.700003991689</v>
      </c>
      <c r="D2740">
        <f t="shared" si="168"/>
        <v>17109.865083465578</v>
      </c>
      <c r="E2740">
        <f>_xlfn.XLOOKUP(A2740,Banks!A:A,Banks!I:I,0)</f>
        <v>43971.11043701171</v>
      </c>
      <c r="F2740">
        <f>_xlfn.XLOOKUP(A2740,Energy!A:A,Energy!I:I,0)</f>
        <v>0</v>
      </c>
      <c r="G2740">
        <f t="shared" si="169"/>
        <v>43971.11043701171</v>
      </c>
      <c r="H2740">
        <f t="shared" si="170"/>
        <v>26861.245353546132</v>
      </c>
      <c r="I2740" t="b">
        <f t="shared" si="171"/>
        <v>0</v>
      </c>
    </row>
    <row r="2741" spans="1:9">
      <c r="A2741" s="1">
        <v>46169.789583333331</v>
      </c>
      <c r="B2741" s="5">
        <f>_xlfn.XLOOKUP(A2741,Banks!A:A,Banks!H:H,0,-1)</f>
        <v>4938.1973258860999</v>
      </c>
      <c r="C2741">
        <f>_xlfn.XLOOKUP(A2741,Energy!A:A,Energy!H:H,0,-1)</f>
        <v>12198.700003991689</v>
      </c>
      <c r="D2741">
        <f t="shared" si="168"/>
        <v>17136.897329877789</v>
      </c>
      <c r="E2741">
        <f>_xlfn.XLOOKUP(A2741,Banks!A:A,Banks!I:I,0)</f>
        <v>43957.03889642271</v>
      </c>
      <c r="F2741">
        <f>_xlfn.XLOOKUP(A2741,Energy!A:A,Energy!I:I,0)</f>
        <v>0</v>
      </c>
      <c r="G2741">
        <f t="shared" si="169"/>
        <v>43957.03889642271</v>
      </c>
      <c r="H2741">
        <f t="shared" si="170"/>
        <v>26820.14156654492</v>
      </c>
      <c r="I2741" t="b">
        <f t="shared" si="171"/>
        <v>0</v>
      </c>
    </row>
    <row r="2742" spans="1:9">
      <c r="A2742" s="1">
        <v>46169.790277777778</v>
      </c>
      <c r="B2742" s="5">
        <f>_xlfn.XLOOKUP(A2742,Banks!A:A,Banks!H:H,0,-1)</f>
        <v>4865.654884546163</v>
      </c>
      <c r="C2742">
        <f>_xlfn.XLOOKUP(A2742,Energy!A:A,Energy!H:H,0,-1)</f>
        <v>12198.700003991689</v>
      </c>
      <c r="D2742">
        <f t="shared" si="168"/>
        <v>17064.354888537851</v>
      </c>
      <c r="E2742">
        <f>_xlfn.XLOOKUP(A2742,Banks!A:A,Banks!I:I,0)</f>
        <v>43954.217202077591</v>
      </c>
      <c r="F2742">
        <f>_xlfn.XLOOKUP(A2742,Energy!A:A,Energy!I:I,0)</f>
        <v>0</v>
      </c>
      <c r="G2742">
        <f t="shared" si="169"/>
        <v>43954.217202077591</v>
      </c>
      <c r="H2742">
        <f t="shared" si="170"/>
        <v>26889.862313539739</v>
      </c>
      <c r="I2742" t="b">
        <f t="shared" si="171"/>
        <v>0</v>
      </c>
    </row>
    <row r="2743" spans="1:9">
      <c r="A2743" s="1">
        <v>46169.790972222218</v>
      </c>
      <c r="B2743" s="5">
        <f>_xlfn.XLOOKUP(A2743,Banks!A:A,Banks!H:H,0,-1)</f>
        <v>4904.6108642890586</v>
      </c>
      <c r="C2743">
        <f>_xlfn.XLOOKUP(A2743,Energy!A:A,Energy!H:H,0,-1)</f>
        <v>12198.700003991689</v>
      </c>
      <c r="D2743">
        <f t="shared" si="168"/>
        <v>17103.310868280747</v>
      </c>
      <c r="E2743">
        <f>_xlfn.XLOOKUP(A2743,Banks!A:A,Banks!I:I,0)</f>
        <v>43946.426006129012</v>
      </c>
      <c r="F2743">
        <f>_xlfn.XLOOKUP(A2743,Energy!A:A,Energy!I:I,0)</f>
        <v>0</v>
      </c>
      <c r="G2743">
        <f t="shared" si="169"/>
        <v>43946.426006129012</v>
      </c>
      <c r="H2743">
        <f t="shared" si="170"/>
        <v>26843.115137848265</v>
      </c>
      <c r="I2743" t="b">
        <f t="shared" si="171"/>
        <v>0</v>
      </c>
    </row>
    <row r="2744" spans="1:9">
      <c r="A2744" s="1">
        <v>46169.791666666657</v>
      </c>
      <c r="B2744" s="5">
        <f>_xlfn.XLOOKUP(A2744,Banks!A:A,Banks!H:H,0,-1)</f>
        <v>4914.349859224787</v>
      </c>
      <c r="C2744">
        <f>_xlfn.XLOOKUP(A2744,Energy!A:A,Energy!H:H,0,-1)</f>
        <v>12198.700003991689</v>
      </c>
      <c r="D2744">
        <f t="shared" si="168"/>
        <v>17113.049863216474</v>
      </c>
      <c r="E2744">
        <f>_xlfn.XLOOKUP(A2744,Banks!A:A,Banks!I:I,0)</f>
        <v>43944.478207141859</v>
      </c>
      <c r="F2744">
        <f>_xlfn.XLOOKUP(A2744,Energy!A:A,Energy!I:I,0)</f>
        <v>0</v>
      </c>
      <c r="G2744">
        <f t="shared" si="169"/>
        <v>43944.478207141859</v>
      </c>
      <c r="H2744">
        <f t="shared" si="170"/>
        <v>26831.428343925385</v>
      </c>
      <c r="I2744" t="b">
        <f t="shared" si="171"/>
        <v>0</v>
      </c>
    </row>
    <row r="2745" spans="1:9">
      <c r="A2745" s="1">
        <v>46169.792361111111</v>
      </c>
      <c r="B2745" s="5">
        <f>_xlfn.XLOOKUP(A2745,Banks!A:A,Banks!H:H,0,-1)</f>
        <v>4885.132874417618</v>
      </c>
      <c r="C2745">
        <f>_xlfn.XLOOKUP(A2745,Energy!A:A,Energy!H:H,0,-1)</f>
        <v>12198.700003991689</v>
      </c>
      <c r="D2745">
        <f t="shared" si="168"/>
        <v>17083.832878409306</v>
      </c>
      <c r="E2745">
        <f>_xlfn.XLOOKUP(A2745,Banks!A:A,Banks!I:I,0)</f>
        <v>43950.321604103287</v>
      </c>
      <c r="F2745">
        <f>_xlfn.XLOOKUP(A2745,Energy!A:A,Energy!I:I,0)</f>
        <v>0</v>
      </c>
      <c r="G2745">
        <f t="shared" si="169"/>
        <v>43950.321604103287</v>
      </c>
      <c r="H2745">
        <f t="shared" si="170"/>
        <v>26866.48872569398</v>
      </c>
      <c r="I2745" t="b">
        <f t="shared" si="171"/>
        <v>0</v>
      </c>
    </row>
    <row r="2746" spans="1:9">
      <c r="A2746" s="1">
        <v>46169.793055555558</v>
      </c>
      <c r="B2746" s="5">
        <f>_xlfn.XLOOKUP(A2746,Banks!A:A,Banks!H:H,0,-1)</f>
        <v>4923.4290842474611</v>
      </c>
      <c r="C2746">
        <f>_xlfn.XLOOKUP(A2746,Energy!A:A,Energy!H:H,0,-1)</f>
        <v>12198.700003991689</v>
      </c>
      <c r="D2746">
        <f t="shared" si="168"/>
        <v>17122.129088239151</v>
      </c>
      <c r="E2746">
        <f>_xlfn.XLOOKUP(A2746,Banks!A:A,Banks!I:I,0)</f>
        <v>0</v>
      </c>
      <c r="F2746">
        <f>_xlfn.XLOOKUP(A2746,Energy!A:A,Energy!I:I,0)</f>
        <v>0</v>
      </c>
      <c r="G2746">
        <f t="shared" si="169"/>
        <v>0</v>
      </c>
      <c r="H2746">
        <f t="shared" si="170"/>
        <v>-17122.129088239151</v>
      </c>
      <c r="I2746" t="b">
        <f t="shared" si="171"/>
        <v>0</v>
      </c>
    </row>
    <row r="2747" spans="1:9">
      <c r="A2747" s="1">
        <v>46174.718055555553</v>
      </c>
      <c r="B2747" s="5">
        <f>_xlfn.XLOOKUP(A2747,Banks!A:A,Banks!H:H,0,-1)</f>
        <v>4923.4290842474611</v>
      </c>
      <c r="C2747">
        <f>_xlfn.XLOOKUP(A2747,Energy!A:A,Energy!H:H,0,-1)</f>
        <v>12198.700003991689</v>
      </c>
      <c r="D2747">
        <f t="shared" si="168"/>
        <v>17122.129088239151</v>
      </c>
      <c r="E2747">
        <f>_xlfn.XLOOKUP(A2747,Banks!A:A,Banks!I:I,0)</f>
        <v>43949.229234905833</v>
      </c>
      <c r="F2747">
        <f>_xlfn.XLOOKUP(A2747,Energy!A:A,Energy!I:I,0)</f>
        <v>0</v>
      </c>
      <c r="G2747">
        <f t="shared" si="169"/>
        <v>43949.229234905833</v>
      </c>
      <c r="H2747">
        <f t="shared" si="170"/>
        <v>26827.100146666682</v>
      </c>
      <c r="I2747" t="b">
        <f t="shared" si="171"/>
        <v>0</v>
      </c>
    </row>
    <row r="2748" spans="1:9">
      <c r="A2748" s="1">
        <v>46174.71875</v>
      </c>
      <c r="B2748" s="5">
        <f>_xlfn.XLOOKUP(A2748,Banks!A:A,Banks!H:H,0,-1)</f>
        <v>4917.1476170456726</v>
      </c>
      <c r="C2748">
        <f>_xlfn.XLOOKUP(A2748,Energy!A:A,Energy!H:H,0,-1)</f>
        <v>12198.700003991689</v>
      </c>
      <c r="D2748">
        <f t="shared" si="168"/>
        <v>17115.847621037363</v>
      </c>
      <c r="E2748">
        <f>_xlfn.XLOOKUP(A2748,Banks!A:A,Banks!I:I,0)</f>
        <v>43994.651926197563</v>
      </c>
      <c r="F2748">
        <f>_xlfn.XLOOKUP(A2748,Energy!A:A,Energy!I:I,0)</f>
        <v>0</v>
      </c>
      <c r="G2748">
        <f t="shared" si="169"/>
        <v>43994.651926197563</v>
      </c>
      <c r="H2748">
        <f t="shared" si="170"/>
        <v>26878.8043051602</v>
      </c>
      <c r="I2748" t="b">
        <f t="shared" si="171"/>
        <v>0</v>
      </c>
    </row>
    <row r="2749" spans="1:9">
      <c r="A2749" s="1">
        <v>46174.719444444447</v>
      </c>
      <c r="B2749" s="5">
        <f>_xlfn.XLOOKUP(A2749,Banks!A:A,Banks!H:H,0,-1)</f>
        <v>4878.248463102278</v>
      </c>
      <c r="C2749">
        <f>_xlfn.XLOOKUP(A2749,Energy!A:A,Energy!H:H,0,-1)</f>
        <v>12198.700003991689</v>
      </c>
      <c r="D2749">
        <f t="shared" si="168"/>
        <v>17076.948467093967</v>
      </c>
      <c r="E2749">
        <f>_xlfn.XLOOKUP(A2749,Banks!A:A,Banks!I:I,0)</f>
        <v>44002.43175698624</v>
      </c>
      <c r="F2749">
        <f>_xlfn.XLOOKUP(A2749,Energy!A:A,Energy!I:I,0)</f>
        <v>0</v>
      </c>
      <c r="G2749">
        <f t="shared" si="169"/>
        <v>44002.43175698624</v>
      </c>
      <c r="H2749">
        <f t="shared" si="170"/>
        <v>26925.483289892272</v>
      </c>
      <c r="I2749" t="b">
        <f t="shared" si="171"/>
        <v>0</v>
      </c>
    </row>
    <row r="2750" spans="1:9">
      <c r="A2750" s="1">
        <v>46174.720138888893</v>
      </c>
      <c r="B2750" s="5">
        <f>_xlfn.XLOOKUP(A2750,Banks!A:A,Banks!H:H,0,-1)</f>
        <v>4907.422828559831</v>
      </c>
      <c r="C2750">
        <f>_xlfn.XLOOKUP(A2750,Energy!A:A,Energy!H:H,0,-1)</f>
        <v>12198.700003991689</v>
      </c>
      <c r="D2750">
        <f t="shared" si="168"/>
        <v>17106.122832551519</v>
      </c>
      <c r="E2750">
        <f>_xlfn.XLOOKUP(A2750,Banks!A:A,Banks!I:I,0)</f>
        <v>43996.59688389473</v>
      </c>
      <c r="F2750">
        <f>_xlfn.XLOOKUP(A2750,Energy!A:A,Energy!I:I,0)</f>
        <v>0</v>
      </c>
      <c r="G2750">
        <f t="shared" si="169"/>
        <v>43996.59688389473</v>
      </c>
      <c r="H2750">
        <f t="shared" si="170"/>
        <v>26890.474051343212</v>
      </c>
      <c r="I2750" t="b">
        <f t="shared" si="171"/>
        <v>0</v>
      </c>
    </row>
    <row r="2751" spans="1:9">
      <c r="A2751" s="1">
        <v>46174.720833333333</v>
      </c>
      <c r="B2751" s="5">
        <f>_xlfn.XLOOKUP(A2751,Banks!A:A,Banks!H:H,0,-1)</f>
        <v>4839.3493091588707</v>
      </c>
      <c r="C2751">
        <f>_xlfn.XLOOKUP(A2751,Energy!A:A,Energy!H:H,0,-1)</f>
        <v>12198.700003991689</v>
      </c>
      <c r="D2751">
        <f t="shared" si="168"/>
        <v>17038.049313150561</v>
      </c>
      <c r="E2751">
        <f>_xlfn.XLOOKUP(A2751,Banks!A:A,Banks!I:I,0)</f>
        <v>44010.211587774917</v>
      </c>
      <c r="F2751">
        <f>_xlfn.XLOOKUP(A2751,Energy!A:A,Energy!I:I,0)</f>
        <v>0</v>
      </c>
      <c r="G2751">
        <f t="shared" si="169"/>
        <v>44010.211587774917</v>
      </c>
      <c r="H2751">
        <f t="shared" si="170"/>
        <v>26972.162274624356</v>
      </c>
      <c r="I2751" t="b">
        <f t="shared" si="171"/>
        <v>0</v>
      </c>
    </row>
    <row r="2752" spans="1:9">
      <c r="A2752" s="1">
        <v>46174.72152777778</v>
      </c>
      <c r="B2752" s="5">
        <f>_xlfn.XLOOKUP(A2752,Banks!A:A,Banks!H:H,0,-1)</f>
        <v>4761.5510012720688</v>
      </c>
      <c r="C2752">
        <f>_xlfn.XLOOKUP(A2752,Energy!A:A,Energy!H:H,0,-1)</f>
        <v>12198.700003991689</v>
      </c>
      <c r="D2752">
        <f t="shared" si="168"/>
        <v>16960.251005263759</v>
      </c>
      <c r="E2752">
        <f>_xlfn.XLOOKUP(A2752,Banks!A:A,Banks!I:I,0)</f>
        <v>44025.771249352278</v>
      </c>
      <c r="F2752">
        <f>_xlfn.XLOOKUP(A2752,Energy!A:A,Energy!I:I,0)</f>
        <v>0</v>
      </c>
      <c r="G2752">
        <f t="shared" si="169"/>
        <v>44025.771249352278</v>
      </c>
      <c r="H2752">
        <f t="shared" si="170"/>
        <v>27065.520244088519</v>
      </c>
      <c r="I2752" t="b">
        <f t="shared" si="171"/>
        <v>0</v>
      </c>
    </row>
    <row r="2753" spans="1:9">
      <c r="A2753" s="1">
        <v>46174.722222222219</v>
      </c>
      <c r="B2753" s="5">
        <f>_xlfn.XLOOKUP(A2753,Banks!A:A,Banks!H:H,0,-1)</f>
        <v>4771.275789757924</v>
      </c>
      <c r="C2753">
        <f>_xlfn.XLOOKUP(A2753,Energy!A:A,Energy!H:H,0,-1)</f>
        <v>12198.700003991689</v>
      </c>
      <c r="D2753">
        <f t="shared" si="168"/>
        <v>16969.975793749614</v>
      </c>
      <c r="E2753">
        <f>_xlfn.XLOOKUP(A2753,Banks!A:A,Banks!I:I,0)</f>
        <v>44023.826291655103</v>
      </c>
      <c r="F2753">
        <f>_xlfn.XLOOKUP(A2753,Energy!A:A,Energy!I:I,0)</f>
        <v>0</v>
      </c>
      <c r="G2753">
        <f t="shared" si="169"/>
        <v>44023.826291655103</v>
      </c>
      <c r="H2753">
        <f t="shared" si="170"/>
        <v>27053.850497905489</v>
      </c>
      <c r="I2753" t="b">
        <f t="shared" si="171"/>
        <v>0</v>
      </c>
    </row>
    <row r="2754" spans="1:9">
      <c r="A2754" s="1">
        <v>46174.722916666673</v>
      </c>
      <c r="B2754" s="5">
        <f>_xlfn.XLOOKUP(A2754,Banks!A:A,Banks!H:H,0,-1)</f>
        <v>4810.1749437013177</v>
      </c>
      <c r="C2754">
        <f>_xlfn.XLOOKUP(A2754,Energy!A:A,Energy!H:H,0,-1)</f>
        <v>12198.700003991689</v>
      </c>
      <c r="D2754">
        <f t="shared" si="168"/>
        <v>17008.874947693006</v>
      </c>
      <c r="E2754">
        <f>_xlfn.XLOOKUP(A2754,Banks!A:A,Banks!I:I,0)</f>
        <v>44016.046460866433</v>
      </c>
      <c r="F2754">
        <f>_xlfn.XLOOKUP(A2754,Energy!A:A,Energy!I:I,0)</f>
        <v>0</v>
      </c>
      <c r="G2754">
        <f t="shared" si="169"/>
        <v>44016.046460866433</v>
      </c>
      <c r="H2754">
        <f t="shared" si="170"/>
        <v>27007.171513173427</v>
      </c>
      <c r="I2754" t="b">
        <f t="shared" si="171"/>
        <v>0</v>
      </c>
    </row>
    <row r="2755" spans="1:9">
      <c r="A2755" s="1">
        <v>46174.723611111112</v>
      </c>
      <c r="B2755" s="5">
        <f>_xlfn.XLOOKUP(A2755,Banks!A:A,Banks!H:H,0,-1)</f>
        <v>4751.8262127862135</v>
      </c>
      <c r="C2755">
        <f>_xlfn.XLOOKUP(A2755,Energy!A:A,Energy!H:H,0,-1)</f>
        <v>12198.700003991689</v>
      </c>
      <c r="D2755">
        <f t="shared" ref="D2755:D2818" si="172">B2755+C2755</f>
        <v>16950.526216777904</v>
      </c>
      <c r="E2755">
        <f>_xlfn.XLOOKUP(A2755,Banks!A:A,Banks!I:I,0)</f>
        <v>44027.716207049452</v>
      </c>
      <c r="F2755">
        <f>_xlfn.XLOOKUP(A2755,Energy!A:A,Energy!I:I,0)</f>
        <v>0</v>
      </c>
      <c r="G2755">
        <f t="shared" ref="G2755:G2818" si="173">F2755+E2755</f>
        <v>44027.716207049452</v>
      </c>
      <c r="H2755">
        <f t="shared" ref="H2755:H2818" si="174">G2755-D2755</f>
        <v>27077.189990271549</v>
      </c>
      <c r="I2755" t="b">
        <f t="shared" ref="I2755:I2818" si="175">AND(E2755&gt;0,F2755&gt;0)</f>
        <v>0</v>
      </c>
    </row>
    <row r="2756" spans="1:9">
      <c r="A2756" s="1">
        <v>46174.724305555559</v>
      </c>
      <c r="B2756" s="5">
        <f>_xlfn.XLOOKUP(A2756,Banks!A:A,Banks!H:H,0,-1)</f>
        <v>4790.7253667296209</v>
      </c>
      <c r="C2756">
        <f>_xlfn.XLOOKUP(A2756,Energy!A:A,Energy!H:H,0,-1)</f>
        <v>12198.700003991689</v>
      </c>
      <c r="D2756">
        <f t="shared" si="172"/>
        <v>16989.42537072131</v>
      </c>
      <c r="E2756">
        <f>_xlfn.XLOOKUP(A2756,Banks!A:A,Banks!I:I,0)</f>
        <v>44019.936376260768</v>
      </c>
      <c r="F2756">
        <f>_xlfn.XLOOKUP(A2756,Energy!A:A,Energy!I:I,0)</f>
        <v>0</v>
      </c>
      <c r="G2756">
        <f t="shared" si="173"/>
        <v>44019.936376260768</v>
      </c>
      <c r="H2756">
        <f t="shared" si="174"/>
        <v>27030.511005539458</v>
      </c>
      <c r="I2756" t="b">
        <f t="shared" si="175"/>
        <v>0</v>
      </c>
    </row>
    <row r="2757" spans="1:9">
      <c r="A2757" s="1">
        <v>46174.724999999999</v>
      </c>
      <c r="B2757" s="5">
        <f>_xlfn.XLOOKUP(A2757,Banks!A:A,Banks!H:H,0,-1)</f>
        <v>4829.6245206730146</v>
      </c>
      <c r="C2757">
        <f>_xlfn.XLOOKUP(A2757,Energy!A:A,Energy!H:H,0,-1)</f>
        <v>12198.700003991689</v>
      </c>
      <c r="D2757">
        <f t="shared" si="172"/>
        <v>17028.324524664706</v>
      </c>
      <c r="E2757">
        <f>_xlfn.XLOOKUP(A2757,Banks!A:A,Banks!I:I,0)</f>
        <v>44012.156545472091</v>
      </c>
      <c r="F2757">
        <f>_xlfn.XLOOKUP(A2757,Energy!A:A,Energy!I:I,0)</f>
        <v>0</v>
      </c>
      <c r="G2757">
        <f t="shared" si="173"/>
        <v>44012.156545472091</v>
      </c>
      <c r="H2757">
        <f t="shared" si="174"/>
        <v>26983.832020807386</v>
      </c>
      <c r="I2757" t="b">
        <f t="shared" si="175"/>
        <v>0</v>
      </c>
    </row>
    <row r="2758" spans="1:9">
      <c r="A2758" s="1">
        <v>46174.725694444453</v>
      </c>
      <c r="B2758" s="5">
        <f>_xlfn.XLOOKUP(A2758,Banks!A:A,Banks!H:H,0,-1)</f>
        <v>4839.3493091588707</v>
      </c>
      <c r="C2758">
        <f>_xlfn.XLOOKUP(A2758,Energy!A:A,Energy!H:H,0,-1)</f>
        <v>12198.700003991689</v>
      </c>
      <c r="D2758">
        <f t="shared" si="172"/>
        <v>17038.049313150561</v>
      </c>
      <c r="E2758">
        <f>_xlfn.XLOOKUP(A2758,Banks!A:A,Banks!I:I,0)</f>
        <v>44010.211587774917</v>
      </c>
      <c r="F2758">
        <f>_xlfn.XLOOKUP(A2758,Energy!A:A,Energy!I:I,0)</f>
        <v>0</v>
      </c>
      <c r="G2758">
        <f t="shared" si="173"/>
        <v>44010.211587774917</v>
      </c>
      <c r="H2758">
        <f t="shared" si="174"/>
        <v>26972.162274624356</v>
      </c>
      <c r="I2758" t="b">
        <f t="shared" si="175"/>
        <v>0</v>
      </c>
    </row>
    <row r="2759" spans="1:9">
      <c r="A2759" s="1">
        <v>46174.726388888892</v>
      </c>
      <c r="B2759" s="5">
        <f>_xlfn.XLOOKUP(A2759,Banks!A:A,Banks!H:H,0,-1)</f>
        <v>4858.7988861305676</v>
      </c>
      <c r="C2759">
        <f>_xlfn.XLOOKUP(A2759,Energy!A:A,Energy!H:H,0,-1)</f>
        <v>12198.700003991689</v>
      </c>
      <c r="D2759">
        <f t="shared" si="172"/>
        <v>17057.498890122257</v>
      </c>
      <c r="E2759">
        <f>_xlfn.XLOOKUP(A2759,Banks!A:A,Banks!I:I,0)</f>
        <v>44006.321672380582</v>
      </c>
      <c r="F2759">
        <f>_xlfn.XLOOKUP(A2759,Energy!A:A,Energy!I:I,0)</f>
        <v>0</v>
      </c>
      <c r="G2759">
        <f t="shared" si="173"/>
        <v>44006.321672380582</v>
      </c>
      <c r="H2759">
        <f t="shared" si="174"/>
        <v>26948.822782258325</v>
      </c>
      <c r="I2759" t="b">
        <f t="shared" si="175"/>
        <v>0</v>
      </c>
    </row>
    <row r="2760" spans="1:9">
      <c r="A2760" s="1">
        <v>46174.727083333331</v>
      </c>
      <c r="B2760" s="5">
        <f>_xlfn.XLOOKUP(A2760,Banks!A:A,Banks!H:H,0,-1)</f>
        <v>4878.248463102278</v>
      </c>
      <c r="C2760">
        <f>_xlfn.XLOOKUP(A2760,Energy!A:A,Energy!H:H,0,-1)</f>
        <v>12198.700003991689</v>
      </c>
      <c r="D2760">
        <f t="shared" si="172"/>
        <v>17076.948467093967</v>
      </c>
      <c r="E2760">
        <f>_xlfn.XLOOKUP(A2760,Banks!A:A,Banks!I:I,0)</f>
        <v>44002.43175698624</v>
      </c>
      <c r="F2760">
        <f>_xlfn.XLOOKUP(A2760,Energy!A:A,Energy!I:I,0)</f>
        <v>0</v>
      </c>
      <c r="G2760">
        <f t="shared" si="173"/>
        <v>44002.43175698624</v>
      </c>
      <c r="H2760">
        <f t="shared" si="174"/>
        <v>26925.483289892272</v>
      </c>
      <c r="I2760" t="b">
        <f t="shared" si="175"/>
        <v>0</v>
      </c>
    </row>
    <row r="2761" spans="1:9">
      <c r="A2761" s="1">
        <v>46174.727777777778</v>
      </c>
      <c r="B2761" s="5">
        <f>_xlfn.XLOOKUP(A2761,Banks!A:A,Banks!H:H,0,-1)</f>
        <v>4736.5315927092161</v>
      </c>
      <c r="C2761">
        <f>_xlfn.XLOOKUP(A2761,Energy!A:A,Energy!H:H,0,-1)</f>
        <v>12198.700003991689</v>
      </c>
      <c r="D2761">
        <f t="shared" si="172"/>
        <v>16935.231596700905</v>
      </c>
      <c r="E2761">
        <f>_xlfn.XLOOKUP(A2761,Banks!A:A,Banks!I:I,0)</f>
        <v>43946.858975147246</v>
      </c>
      <c r="F2761">
        <f>_xlfn.XLOOKUP(A2761,Energy!A:A,Energy!I:I,0)</f>
        <v>0</v>
      </c>
      <c r="G2761">
        <f t="shared" si="173"/>
        <v>43946.858975147246</v>
      </c>
      <c r="H2761">
        <f t="shared" si="174"/>
        <v>27011.627378446341</v>
      </c>
      <c r="I2761" t="b">
        <f t="shared" si="175"/>
        <v>0</v>
      </c>
    </row>
    <row r="2762" spans="1:9">
      <c r="A2762" s="1">
        <v>46174.728472222218</v>
      </c>
      <c r="B2762" s="5">
        <f>_xlfn.XLOOKUP(A2762,Banks!A:A,Banks!H:H,0,-1)</f>
        <v>4765.7059581667681</v>
      </c>
      <c r="C2762">
        <f>_xlfn.XLOOKUP(A2762,Energy!A:A,Energy!H:H,0,-1)</f>
        <v>12198.700003991689</v>
      </c>
      <c r="D2762">
        <f t="shared" si="172"/>
        <v>16964.405962158457</v>
      </c>
      <c r="E2762">
        <f>_xlfn.XLOOKUP(A2762,Banks!A:A,Banks!I:I,0)</f>
        <v>43941.02410205573</v>
      </c>
      <c r="F2762">
        <f>_xlfn.XLOOKUP(A2762,Energy!A:A,Energy!I:I,0)</f>
        <v>0</v>
      </c>
      <c r="G2762">
        <f t="shared" si="173"/>
        <v>43941.02410205573</v>
      </c>
      <c r="H2762">
        <f t="shared" si="174"/>
        <v>26976.618139897273</v>
      </c>
      <c r="I2762" t="b">
        <f t="shared" si="175"/>
        <v>0</v>
      </c>
    </row>
    <row r="2763" spans="1:9">
      <c r="A2763" s="1">
        <v>46174.729166666657</v>
      </c>
      <c r="B2763" s="5">
        <f>_xlfn.XLOOKUP(A2763,Banks!A:A,Banks!H:H,0,-1)</f>
        <v>4720.2227493384135</v>
      </c>
      <c r="C2763">
        <f>_xlfn.XLOOKUP(A2763,Energy!A:A,Energy!H:H,0,-1)</f>
        <v>12198.700003991689</v>
      </c>
      <c r="D2763">
        <f t="shared" si="172"/>
        <v>16918.922753330102</v>
      </c>
      <c r="E2763">
        <f>_xlfn.XLOOKUP(A2763,Banks!A:A,Banks!I:I,0)</f>
        <v>43928.03754489572</v>
      </c>
      <c r="F2763">
        <f>_xlfn.XLOOKUP(A2763,Energy!A:A,Energy!I:I,0)</f>
        <v>0</v>
      </c>
      <c r="G2763">
        <f t="shared" si="173"/>
        <v>43928.03754489572</v>
      </c>
      <c r="H2763">
        <f t="shared" si="174"/>
        <v>27009.114791565618</v>
      </c>
      <c r="I2763" t="b">
        <f t="shared" si="175"/>
        <v>0</v>
      </c>
    </row>
    <row r="2764" spans="1:9">
      <c r="A2764" s="1">
        <v>46174.729861111111</v>
      </c>
      <c r="B2764" s="5">
        <f>_xlfn.XLOOKUP(A2764,Banks!A:A,Banks!H:H,0,-1)</f>
        <v>4768.8466917676624</v>
      </c>
      <c r="C2764">
        <f>_xlfn.XLOOKUP(A2764,Energy!A:A,Energy!H:H,0,-1)</f>
        <v>12198.700003991689</v>
      </c>
      <c r="D2764">
        <f t="shared" si="172"/>
        <v>16967.546695759353</v>
      </c>
      <c r="E2764">
        <f>_xlfn.XLOOKUP(A2764,Banks!A:A,Banks!I:I,0)</f>
        <v>43918.312756409869</v>
      </c>
      <c r="F2764">
        <f>_xlfn.XLOOKUP(A2764,Energy!A:A,Energy!I:I,0)</f>
        <v>0</v>
      </c>
      <c r="G2764">
        <f t="shared" si="173"/>
        <v>43918.312756409869</v>
      </c>
      <c r="H2764">
        <f t="shared" si="174"/>
        <v>26950.766060650516</v>
      </c>
      <c r="I2764" t="b">
        <f t="shared" si="175"/>
        <v>0</v>
      </c>
    </row>
    <row r="2765" spans="1:9">
      <c r="A2765" s="1">
        <v>46174.730555555558</v>
      </c>
      <c r="B2765" s="5">
        <f>_xlfn.XLOOKUP(A2765,Banks!A:A,Banks!H:H,0,-1)</f>
        <v>4759.1219032818071</v>
      </c>
      <c r="C2765">
        <f>_xlfn.XLOOKUP(A2765,Energy!A:A,Energy!H:H,0,-1)</f>
        <v>12198.700003991689</v>
      </c>
      <c r="D2765">
        <f t="shared" si="172"/>
        <v>16957.821907273497</v>
      </c>
      <c r="E2765">
        <f>_xlfn.XLOOKUP(A2765,Banks!A:A,Banks!I:I,0)</f>
        <v>43920.257714107043</v>
      </c>
      <c r="F2765">
        <f>_xlfn.XLOOKUP(A2765,Energy!A:A,Energy!I:I,0)</f>
        <v>0</v>
      </c>
      <c r="G2765">
        <f t="shared" si="173"/>
        <v>43920.257714107043</v>
      </c>
      <c r="H2765">
        <f t="shared" si="174"/>
        <v>26962.435806833546</v>
      </c>
      <c r="I2765" t="b">
        <f t="shared" si="175"/>
        <v>0</v>
      </c>
    </row>
    <row r="2766" spans="1:9">
      <c r="A2766" s="1">
        <v>46174.731249999997</v>
      </c>
      <c r="B2766" s="5">
        <f>_xlfn.XLOOKUP(A2766,Banks!A:A,Banks!H:H,0,-1)</f>
        <v>4759.1219032818071</v>
      </c>
      <c r="C2766">
        <f>_xlfn.XLOOKUP(A2766,Energy!A:A,Energy!H:H,0,-1)</f>
        <v>12198.700003991689</v>
      </c>
      <c r="D2766">
        <f t="shared" si="172"/>
        <v>16957.821907273497</v>
      </c>
      <c r="E2766">
        <f>_xlfn.XLOOKUP(A2766,Banks!A:A,Banks!I:I,0)</f>
        <v>43920.257714107043</v>
      </c>
      <c r="F2766">
        <f>_xlfn.XLOOKUP(A2766,Energy!A:A,Energy!I:I,0)</f>
        <v>0</v>
      </c>
      <c r="G2766">
        <f t="shared" si="173"/>
        <v>43920.257714107043</v>
      </c>
      <c r="H2766">
        <f t="shared" si="174"/>
        <v>26962.435806833546</v>
      </c>
      <c r="I2766" t="b">
        <f t="shared" si="175"/>
        <v>0</v>
      </c>
    </row>
    <row r="2767" spans="1:9">
      <c r="A2767" s="1">
        <v>46174.731944444437</v>
      </c>
      <c r="B2767" s="5">
        <f>_xlfn.XLOOKUP(A2767,Banks!A:A,Banks!H:H,0,-1)</f>
        <v>4749.3971147959664</v>
      </c>
      <c r="C2767">
        <f>_xlfn.XLOOKUP(A2767,Energy!A:A,Energy!H:H,0,-1)</f>
        <v>12198.700003991689</v>
      </c>
      <c r="D2767">
        <f t="shared" si="172"/>
        <v>16948.097118787657</v>
      </c>
      <c r="E2767">
        <f>_xlfn.XLOOKUP(A2767,Banks!A:A,Banks!I:I,0)</f>
        <v>43922.202671804211</v>
      </c>
      <c r="F2767">
        <f>_xlfn.XLOOKUP(A2767,Energy!A:A,Energy!I:I,0)</f>
        <v>0</v>
      </c>
      <c r="G2767">
        <f t="shared" si="173"/>
        <v>43922.202671804211</v>
      </c>
      <c r="H2767">
        <f t="shared" si="174"/>
        <v>26974.105553016554</v>
      </c>
      <c r="I2767" t="b">
        <f t="shared" si="175"/>
        <v>0</v>
      </c>
    </row>
    <row r="2768" spans="1:9">
      <c r="A2768" s="1">
        <v>46174.732638888891</v>
      </c>
      <c r="B2768" s="5">
        <f>_xlfn.XLOOKUP(A2768,Banks!A:A,Banks!H:H,0,-1)</f>
        <v>4729.9475378242551</v>
      </c>
      <c r="C2768">
        <f>_xlfn.XLOOKUP(A2768,Energy!A:A,Energy!H:H,0,-1)</f>
        <v>12198.700003991689</v>
      </c>
      <c r="D2768">
        <f t="shared" si="172"/>
        <v>16928.647541815946</v>
      </c>
      <c r="E2768">
        <f>_xlfn.XLOOKUP(A2768,Banks!A:A,Banks!I:I,0)</f>
        <v>43926.092587198553</v>
      </c>
      <c r="F2768">
        <f>_xlfn.XLOOKUP(A2768,Energy!A:A,Energy!I:I,0)</f>
        <v>0</v>
      </c>
      <c r="G2768">
        <f t="shared" si="173"/>
        <v>43926.092587198553</v>
      </c>
      <c r="H2768">
        <f t="shared" si="174"/>
        <v>26997.445045382607</v>
      </c>
      <c r="I2768" t="b">
        <f t="shared" si="175"/>
        <v>0</v>
      </c>
    </row>
    <row r="2769" spans="1:9">
      <c r="A2769" s="1">
        <v>46174.73333333333</v>
      </c>
      <c r="B2769" s="5">
        <f>_xlfn.XLOOKUP(A2769,Banks!A:A,Banks!H:H,0,-1)</f>
        <v>4710.4979608525582</v>
      </c>
      <c r="C2769">
        <f>_xlfn.XLOOKUP(A2769,Energy!A:A,Energy!H:H,0,-1)</f>
        <v>12198.700003991689</v>
      </c>
      <c r="D2769">
        <f t="shared" si="172"/>
        <v>16909.197964844247</v>
      </c>
      <c r="E2769">
        <f>_xlfn.XLOOKUP(A2769,Banks!A:A,Banks!I:I,0)</f>
        <v>43929.982502592888</v>
      </c>
      <c r="F2769">
        <f>_xlfn.XLOOKUP(A2769,Energy!A:A,Energy!I:I,0)</f>
        <v>0</v>
      </c>
      <c r="G2769">
        <f t="shared" si="173"/>
        <v>43929.982502592888</v>
      </c>
      <c r="H2769">
        <f t="shared" si="174"/>
        <v>27020.784537748641</v>
      </c>
      <c r="I2769" t="b">
        <f t="shared" si="175"/>
        <v>0</v>
      </c>
    </row>
    <row r="2770" spans="1:9">
      <c r="A2770" s="1">
        <v>46174.734027777777</v>
      </c>
      <c r="B2770" s="5">
        <f>_xlfn.XLOOKUP(A2770,Banks!A:A,Banks!H:H,0,-1)</f>
        <v>4691.0483838808595</v>
      </c>
      <c r="C2770">
        <f>_xlfn.XLOOKUP(A2770,Energy!A:A,Energy!H:H,0,-1)</f>
        <v>12198.700003991689</v>
      </c>
      <c r="D2770">
        <f t="shared" si="172"/>
        <v>16889.748387872547</v>
      </c>
      <c r="E2770">
        <f>_xlfn.XLOOKUP(A2770,Banks!A:A,Banks!I:I,0)</f>
        <v>43933.872417987237</v>
      </c>
      <c r="F2770">
        <f>_xlfn.XLOOKUP(A2770,Energy!A:A,Energy!I:I,0)</f>
        <v>0</v>
      </c>
      <c r="G2770">
        <f t="shared" si="173"/>
        <v>43933.872417987237</v>
      </c>
      <c r="H2770">
        <f t="shared" si="174"/>
        <v>27044.12403011469</v>
      </c>
      <c r="I2770" t="b">
        <f t="shared" si="175"/>
        <v>0</v>
      </c>
    </row>
    <row r="2771" spans="1:9">
      <c r="A2771" s="1">
        <v>46174.734722222223</v>
      </c>
      <c r="B2771" s="5">
        <f>_xlfn.XLOOKUP(A2771,Banks!A:A,Banks!H:H,0,-1)</f>
        <v>4700.7731723667021</v>
      </c>
      <c r="C2771">
        <f>_xlfn.XLOOKUP(A2771,Energy!A:A,Energy!H:H,0,-1)</f>
        <v>12198.700003991689</v>
      </c>
      <c r="D2771">
        <f t="shared" si="172"/>
        <v>16899.473176358391</v>
      </c>
      <c r="E2771">
        <f>_xlfn.XLOOKUP(A2771,Banks!A:A,Banks!I:I,0)</f>
        <v>43931.927460290062</v>
      </c>
      <c r="F2771">
        <f>_xlfn.XLOOKUP(A2771,Energy!A:A,Energy!I:I,0)</f>
        <v>0</v>
      </c>
      <c r="G2771">
        <f t="shared" si="173"/>
        <v>43931.927460290062</v>
      </c>
      <c r="H2771">
        <f t="shared" si="174"/>
        <v>27032.454283931671</v>
      </c>
      <c r="I2771" t="b">
        <f t="shared" si="175"/>
        <v>0</v>
      </c>
    </row>
    <row r="2772" spans="1:9">
      <c r="A2772" s="1">
        <v>46174.73541666667</v>
      </c>
      <c r="B2772" s="5">
        <f>_xlfn.XLOOKUP(A2772,Banks!A:A,Banks!H:H,0,-1)</f>
        <v>4710.4979608525582</v>
      </c>
      <c r="C2772">
        <f>_xlfn.XLOOKUP(A2772,Energy!A:A,Energy!H:H,0,-1)</f>
        <v>12198.700003991689</v>
      </c>
      <c r="D2772">
        <f t="shared" si="172"/>
        <v>16909.197964844247</v>
      </c>
      <c r="E2772">
        <f>_xlfn.XLOOKUP(A2772,Banks!A:A,Banks!I:I,0)</f>
        <v>43929.982502592888</v>
      </c>
      <c r="F2772">
        <f>_xlfn.XLOOKUP(A2772,Energy!A:A,Energy!I:I,0)</f>
        <v>0</v>
      </c>
      <c r="G2772">
        <f t="shared" si="173"/>
        <v>43929.982502592888</v>
      </c>
      <c r="H2772">
        <f t="shared" si="174"/>
        <v>27020.784537748641</v>
      </c>
      <c r="I2772" t="b">
        <f t="shared" si="175"/>
        <v>0</v>
      </c>
    </row>
    <row r="2773" spans="1:9">
      <c r="A2773" s="1">
        <v>46174.736111111109</v>
      </c>
      <c r="B2773" s="5">
        <f>_xlfn.XLOOKUP(A2773,Banks!A:A,Banks!H:H,0,-1)</f>
        <v>4691.0483838808595</v>
      </c>
      <c r="C2773">
        <f>_xlfn.XLOOKUP(A2773,Energy!A:A,Energy!H:H,0,-1)</f>
        <v>12198.700003991689</v>
      </c>
      <c r="D2773">
        <f t="shared" si="172"/>
        <v>16889.748387872547</v>
      </c>
      <c r="E2773">
        <f>_xlfn.XLOOKUP(A2773,Banks!A:A,Banks!I:I,0)</f>
        <v>43933.872417987237</v>
      </c>
      <c r="F2773">
        <f>_xlfn.XLOOKUP(A2773,Energy!A:A,Energy!I:I,0)</f>
        <v>0</v>
      </c>
      <c r="G2773">
        <f t="shared" si="173"/>
        <v>43933.872417987237</v>
      </c>
      <c r="H2773">
        <f t="shared" si="174"/>
        <v>27044.12403011469</v>
      </c>
      <c r="I2773" t="b">
        <f t="shared" si="175"/>
        <v>0</v>
      </c>
    </row>
    <row r="2774" spans="1:9">
      <c r="A2774" s="1">
        <v>46174.736805555563</v>
      </c>
      <c r="B2774" s="5">
        <f>_xlfn.XLOOKUP(A2774,Banks!A:A,Banks!H:H,0,-1)</f>
        <v>4795.6322919239146</v>
      </c>
      <c r="C2774">
        <f>_xlfn.XLOOKUP(A2774,Energy!A:A,Energy!H:H,0,-1)</f>
        <v>12198.700003991689</v>
      </c>
      <c r="D2774">
        <f t="shared" si="172"/>
        <v>16994.332295915603</v>
      </c>
      <c r="E2774">
        <f>_xlfn.XLOOKUP(A2774,Banks!A:A,Banks!I:I,0)</f>
        <v>0</v>
      </c>
      <c r="F2774">
        <f>_xlfn.XLOOKUP(A2774,Energy!A:A,Energy!I:I,0)</f>
        <v>0</v>
      </c>
      <c r="G2774">
        <f t="shared" si="173"/>
        <v>0</v>
      </c>
      <c r="H2774">
        <f t="shared" si="174"/>
        <v>-16994.332295915603</v>
      </c>
      <c r="I2774" t="b">
        <f t="shared" si="175"/>
        <v>0</v>
      </c>
    </row>
    <row r="2775" spans="1:9">
      <c r="A2775" s="1">
        <v>46174.768055555563</v>
      </c>
      <c r="B2775" s="5">
        <f>_xlfn.XLOOKUP(A2775,Banks!A:A,Banks!H:H,0,-1)</f>
        <v>4795.6322919239146</v>
      </c>
      <c r="C2775">
        <f>_xlfn.XLOOKUP(A2775,Energy!A:A,Energy!H:H,0,-1)</f>
        <v>12198.700003991689</v>
      </c>
      <c r="D2775">
        <f t="shared" si="172"/>
        <v>16994.332295915603</v>
      </c>
      <c r="E2775">
        <f>_xlfn.XLOOKUP(A2775,Banks!A:A,Banks!I:I,0)</f>
        <v>0</v>
      </c>
      <c r="F2775">
        <f>_xlfn.XLOOKUP(A2775,Energy!A:A,Energy!I:I,0)</f>
        <v>35077.236568004242</v>
      </c>
      <c r="G2775">
        <f t="shared" si="173"/>
        <v>35077.236568004242</v>
      </c>
      <c r="H2775">
        <f t="shared" si="174"/>
        <v>18082.904272088639</v>
      </c>
      <c r="I2775" t="b">
        <f t="shared" si="175"/>
        <v>0</v>
      </c>
    </row>
    <row r="2776" spans="1:9">
      <c r="A2776" s="1">
        <v>46174.768750000003</v>
      </c>
      <c r="B2776" s="5">
        <f>_xlfn.XLOOKUP(A2776,Banks!A:A,Banks!H:H,0,-1)</f>
        <v>4795.6322919239146</v>
      </c>
      <c r="C2776">
        <f>_xlfn.XLOOKUP(A2776,Energy!A:A,Energy!H:H,0,-1)</f>
        <v>12200.615121224449</v>
      </c>
      <c r="D2776">
        <f t="shared" si="172"/>
        <v>16996.247413148365</v>
      </c>
      <c r="E2776">
        <f>_xlfn.XLOOKUP(A2776,Banks!A:A,Banks!I:I,0)</f>
        <v>0</v>
      </c>
      <c r="F2776">
        <f>_xlfn.XLOOKUP(A2776,Energy!A:A,Energy!I:I,0)</f>
        <v>35069.962933015922</v>
      </c>
      <c r="G2776">
        <f t="shared" si="173"/>
        <v>35069.962933015922</v>
      </c>
      <c r="H2776">
        <f t="shared" si="174"/>
        <v>18073.715519867557</v>
      </c>
      <c r="I2776" t="b">
        <f t="shared" si="175"/>
        <v>0</v>
      </c>
    </row>
    <row r="2777" spans="1:9">
      <c r="A2777" s="1">
        <v>46174.769444444442</v>
      </c>
      <c r="B2777" s="5">
        <f>_xlfn.XLOOKUP(A2777,Banks!A:A,Banks!H:H,0,-1)</f>
        <v>4795.6322919239146</v>
      </c>
      <c r="C2777">
        <f>_xlfn.XLOOKUP(A2777,Energy!A:A,Energy!H:H,0,-1)</f>
        <v>12088.64268367062</v>
      </c>
      <c r="D2777">
        <f t="shared" si="172"/>
        <v>16884.274975594533</v>
      </c>
      <c r="E2777">
        <f>_xlfn.XLOOKUP(A2777,Banks!A:A,Banks!I:I,0)</f>
        <v>0</v>
      </c>
      <c r="F2777">
        <f>_xlfn.XLOOKUP(A2777,Energy!A:A,Energy!I:I,0)</f>
        <v>35047.56844550516</v>
      </c>
      <c r="G2777">
        <f t="shared" si="173"/>
        <v>35047.56844550516</v>
      </c>
      <c r="H2777">
        <f t="shared" si="174"/>
        <v>18163.293469910626</v>
      </c>
      <c r="I2777" t="b">
        <f t="shared" si="175"/>
        <v>0</v>
      </c>
    </row>
    <row r="2778" spans="1:9">
      <c r="A2778" s="1">
        <v>46174.770138888889</v>
      </c>
      <c r="B2778" s="5">
        <f>_xlfn.XLOOKUP(A2778,Banks!A:A,Banks!H:H,0,-1)</f>
        <v>4795.6322919239146</v>
      </c>
      <c r="C2778">
        <f>_xlfn.XLOOKUP(A2778,Energy!A:A,Energy!H:H,0,-1)</f>
        <v>12128.215422320531</v>
      </c>
      <c r="D2778">
        <f t="shared" si="172"/>
        <v>16923.847714244446</v>
      </c>
      <c r="E2778">
        <f>_xlfn.XLOOKUP(A2778,Banks!A:A,Banks!I:I,0)</f>
        <v>0</v>
      </c>
      <c r="F2778">
        <f>_xlfn.XLOOKUP(A2778,Energy!A:A,Energy!I:I,0)</f>
        <v>34943.185336190327</v>
      </c>
      <c r="G2778">
        <f t="shared" si="173"/>
        <v>34943.185336190327</v>
      </c>
      <c r="H2778">
        <f t="shared" si="174"/>
        <v>18019.337621945881</v>
      </c>
      <c r="I2778" t="b">
        <f t="shared" si="175"/>
        <v>0</v>
      </c>
    </row>
    <row r="2779" spans="1:9">
      <c r="A2779" s="1">
        <v>46174.770833333343</v>
      </c>
      <c r="B2779" s="5">
        <f>_xlfn.XLOOKUP(A2779,Banks!A:A,Banks!H:H,0,-1)</f>
        <v>4795.6322919239146</v>
      </c>
      <c r="C2779">
        <f>_xlfn.XLOOKUP(A2779,Energy!A:A,Energy!H:H,0,-1)</f>
        <v>12123.114793860061</v>
      </c>
      <c r="D2779">
        <f t="shared" si="172"/>
        <v>16918.747085783976</v>
      </c>
      <c r="E2779">
        <f>_xlfn.XLOOKUP(A2779,Banks!A:A,Banks!I:I,0)</f>
        <v>0</v>
      </c>
      <c r="F2779">
        <f>_xlfn.XLOOKUP(A2779,Energy!A:A,Energy!I:I,0)</f>
        <v>34916.64301571533</v>
      </c>
      <c r="G2779">
        <f t="shared" si="173"/>
        <v>34916.64301571533</v>
      </c>
      <c r="H2779">
        <f t="shared" si="174"/>
        <v>17997.895929931354</v>
      </c>
      <c r="I2779" t="b">
        <f t="shared" si="175"/>
        <v>0</v>
      </c>
    </row>
    <row r="2780" spans="1:9">
      <c r="A2780" s="1">
        <v>46174.771527777782</v>
      </c>
      <c r="B2780" s="5">
        <f>_xlfn.XLOOKUP(A2780,Banks!A:A,Banks!H:H,0,-1)</f>
        <v>4795.6322919239146</v>
      </c>
      <c r="C2780">
        <f>_xlfn.XLOOKUP(A2780,Energy!A:A,Energy!H:H,0,-1)</f>
        <v>12042.40037654709</v>
      </c>
      <c r="D2780">
        <f t="shared" si="172"/>
        <v>16838.032668471005</v>
      </c>
      <c r="E2780">
        <f>_xlfn.XLOOKUP(A2780,Banks!A:A,Banks!I:I,0)</f>
        <v>0</v>
      </c>
      <c r="F2780">
        <f>_xlfn.XLOOKUP(A2780,Energy!A:A,Energy!I:I,0)</f>
        <v>34936.231204948803</v>
      </c>
      <c r="G2780">
        <f t="shared" si="173"/>
        <v>34936.231204948803</v>
      </c>
      <c r="H2780">
        <f t="shared" si="174"/>
        <v>18098.198536477797</v>
      </c>
      <c r="I2780" t="b">
        <f t="shared" si="175"/>
        <v>0</v>
      </c>
    </row>
    <row r="2781" spans="1:9">
      <c r="A2781" s="1">
        <v>46174.772222222222</v>
      </c>
      <c r="B2781" s="5">
        <f>_xlfn.XLOOKUP(A2781,Banks!A:A,Banks!H:H,0,-1)</f>
        <v>4795.6322919239146</v>
      </c>
      <c r="C2781">
        <f>_xlfn.XLOOKUP(A2781,Energy!A:A,Energy!H:H,0,-1)</f>
        <v>12099.18059157087</v>
      </c>
      <c r="D2781">
        <f t="shared" si="172"/>
        <v>16894.812883494786</v>
      </c>
      <c r="E2781">
        <f>_xlfn.XLOOKUP(A2781,Banks!A:A,Banks!I:I,0)</f>
        <v>0</v>
      </c>
      <c r="F2781">
        <f>_xlfn.XLOOKUP(A2781,Energy!A:A,Energy!I:I,0)</f>
        <v>34973.109442736473</v>
      </c>
      <c r="G2781">
        <f t="shared" si="173"/>
        <v>34973.109442736473</v>
      </c>
      <c r="H2781">
        <f t="shared" si="174"/>
        <v>18078.296559241688</v>
      </c>
      <c r="I2781" t="b">
        <f t="shared" si="175"/>
        <v>0</v>
      </c>
    </row>
    <row r="2782" spans="1:9">
      <c r="A2782" s="1">
        <v>46174.772916666669</v>
      </c>
      <c r="B2782" s="5">
        <f>_xlfn.XLOOKUP(A2782,Banks!A:A,Banks!H:H,0,-1)</f>
        <v>4795.6322919239146</v>
      </c>
      <c r="C2782">
        <f>_xlfn.XLOOKUP(A2782,Energy!A:A,Energy!H:H,0,-1)</f>
        <v>12085.78429718193</v>
      </c>
      <c r="D2782">
        <f t="shared" si="172"/>
        <v>16881.416589105844</v>
      </c>
      <c r="E2782">
        <f>_xlfn.XLOOKUP(A2782,Banks!A:A,Banks!I:I,0)</f>
        <v>0</v>
      </c>
      <c r="F2782">
        <f>_xlfn.XLOOKUP(A2782,Energy!A:A,Energy!I:I,0)</f>
        <v>34955.116866988938</v>
      </c>
      <c r="G2782">
        <f t="shared" si="173"/>
        <v>34955.116866988938</v>
      </c>
      <c r="H2782">
        <f t="shared" si="174"/>
        <v>18073.700277883094</v>
      </c>
      <c r="I2782" t="b">
        <f t="shared" si="175"/>
        <v>0</v>
      </c>
    </row>
    <row r="2783" spans="1:9">
      <c r="A2783" s="1">
        <v>46174.773611111108</v>
      </c>
      <c r="B2783" s="5">
        <f>_xlfn.XLOOKUP(A2783,Banks!A:A,Banks!H:H,0,-1)</f>
        <v>4795.6322919239146</v>
      </c>
      <c r="C2783">
        <f>_xlfn.XLOOKUP(A2783,Energy!A:A,Energy!H:H,0,-1)</f>
        <v>12108.11145449683</v>
      </c>
      <c r="D2783">
        <f t="shared" si="172"/>
        <v>16903.743746420743</v>
      </c>
      <c r="E2783">
        <f>_xlfn.XLOOKUP(A2783,Banks!A:A,Banks!I:I,0)</f>
        <v>0</v>
      </c>
      <c r="F2783">
        <f>_xlfn.XLOOKUP(A2783,Energy!A:A,Energy!I:I,0)</f>
        <v>34985.10449323483</v>
      </c>
      <c r="G2783">
        <f t="shared" si="173"/>
        <v>34985.10449323483</v>
      </c>
      <c r="H2783">
        <f t="shared" si="174"/>
        <v>18081.360746814087</v>
      </c>
      <c r="I2783" t="b">
        <f t="shared" si="175"/>
        <v>0</v>
      </c>
    </row>
    <row r="2784" spans="1:9">
      <c r="A2784" s="1">
        <v>46174.774305555547</v>
      </c>
      <c r="B2784" s="5">
        <f>_xlfn.XLOOKUP(A2784,Banks!A:A,Banks!H:H,0,-1)</f>
        <v>4795.6322919239146</v>
      </c>
      <c r="C2784">
        <f>_xlfn.XLOOKUP(A2784,Energy!A:A,Energy!H:H,0,-1)</f>
        <v>12082.906858212669</v>
      </c>
      <c r="D2784">
        <f t="shared" si="172"/>
        <v>16878.539150136585</v>
      </c>
      <c r="E2784">
        <f>_xlfn.XLOOKUP(A2784,Banks!A:A,Banks!I:I,0)</f>
        <v>0</v>
      </c>
      <c r="F2784">
        <f>_xlfn.XLOOKUP(A2784,Energy!A:A,Energy!I:I,0)</f>
        <v>35000.481329804323</v>
      </c>
      <c r="G2784">
        <f t="shared" si="173"/>
        <v>35000.481329804323</v>
      </c>
      <c r="H2784">
        <f t="shared" si="174"/>
        <v>18121.942179667738</v>
      </c>
      <c r="I2784" t="b">
        <f t="shared" si="175"/>
        <v>0</v>
      </c>
    </row>
    <row r="2785" spans="1:9">
      <c r="A2785" s="1">
        <v>46174.775000000001</v>
      </c>
      <c r="B2785" s="5">
        <f>_xlfn.XLOOKUP(A2785,Banks!A:A,Banks!H:H,0,-1)</f>
        <v>4795.6322919239146</v>
      </c>
      <c r="C2785">
        <f>_xlfn.XLOOKUP(A2785,Energy!A:A,Energy!H:H,0,-1)</f>
        <v>12042.390850306811</v>
      </c>
      <c r="D2785">
        <f t="shared" si="172"/>
        <v>16838.023142230726</v>
      </c>
      <c r="E2785">
        <f>_xlfn.XLOOKUP(A2785,Banks!A:A,Banks!I:I,0)</f>
        <v>0</v>
      </c>
      <c r="F2785">
        <f>_xlfn.XLOOKUP(A2785,Energy!A:A,Energy!I:I,0)</f>
        <v>35005.139225614606</v>
      </c>
      <c r="G2785">
        <f t="shared" si="173"/>
        <v>35005.139225614606</v>
      </c>
      <c r="H2785">
        <f t="shared" si="174"/>
        <v>18167.11608338388</v>
      </c>
      <c r="I2785" t="b">
        <f t="shared" si="175"/>
        <v>0</v>
      </c>
    </row>
    <row r="2786" spans="1:9">
      <c r="A2786" s="1">
        <v>46174.775694444441</v>
      </c>
      <c r="B2786" s="5">
        <f>_xlfn.XLOOKUP(A2786,Banks!A:A,Banks!H:H,0,-1)</f>
        <v>4795.6322919239146</v>
      </c>
      <c r="C2786">
        <f>_xlfn.XLOOKUP(A2786,Energy!A:A,Energy!H:H,0,-1)</f>
        <v>12057.38466342975</v>
      </c>
      <c r="D2786">
        <f t="shared" si="172"/>
        <v>16853.016955353665</v>
      </c>
      <c r="E2786">
        <f>_xlfn.XLOOKUP(A2786,Banks!A:A,Banks!I:I,0)</f>
        <v>0</v>
      </c>
      <c r="F2786">
        <f>_xlfn.XLOOKUP(A2786,Energy!A:A,Energy!I:I,0)</f>
        <v>35005.585768760902</v>
      </c>
      <c r="G2786">
        <f t="shared" si="173"/>
        <v>35005.585768760902</v>
      </c>
      <c r="H2786">
        <f t="shared" si="174"/>
        <v>18152.568813407237</v>
      </c>
      <c r="I2786" t="b">
        <f t="shared" si="175"/>
        <v>0</v>
      </c>
    </row>
    <row r="2787" spans="1:9">
      <c r="A2787" s="1">
        <v>46174.776388888888</v>
      </c>
      <c r="B2787" s="5">
        <f>_xlfn.XLOOKUP(A2787,Banks!A:A,Banks!H:H,0,-1)</f>
        <v>4795.6322919239146</v>
      </c>
      <c r="C2787">
        <f>_xlfn.XLOOKUP(A2787,Energy!A:A,Energy!H:H,0,-1)</f>
        <v>12040.63453232342</v>
      </c>
      <c r="D2787">
        <f t="shared" si="172"/>
        <v>16836.266824247334</v>
      </c>
      <c r="E2787">
        <f>_xlfn.XLOOKUP(A2787,Banks!A:A,Banks!I:I,0)</f>
        <v>0</v>
      </c>
      <c r="F2787">
        <f>_xlfn.XLOOKUP(A2787,Energy!A:A,Energy!I:I,0)</f>
        <v>35017.549059409394</v>
      </c>
      <c r="G2787">
        <f t="shared" si="173"/>
        <v>35017.549059409394</v>
      </c>
      <c r="H2787">
        <f t="shared" si="174"/>
        <v>18181.28223516206</v>
      </c>
      <c r="I2787" t="b">
        <f t="shared" si="175"/>
        <v>0</v>
      </c>
    </row>
    <row r="2788" spans="1:9">
      <c r="A2788" s="1">
        <v>46174.777083333327</v>
      </c>
      <c r="B2788" s="5">
        <f>_xlfn.XLOOKUP(A2788,Banks!A:A,Banks!H:H,0,-1)</f>
        <v>4795.6322919239146</v>
      </c>
      <c r="C2788">
        <f>_xlfn.XLOOKUP(A2788,Energy!A:A,Energy!H:H,0,-1)</f>
        <v>12101.086182563329</v>
      </c>
      <c r="D2788">
        <f t="shared" si="172"/>
        <v>16896.718474487243</v>
      </c>
      <c r="E2788">
        <f>_xlfn.XLOOKUP(A2788,Banks!A:A,Banks!I:I,0)</f>
        <v>0</v>
      </c>
      <c r="F2788">
        <f>_xlfn.XLOOKUP(A2788,Energy!A:A,Energy!I:I,0)</f>
        <v>35034.74382841395</v>
      </c>
      <c r="G2788">
        <f t="shared" si="173"/>
        <v>35034.74382841395</v>
      </c>
      <c r="H2788">
        <f t="shared" si="174"/>
        <v>18138.025353926707</v>
      </c>
      <c r="I2788" t="b">
        <f t="shared" si="175"/>
        <v>0</v>
      </c>
    </row>
    <row r="2789" spans="1:9">
      <c r="A2789" s="1">
        <v>46174.777777777781</v>
      </c>
      <c r="B2789" s="5">
        <f>_xlfn.XLOOKUP(A2789,Banks!A:A,Banks!H:H,0,-1)</f>
        <v>4795.6322919239146</v>
      </c>
      <c r="C2789">
        <f>_xlfn.XLOOKUP(A2789,Energy!A:A,Energy!H:H,0,-1)</f>
        <v>12057.861061177869</v>
      </c>
      <c r="D2789">
        <f t="shared" si="172"/>
        <v>16853.493353101785</v>
      </c>
      <c r="E2789">
        <f>_xlfn.XLOOKUP(A2789,Banks!A:A,Banks!I:I,0)</f>
        <v>0</v>
      </c>
      <c r="F2789">
        <f>_xlfn.XLOOKUP(A2789,Energy!A:A,Energy!I:I,0)</f>
        <v>35020.994365180282</v>
      </c>
      <c r="G2789">
        <f t="shared" si="173"/>
        <v>35020.994365180282</v>
      </c>
      <c r="H2789">
        <f t="shared" si="174"/>
        <v>18167.501012078497</v>
      </c>
      <c r="I2789" t="b">
        <f t="shared" si="175"/>
        <v>0</v>
      </c>
    </row>
    <row r="2790" spans="1:9">
      <c r="A2790" s="1">
        <v>46174.77847222222</v>
      </c>
      <c r="B2790" s="5">
        <f>_xlfn.XLOOKUP(A2790,Banks!A:A,Banks!H:H,0,-1)</f>
        <v>4795.6322919239146</v>
      </c>
      <c r="C2790">
        <f>_xlfn.XLOOKUP(A2790,Energy!A:A,Energy!H:H,0,-1)</f>
        <v>12096.62075110035</v>
      </c>
      <c r="D2790">
        <f t="shared" si="172"/>
        <v>16892.253043024266</v>
      </c>
      <c r="E2790">
        <f>_xlfn.XLOOKUP(A2790,Banks!A:A,Banks!I:I,0)</f>
        <v>0</v>
      </c>
      <c r="F2790">
        <f>_xlfn.XLOOKUP(A2790,Energy!A:A,Energy!I:I,0)</f>
        <v>35028.746303164771</v>
      </c>
      <c r="G2790">
        <f t="shared" si="173"/>
        <v>35028.746303164771</v>
      </c>
      <c r="H2790">
        <f t="shared" si="174"/>
        <v>18136.493260140505</v>
      </c>
      <c r="I2790" t="b">
        <f t="shared" si="175"/>
        <v>0</v>
      </c>
    </row>
    <row r="2791" spans="1:9">
      <c r="A2791" s="1">
        <v>46174.779166666667</v>
      </c>
      <c r="B2791" s="5">
        <f>_xlfn.XLOOKUP(A2791,Banks!A:A,Banks!H:H,0,-1)</f>
        <v>4795.6322919239146</v>
      </c>
      <c r="C2791">
        <f>_xlfn.XLOOKUP(A2791,Energy!A:A,Energy!H:H,0,-1)</f>
        <v>12088.00748667313</v>
      </c>
      <c r="D2791">
        <f t="shared" si="172"/>
        <v>16883.639778597044</v>
      </c>
      <c r="E2791">
        <f>_xlfn.XLOOKUP(A2791,Banks!A:A,Banks!I:I,0)</f>
        <v>0</v>
      </c>
      <c r="F2791">
        <f>_xlfn.XLOOKUP(A2791,Energy!A:A,Energy!I:I,0)</f>
        <v>35027.023650279327</v>
      </c>
      <c r="G2791">
        <f t="shared" si="173"/>
        <v>35027.023650279327</v>
      </c>
      <c r="H2791">
        <f t="shared" si="174"/>
        <v>18143.383871682283</v>
      </c>
      <c r="I2791" t="b">
        <f t="shared" si="175"/>
        <v>0</v>
      </c>
    </row>
    <row r="2792" spans="1:9">
      <c r="A2792" s="1">
        <v>46174.779861111107</v>
      </c>
      <c r="B2792" s="5">
        <f>_xlfn.XLOOKUP(A2792,Banks!A:A,Banks!H:H,0,-1)</f>
        <v>4795.6322919239146</v>
      </c>
      <c r="C2792">
        <f>_xlfn.XLOOKUP(A2792,Energy!A:A,Energy!H:H,0,-1)</f>
        <v>12137.205028555411</v>
      </c>
      <c r="D2792">
        <f t="shared" si="172"/>
        <v>16932.837320479324</v>
      </c>
      <c r="E2792">
        <f>_xlfn.XLOOKUP(A2792,Banks!A:A,Banks!I:I,0)</f>
        <v>0</v>
      </c>
      <c r="F2792">
        <f>_xlfn.XLOOKUP(A2792,Energy!A:A,Energy!I:I,0)</f>
        <v>0</v>
      </c>
      <c r="G2792">
        <f t="shared" si="173"/>
        <v>0</v>
      </c>
      <c r="H2792">
        <f t="shared" si="174"/>
        <v>-16932.837320479324</v>
      </c>
      <c r="I2792" t="b">
        <f t="shared" si="175"/>
        <v>0</v>
      </c>
    </row>
    <row r="2793" spans="1:9">
      <c r="A2793" s="1">
        <v>46175.604861111111</v>
      </c>
      <c r="B2793" s="5">
        <f>_xlfn.XLOOKUP(A2793,Banks!A:A,Banks!H:H,0,-1)</f>
        <v>4795.6322919239146</v>
      </c>
      <c r="C2793">
        <f>_xlfn.XLOOKUP(A2793,Energy!A:A,Energy!H:H,0,-1)</f>
        <v>12137.205028555411</v>
      </c>
      <c r="D2793">
        <f t="shared" si="172"/>
        <v>16932.837320479324</v>
      </c>
      <c r="E2793">
        <f>_xlfn.XLOOKUP(A2793,Banks!A:A,Banks!I:I,0)</f>
        <v>0</v>
      </c>
      <c r="F2793">
        <f>_xlfn.XLOOKUP(A2793,Energy!A:A,Energy!I:I,0)</f>
        <v>35077.236568004242</v>
      </c>
      <c r="G2793">
        <f t="shared" si="173"/>
        <v>35077.236568004242</v>
      </c>
      <c r="H2793">
        <f t="shared" si="174"/>
        <v>18144.399247524918</v>
      </c>
      <c r="I2793" t="b">
        <f t="shared" si="175"/>
        <v>0</v>
      </c>
    </row>
    <row r="2794" spans="1:9">
      <c r="A2794" s="1">
        <v>46175.605555555558</v>
      </c>
      <c r="B2794" s="5">
        <f>_xlfn.XLOOKUP(A2794,Banks!A:A,Banks!H:H,0,-1)</f>
        <v>4795.6322919239146</v>
      </c>
      <c r="C2794">
        <f>_xlfn.XLOOKUP(A2794,Energy!A:A,Energy!H:H,0,-1)</f>
        <v>12045.988422055811</v>
      </c>
      <c r="D2794">
        <f t="shared" si="172"/>
        <v>16841.620713979726</v>
      </c>
      <c r="E2794">
        <f>_xlfn.XLOOKUP(A2794,Banks!A:A,Banks!I:I,0)</f>
        <v>0</v>
      </c>
      <c r="F2794">
        <f>_xlfn.XLOOKUP(A2794,Energy!A:A,Energy!I:I,0)</f>
        <v>35188.231173727967</v>
      </c>
      <c r="G2794">
        <f t="shared" si="173"/>
        <v>35188.231173727967</v>
      </c>
      <c r="H2794">
        <f t="shared" si="174"/>
        <v>18346.610459748241</v>
      </c>
      <c r="I2794" t="b">
        <f t="shared" si="175"/>
        <v>0</v>
      </c>
    </row>
    <row r="2795" spans="1:9">
      <c r="A2795" s="1">
        <v>46175.606249999997</v>
      </c>
      <c r="B2795" s="5">
        <f>_xlfn.XLOOKUP(A2795,Banks!A:A,Banks!H:H,0,-1)</f>
        <v>4795.6322919239146</v>
      </c>
      <c r="C2795">
        <f>_xlfn.XLOOKUP(A2795,Energy!A:A,Energy!H:H,0,-1)</f>
        <v>12200.5738960955</v>
      </c>
      <c r="D2795">
        <f t="shared" si="172"/>
        <v>16996.206188019416</v>
      </c>
      <c r="E2795">
        <f>_xlfn.XLOOKUP(A2795,Banks!A:A,Banks!I:I,0)</f>
        <v>0</v>
      </c>
      <c r="F2795">
        <f>_xlfn.XLOOKUP(A2795,Energy!A:A,Energy!I:I,0)</f>
        <v>35219.148268535908</v>
      </c>
      <c r="G2795">
        <f t="shared" si="173"/>
        <v>35219.148268535908</v>
      </c>
      <c r="H2795">
        <f t="shared" si="174"/>
        <v>18222.942080516492</v>
      </c>
      <c r="I2795" t="b">
        <f t="shared" si="175"/>
        <v>0</v>
      </c>
    </row>
    <row r="2796" spans="1:9">
      <c r="A2796" s="1">
        <v>46175.606944444437</v>
      </c>
      <c r="B2796" s="5">
        <f>_xlfn.XLOOKUP(A2796,Banks!A:A,Banks!H:H,0,-1)</f>
        <v>4795.6322919239146</v>
      </c>
      <c r="C2796">
        <f>_xlfn.XLOOKUP(A2796,Energy!A:A,Energy!H:H,0,-1)</f>
        <v>11961.67124549749</v>
      </c>
      <c r="D2796">
        <f t="shared" si="172"/>
        <v>16757.303537421405</v>
      </c>
      <c r="E2796">
        <f>_xlfn.XLOOKUP(A2796,Banks!A:A,Banks!I:I,0)</f>
        <v>0</v>
      </c>
      <c r="F2796">
        <f>_xlfn.XLOOKUP(A2796,Energy!A:A,Energy!I:I,0)</f>
        <v>35243.740977549547</v>
      </c>
      <c r="G2796">
        <f t="shared" si="173"/>
        <v>35243.740977549547</v>
      </c>
      <c r="H2796">
        <f t="shared" si="174"/>
        <v>18486.437440128142</v>
      </c>
      <c r="I2796" t="b">
        <f t="shared" si="175"/>
        <v>0</v>
      </c>
    </row>
    <row r="2797" spans="1:9">
      <c r="A2797" s="1">
        <v>46175.607638888891</v>
      </c>
      <c r="B2797" s="5">
        <f>_xlfn.XLOOKUP(A2797,Banks!A:A,Banks!H:H,0,-1)</f>
        <v>4795.6322919239146</v>
      </c>
      <c r="C2797">
        <f>_xlfn.XLOOKUP(A2797,Energy!A:A,Energy!H:H,0,-1)</f>
        <v>11619.794951937831</v>
      </c>
      <c r="D2797">
        <f t="shared" si="172"/>
        <v>16415.427243861745</v>
      </c>
      <c r="E2797">
        <f>_xlfn.XLOOKUP(A2797,Banks!A:A,Banks!I:I,0)</f>
        <v>0</v>
      </c>
      <c r="F2797">
        <f>_xlfn.XLOOKUP(A2797,Energy!A:A,Energy!I:I,0)</f>
        <v>35237.399923808967</v>
      </c>
      <c r="G2797">
        <f t="shared" si="173"/>
        <v>35237.399923808967</v>
      </c>
      <c r="H2797">
        <f t="shared" si="174"/>
        <v>18821.972679947223</v>
      </c>
      <c r="I2797" t="b">
        <f t="shared" si="175"/>
        <v>0</v>
      </c>
    </row>
    <row r="2798" spans="1:9">
      <c r="A2798" s="1">
        <v>46175.60833333333</v>
      </c>
      <c r="B2798" s="5">
        <f>_xlfn.XLOOKUP(A2798,Banks!A:A,Banks!H:H,0,-1)</f>
        <v>4795.6322919239146</v>
      </c>
      <c r="C2798">
        <f>_xlfn.XLOOKUP(A2798,Energy!A:A,Energy!H:H,0,-1)</f>
        <v>11656.43319952739</v>
      </c>
      <c r="D2798">
        <f t="shared" si="172"/>
        <v>16452.065491451303</v>
      </c>
      <c r="E2798">
        <f>_xlfn.XLOOKUP(A2798,Banks!A:A,Banks!I:I,0)</f>
        <v>0</v>
      </c>
      <c r="F2798">
        <f>_xlfn.XLOOKUP(A2798,Energy!A:A,Energy!I:I,0)</f>
        <v>35227.495849723731</v>
      </c>
      <c r="G2798">
        <f t="shared" si="173"/>
        <v>35227.495849723731</v>
      </c>
      <c r="H2798">
        <f t="shared" si="174"/>
        <v>18775.430358272428</v>
      </c>
      <c r="I2798" t="b">
        <f t="shared" si="175"/>
        <v>0</v>
      </c>
    </row>
    <row r="2799" spans="1:9">
      <c r="A2799" s="1">
        <v>46175.609027777777</v>
      </c>
      <c r="B2799" s="5">
        <f>_xlfn.XLOOKUP(A2799,Banks!A:A,Banks!H:H,0,-1)</f>
        <v>4795.6322919239146</v>
      </c>
      <c r="C2799">
        <f>_xlfn.XLOOKUP(A2799,Energy!A:A,Energy!H:H,0,-1)</f>
        <v>11662.79092121426</v>
      </c>
      <c r="D2799">
        <f t="shared" si="172"/>
        <v>16458.423213138176</v>
      </c>
      <c r="E2799">
        <f>_xlfn.XLOOKUP(A2799,Banks!A:A,Banks!I:I,0)</f>
        <v>0</v>
      </c>
      <c r="F2799">
        <f>_xlfn.XLOOKUP(A2799,Energy!A:A,Energy!I:I,0)</f>
        <v>35239.106428223</v>
      </c>
      <c r="G2799">
        <f t="shared" si="173"/>
        <v>35239.106428223</v>
      </c>
      <c r="H2799">
        <f t="shared" si="174"/>
        <v>18780.683215084824</v>
      </c>
      <c r="I2799" t="b">
        <f t="shared" si="175"/>
        <v>0</v>
      </c>
    </row>
    <row r="2800" spans="1:9">
      <c r="A2800" s="1">
        <v>46175.609722222223</v>
      </c>
      <c r="B2800" s="5">
        <f>_xlfn.XLOOKUP(A2800,Banks!A:A,Banks!H:H,0,-1)</f>
        <v>4795.6322919239146</v>
      </c>
      <c r="C2800">
        <f>_xlfn.XLOOKUP(A2800,Energy!A:A,Energy!H:H,0,-1)</f>
        <v>11772.28896532571</v>
      </c>
      <c r="D2800">
        <f t="shared" si="172"/>
        <v>16567.921257249625</v>
      </c>
      <c r="E2800">
        <f>_xlfn.XLOOKUP(A2800,Banks!A:A,Banks!I:I,0)</f>
        <v>0</v>
      </c>
      <c r="F2800">
        <f>_xlfn.XLOOKUP(A2800,Energy!A:A,Energy!I:I,0)</f>
        <v>35261.006037045292</v>
      </c>
      <c r="G2800">
        <f t="shared" si="173"/>
        <v>35261.006037045292</v>
      </c>
      <c r="H2800">
        <f t="shared" si="174"/>
        <v>18693.084779795667</v>
      </c>
      <c r="I2800" t="b">
        <f t="shared" si="175"/>
        <v>0</v>
      </c>
    </row>
    <row r="2801" spans="1:9">
      <c r="A2801" s="1">
        <v>46175.61041666667</v>
      </c>
      <c r="B2801" s="5">
        <f>_xlfn.XLOOKUP(A2801,Banks!A:A,Banks!H:H,0,-1)</f>
        <v>4795.6322919239146</v>
      </c>
      <c r="C2801">
        <f>_xlfn.XLOOKUP(A2801,Energy!A:A,Energy!H:H,0,-1)</f>
        <v>11753.54915919089</v>
      </c>
      <c r="D2801">
        <f t="shared" si="172"/>
        <v>16549.181451114804</v>
      </c>
      <c r="E2801">
        <f>_xlfn.XLOOKUP(A2801,Banks!A:A,Banks!I:I,0)</f>
        <v>0</v>
      </c>
      <c r="F2801">
        <f>_xlfn.XLOOKUP(A2801,Energy!A:A,Energy!I:I,0)</f>
        <v>35184.88483668508</v>
      </c>
      <c r="G2801">
        <f t="shared" si="173"/>
        <v>35184.88483668508</v>
      </c>
      <c r="H2801">
        <f t="shared" si="174"/>
        <v>18635.703385570276</v>
      </c>
      <c r="I2801" t="b">
        <f t="shared" si="175"/>
        <v>0</v>
      </c>
    </row>
    <row r="2802" spans="1:9">
      <c r="A2802" s="1">
        <v>46175.611111111109</v>
      </c>
      <c r="B2802" s="5">
        <f>_xlfn.XLOOKUP(A2802,Banks!A:A,Banks!H:H,0,-1)</f>
        <v>4795.6322919239146</v>
      </c>
      <c r="C2802">
        <f>_xlfn.XLOOKUP(A2802,Energy!A:A,Energy!H:H,0,-1)</f>
        <v>12024.073738760349</v>
      </c>
      <c r="D2802">
        <f t="shared" si="172"/>
        <v>16819.706030684265</v>
      </c>
      <c r="E2802">
        <f>_xlfn.XLOOKUP(A2802,Banks!A:A,Banks!I:I,0)</f>
        <v>0</v>
      </c>
      <c r="F2802">
        <f>_xlfn.XLOOKUP(A2802,Energy!A:A,Energy!I:I,0)</f>
        <v>35238.989752598973</v>
      </c>
      <c r="G2802">
        <f t="shared" si="173"/>
        <v>35238.989752598973</v>
      </c>
      <c r="H2802">
        <f t="shared" si="174"/>
        <v>18419.283721914708</v>
      </c>
      <c r="I2802" t="b">
        <f t="shared" si="175"/>
        <v>0</v>
      </c>
    </row>
    <row r="2803" spans="1:9">
      <c r="A2803" s="1">
        <v>46175.611805555563</v>
      </c>
      <c r="B2803" s="5">
        <f>_xlfn.XLOOKUP(A2803,Banks!A:A,Banks!H:H,0,-1)</f>
        <v>4795.6322919239146</v>
      </c>
      <c r="C2803">
        <f>_xlfn.XLOOKUP(A2803,Energy!A:A,Energy!H:H,0,-1)</f>
        <v>12075.60223010691</v>
      </c>
      <c r="D2803">
        <f t="shared" si="172"/>
        <v>16871.234522030823</v>
      </c>
      <c r="E2803">
        <f>_xlfn.XLOOKUP(A2803,Banks!A:A,Banks!I:I,0)</f>
        <v>0</v>
      </c>
      <c r="F2803">
        <f>_xlfn.XLOOKUP(A2803,Energy!A:A,Energy!I:I,0)</f>
        <v>35249.295450868281</v>
      </c>
      <c r="G2803">
        <f t="shared" si="173"/>
        <v>35249.295450868281</v>
      </c>
      <c r="H2803">
        <f t="shared" si="174"/>
        <v>18378.060928837458</v>
      </c>
      <c r="I2803" t="b">
        <f t="shared" si="175"/>
        <v>0</v>
      </c>
    </row>
    <row r="2804" spans="1:9">
      <c r="A2804" s="1">
        <v>46175.612500000003</v>
      </c>
      <c r="B2804" s="5">
        <f>_xlfn.XLOOKUP(A2804,Banks!A:A,Banks!H:H,0,-1)</f>
        <v>4795.6322919239146</v>
      </c>
      <c r="C2804">
        <f>_xlfn.XLOOKUP(A2804,Energy!A:A,Energy!H:H,0,-1)</f>
        <v>11911.650836682609</v>
      </c>
      <c r="D2804">
        <f t="shared" si="172"/>
        <v>16707.283128606523</v>
      </c>
      <c r="E2804">
        <f>_xlfn.XLOOKUP(A2804,Banks!A:A,Banks!I:I,0)</f>
        <v>0</v>
      </c>
      <c r="F2804">
        <f>_xlfn.XLOOKUP(A2804,Energy!A:A,Energy!I:I,0)</f>
        <v>35313.00282436108</v>
      </c>
      <c r="G2804">
        <f t="shared" si="173"/>
        <v>35313.00282436108</v>
      </c>
      <c r="H2804">
        <f t="shared" si="174"/>
        <v>18605.719695754557</v>
      </c>
      <c r="I2804" t="b">
        <f t="shared" si="175"/>
        <v>0</v>
      </c>
    </row>
    <row r="2805" spans="1:9">
      <c r="A2805" s="1">
        <v>46175.613194444442</v>
      </c>
      <c r="B2805" s="5">
        <f>_xlfn.XLOOKUP(A2805,Banks!A:A,Banks!H:H,0,-1)</f>
        <v>4795.6322919239146</v>
      </c>
      <c r="C2805">
        <f>_xlfn.XLOOKUP(A2805,Energy!A:A,Energy!H:H,0,-1)</f>
        <v>11907.21789618464</v>
      </c>
      <c r="D2805">
        <f t="shared" si="172"/>
        <v>16702.850188108554</v>
      </c>
      <c r="E2805">
        <f>_xlfn.XLOOKUP(A2805,Banks!A:A,Banks!I:I,0)</f>
        <v>0</v>
      </c>
      <c r="F2805">
        <f>_xlfn.XLOOKUP(A2805,Energy!A:A,Energy!I:I,0)</f>
        <v>35329.347959864637</v>
      </c>
      <c r="G2805">
        <f t="shared" si="173"/>
        <v>35329.347959864637</v>
      </c>
      <c r="H2805">
        <f t="shared" si="174"/>
        <v>18626.497771756083</v>
      </c>
      <c r="I2805" t="b">
        <f t="shared" si="175"/>
        <v>0</v>
      </c>
    </row>
    <row r="2806" spans="1:9">
      <c r="A2806" s="1">
        <v>46175.613888888889</v>
      </c>
      <c r="B2806" s="5">
        <f>_xlfn.XLOOKUP(A2806,Banks!A:A,Banks!H:H,0,-1)</f>
        <v>4795.6322919239146</v>
      </c>
      <c r="C2806">
        <f>_xlfn.XLOOKUP(A2806,Energy!A:A,Energy!H:H,0,-1)</f>
        <v>11855.68940483808</v>
      </c>
      <c r="D2806">
        <f t="shared" si="172"/>
        <v>16651.321696761996</v>
      </c>
      <c r="E2806">
        <f>_xlfn.XLOOKUP(A2806,Banks!A:A,Banks!I:I,0)</f>
        <v>0</v>
      </c>
      <c r="F2806">
        <f>_xlfn.XLOOKUP(A2806,Energy!A:A,Energy!I:I,0)</f>
        <v>35319.042261595343</v>
      </c>
      <c r="G2806">
        <f t="shared" si="173"/>
        <v>35319.042261595343</v>
      </c>
      <c r="H2806">
        <f t="shared" si="174"/>
        <v>18667.720564833347</v>
      </c>
      <c r="I2806" t="b">
        <f t="shared" si="175"/>
        <v>0</v>
      </c>
    </row>
    <row r="2807" spans="1:9">
      <c r="A2807" s="1">
        <v>46175.614583333343</v>
      </c>
      <c r="B2807" s="5">
        <f>_xlfn.XLOOKUP(A2807,Banks!A:A,Banks!H:H,0,-1)</f>
        <v>4795.6322919239146</v>
      </c>
      <c r="C2807">
        <f>_xlfn.XLOOKUP(A2807,Energy!A:A,Energy!H:H,0,-1)</f>
        <v>12057.95380784651</v>
      </c>
      <c r="D2807">
        <f t="shared" si="172"/>
        <v>16853.586099770426</v>
      </c>
      <c r="E2807">
        <f>_xlfn.XLOOKUP(A2807,Banks!A:A,Banks!I:I,0)</f>
        <v>0</v>
      </c>
      <c r="F2807">
        <f>_xlfn.XLOOKUP(A2807,Energy!A:A,Energy!I:I,0)</f>
        <v>35304.353626666933</v>
      </c>
      <c r="G2807">
        <f t="shared" si="173"/>
        <v>35304.353626666933</v>
      </c>
      <c r="H2807">
        <f t="shared" si="174"/>
        <v>18450.767526896507</v>
      </c>
      <c r="I2807" t="b">
        <f t="shared" si="175"/>
        <v>0</v>
      </c>
    </row>
    <row r="2808" spans="1:9">
      <c r="A2808" s="1">
        <v>46175.615277777782</v>
      </c>
      <c r="B2808" s="5">
        <f>_xlfn.XLOOKUP(A2808,Banks!A:A,Banks!H:H,0,-1)</f>
        <v>4795.6322919239146</v>
      </c>
      <c r="C2808">
        <f>_xlfn.XLOOKUP(A2808,Energy!A:A,Energy!H:H,0,-1)</f>
        <v>12044.571646621171</v>
      </c>
      <c r="D2808">
        <f t="shared" si="172"/>
        <v>16840.203938545084</v>
      </c>
      <c r="E2808">
        <f>_xlfn.XLOOKUP(A2808,Banks!A:A,Banks!I:I,0)</f>
        <v>0</v>
      </c>
      <c r="F2808">
        <f>_xlfn.XLOOKUP(A2808,Energy!A:A,Energy!I:I,0)</f>
        <v>35363.711399393207</v>
      </c>
      <c r="G2808">
        <f t="shared" si="173"/>
        <v>35363.711399393207</v>
      </c>
      <c r="H2808">
        <f t="shared" si="174"/>
        <v>18523.507460848123</v>
      </c>
      <c r="I2808" t="b">
        <f t="shared" si="175"/>
        <v>0</v>
      </c>
    </row>
    <row r="2809" spans="1:9">
      <c r="A2809" s="1">
        <v>46175.615972222222</v>
      </c>
      <c r="B2809" s="5">
        <f>_xlfn.XLOOKUP(A2809,Banks!A:A,Banks!H:H,0,-1)</f>
        <v>4795.6322919239146</v>
      </c>
      <c r="C2809">
        <f>_xlfn.XLOOKUP(A2809,Energy!A:A,Energy!H:H,0,-1)</f>
        <v>12031.68952378454</v>
      </c>
      <c r="D2809">
        <f t="shared" si="172"/>
        <v>16827.321815708456</v>
      </c>
      <c r="E2809">
        <f>_xlfn.XLOOKUP(A2809,Banks!A:A,Banks!I:I,0)</f>
        <v>0</v>
      </c>
      <c r="F2809">
        <f>_xlfn.XLOOKUP(A2809,Energy!A:A,Energy!I:I,0)</f>
        <v>35361.134974825887</v>
      </c>
      <c r="G2809">
        <f t="shared" si="173"/>
        <v>35361.134974825887</v>
      </c>
      <c r="H2809">
        <f t="shared" si="174"/>
        <v>18533.813159117431</v>
      </c>
      <c r="I2809" t="b">
        <f t="shared" si="175"/>
        <v>0</v>
      </c>
    </row>
    <row r="2810" spans="1:9">
      <c r="A2810" s="1">
        <v>46175.616666666669</v>
      </c>
      <c r="B2810" s="5">
        <f>_xlfn.XLOOKUP(A2810,Banks!A:A,Banks!H:H,0,-1)</f>
        <v>4795.6322919239146</v>
      </c>
      <c r="C2810">
        <f>_xlfn.XLOOKUP(A2810,Energy!A:A,Energy!H:H,0,-1)</f>
        <v>11928.632541091411</v>
      </c>
      <c r="D2810">
        <f t="shared" si="172"/>
        <v>16724.264833015324</v>
      </c>
      <c r="E2810">
        <f>_xlfn.XLOOKUP(A2810,Banks!A:A,Banks!I:I,0)</f>
        <v>0</v>
      </c>
      <c r="F2810">
        <f>_xlfn.XLOOKUP(A2810,Energy!A:A,Energy!I:I,0)</f>
        <v>35340.523578287262</v>
      </c>
      <c r="G2810">
        <f t="shared" si="173"/>
        <v>35340.523578287262</v>
      </c>
      <c r="H2810">
        <f t="shared" si="174"/>
        <v>18616.258745271938</v>
      </c>
      <c r="I2810" t="b">
        <f t="shared" si="175"/>
        <v>0</v>
      </c>
    </row>
    <row r="2811" spans="1:9">
      <c r="A2811" s="1">
        <v>46175.617361111108</v>
      </c>
      <c r="B2811" s="5">
        <f>_xlfn.XLOOKUP(A2811,Banks!A:A,Banks!H:H,0,-1)</f>
        <v>4795.6322919239146</v>
      </c>
      <c r="C2811">
        <f>_xlfn.XLOOKUP(A2811,Energy!A:A,Energy!H:H,0,-1)</f>
        <v>12042.73020516372</v>
      </c>
      <c r="D2811">
        <f t="shared" si="172"/>
        <v>16838.362497087634</v>
      </c>
      <c r="E2811">
        <f>_xlfn.XLOOKUP(A2811,Banks!A:A,Banks!I:I,0)</f>
        <v>0</v>
      </c>
      <c r="F2811">
        <f>_xlfn.XLOOKUP(A2811,Energy!A:A,Energy!I:I,0)</f>
        <v>35325.433319174779</v>
      </c>
      <c r="G2811">
        <f t="shared" si="173"/>
        <v>35325.433319174779</v>
      </c>
      <c r="H2811">
        <f t="shared" si="174"/>
        <v>18487.070822087146</v>
      </c>
      <c r="I2811" t="b">
        <f t="shared" si="175"/>
        <v>0</v>
      </c>
    </row>
    <row r="2812" spans="1:9">
      <c r="A2812" s="1">
        <v>46175.618055555547</v>
      </c>
      <c r="B2812" s="5">
        <f>_xlfn.XLOOKUP(A2812,Banks!A:A,Banks!H:H,0,-1)</f>
        <v>4795.6322919239146</v>
      </c>
      <c r="C2812">
        <f>_xlfn.XLOOKUP(A2812,Energy!A:A,Energy!H:H,0,-1)</f>
        <v>12050.43505870369</v>
      </c>
      <c r="D2812">
        <f t="shared" si="172"/>
        <v>16846.067350627603</v>
      </c>
      <c r="E2812">
        <f>_xlfn.XLOOKUP(A2812,Banks!A:A,Banks!I:I,0)</f>
        <v>0</v>
      </c>
      <c r="F2812">
        <f>_xlfn.XLOOKUP(A2812,Energy!A:A,Energy!I:I,0)</f>
        <v>0</v>
      </c>
      <c r="G2812">
        <f t="shared" si="173"/>
        <v>0</v>
      </c>
      <c r="H2812">
        <f t="shared" si="174"/>
        <v>-16846.067350627603</v>
      </c>
      <c r="I2812" t="b">
        <f t="shared" si="175"/>
        <v>0</v>
      </c>
    </row>
    <row r="2813" spans="1:9">
      <c r="A2813" s="1">
        <v>46176.727083333331</v>
      </c>
      <c r="B2813" s="5">
        <f>_xlfn.XLOOKUP(A2813,Banks!A:A,Banks!H:H,0,-1)</f>
        <v>4795.6322919239146</v>
      </c>
      <c r="C2813">
        <f>_xlfn.XLOOKUP(A2813,Energy!A:A,Energy!H:H,0,-1)</f>
        <v>12050.43505870369</v>
      </c>
      <c r="D2813">
        <f t="shared" si="172"/>
        <v>16846.067350627603</v>
      </c>
      <c r="E2813">
        <f>_xlfn.XLOOKUP(A2813,Banks!A:A,Banks!I:I,0)</f>
        <v>0</v>
      </c>
      <c r="F2813">
        <f>_xlfn.XLOOKUP(A2813,Energy!A:A,Energy!I:I,0)</f>
        <v>35077.236568004242</v>
      </c>
      <c r="G2813">
        <f t="shared" si="173"/>
        <v>35077.236568004242</v>
      </c>
      <c r="H2813">
        <f t="shared" si="174"/>
        <v>18231.169217376639</v>
      </c>
      <c r="I2813" t="b">
        <f t="shared" si="175"/>
        <v>0</v>
      </c>
    </row>
    <row r="2814" spans="1:9">
      <c r="A2814" s="1">
        <v>46176.727777777778</v>
      </c>
      <c r="B2814" s="5">
        <f>_xlfn.XLOOKUP(A2814,Banks!A:A,Banks!H:H,0,-1)</f>
        <v>4795.6322919239146</v>
      </c>
      <c r="C2814">
        <f>_xlfn.XLOOKUP(A2814,Energy!A:A,Energy!H:H,0,-1)</f>
        <v>12083.902260845591</v>
      </c>
      <c r="D2814">
        <f t="shared" si="172"/>
        <v>16879.534552769506</v>
      </c>
      <c r="E2814">
        <f>_xlfn.XLOOKUP(A2814,Banks!A:A,Banks!I:I,0)</f>
        <v>0</v>
      </c>
      <c r="F2814">
        <f>_xlfn.XLOOKUP(A2814,Energy!A:A,Energy!I:I,0)</f>
        <v>35070.54312757586</v>
      </c>
      <c r="G2814">
        <f t="shared" si="173"/>
        <v>35070.54312757586</v>
      </c>
      <c r="H2814">
        <f t="shared" si="174"/>
        <v>18191.008574806354</v>
      </c>
      <c r="I2814" t="b">
        <f t="shared" si="175"/>
        <v>0</v>
      </c>
    </row>
    <row r="2815" spans="1:9">
      <c r="A2815" s="1">
        <v>46176.728472222218</v>
      </c>
      <c r="B2815" s="5">
        <f>_xlfn.XLOOKUP(A2815,Banks!A:A,Banks!H:H,0,-1)</f>
        <v>4795.6322919239146</v>
      </c>
      <c r="C2815">
        <f>_xlfn.XLOOKUP(A2815,Energy!A:A,Energy!H:H,0,-1)</f>
        <v>12058.80185923916</v>
      </c>
      <c r="D2815">
        <f t="shared" si="172"/>
        <v>16854.434151163074</v>
      </c>
      <c r="E2815">
        <f>_xlfn.XLOOKUP(A2815,Banks!A:A,Banks!I:I,0)</f>
        <v>0</v>
      </c>
      <c r="F2815">
        <f>_xlfn.XLOOKUP(A2815,Energy!A:A,Energy!I:I,0)</f>
        <v>35075.563207897147</v>
      </c>
      <c r="G2815">
        <f t="shared" si="173"/>
        <v>35075.563207897147</v>
      </c>
      <c r="H2815">
        <f t="shared" si="174"/>
        <v>18221.129056734073</v>
      </c>
      <c r="I2815" t="b">
        <f t="shared" si="175"/>
        <v>0</v>
      </c>
    </row>
    <row r="2816" spans="1:9">
      <c r="A2816" s="1">
        <v>46176.729166666657</v>
      </c>
      <c r="B2816" s="5">
        <f>_xlfn.XLOOKUP(A2816,Banks!A:A,Banks!H:H,0,-1)</f>
        <v>4795.6322919239146</v>
      </c>
      <c r="C2816">
        <f>_xlfn.XLOOKUP(A2816,Energy!A:A,Energy!H:H,0,-1)</f>
        <v>12004.5846415092</v>
      </c>
      <c r="D2816">
        <f t="shared" si="172"/>
        <v>16800.216933433116</v>
      </c>
      <c r="E2816">
        <f>_xlfn.XLOOKUP(A2816,Banks!A:A,Banks!I:I,0)</f>
        <v>0</v>
      </c>
      <c r="F2816">
        <f>_xlfn.XLOOKUP(A2816,Energy!A:A,Energy!I:I,0)</f>
        <v>35076.433285100808</v>
      </c>
      <c r="G2816">
        <f t="shared" si="173"/>
        <v>35076.433285100808</v>
      </c>
      <c r="H2816">
        <f t="shared" si="174"/>
        <v>18276.216351667692</v>
      </c>
      <c r="I2816" t="b">
        <f t="shared" si="175"/>
        <v>0</v>
      </c>
    </row>
    <row r="2817" spans="1:9">
      <c r="A2817" s="1">
        <v>46176.729861111111</v>
      </c>
      <c r="B2817" s="5">
        <f>_xlfn.XLOOKUP(A2817,Banks!A:A,Banks!H:H,0,-1)</f>
        <v>4795.6322919239146</v>
      </c>
      <c r="C2817">
        <f>_xlfn.XLOOKUP(A2817,Energy!A:A,Energy!H:H,0,-1)</f>
        <v>12003.453109441411</v>
      </c>
      <c r="D2817">
        <f t="shared" si="172"/>
        <v>16799.085401365326</v>
      </c>
      <c r="E2817">
        <f>_xlfn.XLOOKUP(A2817,Banks!A:A,Banks!I:I,0)</f>
        <v>0</v>
      </c>
      <c r="F2817">
        <f>_xlfn.XLOOKUP(A2817,Energy!A:A,Energy!I:I,0)</f>
        <v>35019.312735046027</v>
      </c>
      <c r="G2817">
        <f t="shared" si="173"/>
        <v>35019.312735046027</v>
      </c>
      <c r="H2817">
        <f t="shared" si="174"/>
        <v>18220.227333680701</v>
      </c>
      <c r="I2817" t="b">
        <f t="shared" si="175"/>
        <v>0</v>
      </c>
    </row>
    <row r="2818" spans="1:9">
      <c r="A2818" s="1">
        <v>46176.730555555558</v>
      </c>
      <c r="B2818" s="5">
        <f>_xlfn.XLOOKUP(A2818,Banks!A:A,Banks!H:H,0,-1)</f>
        <v>4795.6322919239146</v>
      </c>
      <c r="C2818">
        <f>_xlfn.XLOOKUP(A2818,Energy!A:A,Energy!H:H,0,-1)</f>
        <v>11993.036355209721</v>
      </c>
      <c r="D2818">
        <f t="shared" si="172"/>
        <v>16788.668647133636</v>
      </c>
      <c r="E2818">
        <f>_xlfn.XLOOKUP(A2818,Banks!A:A,Banks!I:I,0)</f>
        <v>0</v>
      </c>
      <c r="F2818">
        <f>_xlfn.XLOOKUP(A2818,Energy!A:A,Energy!I:I,0)</f>
        <v>35018.90274430679</v>
      </c>
      <c r="G2818">
        <f t="shared" si="173"/>
        <v>35018.90274430679</v>
      </c>
      <c r="H2818">
        <f t="shared" si="174"/>
        <v>18230.234097173154</v>
      </c>
      <c r="I2818" t="b">
        <f t="shared" si="175"/>
        <v>0</v>
      </c>
    </row>
    <row r="2819" spans="1:9">
      <c r="A2819" s="1">
        <v>46176.731249999997</v>
      </c>
      <c r="B2819" s="5">
        <f>_xlfn.XLOOKUP(A2819,Banks!A:A,Banks!H:H,0,-1)</f>
        <v>4795.6322919239146</v>
      </c>
      <c r="C2819">
        <f>_xlfn.XLOOKUP(A2819,Energy!A:A,Energy!H:H,0,-1)</f>
        <v>11951.36933828297</v>
      </c>
      <c r="D2819">
        <f t="shared" ref="D2819:D2882" si="176">B2819+C2819</f>
        <v>16747.001630206883</v>
      </c>
      <c r="E2819">
        <f>_xlfn.XLOOKUP(A2819,Banks!A:A,Banks!I:I,0)</f>
        <v>0</v>
      </c>
      <c r="F2819">
        <f>_xlfn.XLOOKUP(A2819,Energy!A:A,Energy!I:I,0)</f>
        <v>35017.262781349818</v>
      </c>
      <c r="G2819">
        <f t="shared" ref="G2819:G2882" si="177">F2819+E2819</f>
        <v>35017.262781349818</v>
      </c>
      <c r="H2819">
        <f t="shared" ref="H2819:H2882" si="178">G2819-D2819</f>
        <v>18270.261151142935</v>
      </c>
      <c r="I2819" t="b">
        <f t="shared" ref="I2819:I2882" si="179">AND(E2819&gt;0,F2819&gt;0)</f>
        <v>0</v>
      </c>
    </row>
    <row r="2820" spans="1:9">
      <c r="A2820" s="1">
        <v>46176.731944444437</v>
      </c>
      <c r="B2820" s="5">
        <f>_xlfn.XLOOKUP(A2820,Banks!A:A,Banks!H:H,0,-1)</f>
        <v>4795.6322919239146</v>
      </c>
      <c r="C2820">
        <f>_xlfn.XLOOKUP(A2820,Energy!A:A,Energy!H:H,0,-1)</f>
        <v>11939.069616105689</v>
      </c>
      <c r="D2820">
        <f t="shared" si="176"/>
        <v>16734.701908029605</v>
      </c>
      <c r="E2820">
        <f>_xlfn.XLOOKUP(A2820,Banks!A:A,Banks!I:I,0)</f>
        <v>0</v>
      </c>
      <c r="F2820">
        <f>_xlfn.XLOOKUP(A2820,Energy!A:A,Energy!I:I,0)</f>
        <v>35004.762676271777</v>
      </c>
      <c r="G2820">
        <f t="shared" si="177"/>
        <v>35004.762676271777</v>
      </c>
      <c r="H2820">
        <f t="shared" si="178"/>
        <v>18270.060768242172</v>
      </c>
      <c r="I2820" t="b">
        <f t="shared" si="179"/>
        <v>0</v>
      </c>
    </row>
    <row r="2821" spans="1:9">
      <c r="A2821" s="1">
        <v>46176.732638888891</v>
      </c>
      <c r="B2821" s="5">
        <f>_xlfn.XLOOKUP(A2821,Banks!A:A,Banks!H:H,0,-1)</f>
        <v>4795.6322919239146</v>
      </c>
      <c r="C2821">
        <f>_xlfn.XLOOKUP(A2821,Energy!A:A,Energy!H:H,0,-1)</f>
        <v>11972.369832496959</v>
      </c>
      <c r="D2821">
        <f t="shared" si="176"/>
        <v>16768.002124420873</v>
      </c>
      <c r="E2821">
        <f>_xlfn.XLOOKUP(A2821,Banks!A:A,Banks!I:I,0)</f>
        <v>0</v>
      </c>
      <c r="F2821">
        <f>_xlfn.XLOOKUP(A2821,Energy!A:A,Energy!I:I,0)</f>
        <v>35008.075999335852</v>
      </c>
      <c r="G2821">
        <f t="shared" si="177"/>
        <v>35008.075999335852</v>
      </c>
      <c r="H2821">
        <f t="shared" si="178"/>
        <v>18240.073874914979</v>
      </c>
      <c r="I2821" t="b">
        <f t="shared" si="179"/>
        <v>0</v>
      </c>
    </row>
    <row r="2822" spans="1:9">
      <c r="A2822" s="1">
        <v>46176.73333333333</v>
      </c>
      <c r="B2822" s="5">
        <f>_xlfn.XLOOKUP(A2822,Banks!A:A,Banks!H:H,0,-1)</f>
        <v>4795.6322919239146</v>
      </c>
      <c r="C2822">
        <f>_xlfn.XLOOKUP(A2822,Energy!A:A,Energy!H:H,0,-1)</f>
        <v>11963.836046210859</v>
      </c>
      <c r="D2822">
        <f t="shared" si="176"/>
        <v>16759.468338134775</v>
      </c>
      <c r="E2822">
        <f>_xlfn.XLOOKUP(A2822,Banks!A:A,Banks!I:I,0)</f>
        <v>0</v>
      </c>
      <c r="F2822">
        <f>_xlfn.XLOOKUP(A2822,Energy!A:A,Energy!I:I,0)</f>
        <v>35019.756122935403</v>
      </c>
      <c r="G2822">
        <f t="shared" si="177"/>
        <v>35019.756122935403</v>
      </c>
      <c r="H2822">
        <f t="shared" si="178"/>
        <v>18260.287784800628</v>
      </c>
      <c r="I2822" t="b">
        <f t="shared" si="179"/>
        <v>0</v>
      </c>
    </row>
    <row r="2823" spans="1:9">
      <c r="A2823" s="1">
        <v>46176.734027777777</v>
      </c>
      <c r="B2823" s="5">
        <f>_xlfn.XLOOKUP(A2823,Banks!A:A,Banks!H:H,0,-1)</f>
        <v>4795.6322919239146</v>
      </c>
      <c r="C2823">
        <f>_xlfn.XLOOKUP(A2823,Energy!A:A,Energy!H:H,0,-1)</f>
        <v>11959.65264594313</v>
      </c>
      <c r="D2823">
        <f t="shared" si="176"/>
        <v>16755.284937867043</v>
      </c>
      <c r="E2823">
        <f>_xlfn.XLOOKUP(A2823,Banks!A:A,Banks!I:I,0)</f>
        <v>0</v>
      </c>
      <c r="F2823">
        <f>_xlfn.XLOOKUP(A2823,Energy!A:A,Energy!I:I,0)</f>
        <v>35020.59280298894</v>
      </c>
      <c r="G2823">
        <f t="shared" si="177"/>
        <v>35020.59280298894</v>
      </c>
      <c r="H2823">
        <f t="shared" si="178"/>
        <v>18265.307865121897</v>
      </c>
      <c r="I2823" t="b">
        <f t="shared" si="179"/>
        <v>0</v>
      </c>
    </row>
    <row r="2824" spans="1:9">
      <c r="A2824" s="1">
        <v>46176.734722222223</v>
      </c>
      <c r="B2824" s="5">
        <f>_xlfn.XLOOKUP(A2824,Banks!A:A,Banks!H:H,0,-1)</f>
        <v>4795.6322919239146</v>
      </c>
      <c r="C2824">
        <f>_xlfn.XLOOKUP(A2824,Energy!A:A,Energy!H:H,0,-1)</f>
        <v>11922.33601503474</v>
      </c>
      <c r="D2824">
        <f t="shared" si="176"/>
        <v>16717.968306958654</v>
      </c>
      <c r="E2824">
        <f>_xlfn.XLOOKUP(A2824,Banks!A:A,Banks!I:I,0)</f>
        <v>0</v>
      </c>
      <c r="F2824">
        <f>_xlfn.XLOOKUP(A2824,Energy!A:A,Energy!I:I,0)</f>
        <v>35008.109396485983</v>
      </c>
      <c r="G2824">
        <f t="shared" si="177"/>
        <v>35008.109396485983</v>
      </c>
      <c r="H2824">
        <f t="shared" si="178"/>
        <v>18290.141089527329</v>
      </c>
      <c r="I2824" t="b">
        <f t="shared" si="179"/>
        <v>0</v>
      </c>
    </row>
    <row r="2825" spans="1:9">
      <c r="A2825" s="1">
        <v>46176.73541666667</v>
      </c>
      <c r="B2825" s="5">
        <f>_xlfn.XLOOKUP(A2825,Banks!A:A,Banks!H:H,0,-1)</f>
        <v>4795.6322919239146</v>
      </c>
      <c r="C2825">
        <f>_xlfn.XLOOKUP(A2825,Energy!A:A,Energy!H:H,0,-1)</f>
        <v>11932.502290640479</v>
      </c>
      <c r="D2825">
        <f t="shared" si="176"/>
        <v>16728.134582564395</v>
      </c>
      <c r="E2825">
        <f>_xlfn.XLOOKUP(A2825,Banks!A:A,Banks!I:I,0)</f>
        <v>0</v>
      </c>
      <c r="F2825">
        <f>_xlfn.XLOOKUP(A2825,Energy!A:A,Energy!I:I,0)</f>
        <v>35023.529532463886</v>
      </c>
      <c r="G2825">
        <f t="shared" si="177"/>
        <v>35023.529532463886</v>
      </c>
      <c r="H2825">
        <f t="shared" si="178"/>
        <v>18295.394949899492</v>
      </c>
      <c r="I2825" t="b">
        <f t="shared" si="179"/>
        <v>0</v>
      </c>
    </row>
    <row r="2826" spans="1:9">
      <c r="A2826" s="1">
        <v>46176.736111111109</v>
      </c>
      <c r="B2826" s="5">
        <f>_xlfn.XLOOKUP(A2826,Banks!A:A,Banks!H:H,0,-1)</f>
        <v>4795.6322919239146</v>
      </c>
      <c r="C2826">
        <f>_xlfn.XLOOKUP(A2826,Energy!A:A,Energy!H:H,0,-1)</f>
        <v>11959.736138818451</v>
      </c>
      <c r="D2826">
        <f t="shared" si="176"/>
        <v>16755.368430742365</v>
      </c>
      <c r="E2826">
        <f>_xlfn.XLOOKUP(A2826,Banks!A:A,Banks!I:I,0)</f>
        <v>0</v>
      </c>
      <c r="F2826">
        <f>_xlfn.XLOOKUP(A2826,Energy!A:A,Energy!I:I,0)</f>
        <v>35015.589421242723</v>
      </c>
      <c r="G2826">
        <f t="shared" si="177"/>
        <v>35015.589421242723</v>
      </c>
      <c r="H2826">
        <f t="shared" si="178"/>
        <v>18260.220990500358</v>
      </c>
      <c r="I2826" t="b">
        <f t="shared" si="179"/>
        <v>0</v>
      </c>
    </row>
    <row r="2827" spans="1:9">
      <c r="A2827" s="1">
        <v>46176.736805555563</v>
      </c>
      <c r="B2827" s="5">
        <f>_xlfn.XLOOKUP(A2827,Banks!A:A,Banks!H:H,0,-1)</f>
        <v>4795.6322919239146</v>
      </c>
      <c r="C2827">
        <f>_xlfn.XLOOKUP(A2827,Energy!A:A,Energy!H:H,0,-1)</f>
        <v>11963.836046210859</v>
      </c>
      <c r="D2827">
        <f t="shared" si="176"/>
        <v>16759.468338134775</v>
      </c>
      <c r="E2827">
        <f>_xlfn.XLOOKUP(A2827,Banks!A:A,Banks!I:I,0)</f>
        <v>0</v>
      </c>
      <c r="F2827">
        <f>_xlfn.XLOOKUP(A2827,Energy!A:A,Energy!I:I,0)</f>
        <v>35019.756122935403</v>
      </c>
      <c r="G2827">
        <f t="shared" si="177"/>
        <v>35019.756122935403</v>
      </c>
      <c r="H2827">
        <f t="shared" si="178"/>
        <v>18260.287784800628</v>
      </c>
      <c r="I2827" t="b">
        <f t="shared" si="179"/>
        <v>0</v>
      </c>
    </row>
    <row r="2828" spans="1:9">
      <c r="A2828" s="1">
        <v>46176.737500000003</v>
      </c>
      <c r="B2828" s="5">
        <f>_xlfn.XLOOKUP(A2828,Banks!A:A,Banks!H:H,0,-1)</f>
        <v>4795.6322919239146</v>
      </c>
      <c r="C2828">
        <f>_xlfn.XLOOKUP(A2828,Energy!A:A,Energy!H:H,0,-1)</f>
        <v>11955.4692456754</v>
      </c>
      <c r="D2828">
        <f t="shared" si="176"/>
        <v>16751.101537599316</v>
      </c>
      <c r="E2828">
        <f>_xlfn.XLOOKUP(A2828,Banks!A:A,Banks!I:I,0)</f>
        <v>0</v>
      </c>
      <c r="F2828">
        <f>_xlfn.XLOOKUP(A2828,Energy!A:A,Energy!I:I,0)</f>
        <v>35021.429483042491</v>
      </c>
      <c r="G2828">
        <f t="shared" si="177"/>
        <v>35021.429483042491</v>
      </c>
      <c r="H2828">
        <f t="shared" si="178"/>
        <v>18270.327945443176</v>
      </c>
      <c r="I2828" t="b">
        <f t="shared" si="179"/>
        <v>0</v>
      </c>
    </row>
    <row r="2829" spans="1:9">
      <c r="A2829" s="1">
        <v>46176.738194444442</v>
      </c>
      <c r="B2829" s="5">
        <f>_xlfn.XLOOKUP(A2829,Banks!A:A,Banks!H:H,0,-1)</f>
        <v>4795.6322919239146</v>
      </c>
      <c r="C2829">
        <f>_xlfn.XLOOKUP(A2829,Energy!A:A,Energy!H:H,0,-1)</f>
        <v>11985.003526175489</v>
      </c>
      <c r="D2829">
        <f t="shared" si="176"/>
        <v>16780.635818099403</v>
      </c>
      <c r="E2829">
        <f>_xlfn.XLOOKUP(A2829,Banks!A:A,Banks!I:I,0)</f>
        <v>0</v>
      </c>
      <c r="F2829">
        <f>_xlfn.XLOOKUP(A2829,Energy!A:A,Energy!I:I,0)</f>
        <v>35000.562577428987</v>
      </c>
      <c r="G2829">
        <f t="shared" si="177"/>
        <v>35000.562577428987</v>
      </c>
      <c r="H2829">
        <f t="shared" si="178"/>
        <v>18219.926759329584</v>
      </c>
      <c r="I2829" t="b">
        <f t="shared" si="179"/>
        <v>0</v>
      </c>
    </row>
    <row r="2830" spans="1:9">
      <c r="A2830" s="1">
        <v>46176.738888888889</v>
      </c>
      <c r="B2830" s="5">
        <f>_xlfn.XLOOKUP(A2830,Banks!A:A,Banks!H:H,0,-1)</f>
        <v>4795.6322919239146</v>
      </c>
      <c r="C2830">
        <f>_xlfn.XLOOKUP(A2830,Energy!A:A,Energy!H:H,0,-1)</f>
        <v>11968.269925104551</v>
      </c>
      <c r="D2830">
        <f t="shared" si="176"/>
        <v>16763.902217028466</v>
      </c>
      <c r="E2830">
        <f>_xlfn.XLOOKUP(A2830,Banks!A:A,Banks!I:I,0)</f>
        <v>0</v>
      </c>
      <c r="F2830">
        <f>_xlfn.XLOOKUP(A2830,Energy!A:A,Energy!I:I,0)</f>
        <v>35003.909297643178</v>
      </c>
      <c r="G2830">
        <f t="shared" si="177"/>
        <v>35003.909297643178</v>
      </c>
      <c r="H2830">
        <f t="shared" si="178"/>
        <v>18240.007080614712</v>
      </c>
      <c r="I2830" t="b">
        <f t="shared" si="179"/>
        <v>0</v>
      </c>
    </row>
    <row r="2831" spans="1:9">
      <c r="A2831" s="1">
        <v>46176.739583333343</v>
      </c>
      <c r="B2831" s="5">
        <f>_xlfn.XLOOKUP(A2831,Banks!A:A,Banks!H:H,0,-1)</f>
        <v>4795.6322919239146</v>
      </c>
      <c r="C2831">
        <f>_xlfn.XLOOKUP(A2831,Energy!A:A,Energy!H:H,0,-1)</f>
        <v>11993.37032671097</v>
      </c>
      <c r="D2831">
        <f t="shared" si="176"/>
        <v>16789.002618634884</v>
      </c>
      <c r="E2831">
        <f>_xlfn.XLOOKUP(A2831,Banks!A:A,Banks!I:I,0)</f>
        <v>0</v>
      </c>
      <c r="F2831">
        <f>_xlfn.XLOOKUP(A2831,Energy!A:A,Energy!I:I,0)</f>
        <v>34998.889217321892</v>
      </c>
      <c r="G2831">
        <f t="shared" si="177"/>
        <v>34998.889217321892</v>
      </c>
      <c r="H2831">
        <f t="shared" si="178"/>
        <v>18209.886598687008</v>
      </c>
      <c r="I2831" t="b">
        <f t="shared" si="179"/>
        <v>0</v>
      </c>
    </row>
    <row r="2832" spans="1:9">
      <c r="A2832" s="1">
        <v>46176.740277777782</v>
      </c>
      <c r="B2832" s="5">
        <f>_xlfn.XLOOKUP(A2832,Banks!A:A,Banks!H:H,0,-1)</f>
        <v>4795.6322919239146</v>
      </c>
      <c r="C2832">
        <f>_xlfn.XLOOKUP(A2832,Energy!A:A,Energy!H:H,0,-1)</f>
        <v>11991.23688013945</v>
      </c>
      <c r="D2832">
        <f t="shared" si="176"/>
        <v>16786.869172063365</v>
      </c>
      <c r="E2832">
        <f>_xlfn.XLOOKUP(A2832,Banks!A:A,Banks!I:I,0)</f>
        <v>0</v>
      </c>
      <c r="F2832">
        <f>_xlfn.XLOOKUP(A2832,Energy!A:A,Energy!I:I,0)</f>
        <v>35001.809248221783</v>
      </c>
      <c r="G2832">
        <f t="shared" si="177"/>
        <v>35001.809248221783</v>
      </c>
      <c r="H2832">
        <f t="shared" si="178"/>
        <v>18214.940076158418</v>
      </c>
      <c r="I2832" t="b">
        <f t="shared" si="179"/>
        <v>0</v>
      </c>
    </row>
    <row r="2833" spans="1:9">
      <c r="A2833" s="1">
        <v>46176.740972222222</v>
      </c>
      <c r="B2833" s="5">
        <f>_xlfn.XLOOKUP(A2833,Banks!A:A,Banks!H:H,0,-1)</f>
        <v>4795.6322919239146</v>
      </c>
      <c r="C2833">
        <f>_xlfn.XLOOKUP(A2833,Energy!A:A,Energy!H:H,0,-1)</f>
        <v>11973.01821623785</v>
      </c>
      <c r="D2833">
        <f t="shared" si="176"/>
        <v>16768.650508161765</v>
      </c>
      <c r="E2833">
        <f>_xlfn.XLOOKUP(A2833,Banks!A:A,Banks!I:I,0)</f>
        <v>0</v>
      </c>
      <c r="F2833">
        <f>_xlfn.XLOOKUP(A2833,Energy!A:A,Energy!I:I,0)</f>
        <v>0</v>
      </c>
      <c r="G2833">
        <f t="shared" si="177"/>
        <v>0</v>
      </c>
      <c r="H2833">
        <f t="shared" si="178"/>
        <v>-16768.650508161765</v>
      </c>
      <c r="I2833" t="b">
        <f t="shared" si="179"/>
        <v>0</v>
      </c>
    </row>
    <row r="2834" spans="1:9">
      <c r="A2834" s="1">
        <v>46176.77847222222</v>
      </c>
      <c r="B2834" s="5">
        <f>_xlfn.XLOOKUP(A2834,Banks!A:A,Banks!H:H,0,-1)</f>
        <v>4795.6322919239146</v>
      </c>
      <c r="C2834">
        <f>_xlfn.XLOOKUP(A2834,Energy!A:A,Energy!H:H,0,-1)</f>
        <v>11973.01821623785</v>
      </c>
      <c r="D2834">
        <f t="shared" si="176"/>
        <v>16768.650508161765</v>
      </c>
      <c r="E2834">
        <f>_xlfn.XLOOKUP(A2834,Banks!A:A,Banks!I:I,0)</f>
        <v>43949.229234905833</v>
      </c>
      <c r="F2834">
        <f>_xlfn.XLOOKUP(A2834,Energy!A:A,Energy!I:I,0)</f>
        <v>0</v>
      </c>
      <c r="G2834">
        <f t="shared" si="177"/>
        <v>43949.229234905833</v>
      </c>
      <c r="H2834">
        <f t="shared" si="178"/>
        <v>27180.578726744068</v>
      </c>
      <c r="I2834" t="b">
        <f t="shared" si="179"/>
        <v>0</v>
      </c>
    </row>
    <row r="2835" spans="1:9">
      <c r="A2835" s="1">
        <v>46176.779166666667</v>
      </c>
      <c r="B2835" s="5">
        <f>_xlfn.XLOOKUP(A2835,Banks!A:A,Banks!H:H,0,-1)</f>
        <v>4795.6322919239146</v>
      </c>
      <c r="C2835">
        <f>_xlfn.XLOOKUP(A2835,Energy!A:A,Energy!H:H,0,-1)</f>
        <v>11973.01821623785</v>
      </c>
      <c r="D2835">
        <f t="shared" si="176"/>
        <v>16768.650508161765</v>
      </c>
      <c r="E2835">
        <f>_xlfn.XLOOKUP(A2835,Banks!A:A,Banks!I:I,0)</f>
        <v>43949.229234905833</v>
      </c>
      <c r="F2835">
        <f>_xlfn.XLOOKUP(A2835,Energy!A:A,Energy!I:I,0)</f>
        <v>0</v>
      </c>
      <c r="G2835">
        <f t="shared" si="177"/>
        <v>43949.229234905833</v>
      </c>
      <c r="H2835">
        <f t="shared" si="178"/>
        <v>27180.578726744068</v>
      </c>
      <c r="I2835" t="b">
        <f t="shared" si="179"/>
        <v>0</v>
      </c>
    </row>
    <row r="2836" spans="1:9">
      <c r="A2836" s="1">
        <v>46176.779861111107</v>
      </c>
      <c r="B2836" s="5">
        <f>_xlfn.XLOOKUP(A2836,Banks!A:A,Banks!H:H,0,-1)</f>
        <v>4805.2455909726086</v>
      </c>
      <c r="C2836">
        <f>_xlfn.XLOOKUP(A2836,Energy!A:A,Energy!H:H,0,-1)</f>
        <v>11973.01821623785</v>
      </c>
      <c r="D2836">
        <f t="shared" si="176"/>
        <v>16778.26380721046</v>
      </c>
      <c r="E2836">
        <f>_xlfn.XLOOKUP(A2836,Banks!A:A,Banks!I:I,0)</f>
        <v>43958.768987933989</v>
      </c>
      <c r="F2836">
        <f>_xlfn.XLOOKUP(A2836,Energy!A:A,Energy!I:I,0)</f>
        <v>0</v>
      </c>
      <c r="G2836">
        <f t="shared" si="177"/>
        <v>43958.768987933989</v>
      </c>
      <c r="H2836">
        <f t="shared" si="178"/>
        <v>27180.505180723529</v>
      </c>
      <c r="I2836" t="b">
        <f t="shared" si="179"/>
        <v>0</v>
      </c>
    </row>
    <row r="2837" spans="1:9">
      <c r="A2837" s="1">
        <v>46176.780555555553</v>
      </c>
      <c r="B2837" s="5">
        <f>_xlfn.XLOOKUP(A2837,Banks!A:A,Banks!H:H,0,-1)</f>
        <v>4757.4855374813505</v>
      </c>
      <c r="C2837">
        <f>_xlfn.XLOOKUP(A2837,Energy!A:A,Energy!H:H,0,-1)</f>
        <v>11973.01821623785</v>
      </c>
      <c r="D2837">
        <f t="shared" si="176"/>
        <v>16730.5037537192</v>
      </c>
      <c r="E2837">
        <f>_xlfn.XLOOKUP(A2837,Banks!A:A,Banks!I:I,0)</f>
        <v>43949.216977235737</v>
      </c>
      <c r="F2837">
        <f>_xlfn.XLOOKUP(A2837,Energy!A:A,Energy!I:I,0)</f>
        <v>0</v>
      </c>
      <c r="G2837">
        <f t="shared" si="177"/>
        <v>43949.216977235737</v>
      </c>
      <c r="H2837">
        <f t="shared" si="178"/>
        <v>27218.713223516537</v>
      </c>
      <c r="I2837" t="b">
        <f t="shared" si="179"/>
        <v>0</v>
      </c>
    </row>
    <row r="2838" spans="1:9">
      <c r="A2838" s="1">
        <v>46176.78125</v>
      </c>
      <c r="B2838" s="5">
        <f>_xlfn.XLOOKUP(A2838,Banks!A:A,Banks!H:H,0,-1)</f>
        <v>4738.3815160848508</v>
      </c>
      <c r="C2838">
        <f>_xlfn.XLOOKUP(A2838,Energy!A:A,Energy!H:H,0,-1)</f>
        <v>11973.01821623785</v>
      </c>
      <c r="D2838">
        <f t="shared" si="176"/>
        <v>16711.399732322701</v>
      </c>
      <c r="E2838">
        <f>_xlfn.XLOOKUP(A2838,Banks!A:A,Banks!I:I,0)</f>
        <v>43945.396172956447</v>
      </c>
      <c r="F2838">
        <f>_xlfn.XLOOKUP(A2838,Energy!A:A,Energy!I:I,0)</f>
        <v>0</v>
      </c>
      <c r="G2838">
        <f t="shared" si="177"/>
        <v>43945.396172956447</v>
      </c>
      <c r="H2838">
        <f t="shared" si="178"/>
        <v>27233.996440633746</v>
      </c>
      <c r="I2838" t="b">
        <f t="shared" si="179"/>
        <v>0</v>
      </c>
    </row>
    <row r="2839" spans="1:9">
      <c r="A2839" s="1">
        <v>46176.781944444447</v>
      </c>
      <c r="B2839" s="5">
        <f>_xlfn.XLOOKUP(A2839,Banks!A:A,Banks!H:H,0,-1)</f>
        <v>4728.8295053865941</v>
      </c>
      <c r="C2839">
        <f>_xlfn.XLOOKUP(A2839,Energy!A:A,Energy!H:H,0,-1)</f>
        <v>11973.01821623785</v>
      </c>
      <c r="D2839">
        <f t="shared" si="176"/>
        <v>16701.847721624443</v>
      </c>
      <c r="E2839">
        <f>_xlfn.XLOOKUP(A2839,Banks!A:A,Banks!I:I,0)</f>
        <v>43943.485770816791</v>
      </c>
      <c r="F2839">
        <f>_xlfn.XLOOKUP(A2839,Energy!A:A,Energy!I:I,0)</f>
        <v>0</v>
      </c>
      <c r="G2839">
        <f t="shared" si="177"/>
        <v>43943.485770816791</v>
      </c>
      <c r="H2839">
        <f t="shared" si="178"/>
        <v>27241.638049192348</v>
      </c>
      <c r="I2839" t="b">
        <f t="shared" si="179"/>
        <v>0</v>
      </c>
    </row>
    <row r="2840" spans="1:9">
      <c r="A2840" s="1">
        <v>46176.782638888893</v>
      </c>
      <c r="B2840" s="5">
        <f>_xlfn.XLOOKUP(A2840,Banks!A:A,Banks!H:H,0,-1)</f>
        <v>4915.3294710706105</v>
      </c>
      <c r="C2840">
        <f>_xlfn.XLOOKUP(A2840,Energy!A:A,Energy!H:H,0,-1)</f>
        <v>11973.01821623785</v>
      </c>
      <c r="D2840">
        <f t="shared" si="176"/>
        <v>16888.347687308458</v>
      </c>
      <c r="E2840">
        <f>_xlfn.XLOOKUP(A2840,Banks!A:A,Banks!I:I,0)</f>
        <v>43925.28979907649</v>
      </c>
      <c r="F2840">
        <f>_xlfn.XLOOKUP(A2840,Energy!A:A,Energy!I:I,0)</f>
        <v>0</v>
      </c>
      <c r="G2840">
        <f t="shared" si="177"/>
        <v>43925.28979907649</v>
      </c>
      <c r="H2840">
        <f t="shared" si="178"/>
        <v>27036.942111768032</v>
      </c>
      <c r="I2840" t="b">
        <f t="shared" si="179"/>
        <v>0</v>
      </c>
    </row>
    <row r="2841" spans="1:9">
      <c r="A2841" s="1">
        <v>46176.783333333333</v>
      </c>
      <c r="B2841" s="5">
        <f>_xlfn.XLOOKUP(A2841,Banks!A:A,Banks!H:H,0,-1)</f>
        <v>4934.4334924671102</v>
      </c>
      <c r="C2841">
        <f>_xlfn.XLOOKUP(A2841,Energy!A:A,Energy!H:H,0,-1)</f>
        <v>11973.01821623785</v>
      </c>
      <c r="D2841">
        <f t="shared" si="176"/>
        <v>16907.451708704961</v>
      </c>
      <c r="E2841">
        <f>_xlfn.XLOOKUP(A2841,Banks!A:A,Banks!I:I,0)</f>
        <v>43929.110603355803</v>
      </c>
      <c r="F2841">
        <f>_xlfn.XLOOKUP(A2841,Energy!A:A,Energy!I:I,0)</f>
        <v>0</v>
      </c>
      <c r="G2841">
        <f t="shared" si="177"/>
        <v>43929.110603355803</v>
      </c>
      <c r="H2841">
        <f t="shared" si="178"/>
        <v>27021.658894650842</v>
      </c>
      <c r="I2841" t="b">
        <f t="shared" si="179"/>
        <v>0</v>
      </c>
    </row>
    <row r="2842" spans="1:9">
      <c r="A2842" s="1">
        <v>46176.78402777778</v>
      </c>
      <c r="B2842" s="5">
        <f>_xlfn.XLOOKUP(A2842,Banks!A:A,Banks!H:H,0,-1)</f>
        <v>4915.3294710706105</v>
      </c>
      <c r="C2842">
        <f>_xlfn.XLOOKUP(A2842,Energy!A:A,Energy!H:H,0,-1)</f>
        <v>11973.01821623785</v>
      </c>
      <c r="D2842">
        <f t="shared" si="176"/>
        <v>16888.347687308458</v>
      </c>
      <c r="E2842">
        <f>_xlfn.XLOOKUP(A2842,Banks!A:A,Banks!I:I,0)</f>
        <v>43925.28979907649</v>
      </c>
      <c r="F2842">
        <f>_xlfn.XLOOKUP(A2842,Energy!A:A,Energy!I:I,0)</f>
        <v>0</v>
      </c>
      <c r="G2842">
        <f t="shared" si="177"/>
        <v>43925.28979907649</v>
      </c>
      <c r="H2842">
        <f t="shared" si="178"/>
        <v>27036.942111768032</v>
      </c>
      <c r="I2842" t="b">
        <f t="shared" si="179"/>
        <v>0</v>
      </c>
    </row>
    <row r="2843" spans="1:9">
      <c r="A2843" s="1">
        <v>46176.784722222219</v>
      </c>
      <c r="B2843" s="5">
        <f>_xlfn.XLOOKUP(A2843,Banks!A:A,Banks!H:H,0,-1)</f>
        <v>4885.0516312755444</v>
      </c>
      <c r="C2843">
        <f>_xlfn.XLOOKUP(A2843,Energy!A:A,Energy!H:H,0,-1)</f>
        <v>11973.01821623785</v>
      </c>
      <c r="D2843">
        <f t="shared" si="176"/>
        <v>16858.069847513394</v>
      </c>
      <c r="E2843">
        <f>_xlfn.XLOOKUP(A2843,Banks!A:A,Banks!I:I,0)</f>
        <v>0</v>
      </c>
      <c r="F2843">
        <f>_xlfn.XLOOKUP(A2843,Energy!A:A,Energy!I:I,0)</f>
        <v>0</v>
      </c>
      <c r="G2843">
        <f t="shared" si="177"/>
        <v>0</v>
      </c>
      <c r="H2843">
        <f t="shared" si="178"/>
        <v>-16858.069847513394</v>
      </c>
      <c r="I2843" t="b">
        <f t="shared" si="179"/>
        <v>0</v>
      </c>
    </row>
    <row r="2844" spans="1:9">
      <c r="A2844" s="1">
        <v>46177.604166666657</v>
      </c>
      <c r="B2844" s="5">
        <f>_xlfn.XLOOKUP(A2844,Banks!A:A,Banks!H:H,0,-1)</f>
        <v>4885.0516312755444</v>
      </c>
      <c r="C2844">
        <f>_xlfn.XLOOKUP(A2844,Energy!A:A,Energy!H:H,0,-1)</f>
        <v>11973.01821623785</v>
      </c>
      <c r="D2844">
        <f t="shared" si="176"/>
        <v>16858.069847513394</v>
      </c>
      <c r="E2844">
        <f>_xlfn.XLOOKUP(A2844,Banks!A:A,Banks!I:I,0)</f>
        <v>0</v>
      </c>
      <c r="F2844">
        <f>_xlfn.XLOOKUP(A2844,Energy!A:A,Energy!I:I,0)</f>
        <v>35077.236568004242</v>
      </c>
      <c r="G2844">
        <f t="shared" si="177"/>
        <v>35077.236568004242</v>
      </c>
      <c r="H2844">
        <f t="shared" si="178"/>
        <v>18219.166720490848</v>
      </c>
      <c r="I2844" t="b">
        <f t="shared" si="179"/>
        <v>0</v>
      </c>
    </row>
    <row r="2845" spans="1:9">
      <c r="A2845" s="1">
        <v>46177.604861111111</v>
      </c>
      <c r="B2845" s="5">
        <f>_xlfn.XLOOKUP(A2845,Banks!A:A,Banks!H:H,0,-1)</f>
        <v>4885.0516312755444</v>
      </c>
      <c r="C2845">
        <f>_xlfn.XLOOKUP(A2845,Energy!A:A,Energy!H:H,0,-1)</f>
        <v>12030.86914099571</v>
      </c>
      <c r="D2845">
        <f t="shared" si="176"/>
        <v>16915.920772271253</v>
      </c>
      <c r="E2845">
        <f>_xlfn.XLOOKUP(A2845,Banks!A:A,Banks!I:I,0)</f>
        <v>0</v>
      </c>
      <c r="F2845">
        <f>_xlfn.XLOOKUP(A2845,Energy!A:A,Energy!I:I,0)</f>
        <v>35088.80675295581</v>
      </c>
      <c r="G2845">
        <f t="shared" si="177"/>
        <v>35088.80675295581</v>
      </c>
      <c r="H2845">
        <f t="shared" si="178"/>
        <v>18172.885980684558</v>
      </c>
      <c r="I2845" t="b">
        <f t="shared" si="179"/>
        <v>0</v>
      </c>
    </row>
    <row r="2846" spans="1:9">
      <c r="A2846" s="1">
        <v>46177.605555555558</v>
      </c>
      <c r="B2846" s="5">
        <f>_xlfn.XLOOKUP(A2846,Banks!A:A,Banks!H:H,0,-1)</f>
        <v>4885.0516312755444</v>
      </c>
      <c r="C2846">
        <f>_xlfn.XLOOKUP(A2846,Energy!A:A,Energy!H:H,0,-1)</f>
        <v>12097.641089993611</v>
      </c>
      <c r="D2846">
        <f t="shared" si="176"/>
        <v>16982.692721269155</v>
      </c>
      <c r="E2846">
        <f>_xlfn.XLOOKUP(A2846,Banks!A:A,Banks!I:I,0)</f>
        <v>0</v>
      </c>
      <c r="F2846">
        <f>_xlfn.XLOOKUP(A2846,Energy!A:A,Energy!I:I,0)</f>
        <v>35193.725364883408</v>
      </c>
      <c r="G2846">
        <f t="shared" si="177"/>
        <v>35193.725364883408</v>
      </c>
      <c r="H2846">
        <f t="shared" si="178"/>
        <v>18211.032643614253</v>
      </c>
      <c r="I2846" t="b">
        <f t="shared" si="179"/>
        <v>0</v>
      </c>
    </row>
    <row r="2847" spans="1:9">
      <c r="A2847" s="1">
        <v>46177.606249999997</v>
      </c>
      <c r="B2847" s="5">
        <f>_xlfn.XLOOKUP(A2847,Banks!A:A,Banks!H:H,0,-1)</f>
        <v>4885.0516312755444</v>
      </c>
      <c r="C2847">
        <f>_xlfn.XLOOKUP(A2847,Energy!A:A,Energy!H:H,0,-1)</f>
        <v>11911.232554662731</v>
      </c>
      <c r="D2847">
        <f t="shared" si="176"/>
        <v>16796.284185938275</v>
      </c>
      <c r="E2847">
        <f>_xlfn.XLOOKUP(A2847,Banks!A:A,Banks!I:I,0)</f>
        <v>0</v>
      </c>
      <c r="F2847">
        <f>_xlfn.XLOOKUP(A2847,Energy!A:A,Energy!I:I,0)</f>
        <v>35156.443657817232</v>
      </c>
      <c r="G2847">
        <f t="shared" si="177"/>
        <v>35156.443657817232</v>
      </c>
      <c r="H2847">
        <f t="shared" si="178"/>
        <v>18360.159471878957</v>
      </c>
      <c r="I2847" t="b">
        <f t="shared" si="179"/>
        <v>0</v>
      </c>
    </row>
    <row r="2848" spans="1:9">
      <c r="A2848" s="1">
        <v>46177.606944444437</v>
      </c>
      <c r="B2848" s="5">
        <f>_xlfn.XLOOKUP(A2848,Banks!A:A,Banks!H:H,0,-1)</f>
        <v>4885.0516312755444</v>
      </c>
      <c r="C2848">
        <f>_xlfn.XLOOKUP(A2848,Energy!A:A,Energy!H:H,0,-1)</f>
        <v>11673.84383062712</v>
      </c>
      <c r="D2848">
        <f t="shared" si="176"/>
        <v>16558.895461902663</v>
      </c>
      <c r="E2848">
        <f>_xlfn.XLOOKUP(A2848,Banks!A:A,Banks!I:I,0)</f>
        <v>0</v>
      </c>
      <c r="F2848">
        <f>_xlfn.XLOOKUP(A2848,Energy!A:A,Energy!I:I,0)</f>
        <v>35203.921402624357</v>
      </c>
      <c r="G2848">
        <f t="shared" si="177"/>
        <v>35203.921402624357</v>
      </c>
      <c r="H2848">
        <f t="shared" si="178"/>
        <v>18645.025940721694</v>
      </c>
      <c r="I2848" t="b">
        <f t="shared" si="179"/>
        <v>0</v>
      </c>
    </row>
    <row r="2849" spans="1:9">
      <c r="A2849" s="1">
        <v>46177.607638888891</v>
      </c>
      <c r="B2849" s="5">
        <f>_xlfn.XLOOKUP(A2849,Banks!A:A,Banks!H:H,0,-1)</f>
        <v>4885.0516312755444</v>
      </c>
      <c r="C2849">
        <f>_xlfn.XLOOKUP(A2849,Energy!A:A,Energy!H:H,0,-1)</f>
        <v>11555.42648457724</v>
      </c>
      <c r="D2849">
        <f t="shared" si="176"/>
        <v>16440.478115852784</v>
      </c>
      <c r="E2849">
        <f>_xlfn.XLOOKUP(A2849,Banks!A:A,Banks!I:I,0)</f>
        <v>0</v>
      </c>
      <c r="F2849">
        <f>_xlfn.XLOOKUP(A2849,Energy!A:A,Energy!I:I,0)</f>
        <v>35237.889480680169</v>
      </c>
      <c r="G2849">
        <f t="shared" si="177"/>
        <v>35237.889480680169</v>
      </c>
      <c r="H2849">
        <f t="shared" si="178"/>
        <v>18797.411364827385</v>
      </c>
      <c r="I2849" t="b">
        <f t="shared" si="179"/>
        <v>0</v>
      </c>
    </row>
    <row r="2850" spans="1:9">
      <c r="A2850" s="1">
        <v>46177.60833333333</v>
      </c>
      <c r="B2850" s="5">
        <f>_xlfn.XLOOKUP(A2850,Banks!A:A,Banks!H:H,0,-1)</f>
        <v>4885.0516312755444</v>
      </c>
      <c r="C2850">
        <f>_xlfn.XLOOKUP(A2850,Energy!A:A,Energy!H:H,0,-1)</f>
        <v>11554.59543667345</v>
      </c>
      <c r="D2850">
        <f t="shared" si="176"/>
        <v>16439.647067948994</v>
      </c>
      <c r="E2850">
        <f>_xlfn.XLOOKUP(A2850,Banks!A:A,Banks!I:I,0)</f>
        <v>0</v>
      </c>
      <c r="F2850">
        <f>_xlfn.XLOOKUP(A2850,Energy!A:A,Energy!I:I,0)</f>
        <v>35207.2018637234</v>
      </c>
      <c r="G2850">
        <f t="shared" si="177"/>
        <v>35207.2018637234</v>
      </c>
      <c r="H2850">
        <f t="shared" si="178"/>
        <v>18767.554795774406</v>
      </c>
      <c r="I2850" t="b">
        <f t="shared" si="179"/>
        <v>0</v>
      </c>
    </row>
    <row r="2851" spans="1:9">
      <c r="A2851" s="1">
        <v>46177.609027777777</v>
      </c>
      <c r="B2851" s="5">
        <f>_xlfn.XLOOKUP(A2851,Banks!A:A,Banks!H:H,0,-1)</f>
        <v>4885.0516312755444</v>
      </c>
      <c r="C2851">
        <f>_xlfn.XLOOKUP(A2851,Energy!A:A,Energy!H:H,0,-1)</f>
        <v>11487.435295296231</v>
      </c>
      <c r="D2851">
        <f t="shared" si="176"/>
        <v>16372.486926571775</v>
      </c>
      <c r="E2851">
        <f>_xlfn.XLOOKUP(A2851,Banks!A:A,Banks!I:I,0)</f>
        <v>0</v>
      </c>
      <c r="F2851">
        <f>_xlfn.XLOOKUP(A2851,Energy!A:A,Energy!I:I,0)</f>
        <v>35166.639695558173</v>
      </c>
      <c r="G2851">
        <f t="shared" si="177"/>
        <v>35166.639695558173</v>
      </c>
      <c r="H2851">
        <f t="shared" si="178"/>
        <v>18794.152768986398</v>
      </c>
      <c r="I2851" t="b">
        <f t="shared" si="179"/>
        <v>0</v>
      </c>
    </row>
    <row r="2852" spans="1:9">
      <c r="A2852" s="1">
        <v>46177.609722222223</v>
      </c>
      <c r="B2852" s="5">
        <f>_xlfn.XLOOKUP(A2852,Banks!A:A,Banks!H:H,0,-1)</f>
        <v>4885.0516312755444</v>
      </c>
      <c r="C2852">
        <f>_xlfn.XLOOKUP(A2852,Energy!A:A,Energy!H:H,0,-1)</f>
        <v>11343.140587575201</v>
      </c>
      <c r="D2852">
        <f t="shared" si="176"/>
        <v>16228.192218850745</v>
      </c>
      <c r="E2852">
        <f>_xlfn.XLOOKUP(A2852,Banks!A:A,Banks!I:I,0)</f>
        <v>0</v>
      </c>
      <c r="F2852">
        <f>_xlfn.XLOOKUP(A2852,Energy!A:A,Energy!I:I,0)</f>
        <v>35110.650614124192</v>
      </c>
      <c r="G2852">
        <f t="shared" si="177"/>
        <v>35110.650614124192</v>
      </c>
      <c r="H2852">
        <f t="shared" si="178"/>
        <v>18882.458395273447</v>
      </c>
      <c r="I2852" t="b">
        <f t="shared" si="179"/>
        <v>0</v>
      </c>
    </row>
    <row r="2853" spans="1:9">
      <c r="A2853" s="1">
        <v>46177.61041666667</v>
      </c>
      <c r="B2853" s="5">
        <f>_xlfn.XLOOKUP(A2853,Banks!A:A,Banks!H:H,0,-1)</f>
        <v>4885.0516312755444</v>
      </c>
      <c r="C2853">
        <f>_xlfn.XLOOKUP(A2853,Energy!A:A,Energy!H:H,0,-1)</f>
        <v>11515.47412156568</v>
      </c>
      <c r="D2853">
        <f t="shared" si="176"/>
        <v>16400.525752841226</v>
      </c>
      <c r="E2853">
        <f>_xlfn.XLOOKUP(A2853,Banks!A:A,Banks!I:I,0)</f>
        <v>0</v>
      </c>
      <c r="F2853">
        <f>_xlfn.XLOOKUP(A2853,Energy!A:A,Energy!I:I,0)</f>
        <v>35179.029995784513</v>
      </c>
      <c r="G2853">
        <f t="shared" si="177"/>
        <v>35179.029995784513</v>
      </c>
      <c r="H2853">
        <f t="shared" si="178"/>
        <v>18778.504242943287</v>
      </c>
      <c r="I2853" t="b">
        <f t="shared" si="179"/>
        <v>0</v>
      </c>
    </row>
    <row r="2854" spans="1:9">
      <c r="A2854" s="1">
        <v>46177.611111111109</v>
      </c>
      <c r="B2854" s="5">
        <f>_xlfn.XLOOKUP(A2854,Banks!A:A,Banks!H:H,0,-1)</f>
        <v>4885.0516312755444</v>
      </c>
      <c r="C2854">
        <f>_xlfn.XLOOKUP(A2854,Energy!A:A,Energy!H:H,0,-1)</f>
        <v>11414.56714488278</v>
      </c>
      <c r="D2854">
        <f t="shared" si="176"/>
        <v>16299.618776158324</v>
      </c>
      <c r="E2854">
        <f>_xlfn.XLOOKUP(A2854,Banks!A:A,Banks!I:I,0)</f>
        <v>0</v>
      </c>
      <c r="F2854">
        <f>_xlfn.XLOOKUP(A2854,Energy!A:A,Energy!I:I,0)</f>
        <v>35230.065217658623</v>
      </c>
      <c r="G2854">
        <f t="shared" si="177"/>
        <v>35230.065217658623</v>
      </c>
      <c r="H2854">
        <f t="shared" si="178"/>
        <v>18930.446441500299</v>
      </c>
      <c r="I2854" t="b">
        <f t="shared" si="179"/>
        <v>0</v>
      </c>
    </row>
    <row r="2855" spans="1:9">
      <c r="A2855" s="1">
        <v>46177.611805555563</v>
      </c>
      <c r="B2855" s="5">
        <f>_xlfn.XLOOKUP(A2855,Banks!A:A,Banks!H:H,0,-1)</f>
        <v>4885.0516312755444</v>
      </c>
      <c r="C2855">
        <f>_xlfn.XLOOKUP(A2855,Energy!A:A,Energy!H:H,0,-1)</f>
        <v>11328.677393855491</v>
      </c>
      <c r="D2855">
        <f t="shared" si="176"/>
        <v>16213.729025131035</v>
      </c>
      <c r="E2855">
        <f>_xlfn.XLOOKUP(A2855,Banks!A:A,Banks!I:I,0)</f>
        <v>0</v>
      </c>
      <c r="F2855">
        <f>_xlfn.XLOOKUP(A2855,Energy!A:A,Energy!I:I,0)</f>
        <v>35206.104732480708</v>
      </c>
      <c r="G2855">
        <f t="shared" si="177"/>
        <v>35206.104732480708</v>
      </c>
      <c r="H2855">
        <f t="shared" si="178"/>
        <v>18992.375707349674</v>
      </c>
      <c r="I2855" t="b">
        <f t="shared" si="179"/>
        <v>0</v>
      </c>
    </row>
    <row r="2856" spans="1:9">
      <c r="A2856" s="1">
        <v>46177.612500000003</v>
      </c>
      <c r="B2856" s="5">
        <f>_xlfn.XLOOKUP(A2856,Banks!A:A,Banks!H:H,0,-1)</f>
        <v>4885.0516312755444</v>
      </c>
      <c r="C2856">
        <f>_xlfn.XLOOKUP(A2856,Energy!A:A,Energy!H:H,0,-1)</f>
        <v>11365.637244364971</v>
      </c>
      <c r="D2856">
        <f t="shared" si="176"/>
        <v>16250.688875640515</v>
      </c>
      <c r="E2856">
        <f>_xlfn.XLOOKUP(A2856,Banks!A:A,Banks!I:I,0)</f>
        <v>0</v>
      </c>
      <c r="F2856">
        <f>_xlfn.XLOOKUP(A2856,Energy!A:A,Energy!I:I,0)</f>
        <v>35311.843459683078</v>
      </c>
      <c r="G2856">
        <f t="shared" si="177"/>
        <v>35311.843459683078</v>
      </c>
      <c r="H2856">
        <f t="shared" si="178"/>
        <v>19061.154584042561</v>
      </c>
      <c r="I2856" t="b">
        <f t="shared" si="179"/>
        <v>0</v>
      </c>
    </row>
    <row r="2857" spans="1:9">
      <c r="A2857" s="1">
        <v>46177.613194444442</v>
      </c>
      <c r="B2857" s="5">
        <f>_xlfn.XLOOKUP(A2857,Banks!A:A,Banks!H:H,0,-1)</f>
        <v>4885.0516312755444</v>
      </c>
      <c r="C2857">
        <f>_xlfn.XLOOKUP(A2857,Energy!A:A,Energy!H:H,0,-1)</f>
        <v>11329.78545772721</v>
      </c>
      <c r="D2857">
        <f t="shared" si="176"/>
        <v>16214.837089002755</v>
      </c>
      <c r="E2857">
        <f>_xlfn.XLOOKUP(A2857,Banks!A:A,Banks!I:I,0)</f>
        <v>0</v>
      </c>
      <c r="F2857">
        <f>_xlfn.XLOOKUP(A2857,Energy!A:A,Energy!I:I,0)</f>
        <v>35247.021555089726</v>
      </c>
      <c r="G2857">
        <f t="shared" si="177"/>
        <v>35247.021555089726</v>
      </c>
      <c r="H2857">
        <f t="shared" si="178"/>
        <v>19032.184466086972</v>
      </c>
      <c r="I2857" t="b">
        <f t="shared" si="179"/>
        <v>0</v>
      </c>
    </row>
    <row r="2858" spans="1:9">
      <c r="A2858" s="1">
        <v>46177.613888888889</v>
      </c>
      <c r="B2858" s="5">
        <f>_xlfn.XLOOKUP(A2858,Banks!A:A,Banks!H:H,0,-1)</f>
        <v>4885.0516312755444</v>
      </c>
      <c r="C2858">
        <f>_xlfn.XLOOKUP(A2858,Energy!A:A,Energy!H:H,0,-1)</f>
        <v>11340.86794656554</v>
      </c>
      <c r="D2858">
        <f t="shared" si="176"/>
        <v>16225.919577841085</v>
      </c>
      <c r="E2858">
        <f>_xlfn.XLOOKUP(A2858,Banks!A:A,Banks!I:I,0)</f>
        <v>0</v>
      </c>
      <c r="F2858">
        <f>_xlfn.XLOOKUP(A2858,Energy!A:A,Energy!I:I,0)</f>
        <v>35262.803122802288</v>
      </c>
      <c r="G2858">
        <f t="shared" si="177"/>
        <v>35262.803122802288</v>
      </c>
      <c r="H2858">
        <f t="shared" si="178"/>
        <v>19036.883544961202</v>
      </c>
      <c r="I2858" t="b">
        <f t="shared" si="179"/>
        <v>0</v>
      </c>
    </row>
    <row r="2859" spans="1:9">
      <c r="A2859" s="1">
        <v>46177.614583333343</v>
      </c>
      <c r="B2859" s="5">
        <f>_xlfn.XLOOKUP(A2859,Banks!A:A,Banks!H:H,0,-1)</f>
        <v>4885.0516312755444</v>
      </c>
      <c r="C2859">
        <f>_xlfn.XLOOKUP(A2859,Energy!A:A,Energy!H:H,0,-1)</f>
        <v>11227.770417172591</v>
      </c>
      <c r="D2859">
        <f t="shared" si="176"/>
        <v>16112.822048448135</v>
      </c>
      <c r="E2859">
        <f>_xlfn.XLOOKUP(A2859,Banks!A:A,Banks!I:I,0)</f>
        <v>0</v>
      </c>
      <c r="F2859">
        <f>_xlfn.XLOOKUP(A2859,Energy!A:A,Energy!I:I,0)</f>
        <v>35257.13995435481</v>
      </c>
      <c r="G2859">
        <f t="shared" si="177"/>
        <v>35257.13995435481</v>
      </c>
      <c r="H2859">
        <f t="shared" si="178"/>
        <v>19144.317905906675</v>
      </c>
      <c r="I2859" t="b">
        <f t="shared" si="179"/>
        <v>0</v>
      </c>
    </row>
    <row r="2860" spans="1:9">
      <c r="A2860" s="1">
        <v>46177.615277777782</v>
      </c>
      <c r="B2860" s="5">
        <f>_xlfn.XLOOKUP(A2860,Banks!A:A,Banks!H:H,0,-1)</f>
        <v>4885.0516312755444</v>
      </c>
      <c r="C2860">
        <f>_xlfn.XLOOKUP(A2860,Energy!A:A,Energy!H:H,0,-1)</f>
        <v>11137.780089771481</v>
      </c>
      <c r="D2860">
        <f t="shared" si="176"/>
        <v>16022.831721047025</v>
      </c>
      <c r="E2860">
        <f>_xlfn.XLOOKUP(A2860,Banks!A:A,Banks!I:I,0)</f>
        <v>0</v>
      </c>
      <c r="F2860">
        <f>_xlfn.XLOOKUP(A2860,Energy!A:A,Energy!I:I,0)</f>
        <v>35239.141888874597</v>
      </c>
      <c r="G2860">
        <f t="shared" si="177"/>
        <v>35239.141888874597</v>
      </c>
      <c r="H2860">
        <f t="shared" si="178"/>
        <v>19216.310167827571</v>
      </c>
      <c r="I2860" t="b">
        <f t="shared" si="179"/>
        <v>0</v>
      </c>
    </row>
    <row r="2861" spans="1:9">
      <c r="A2861" s="1">
        <v>46177.615972222222</v>
      </c>
      <c r="B2861" s="5">
        <f>_xlfn.XLOOKUP(A2861,Banks!A:A,Banks!H:H,0,-1)</f>
        <v>4885.0516312755444</v>
      </c>
      <c r="C2861">
        <f>_xlfn.XLOOKUP(A2861,Energy!A:A,Energy!H:H,0,-1)</f>
        <v>11099.212806599569</v>
      </c>
      <c r="D2861">
        <f t="shared" si="176"/>
        <v>15984.264437875114</v>
      </c>
      <c r="E2861">
        <f>_xlfn.XLOOKUP(A2861,Banks!A:A,Banks!I:I,0)</f>
        <v>0</v>
      </c>
      <c r="F2861">
        <f>_xlfn.XLOOKUP(A2861,Energy!A:A,Energy!I:I,0)</f>
        <v>35231.428432240209</v>
      </c>
      <c r="G2861">
        <f t="shared" si="177"/>
        <v>35231.428432240209</v>
      </c>
      <c r="H2861">
        <f t="shared" si="178"/>
        <v>19247.163994365095</v>
      </c>
      <c r="I2861" t="b">
        <f t="shared" si="179"/>
        <v>0</v>
      </c>
    </row>
    <row r="2862" spans="1:9">
      <c r="A2862" s="1">
        <v>46177.616666666669</v>
      </c>
      <c r="B2862" s="5">
        <f>_xlfn.XLOOKUP(A2862,Banks!A:A,Banks!H:H,0,-1)</f>
        <v>4885.0516312755444</v>
      </c>
      <c r="C2862">
        <f>_xlfn.XLOOKUP(A2862,Energy!A:A,Energy!H:H,0,-1)</f>
        <v>11141.88066614528</v>
      </c>
      <c r="D2862">
        <f t="shared" si="176"/>
        <v>16026.932297420824</v>
      </c>
      <c r="E2862">
        <f>_xlfn.XLOOKUP(A2862,Banks!A:A,Banks!I:I,0)</f>
        <v>0</v>
      </c>
      <c r="F2862">
        <f>_xlfn.XLOOKUP(A2862,Energy!A:A,Energy!I:I,0)</f>
        <v>35233.17946917691</v>
      </c>
      <c r="G2862">
        <f t="shared" si="177"/>
        <v>35233.17946917691</v>
      </c>
      <c r="H2862">
        <f t="shared" si="178"/>
        <v>19206.247171756084</v>
      </c>
      <c r="I2862" t="b">
        <f t="shared" si="179"/>
        <v>0</v>
      </c>
    </row>
    <row r="2863" spans="1:9">
      <c r="A2863" s="1">
        <v>46177.617361111108</v>
      </c>
      <c r="B2863" s="5">
        <f>_xlfn.XLOOKUP(A2863,Banks!A:A,Banks!H:H,0,-1)</f>
        <v>4885.0516312755444</v>
      </c>
      <c r="C2863">
        <f>_xlfn.XLOOKUP(A2863,Energy!A:A,Energy!H:H,0,-1)</f>
        <v>11200.3967992504</v>
      </c>
      <c r="D2863">
        <f t="shared" si="176"/>
        <v>16085.448430525945</v>
      </c>
      <c r="E2863">
        <f>_xlfn.XLOOKUP(A2863,Banks!A:A,Banks!I:I,0)</f>
        <v>0</v>
      </c>
      <c r="F2863">
        <f>_xlfn.XLOOKUP(A2863,Energy!A:A,Energy!I:I,0)</f>
        <v>35190.622416018363</v>
      </c>
      <c r="G2863">
        <f t="shared" si="177"/>
        <v>35190.622416018363</v>
      </c>
      <c r="H2863">
        <f t="shared" si="178"/>
        <v>19105.173985492416</v>
      </c>
      <c r="I2863" t="b">
        <f t="shared" si="179"/>
        <v>0</v>
      </c>
    </row>
    <row r="2864" spans="1:9">
      <c r="A2864" s="1">
        <v>46177.618055555547</v>
      </c>
      <c r="B2864" s="5">
        <f>_xlfn.XLOOKUP(A2864,Banks!A:A,Banks!H:H,0,-1)</f>
        <v>4885.0516312755444</v>
      </c>
      <c r="C2864">
        <f>_xlfn.XLOOKUP(A2864,Energy!A:A,Energy!H:H,0,-1)</f>
        <v>11167.17666430799</v>
      </c>
      <c r="D2864">
        <f t="shared" si="176"/>
        <v>16052.228295583534</v>
      </c>
      <c r="E2864">
        <f>_xlfn.XLOOKUP(A2864,Banks!A:A,Banks!I:I,0)</f>
        <v>0</v>
      </c>
      <c r="F2864">
        <f>_xlfn.XLOOKUP(A2864,Energy!A:A,Energy!I:I,0)</f>
        <v>35222.977965121449</v>
      </c>
      <c r="G2864">
        <f t="shared" si="177"/>
        <v>35222.977965121449</v>
      </c>
      <c r="H2864">
        <f t="shared" si="178"/>
        <v>19170.749669537916</v>
      </c>
      <c r="I2864" t="b">
        <f t="shared" si="179"/>
        <v>0</v>
      </c>
    </row>
    <row r="2865" spans="1:9">
      <c r="A2865" s="1">
        <v>46177.618750000001</v>
      </c>
      <c r="B2865" s="5">
        <f>_xlfn.XLOOKUP(A2865,Banks!A:A,Banks!H:H,0,-1)</f>
        <v>4885.0516312755444</v>
      </c>
      <c r="C2865">
        <f>_xlfn.XLOOKUP(A2865,Energy!A:A,Energy!H:H,0,-1)</f>
        <v>11160.72145220675</v>
      </c>
      <c r="D2865">
        <f t="shared" si="176"/>
        <v>16045.773083482294</v>
      </c>
      <c r="E2865">
        <f>_xlfn.XLOOKUP(A2865,Banks!A:A,Banks!I:I,0)</f>
        <v>0</v>
      </c>
      <c r="F2865">
        <f>_xlfn.XLOOKUP(A2865,Energy!A:A,Energy!I:I,0)</f>
        <v>35141.992136774963</v>
      </c>
      <c r="G2865">
        <f t="shared" si="177"/>
        <v>35141.992136774963</v>
      </c>
      <c r="H2865">
        <f t="shared" si="178"/>
        <v>19096.219053292669</v>
      </c>
      <c r="I2865" t="b">
        <f t="shared" si="179"/>
        <v>0</v>
      </c>
    </row>
    <row r="2866" spans="1:9">
      <c r="A2866" s="1">
        <v>46177.619444444441</v>
      </c>
      <c r="B2866" s="5">
        <f>_xlfn.XLOOKUP(A2866,Banks!A:A,Banks!H:H,0,-1)</f>
        <v>4885.0516312755444</v>
      </c>
      <c r="C2866">
        <f>_xlfn.XLOOKUP(A2866,Energy!A:A,Energy!H:H,0,-1)</f>
        <v>11301.026759965351</v>
      </c>
      <c r="D2866">
        <f t="shared" si="176"/>
        <v>16186.078391240895</v>
      </c>
      <c r="E2866">
        <f>_xlfn.XLOOKUP(A2866,Banks!A:A,Banks!I:I,0)</f>
        <v>0</v>
      </c>
      <c r="F2866">
        <f>_xlfn.XLOOKUP(A2866,Energy!A:A,Energy!I:I,0)</f>
        <v>35129.357988491996</v>
      </c>
      <c r="G2866">
        <f t="shared" si="177"/>
        <v>35129.357988491996</v>
      </c>
      <c r="H2866">
        <f t="shared" si="178"/>
        <v>18943.279597251101</v>
      </c>
      <c r="I2866" t="b">
        <f t="shared" si="179"/>
        <v>0</v>
      </c>
    </row>
    <row r="2867" spans="1:9">
      <c r="A2867" s="1">
        <v>46177.620138888888</v>
      </c>
      <c r="B2867" s="5">
        <f>_xlfn.XLOOKUP(A2867,Banks!A:A,Banks!H:H,0,-1)</f>
        <v>4885.0516312755444</v>
      </c>
      <c r="C2867">
        <f>_xlfn.XLOOKUP(A2867,Energy!A:A,Energy!H:H,0,-1)</f>
        <v>11266.837069135179</v>
      </c>
      <c r="D2867">
        <f t="shared" si="176"/>
        <v>16151.888700410724</v>
      </c>
      <c r="E2867">
        <f>_xlfn.XLOOKUP(A2867,Banks!A:A,Banks!I:I,0)</f>
        <v>0</v>
      </c>
      <c r="F2867">
        <f>_xlfn.XLOOKUP(A2867,Energy!A:A,Energy!I:I,0)</f>
        <v>35125.911317812192</v>
      </c>
      <c r="G2867">
        <f t="shared" si="177"/>
        <v>35125.911317812192</v>
      </c>
      <c r="H2867">
        <f t="shared" si="178"/>
        <v>18974.022617401468</v>
      </c>
      <c r="I2867" t="b">
        <f t="shared" si="179"/>
        <v>0</v>
      </c>
    </row>
    <row r="2868" spans="1:9">
      <c r="A2868" s="1">
        <v>46177.620833333327</v>
      </c>
      <c r="B2868" s="5">
        <f>_xlfn.XLOOKUP(A2868,Banks!A:A,Banks!H:H,0,-1)</f>
        <v>4885.0516312755444</v>
      </c>
      <c r="C2868">
        <f>_xlfn.XLOOKUP(A2868,Energy!A:A,Energy!H:H,0,-1)</f>
        <v>11279.692830192491</v>
      </c>
      <c r="D2868">
        <f t="shared" si="176"/>
        <v>16164.744461468035</v>
      </c>
      <c r="E2868">
        <f>_xlfn.XLOOKUP(A2868,Banks!A:A,Banks!I:I,0)</f>
        <v>0</v>
      </c>
      <c r="F2868">
        <f>_xlfn.XLOOKUP(A2868,Energy!A:A,Energy!I:I,0)</f>
        <v>35128.482470023657</v>
      </c>
      <c r="G2868">
        <f t="shared" si="177"/>
        <v>35128.482470023657</v>
      </c>
      <c r="H2868">
        <f t="shared" si="178"/>
        <v>18963.738008555621</v>
      </c>
      <c r="I2868" t="b">
        <f t="shared" si="179"/>
        <v>0</v>
      </c>
    </row>
    <row r="2869" spans="1:9">
      <c r="A2869" s="1">
        <v>46177.621527777781</v>
      </c>
      <c r="B2869" s="5">
        <f>_xlfn.XLOOKUP(A2869,Banks!A:A,Banks!H:H,0,-1)</f>
        <v>4885.0516312755444</v>
      </c>
      <c r="C2869">
        <f>_xlfn.XLOOKUP(A2869,Energy!A:A,Energy!H:H,0,-1)</f>
        <v>11294.919829378619</v>
      </c>
      <c r="D2869">
        <f t="shared" si="176"/>
        <v>16179.971460654164</v>
      </c>
      <c r="E2869">
        <f>_xlfn.XLOOKUP(A2869,Banks!A:A,Banks!I:I,0)</f>
        <v>0</v>
      </c>
      <c r="F2869">
        <f>_xlfn.XLOOKUP(A2869,Energy!A:A,Energy!I:I,0)</f>
        <v>0</v>
      </c>
      <c r="G2869">
        <f t="shared" si="177"/>
        <v>0</v>
      </c>
      <c r="H2869">
        <f t="shared" si="178"/>
        <v>-16179.971460654164</v>
      </c>
      <c r="I2869" t="b">
        <f t="shared" si="179"/>
        <v>0</v>
      </c>
    </row>
    <row r="2870" spans="1:9">
      <c r="A2870" s="1">
        <v>46177.786111111112</v>
      </c>
      <c r="B2870" s="5">
        <f>_xlfn.XLOOKUP(A2870,Banks!A:A,Banks!H:H,0,-1)</f>
        <v>4885.0516312755444</v>
      </c>
      <c r="C2870">
        <f>_xlfn.XLOOKUP(A2870,Energy!A:A,Energy!H:H,0,-1)</f>
        <v>11294.919829378619</v>
      </c>
      <c r="D2870">
        <f t="shared" si="176"/>
        <v>16179.971460654164</v>
      </c>
      <c r="E2870">
        <f>_xlfn.XLOOKUP(A2870,Banks!A:A,Banks!I:I,0)</f>
        <v>0</v>
      </c>
      <c r="F2870">
        <f>_xlfn.XLOOKUP(A2870,Energy!A:A,Energy!I:I,0)</f>
        <v>35077.236568004242</v>
      </c>
      <c r="G2870">
        <f t="shared" si="177"/>
        <v>35077.236568004242</v>
      </c>
      <c r="H2870">
        <f t="shared" si="178"/>
        <v>18897.265107350078</v>
      </c>
      <c r="I2870" t="b">
        <f t="shared" si="179"/>
        <v>0</v>
      </c>
    </row>
    <row r="2871" spans="1:9">
      <c r="A2871" s="1">
        <v>46177.786805555559</v>
      </c>
      <c r="B2871" s="5">
        <f>_xlfn.XLOOKUP(A2871,Banks!A:A,Banks!H:H,0,-1)</f>
        <v>4885.0516312755444</v>
      </c>
      <c r="C2871">
        <f>_xlfn.XLOOKUP(A2871,Energy!A:A,Energy!H:H,0,-1)</f>
        <v>11302.80010944455</v>
      </c>
      <c r="D2871">
        <f t="shared" si="176"/>
        <v>16187.851740720094</v>
      </c>
      <c r="E2871">
        <f>_xlfn.XLOOKUP(A2871,Banks!A:A,Banks!I:I,0)</f>
        <v>0</v>
      </c>
      <c r="F2871">
        <f>_xlfn.XLOOKUP(A2871,Energy!A:A,Energy!I:I,0)</f>
        <v>35089.134196201587</v>
      </c>
      <c r="G2871">
        <f t="shared" si="177"/>
        <v>35089.134196201587</v>
      </c>
      <c r="H2871">
        <f t="shared" si="178"/>
        <v>18901.282455481494</v>
      </c>
      <c r="I2871" t="b">
        <f t="shared" si="179"/>
        <v>0</v>
      </c>
    </row>
    <row r="2872" spans="1:9">
      <c r="A2872" s="1">
        <v>46177.787499999999</v>
      </c>
      <c r="B2872" s="5">
        <f>_xlfn.XLOOKUP(A2872,Banks!A:A,Banks!H:H,0,-1)</f>
        <v>4885.0516312755444</v>
      </c>
      <c r="C2872">
        <f>_xlfn.XLOOKUP(A2872,Energy!A:A,Energy!H:H,0,-1)</f>
        <v>11290.245896533879</v>
      </c>
      <c r="D2872">
        <f t="shared" si="176"/>
        <v>16175.297527809424</v>
      </c>
      <c r="E2872">
        <f>_xlfn.XLOOKUP(A2872,Banks!A:A,Banks!I:I,0)</f>
        <v>0</v>
      </c>
      <c r="F2872">
        <f>_xlfn.XLOOKUP(A2872,Energy!A:A,Energy!I:I,0)</f>
        <v>35125.329249310031</v>
      </c>
      <c r="G2872">
        <f t="shared" si="177"/>
        <v>35125.329249310031</v>
      </c>
      <c r="H2872">
        <f t="shared" si="178"/>
        <v>18950.031721500607</v>
      </c>
      <c r="I2872" t="b">
        <f t="shared" si="179"/>
        <v>0</v>
      </c>
    </row>
    <row r="2873" spans="1:9">
      <c r="A2873" s="1">
        <v>46177.788194444453</v>
      </c>
      <c r="B2873" s="5">
        <f>_xlfn.XLOOKUP(A2873,Banks!A:A,Banks!H:H,0,-1)</f>
        <v>4885.0516312755444</v>
      </c>
      <c r="C2873">
        <f>_xlfn.XLOOKUP(A2873,Energy!A:A,Energy!H:H,0,-1)</f>
        <v>11294.456422849669</v>
      </c>
      <c r="D2873">
        <f t="shared" si="176"/>
        <v>16179.508054125214</v>
      </c>
      <c r="E2873">
        <f>_xlfn.XLOOKUP(A2873,Banks!A:A,Banks!I:I,0)</f>
        <v>0</v>
      </c>
      <c r="F2873">
        <f>_xlfn.XLOOKUP(A2873,Energy!A:A,Energy!I:I,0)</f>
        <v>35126.171354573184</v>
      </c>
      <c r="G2873">
        <f t="shared" si="177"/>
        <v>35126.171354573184</v>
      </c>
      <c r="H2873">
        <f t="shared" si="178"/>
        <v>18946.66330044797</v>
      </c>
      <c r="I2873" t="b">
        <f t="shared" si="179"/>
        <v>0</v>
      </c>
    </row>
    <row r="2874" spans="1:9">
      <c r="A2874" s="1">
        <v>46177.788888888892</v>
      </c>
      <c r="B2874" s="5">
        <f>_xlfn.XLOOKUP(A2874,Banks!A:A,Banks!H:H,0,-1)</f>
        <v>4885.0516312755444</v>
      </c>
      <c r="C2874">
        <f>_xlfn.XLOOKUP(A2874,Energy!A:A,Energy!H:H,0,-1)</f>
        <v>11281.824843902299</v>
      </c>
      <c r="D2874">
        <f t="shared" si="176"/>
        <v>16166.876475177844</v>
      </c>
      <c r="E2874">
        <f>_xlfn.XLOOKUP(A2874,Banks!A:A,Banks!I:I,0)</f>
        <v>0</v>
      </c>
      <c r="F2874">
        <f>_xlfn.XLOOKUP(A2874,Energy!A:A,Energy!I:I,0)</f>
        <v>35123.645038783718</v>
      </c>
      <c r="G2874">
        <f t="shared" si="177"/>
        <v>35123.645038783718</v>
      </c>
      <c r="H2874">
        <f t="shared" si="178"/>
        <v>18956.768563605874</v>
      </c>
      <c r="I2874" t="b">
        <f t="shared" si="179"/>
        <v>0</v>
      </c>
    </row>
    <row r="2875" spans="1:9">
      <c r="A2875" s="1">
        <v>46177.789583333331</v>
      </c>
      <c r="B2875" s="5">
        <f>_xlfn.XLOOKUP(A2875,Banks!A:A,Banks!H:H,0,-1)</f>
        <v>4885.0516312755444</v>
      </c>
      <c r="C2875">
        <f>_xlfn.XLOOKUP(A2875,Energy!A:A,Energy!H:H,0,-1)</f>
        <v>11252.96929829414</v>
      </c>
      <c r="D2875">
        <f t="shared" si="176"/>
        <v>16138.020929569684</v>
      </c>
      <c r="E2875">
        <f>_xlfn.XLOOKUP(A2875,Banks!A:A,Banks!I:I,0)</f>
        <v>0</v>
      </c>
      <c r="F2875">
        <f>_xlfn.XLOOKUP(A2875,Energy!A:A,Energy!I:I,0)</f>
        <v>35146.258253168497</v>
      </c>
      <c r="G2875">
        <f t="shared" si="177"/>
        <v>35146.258253168497</v>
      </c>
      <c r="H2875">
        <f t="shared" si="178"/>
        <v>19008.237323598813</v>
      </c>
      <c r="I2875" t="b">
        <f t="shared" si="179"/>
        <v>0</v>
      </c>
    </row>
    <row r="2876" spans="1:9">
      <c r="A2876" s="1">
        <v>46177.790277777778</v>
      </c>
      <c r="B2876" s="5">
        <f>_xlfn.XLOOKUP(A2876,Banks!A:A,Banks!H:H,0,-1)</f>
        <v>4885.0516312755444</v>
      </c>
      <c r="C2876">
        <f>_xlfn.XLOOKUP(A2876,Energy!A:A,Energy!H:H,0,-1)</f>
        <v>11291.40480770188</v>
      </c>
      <c r="D2876">
        <f t="shared" si="176"/>
        <v>16176.456438977424</v>
      </c>
      <c r="E2876">
        <f>_xlfn.XLOOKUP(A2876,Banks!A:A,Banks!I:I,0)</f>
        <v>0</v>
      </c>
      <c r="F2876">
        <f>_xlfn.XLOOKUP(A2876,Energy!A:A,Energy!I:I,0)</f>
        <v>35143.6237828659</v>
      </c>
      <c r="G2876">
        <f t="shared" si="177"/>
        <v>35143.6237828659</v>
      </c>
      <c r="H2876">
        <f t="shared" si="178"/>
        <v>18967.167343888475</v>
      </c>
      <c r="I2876" t="b">
        <f t="shared" si="179"/>
        <v>0</v>
      </c>
    </row>
    <row r="2877" spans="1:9">
      <c r="A2877" s="1">
        <v>46177.790972222218</v>
      </c>
      <c r="B2877" s="5">
        <f>_xlfn.XLOOKUP(A2877,Banks!A:A,Banks!H:H,0,-1)</f>
        <v>4885.0516312755444</v>
      </c>
      <c r="C2877">
        <f>_xlfn.XLOOKUP(A2877,Energy!A:A,Energy!H:H,0,-1)</f>
        <v>11284.683438803961</v>
      </c>
      <c r="D2877">
        <f t="shared" si="176"/>
        <v>16169.735070079505</v>
      </c>
      <c r="E2877">
        <f>_xlfn.XLOOKUP(A2877,Banks!A:A,Banks!I:I,0)</f>
        <v>0</v>
      </c>
      <c r="F2877">
        <f>_xlfn.XLOOKUP(A2877,Energy!A:A,Energy!I:I,0)</f>
        <v>35150.020688224431</v>
      </c>
      <c r="G2877">
        <f t="shared" si="177"/>
        <v>35150.020688224431</v>
      </c>
      <c r="H2877">
        <f t="shared" si="178"/>
        <v>18980.285618144924</v>
      </c>
      <c r="I2877" t="b">
        <f t="shared" si="179"/>
        <v>0</v>
      </c>
    </row>
    <row r="2878" spans="1:9">
      <c r="A2878" s="1">
        <v>46177.791666666657</v>
      </c>
      <c r="B2878" s="5">
        <f>_xlfn.XLOOKUP(A2878,Banks!A:A,Banks!H:H,0,-1)</f>
        <v>4885.0516312755444</v>
      </c>
      <c r="C2878">
        <f>_xlfn.XLOOKUP(A2878,Energy!A:A,Energy!H:H,0,-1)</f>
        <v>11288.62357883693</v>
      </c>
      <c r="D2878">
        <f t="shared" si="176"/>
        <v>16173.675210112475</v>
      </c>
      <c r="E2878">
        <f>_xlfn.XLOOKUP(A2878,Banks!A:A,Banks!I:I,0)</f>
        <v>0</v>
      </c>
      <c r="F2878">
        <f>_xlfn.XLOOKUP(A2878,Energy!A:A,Energy!I:I,0)</f>
        <v>35155.969502323103</v>
      </c>
      <c r="G2878">
        <f t="shared" si="177"/>
        <v>35155.969502323103</v>
      </c>
      <c r="H2878">
        <f t="shared" si="178"/>
        <v>18982.29429221063</v>
      </c>
      <c r="I2878" t="b">
        <f t="shared" si="179"/>
        <v>0</v>
      </c>
    </row>
    <row r="2879" spans="1:9">
      <c r="A2879" s="1">
        <v>46177.792361111111</v>
      </c>
      <c r="B2879" s="5">
        <f>_xlfn.XLOOKUP(A2879,Banks!A:A,Banks!H:H,0,-1)</f>
        <v>4885.0516312755444</v>
      </c>
      <c r="C2879">
        <f>_xlfn.XLOOKUP(A2879,Energy!A:A,Energy!H:H,0,-1)</f>
        <v>11279.314001320179</v>
      </c>
      <c r="D2879">
        <f t="shared" si="176"/>
        <v>16164.365632595724</v>
      </c>
      <c r="E2879">
        <f>_xlfn.XLOOKUP(A2879,Banks!A:A,Banks!I:I,0)</f>
        <v>0</v>
      </c>
      <c r="F2879">
        <f>_xlfn.XLOOKUP(A2879,Energy!A:A,Energy!I:I,0)</f>
        <v>35130.884049405402</v>
      </c>
      <c r="G2879">
        <f t="shared" si="177"/>
        <v>35130.884049405402</v>
      </c>
      <c r="H2879">
        <f t="shared" si="178"/>
        <v>18966.518416809678</v>
      </c>
      <c r="I2879" t="b">
        <f t="shared" si="179"/>
        <v>0</v>
      </c>
    </row>
    <row r="2880" spans="1:9">
      <c r="A2880" s="1">
        <v>46177.793055555558</v>
      </c>
      <c r="B2880" s="5">
        <f>_xlfn.XLOOKUP(A2880,Banks!A:A,Banks!H:H,0,-1)</f>
        <v>4885.0516312755444</v>
      </c>
      <c r="C2880">
        <f>_xlfn.XLOOKUP(A2880,Energy!A:A,Energy!H:H,0,-1)</f>
        <v>11270.89294868859</v>
      </c>
      <c r="D2880">
        <f t="shared" si="176"/>
        <v>16155.944579964134</v>
      </c>
      <c r="E2880">
        <f>_xlfn.XLOOKUP(A2880,Banks!A:A,Banks!I:I,0)</f>
        <v>0</v>
      </c>
      <c r="F2880">
        <f>_xlfn.XLOOKUP(A2880,Energy!A:A,Energy!I:I,0)</f>
        <v>35129.199838879082</v>
      </c>
      <c r="G2880">
        <f t="shared" si="177"/>
        <v>35129.199838879082</v>
      </c>
      <c r="H2880">
        <f t="shared" si="178"/>
        <v>18973.255258914949</v>
      </c>
      <c r="I2880" t="b">
        <f t="shared" si="179"/>
        <v>0</v>
      </c>
    </row>
    <row r="2881" spans="1:9">
      <c r="A2881" s="1">
        <v>46177.793749999997</v>
      </c>
      <c r="B2881" s="5">
        <f>_xlfn.XLOOKUP(A2881,Banks!A:A,Banks!H:H,0,-1)</f>
        <v>4885.0516312755444</v>
      </c>
      <c r="C2881">
        <f>_xlfn.XLOOKUP(A2881,Energy!A:A,Energy!H:H,0,-1)</f>
        <v>11247.05908824469</v>
      </c>
      <c r="D2881">
        <f t="shared" si="176"/>
        <v>16132.110719520235</v>
      </c>
      <c r="E2881">
        <f>_xlfn.XLOOKUP(A2881,Banks!A:A,Banks!I:I,0)</f>
        <v>0</v>
      </c>
      <c r="F2881">
        <f>_xlfn.XLOOKUP(A2881,Energy!A:A,Energy!I:I,0)</f>
        <v>35137.335032020499</v>
      </c>
      <c r="G2881">
        <f t="shared" si="177"/>
        <v>35137.335032020499</v>
      </c>
      <c r="H2881">
        <f t="shared" si="178"/>
        <v>19005.224312500264</v>
      </c>
      <c r="I2881" t="b">
        <f t="shared" si="179"/>
        <v>0</v>
      </c>
    </row>
    <row r="2882" spans="1:9">
      <c r="A2882" s="1">
        <v>46177.794444444437</v>
      </c>
      <c r="B2882" s="5">
        <f>_xlfn.XLOOKUP(A2882,Banks!A:A,Banks!H:H,0,-1)</f>
        <v>4885.0516312755444</v>
      </c>
      <c r="C2882">
        <f>_xlfn.XLOOKUP(A2882,Energy!A:A,Energy!H:H,0,-1)</f>
        <v>11246.518315679041</v>
      </c>
      <c r="D2882">
        <f t="shared" si="176"/>
        <v>16131.569946954585</v>
      </c>
      <c r="E2882">
        <f>_xlfn.XLOOKUP(A2882,Banks!A:A,Banks!I:I,0)</f>
        <v>0</v>
      </c>
      <c r="F2882">
        <f>_xlfn.XLOOKUP(A2882,Energy!A:A,Energy!I:I,0)</f>
        <v>35147.548449691523</v>
      </c>
      <c r="G2882">
        <f t="shared" si="177"/>
        <v>35147.548449691523</v>
      </c>
      <c r="H2882">
        <f t="shared" si="178"/>
        <v>19015.978502736936</v>
      </c>
      <c r="I2882" t="b">
        <f t="shared" si="179"/>
        <v>0</v>
      </c>
    </row>
    <row r="2883" spans="1:9">
      <c r="A2883" s="1">
        <v>46177.795138888891</v>
      </c>
      <c r="B2883" s="5">
        <f>_xlfn.XLOOKUP(A2883,Banks!A:A,Banks!H:H,0,-1)</f>
        <v>4885.0516312755444</v>
      </c>
      <c r="C2883">
        <f>_xlfn.XLOOKUP(A2883,Energy!A:A,Energy!H:H,0,-1)</f>
        <v>11293.104491435541</v>
      </c>
      <c r="D2883">
        <f t="shared" ref="D2883:D2946" si="180">B2883+C2883</f>
        <v>16178.156122711085</v>
      </c>
      <c r="E2883">
        <f>_xlfn.XLOOKUP(A2883,Banks!A:A,Banks!I:I,0)</f>
        <v>0</v>
      </c>
      <c r="F2883">
        <f>_xlfn.XLOOKUP(A2883,Energy!A:A,Energy!I:I,0)</f>
        <v>35151.704898750751</v>
      </c>
      <c r="G2883">
        <f t="shared" ref="G2883:G2946" si="181">F2883+E2883</f>
        <v>35151.704898750751</v>
      </c>
      <c r="H2883">
        <f t="shared" ref="H2883:H2946" si="182">G2883-D2883</f>
        <v>18973.548776039665</v>
      </c>
      <c r="I2883" t="b">
        <f t="shared" ref="I2883:I2946" si="183">AND(E2883&gt;0,F2883&gt;0)</f>
        <v>0</v>
      </c>
    </row>
    <row r="2884" spans="1:9">
      <c r="A2884" s="1">
        <v>46177.79583333333</v>
      </c>
      <c r="B2884" s="5">
        <f>_xlfn.XLOOKUP(A2884,Banks!A:A,Banks!H:H,0,-1)</f>
        <v>4885.0516312755444</v>
      </c>
      <c r="C2884">
        <f>_xlfn.XLOOKUP(A2884,Energy!A:A,Energy!H:H,0,-1)</f>
        <v>11291.134421419059</v>
      </c>
      <c r="D2884">
        <f t="shared" si="180"/>
        <v>16176.186052694604</v>
      </c>
      <c r="E2884">
        <f>_xlfn.XLOOKUP(A2884,Banks!A:A,Banks!I:I,0)</f>
        <v>0</v>
      </c>
      <c r="F2884">
        <f>_xlfn.XLOOKUP(A2884,Energy!A:A,Energy!I:I,0)</f>
        <v>35148.730491701412</v>
      </c>
      <c r="G2884">
        <f t="shared" si="181"/>
        <v>35148.730491701412</v>
      </c>
      <c r="H2884">
        <f t="shared" si="182"/>
        <v>18972.544439006808</v>
      </c>
      <c r="I2884" t="b">
        <f t="shared" si="183"/>
        <v>0</v>
      </c>
    </row>
    <row r="2885" spans="1:9">
      <c r="A2885" s="1">
        <v>46177.796527777777</v>
      </c>
      <c r="B2885" s="5">
        <f>_xlfn.XLOOKUP(A2885,Banks!A:A,Banks!H:H,0,-1)</f>
        <v>4885.0516312755444</v>
      </c>
      <c r="C2885">
        <f>_xlfn.XLOOKUP(A2885,Energy!A:A,Energy!H:H,0,-1)</f>
        <v>11300.096246616289</v>
      </c>
      <c r="D2885">
        <f t="shared" si="180"/>
        <v>16185.147877891834</v>
      </c>
      <c r="E2885">
        <f>_xlfn.XLOOKUP(A2885,Banks!A:A,Banks!I:I,0)</f>
        <v>0</v>
      </c>
      <c r="F2885">
        <f>_xlfn.XLOOKUP(A2885,Energy!A:A,Energy!I:I,0)</f>
        <v>35140.201284556701</v>
      </c>
      <c r="G2885">
        <f t="shared" si="181"/>
        <v>35140.201284556701</v>
      </c>
      <c r="H2885">
        <f t="shared" si="182"/>
        <v>18955.053406664869</v>
      </c>
      <c r="I2885" t="b">
        <f t="shared" si="183"/>
        <v>0</v>
      </c>
    </row>
    <row r="2886" spans="1:9">
      <c r="A2886" s="1">
        <v>46177.797222222223</v>
      </c>
      <c r="B2886" s="5">
        <f>_xlfn.XLOOKUP(A2886,Banks!A:A,Banks!H:H,0,-1)</f>
        <v>4885.0516312755444</v>
      </c>
      <c r="C2886">
        <f>_xlfn.XLOOKUP(A2886,Energy!A:A,Energy!H:H,0,-1)</f>
        <v>11312.45743928083</v>
      </c>
      <c r="D2886">
        <f t="shared" si="180"/>
        <v>16197.509070556374</v>
      </c>
      <c r="E2886">
        <f>_xlfn.XLOOKUP(A2886,Banks!A:A,Banks!I:I,0)</f>
        <v>0</v>
      </c>
      <c r="F2886">
        <f>_xlfn.XLOOKUP(A2886,Energy!A:A,Energy!I:I,0)</f>
        <v>35147.834309181693</v>
      </c>
      <c r="G2886">
        <f t="shared" si="181"/>
        <v>35147.834309181693</v>
      </c>
      <c r="H2886">
        <f t="shared" si="182"/>
        <v>18950.325238625319</v>
      </c>
      <c r="I2886" t="b">
        <f t="shared" si="183"/>
        <v>0</v>
      </c>
    </row>
    <row r="2887" spans="1:9">
      <c r="A2887" s="1">
        <v>46177.79791666667</v>
      </c>
      <c r="B2887" s="5">
        <f>_xlfn.XLOOKUP(A2887,Banks!A:A,Banks!H:H,0,-1)</f>
        <v>4885.0516312755444</v>
      </c>
      <c r="C2887">
        <f>_xlfn.XLOOKUP(A2887,Energy!A:A,Energy!H:H,0,-1)</f>
        <v>11286.653508820449</v>
      </c>
      <c r="D2887">
        <f t="shared" si="180"/>
        <v>16171.705140095994</v>
      </c>
      <c r="E2887">
        <f>_xlfn.XLOOKUP(A2887,Banks!A:A,Banks!I:I,0)</f>
        <v>0</v>
      </c>
      <c r="F2887">
        <f>_xlfn.XLOOKUP(A2887,Energy!A:A,Energy!I:I,0)</f>
        <v>35152.995095273764</v>
      </c>
      <c r="G2887">
        <f t="shared" si="181"/>
        <v>35152.995095273764</v>
      </c>
      <c r="H2887">
        <f t="shared" si="182"/>
        <v>18981.28995517777</v>
      </c>
      <c r="I2887" t="b">
        <f t="shared" si="183"/>
        <v>0</v>
      </c>
    </row>
    <row r="2888" spans="1:9">
      <c r="A2888" s="1">
        <v>46177.798611111109</v>
      </c>
      <c r="B2888" s="5">
        <f>_xlfn.XLOOKUP(A2888,Banks!A:A,Banks!H:H,0,-1)</f>
        <v>4885.0516312755444</v>
      </c>
      <c r="C2888">
        <f>_xlfn.XLOOKUP(A2888,Energy!A:A,Energy!H:H,0,-1)</f>
        <v>11265.87126352433</v>
      </c>
      <c r="D2888">
        <f t="shared" si="180"/>
        <v>16150.922894799874</v>
      </c>
      <c r="E2888">
        <f>_xlfn.XLOOKUP(A2888,Banks!A:A,Banks!I:I,0)</f>
        <v>0</v>
      </c>
      <c r="F2888">
        <f>_xlfn.XLOOKUP(A2888,Energy!A:A,Energy!I:I,0)</f>
        <v>35143.677860122472</v>
      </c>
      <c r="G2888">
        <f t="shared" si="181"/>
        <v>35143.677860122472</v>
      </c>
      <c r="H2888">
        <f t="shared" si="182"/>
        <v>18992.754965322598</v>
      </c>
      <c r="I2888" t="b">
        <f t="shared" si="183"/>
        <v>0</v>
      </c>
    </row>
    <row r="2889" spans="1:9">
      <c r="A2889" s="1">
        <v>46177.799305555563</v>
      </c>
      <c r="B2889" s="5">
        <f>_xlfn.XLOOKUP(A2889,Banks!A:A,Banks!H:H,0,-1)</f>
        <v>4885.0516312755444</v>
      </c>
      <c r="C2889">
        <f>_xlfn.XLOOKUP(A2889,Energy!A:A,Energy!H:H,0,-1)</f>
        <v>11292.21596655037</v>
      </c>
      <c r="D2889">
        <f t="shared" si="180"/>
        <v>16177.267597825914</v>
      </c>
      <c r="E2889">
        <f>_xlfn.XLOOKUP(A2889,Banks!A:A,Banks!I:I,0)</f>
        <v>0</v>
      </c>
      <c r="F2889">
        <f>_xlfn.XLOOKUP(A2889,Energy!A:A,Energy!I:I,0)</f>
        <v>35128.303656359371</v>
      </c>
      <c r="G2889">
        <f t="shared" si="181"/>
        <v>35128.303656359371</v>
      </c>
      <c r="H2889">
        <f t="shared" si="182"/>
        <v>18951.036058533457</v>
      </c>
      <c r="I2889" t="b">
        <f t="shared" si="183"/>
        <v>0</v>
      </c>
    </row>
    <row r="2890" spans="1:9">
      <c r="A2890" s="1">
        <v>46177.8</v>
      </c>
      <c r="B2890" s="5">
        <f>_xlfn.XLOOKUP(A2890,Banks!A:A,Banks!H:H,0,-1)</f>
        <v>4885.0516312755444</v>
      </c>
      <c r="C2890">
        <f>_xlfn.XLOOKUP(A2890,Energy!A:A,Energy!H:H,0,-1)</f>
        <v>11231.839300678481</v>
      </c>
      <c r="D2890">
        <f t="shared" si="180"/>
        <v>16116.890931954025</v>
      </c>
      <c r="E2890">
        <f>_xlfn.XLOOKUP(A2890,Banks!A:A,Banks!I:I,0)</f>
        <v>0</v>
      </c>
      <c r="F2890">
        <f>_xlfn.XLOOKUP(A2890,Energy!A:A,Energy!I:I,0)</f>
        <v>35103.326357954793</v>
      </c>
      <c r="G2890">
        <f t="shared" si="181"/>
        <v>35103.326357954793</v>
      </c>
      <c r="H2890">
        <f t="shared" si="182"/>
        <v>18986.435426000768</v>
      </c>
      <c r="I2890" t="b">
        <f t="shared" si="183"/>
        <v>0</v>
      </c>
    </row>
    <row r="2891" spans="1:9">
      <c r="A2891" s="1">
        <v>46177.800694444442</v>
      </c>
      <c r="B2891" s="5">
        <f>_xlfn.XLOOKUP(A2891,Banks!A:A,Banks!H:H,0,-1)</f>
        <v>4885.0516312755444</v>
      </c>
      <c r="C2891">
        <f>_xlfn.XLOOKUP(A2891,Energy!A:A,Energy!H:H,0,-1)</f>
        <v>11220.907405464761</v>
      </c>
      <c r="D2891">
        <f t="shared" si="180"/>
        <v>16105.959036740305</v>
      </c>
      <c r="E2891">
        <f>_xlfn.XLOOKUP(A2891,Banks!A:A,Banks!I:I,0)</f>
        <v>0</v>
      </c>
      <c r="F2891">
        <f>_xlfn.XLOOKUP(A2891,Energy!A:A,Energy!I:I,0)</f>
        <v>35108.881158050172</v>
      </c>
      <c r="G2891">
        <f t="shared" si="181"/>
        <v>35108.881158050172</v>
      </c>
      <c r="H2891">
        <f t="shared" si="182"/>
        <v>19002.922121309864</v>
      </c>
      <c r="I2891" t="b">
        <f t="shared" si="183"/>
        <v>0</v>
      </c>
    </row>
    <row r="2892" spans="1:9">
      <c r="A2892" s="1">
        <v>46177.801388888889</v>
      </c>
      <c r="B2892" s="5">
        <f>_xlfn.XLOOKUP(A2892,Banks!A:A,Banks!H:H,0,-1)</f>
        <v>4885.0516312755444</v>
      </c>
      <c r="C2892">
        <f>_xlfn.XLOOKUP(A2892,Energy!A:A,Energy!H:H,0,-1)</f>
        <v>11263.283054905491</v>
      </c>
      <c r="D2892">
        <f t="shared" si="180"/>
        <v>16148.334686181035</v>
      </c>
      <c r="E2892">
        <f>_xlfn.XLOOKUP(A2892,Banks!A:A,Banks!I:I,0)</f>
        <v>0</v>
      </c>
      <c r="F2892">
        <f>_xlfn.XLOOKUP(A2892,Energy!A:A,Energy!I:I,0)</f>
        <v>35112.195501846218</v>
      </c>
      <c r="G2892">
        <f t="shared" si="181"/>
        <v>35112.195501846218</v>
      </c>
      <c r="H2892">
        <f t="shared" si="182"/>
        <v>18963.860815665183</v>
      </c>
      <c r="I2892" t="b">
        <f t="shared" si="183"/>
        <v>0</v>
      </c>
    </row>
    <row r="2893" spans="1:9">
      <c r="A2893" s="1">
        <v>46177.802083333343</v>
      </c>
      <c r="B2893" s="5">
        <f>_xlfn.XLOOKUP(A2893,Banks!A:A,Banks!H:H,0,-1)</f>
        <v>4885.0516312755444</v>
      </c>
      <c r="C2893">
        <f>_xlfn.XLOOKUP(A2893,Energy!A:A,Energy!H:H,0,-1)</f>
        <v>11261.596689429851</v>
      </c>
      <c r="D2893">
        <f t="shared" si="180"/>
        <v>16146.648320705395</v>
      </c>
      <c r="E2893">
        <f>_xlfn.XLOOKUP(A2893,Banks!A:A,Banks!I:I,0)</f>
        <v>0</v>
      </c>
      <c r="F2893">
        <f>_xlfn.XLOOKUP(A2893,Energy!A:A,Energy!I:I,0)</f>
        <v>0</v>
      </c>
      <c r="G2893">
        <f t="shared" si="181"/>
        <v>0</v>
      </c>
      <c r="H2893">
        <f t="shared" si="182"/>
        <v>-16146.648320705395</v>
      </c>
      <c r="I2893" t="b">
        <f t="shared" si="183"/>
        <v>0</v>
      </c>
    </row>
    <row r="2894" spans="1:9">
      <c r="A2894" s="1">
        <v>46181.604861111111</v>
      </c>
      <c r="B2894" s="5">
        <f>_xlfn.XLOOKUP(A2894,Banks!A:A,Banks!H:H,0,-1)</f>
        <v>4885.0516312755444</v>
      </c>
      <c r="C2894">
        <f>_xlfn.XLOOKUP(A2894,Energy!A:A,Energy!H:H,0,-1)</f>
        <v>11261.596689429851</v>
      </c>
      <c r="D2894">
        <f t="shared" si="180"/>
        <v>16146.648320705395</v>
      </c>
      <c r="E2894">
        <f>_xlfn.XLOOKUP(A2894,Banks!A:A,Banks!I:I,0)</f>
        <v>0</v>
      </c>
      <c r="F2894">
        <f>_xlfn.XLOOKUP(A2894,Energy!A:A,Energy!I:I,0)</f>
        <v>35077.236568004242</v>
      </c>
      <c r="G2894">
        <f t="shared" si="181"/>
        <v>35077.236568004242</v>
      </c>
      <c r="H2894">
        <f t="shared" si="182"/>
        <v>18930.588247298845</v>
      </c>
      <c r="I2894" t="b">
        <f t="shared" si="183"/>
        <v>0</v>
      </c>
    </row>
    <row r="2895" spans="1:9">
      <c r="A2895" s="1">
        <v>46181.605555555558</v>
      </c>
      <c r="B2895" s="5">
        <f>_xlfn.XLOOKUP(A2895,Banks!A:A,Banks!H:H,0,-1)</f>
        <v>4885.0516312755444</v>
      </c>
      <c r="C2895">
        <f>_xlfn.XLOOKUP(A2895,Energy!A:A,Energy!H:H,0,-1)</f>
        <v>11280.538988287921</v>
      </c>
      <c r="D2895">
        <f t="shared" si="180"/>
        <v>16165.590619563465</v>
      </c>
      <c r="E2895">
        <f>_xlfn.XLOOKUP(A2895,Banks!A:A,Banks!I:I,0)</f>
        <v>0</v>
      </c>
      <c r="F2895">
        <f>_xlfn.XLOOKUP(A2895,Energy!A:A,Energy!I:I,0)</f>
        <v>35123.311901930123</v>
      </c>
      <c r="G2895">
        <f t="shared" si="181"/>
        <v>35123.311901930123</v>
      </c>
      <c r="H2895">
        <f t="shared" si="182"/>
        <v>18957.721282366656</v>
      </c>
      <c r="I2895" t="b">
        <f t="shared" si="183"/>
        <v>0</v>
      </c>
    </row>
    <row r="2896" spans="1:9">
      <c r="A2896" s="1">
        <v>46181.606249999997</v>
      </c>
      <c r="B2896" s="5">
        <f>_xlfn.XLOOKUP(A2896,Banks!A:A,Banks!H:H,0,-1)</f>
        <v>4885.0516312755444</v>
      </c>
      <c r="C2896">
        <f>_xlfn.XLOOKUP(A2896,Energy!A:A,Energy!H:H,0,-1)</f>
        <v>11195.24565696326</v>
      </c>
      <c r="D2896">
        <f t="shared" si="180"/>
        <v>16080.297288238804</v>
      </c>
      <c r="E2896">
        <f>_xlfn.XLOOKUP(A2896,Banks!A:A,Banks!I:I,0)</f>
        <v>0</v>
      </c>
      <c r="F2896">
        <f>_xlfn.XLOOKUP(A2896,Energy!A:A,Energy!I:I,0)</f>
        <v>35106.253235665186</v>
      </c>
      <c r="G2896">
        <f t="shared" si="181"/>
        <v>35106.253235665186</v>
      </c>
      <c r="H2896">
        <f t="shared" si="182"/>
        <v>19025.955947426381</v>
      </c>
      <c r="I2896" t="b">
        <f t="shared" si="183"/>
        <v>0</v>
      </c>
    </row>
    <row r="2897" spans="1:9">
      <c r="A2897" s="1">
        <v>46181.606944444437</v>
      </c>
      <c r="B2897" s="5">
        <f>_xlfn.XLOOKUP(A2897,Banks!A:A,Banks!H:H,0,-1)</f>
        <v>4885.0516312755444</v>
      </c>
      <c r="C2897">
        <f>_xlfn.XLOOKUP(A2897,Energy!A:A,Energy!H:H,0,-1)</f>
        <v>10852.401158839481</v>
      </c>
      <c r="D2897">
        <f t="shared" si="180"/>
        <v>15737.452790115025</v>
      </c>
      <c r="E2897">
        <f>_xlfn.XLOOKUP(A2897,Banks!A:A,Banks!I:I,0)</f>
        <v>0</v>
      </c>
      <c r="F2897">
        <f>_xlfn.XLOOKUP(A2897,Energy!A:A,Energy!I:I,0)</f>
        <v>35052.130275664793</v>
      </c>
      <c r="G2897">
        <f t="shared" si="181"/>
        <v>35052.130275664793</v>
      </c>
      <c r="H2897">
        <f t="shared" si="182"/>
        <v>19314.677485549768</v>
      </c>
      <c r="I2897" t="b">
        <f t="shared" si="183"/>
        <v>0</v>
      </c>
    </row>
    <row r="2898" spans="1:9">
      <c r="A2898" s="1">
        <v>46181.834027777782</v>
      </c>
      <c r="B2898" s="5">
        <f>_xlfn.XLOOKUP(A2898,Banks!A:A,Banks!H:H,0,-1)</f>
        <v>4885.0516312755444</v>
      </c>
      <c r="C2898">
        <f>_xlfn.XLOOKUP(A2898,Energy!A:A,Energy!H:H,0,-1)</f>
        <v>10852.401158839481</v>
      </c>
      <c r="D2898">
        <f t="shared" si="180"/>
        <v>15737.452790115025</v>
      </c>
      <c r="E2898">
        <f>_xlfn.XLOOKUP(A2898,Banks!A:A,Banks!I:I,0)</f>
        <v>34334.840644903357</v>
      </c>
      <c r="F2898">
        <f>_xlfn.XLOOKUP(A2898,Energy!A:A,Energy!I:I,0)</f>
        <v>0</v>
      </c>
      <c r="G2898">
        <f t="shared" si="181"/>
        <v>34334.840644903357</v>
      </c>
      <c r="H2898">
        <f t="shared" si="182"/>
        <v>18597.387854788332</v>
      </c>
      <c r="I2898" t="b">
        <f t="shared" si="183"/>
        <v>0</v>
      </c>
    </row>
    <row r="2899" spans="1:9">
      <c r="A2899" s="1">
        <v>46181.834722222222</v>
      </c>
      <c r="B2899" s="5">
        <f>_xlfn.XLOOKUP(A2899,Banks!A:A,Banks!H:H,0,-1)</f>
        <v>4935.2567659781389</v>
      </c>
      <c r="C2899">
        <f>_xlfn.XLOOKUP(A2899,Energy!A:A,Energy!H:H,0,-1)</f>
        <v>10852.401158839481</v>
      </c>
      <c r="D2899">
        <f t="shared" si="180"/>
        <v>15787.65792481762</v>
      </c>
      <c r="E2899">
        <f>_xlfn.XLOOKUP(A2899,Banks!A:A,Banks!I:I,0)</f>
        <v>34353.651840485618</v>
      </c>
      <c r="F2899">
        <f>_xlfn.XLOOKUP(A2899,Energy!A:A,Energy!I:I,0)</f>
        <v>0</v>
      </c>
      <c r="G2899">
        <f t="shared" si="181"/>
        <v>34353.651840485618</v>
      </c>
      <c r="H2899">
        <f t="shared" si="182"/>
        <v>18565.993915667997</v>
      </c>
      <c r="I2899" t="b">
        <f t="shared" si="183"/>
        <v>0</v>
      </c>
    </row>
    <row r="2900" spans="1:9">
      <c r="A2900" s="1">
        <v>46181.835416666669</v>
      </c>
      <c r="B2900" s="5">
        <f>_xlfn.XLOOKUP(A2900,Banks!A:A,Banks!H:H,0,-1)</f>
        <v>4934.7796747910634</v>
      </c>
      <c r="C2900">
        <f>_xlfn.XLOOKUP(A2900,Energy!A:A,Energy!H:H,0,-1)</f>
        <v>10852.401158839481</v>
      </c>
      <c r="D2900">
        <f t="shared" si="180"/>
        <v>15787.180833630544</v>
      </c>
      <c r="E2900">
        <f>_xlfn.XLOOKUP(A2900,Banks!A:A,Banks!I:I,0)</f>
        <v>34368.173369984412</v>
      </c>
      <c r="F2900">
        <f>_xlfn.XLOOKUP(A2900,Energy!A:A,Energy!I:I,0)</f>
        <v>0</v>
      </c>
      <c r="G2900">
        <f t="shared" si="181"/>
        <v>34368.173369984412</v>
      </c>
      <c r="H2900">
        <f t="shared" si="182"/>
        <v>18580.992536353868</v>
      </c>
      <c r="I2900" t="b">
        <f t="shared" si="183"/>
        <v>0</v>
      </c>
    </row>
    <row r="2901" spans="1:9">
      <c r="A2901" s="1">
        <v>46181.836111111108</v>
      </c>
      <c r="B2901" s="5">
        <f>_xlfn.XLOOKUP(A2901,Banks!A:A,Banks!H:H,0,-1)</f>
        <v>4938.1953661315792</v>
      </c>
      <c r="C2901">
        <f>_xlfn.XLOOKUP(A2901,Energy!A:A,Energy!H:H,0,-1)</f>
        <v>10852.401158839481</v>
      </c>
      <c r="D2901">
        <f t="shared" si="180"/>
        <v>15790.596524971061</v>
      </c>
      <c r="E2901">
        <f>_xlfn.XLOOKUP(A2901,Banks!A:A,Banks!I:I,0)</f>
        <v>34374.703287347002</v>
      </c>
      <c r="F2901">
        <f>_xlfn.XLOOKUP(A2901,Energy!A:A,Energy!I:I,0)</f>
        <v>0</v>
      </c>
      <c r="G2901">
        <f t="shared" si="181"/>
        <v>34374.703287347002</v>
      </c>
      <c r="H2901">
        <f t="shared" si="182"/>
        <v>18584.106762375941</v>
      </c>
      <c r="I2901" t="b">
        <f t="shared" si="183"/>
        <v>0</v>
      </c>
    </row>
    <row r="2902" spans="1:9">
      <c r="A2902" s="1">
        <v>46181.836805555547</v>
      </c>
      <c r="B2902" s="5">
        <f>_xlfn.XLOOKUP(A2902,Banks!A:A,Banks!H:H,0,-1)</f>
        <v>4958.4129420656527</v>
      </c>
      <c r="C2902">
        <f>_xlfn.XLOOKUP(A2902,Energy!A:A,Energy!H:H,0,-1)</f>
        <v>10852.401158839481</v>
      </c>
      <c r="D2902">
        <f t="shared" si="180"/>
        <v>15810.814100905132</v>
      </c>
      <c r="E2902">
        <f>_xlfn.XLOOKUP(A2902,Banks!A:A,Banks!I:I,0)</f>
        <v>34367.053244344846</v>
      </c>
      <c r="F2902">
        <f>_xlfn.XLOOKUP(A2902,Energy!A:A,Energy!I:I,0)</f>
        <v>0</v>
      </c>
      <c r="G2902">
        <f t="shared" si="181"/>
        <v>34367.053244344846</v>
      </c>
      <c r="H2902">
        <f t="shared" si="182"/>
        <v>18556.239143439714</v>
      </c>
      <c r="I2902" t="b">
        <f t="shared" si="183"/>
        <v>0</v>
      </c>
    </row>
    <row r="2903" spans="1:9">
      <c r="A2903" s="1">
        <v>46181.837500000001</v>
      </c>
      <c r="B2903" s="5">
        <f>_xlfn.XLOOKUP(A2903,Banks!A:A,Banks!H:H,0,-1)</f>
        <v>4956.7050963953816</v>
      </c>
      <c r="C2903">
        <f>_xlfn.XLOOKUP(A2903,Energy!A:A,Energy!H:H,0,-1)</f>
        <v>10852.401158839481</v>
      </c>
      <c r="D2903">
        <f t="shared" si="180"/>
        <v>15809.106255234863</v>
      </c>
      <c r="E2903">
        <f>_xlfn.XLOOKUP(A2903,Banks!A:A,Banks!I:I,0)</f>
        <v>34363.788285663548</v>
      </c>
      <c r="F2903">
        <f>_xlfn.XLOOKUP(A2903,Energy!A:A,Energy!I:I,0)</f>
        <v>0</v>
      </c>
      <c r="G2903">
        <f t="shared" si="181"/>
        <v>34363.788285663548</v>
      </c>
      <c r="H2903">
        <f t="shared" si="182"/>
        <v>18554.682030428685</v>
      </c>
      <c r="I2903" t="b">
        <f t="shared" si="183"/>
        <v>0</v>
      </c>
    </row>
    <row r="2904" spans="1:9">
      <c r="A2904" s="1">
        <v>46181.838194444441</v>
      </c>
      <c r="B2904" s="5">
        <f>_xlfn.XLOOKUP(A2904,Banks!A:A,Banks!H:H,0,-1)</f>
        <v>4934.7796747910634</v>
      </c>
      <c r="C2904">
        <f>_xlfn.XLOOKUP(A2904,Energy!A:A,Energy!H:H,0,-1)</f>
        <v>10852.401158839481</v>
      </c>
      <c r="D2904">
        <f t="shared" si="180"/>
        <v>15787.180833630544</v>
      </c>
      <c r="E2904">
        <f>_xlfn.XLOOKUP(A2904,Banks!A:A,Banks!I:I,0)</f>
        <v>34368.173369984412</v>
      </c>
      <c r="F2904">
        <f>_xlfn.XLOOKUP(A2904,Energy!A:A,Energy!I:I,0)</f>
        <v>0</v>
      </c>
      <c r="G2904">
        <f t="shared" si="181"/>
        <v>34368.173369984412</v>
      </c>
      <c r="H2904">
        <f t="shared" si="182"/>
        <v>18580.992536353868</v>
      </c>
      <c r="I2904" t="b">
        <f t="shared" si="183"/>
        <v>0</v>
      </c>
    </row>
    <row r="2905" spans="1:9">
      <c r="A2905" s="1">
        <v>46181.838888888888</v>
      </c>
      <c r="B2905" s="5">
        <f>_xlfn.XLOOKUP(A2905,Banks!A:A,Banks!H:H,0,-1)</f>
        <v>4949.3966225272834</v>
      </c>
      <c r="C2905">
        <f>_xlfn.XLOOKUP(A2905,Energy!A:A,Energy!H:H,0,-1)</f>
        <v>10852.401158839481</v>
      </c>
      <c r="D2905">
        <f t="shared" si="180"/>
        <v>15801.797781366764</v>
      </c>
      <c r="E2905">
        <f>_xlfn.XLOOKUP(A2905,Banks!A:A,Banks!I:I,0)</f>
        <v>34365.249980437176</v>
      </c>
      <c r="F2905">
        <f>_xlfn.XLOOKUP(A2905,Energy!A:A,Energy!I:I,0)</f>
        <v>0</v>
      </c>
      <c r="G2905">
        <f t="shared" si="181"/>
        <v>34365.249980437176</v>
      </c>
      <c r="H2905">
        <f t="shared" si="182"/>
        <v>18563.452199070412</v>
      </c>
      <c r="I2905" t="b">
        <f t="shared" si="183"/>
        <v>0</v>
      </c>
    </row>
    <row r="2906" spans="1:9">
      <c r="A2906" s="1">
        <v>46181.839583333327</v>
      </c>
      <c r="B2906" s="5">
        <f>_xlfn.XLOOKUP(A2906,Banks!A:A,Banks!H:H,0,-1)</f>
        <v>4934.7796747910634</v>
      </c>
      <c r="C2906">
        <f>_xlfn.XLOOKUP(A2906,Energy!A:A,Energy!H:H,0,-1)</f>
        <v>10852.401158839481</v>
      </c>
      <c r="D2906">
        <f t="shared" si="180"/>
        <v>15787.180833630544</v>
      </c>
      <c r="E2906">
        <f>_xlfn.XLOOKUP(A2906,Banks!A:A,Banks!I:I,0)</f>
        <v>34368.173369984412</v>
      </c>
      <c r="F2906">
        <f>_xlfn.XLOOKUP(A2906,Energy!A:A,Energy!I:I,0)</f>
        <v>0</v>
      </c>
      <c r="G2906">
        <f t="shared" si="181"/>
        <v>34368.173369984412</v>
      </c>
      <c r="H2906">
        <f t="shared" si="182"/>
        <v>18580.992536353868</v>
      </c>
      <c r="I2906" t="b">
        <f t="shared" si="183"/>
        <v>0</v>
      </c>
    </row>
    <row r="2907" spans="1:9">
      <c r="A2907" s="1">
        <v>46181.840277777781</v>
      </c>
      <c r="B2907" s="5">
        <f>_xlfn.XLOOKUP(A2907,Banks!A:A,Banks!H:H,0,-1)</f>
        <v>4886.2823857587246</v>
      </c>
      <c r="C2907">
        <f>_xlfn.XLOOKUP(A2907,Energy!A:A,Energy!H:H,0,-1)</f>
        <v>10852.401158839481</v>
      </c>
      <c r="D2907">
        <f t="shared" si="180"/>
        <v>15738.683544598205</v>
      </c>
      <c r="E2907">
        <f>_xlfn.XLOOKUP(A2907,Banks!A:A,Banks!I:I,0)</f>
        <v>34352.627133083457</v>
      </c>
      <c r="F2907">
        <f>_xlfn.XLOOKUP(A2907,Energy!A:A,Energy!I:I,0)</f>
        <v>0</v>
      </c>
      <c r="G2907">
        <f t="shared" si="181"/>
        <v>34352.627133083457</v>
      </c>
      <c r="H2907">
        <f t="shared" si="182"/>
        <v>18613.94358848525</v>
      </c>
      <c r="I2907" t="b">
        <f t="shared" si="183"/>
        <v>0</v>
      </c>
    </row>
    <row r="2908" spans="1:9">
      <c r="A2908" s="1">
        <v>46181.84097222222</v>
      </c>
      <c r="B2908" s="5">
        <f>_xlfn.XLOOKUP(A2908,Banks!A:A,Banks!H:H,0,-1)</f>
        <v>4839.4929423966496</v>
      </c>
      <c r="C2908">
        <f>_xlfn.XLOOKUP(A2908,Energy!A:A,Energy!H:H,0,-1)</f>
        <v>10852.401158839481</v>
      </c>
      <c r="D2908">
        <f t="shared" si="180"/>
        <v>15691.89410123613</v>
      </c>
      <c r="E2908">
        <f>_xlfn.XLOOKUP(A2908,Banks!A:A,Banks!I:I,0)</f>
        <v>34340.345854863808</v>
      </c>
      <c r="F2908">
        <f>_xlfn.XLOOKUP(A2908,Energy!A:A,Energy!I:I,0)</f>
        <v>0</v>
      </c>
      <c r="G2908">
        <f t="shared" si="181"/>
        <v>34340.345854863808</v>
      </c>
      <c r="H2908">
        <f t="shared" si="182"/>
        <v>18648.451753627676</v>
      </c>
      <c r="I2908" t="b">
        <f t="shared" si="183"/>
        <v>0</v>
      </c>
    </row>
    <row r="2909" spans="1:9">
      <c r="A2909" s="1">
        <v>46181.841666666667</v>
      </c>
      <c r="B2909" s="5">
        <f>_xlfn.XLOOKUP(A2909,Banks!A:A,Banks!H:H,0,-1)</f>
        <v>4877.2660662203698</v>
      </c>
      <c r="C2909">
        <f>_xlfn.XLOOKUP(A2909,Energy!A:A,Energy!H:H,0,-1)</f>
        <v>10852.401158839481</v>
      </c>
      <c r="D2909">
        <f t="shared" si="180"/>
        <v>15729.667225059849</v>
      </c>
      <c r="E2909">
        <f>_xlfn.XLOOKUP(A2909,Banks!A:A,Banks!I:I,0)</f>
        <v>34350.823869175787</v>
      </c>
      <c r="F2909">
        <f>_xlfn.XLOOKUP(A2909,Energy!A:A,Energy!I:I,0)</f>
        <v>0</v>
      </c>
      <c r="G2909">
        <f t="shared" si="181"/>
        <v>34350.823869175787</v>
      </c>
      <c r="H2909">
        <f t="shared" si="182"/>
        <v>18621.156644115938</v>
      </c>
      <c r="I2909" t="b">
        <f t="shared" si="183"/>
        <v>0</v>
      </c>
    </row>
    <row r="2910" spans="1:9">
      <c r="A2910" s="1">
        <v>46181.842361111107</v>
      </c>
      <c r="B2910" s="5">
        <f>_xlfn.XLOOKUP(A2910,Banks!A:A,Banks!H:H,0,-1)</f>
        <v>4839.0158512095713</v>
      </c>
      <c r="C2910">
        <f>_xlfn.XLOOKUP(A2910,Energy!A:A,Energy!H:H,0,-1)</f>
        <v>10852.401158839481</v>
      </c>
      <c r="D2910">
        <f t="shared" si="180"/>
        <v>15691.417010049052</v>
      </c>
      <c r="E2910">
        <f>_xlfn.XLOOKUP(A2910,Banks!A:A,Banks!I:I,0)</f>
        <v>34354.867384362602</v>
      </c>
      <c r="F2910">
        <f>_xlfn.XLOOKUP(A2910,Energy!A:A,Energy!I:I,0)</f>
        <v>0</v>
      </c>
      <c r="G2910">
        <f t="shared" si="181"/>
        <v>34354.867384362602</v>
      </c>
      <c r="H2910">
        <f t="shared" si="182"/>
        <v>18663.45037431355</v>
      </c>
      <c r="I2910" t="b">
        <f t="shared" si="183"/>
        <v>0</v>
      </c>
    </row>
    <row r="2911" spans="1:9">
      <c r="A2911" s="1">
        <v>46181.843055555553</v>
      </c>
      <c r="B2911" s="5">
        <f>_xlfn.XLOOKUP(A2911,Banks!A:A,Banks!H:H,0,-1)</f>
        <v>4824.8759946604396</v>
      </c>
      <c r="C2911">
        <f>_xlfn.XLOOKUP(A2911,Energy!A:A,Energy!H:H,0,-1)</f>
        <v>10852.401158839481</v>
      </c>
      <c r="D2911">
        <f t="shared" si="180"/>
        <v>15677.277153499919</v>
      </c>
      <c r="E2911">
        <f>_xlfn.XLOOKUP(A2911,Banks!A:A,Banks!I:I,0)</f>
        <v>34343.269244411051</v>
      </c>
      <c r="F2911">
        <f>_xlfn.XLOOKUP(A2911,Energy!A:A,Energy!I:I,0)</f>
        <v>0</v>
      </c>
      <c r="G2911">
        <f t="shared" si="181"/>
        <v>34343.269244411051</v>
      </c>
      <c r="H2911">
        <f t="shared" si="182"/>
        <v>18665.992090911132</v>
      </c>
      <c r="I2911" t="b">
        <f t="shared" si="183"/>
        <v>0</v>
      </c>
    </row>
    <row r="2912" spans="1:9">
      <c r="A2912" s="1">
        <v>46181.84375</v>
      </c>
      <c r="B2912" s="5">
        <f>_xlfn.XLOOKUP(A2912,Banks!A:A,Banks!H:H,0,-1)</f>
        <v>4788.8107165069769</v>
      </c>
      <c r="C2912">
        <f>_xlfn.XLOOKUP(A2912,Energy!A:A,Energy!H:H,0,-1)</f>
        <v>10852.401158839481</v>
      </c>
      <c r="D2912">
        <f t="shared" si="180"/>
        <v>15641.211875346457</v>
      </c>
      <c r="E2912">
        <f>_xlfn.XLOOKUP(A2912,Banks!A:A,Banks!I:I,0)</f>
        <v>34336.056188780363</v>
      </c>
      <c r="F2912">
        <f>_xlfn.XLOOKUP(A2912,Energy!A:A,Energy!I:I,0)</f>
        <v>0</v>
      </c>
      <c r="G2912">
        <f t="shared" si="181"/>
        <v>34336.056188780363</v>
      </c>
      <c r="H2912">
        <f t="shared" si="182"/>
        <v>18694.844313433907</v>
      </c>
      <c r="I2912" t="b">
        <f t="shared" si="183"/>
        <v>0</v>
      </c>
    </row>
    <row r="2913" spans="1:9">
      <c r="A2913" s="1">
        <v>46181.844444444447</v>
      </c>
      <c r="B2913" s="5">
        <f>_xlfn.XLOOKUP(A2913,Banks!A:A,Banks!H:H,0,-1)</f>
        <v>4879.4510030776937</v>
      </c>
      <c r="C2913">
        <f>_xlfn.XLOOKUP(A2913,Energy!A:A,Energy!H:H,0,-1)</f>
        <v>10852.401158839481</v>
      </c>
      <c r="D2913">
        <f t="shared" si="180"/>
        <v>15731.852161917173</v>
      </c>
      <c r="E2913">
        <f>_xlfn.XLOOKUP(A2913,Banks!A:A,Banks!I:I,0)</f>
        <v>34339.567298358277</v>
      </c>
      <c r="F2913">
        <f>_xlfn.XLOOKUP(A2913,Energy!A:A,Energy!I:I,0)</f>
        <v>0</v>
      </c>
      <c r="G2913">
        <f t="shared" si="181"/>
        <v>34339.567298358277</v>
      </c>
      <c r="H2913">
        <f t="shared" si="182"/>
        <v>18607.715136441104</v>
      </c>
      <c r="I2913" t="b">
        <f t="shared" si="183"/>
        <v>0</v>
      </c>
    </row>
    <row r="2914" spans="1:9">
      <c r="A2914" s="1">
        <v>46181.845138888893</v>
      </c>
      <c r="B2914" s="5">
        <f>_xlfn.XLOOKUP(A2914,Banks!A:A,Banks!H:H,0,-1)</f>
        <v>4873.850374879853</v>
      </c>
      <c r="C2914">
        <f>_xlfn.XLOOKUP(A2914,Energy!A:A,Energy!H:H,0,-1)</f>
        <v>10852.401158839481</v>
      </c>
      <c r="D2914">
        <f t="shared" si="180"/>
        <v>15726.251533719333</v>
      </c>
      <c r="E2914">
        <f>_xlfn.XLOOKUP(A2914,Banks!A:A,Banks!I:I,0)</f>
        <v>34344.293951813197</v>
      </c>
      <c r="F2914">
        <f>_xlfn.XLOOKUP(A2914,Energy!A:A,Energy!I:I,0)</f>
        <v>0</v>
      </c>
      <c r="G2914">
        <f t="shared" si="181"/>
        <v>34344.293951813197</v>
      </c>
      <c r="H2914">
        <f t="shared" si="182"/>
        <v>18618.042418093864</v>
      </c>
      <c r="I2914" t="b">
        <f t="shared" si="183"/>
        <v>0</v>
      </c>
    </row>
    <row r="2915" spans="1:9">
      <c r="A2915" s="1">
        <v>46181.845833333333</v>
      </c>
      <c r="B2915" s="5">
        <f>_xlfn.XLOOKUP(A2915,Banks!A:A,Banks!H:H,0,-1)</f>
        <v>4846.8196707278676</v>
      </c>
      <c r="C2915">
        <f>_xlfn.XLOOKUP(A2915,Energy!A:A,Energy!H:H,0,-1)</f>
        <v>10852.401158839481</v>
      </c>
      <c r="D2915">
        <f t="shared" si="180"/>
        <v>15699.220829567348</v>
      </c>
      <c r="E2915">
        <f>_xlfn.XLOOKUP(A2915,Banks!A:A,Banks!I:I,0)</f>
        <v>0</v>
      </c>
      <c r="F2915">
        <f>_xlfn.XLOOKUP(A2915,Energy!A:A,Energy!I:I,0)</f>
        <v>0</v>
      </c>
      <c r="G2915">
        <f t="shared" si="181"/>
        <v>0</v>
      </c>
      <c r="H2915">
        <f t="shared" si="182"/>
        <v>-15699.220829567348</v>
      </c>
      <c r="I2915" t="b">
        <f t="shared" si="183"/>
        <v>0</v>
      </c>
    </row>
    <row r="2916" spans="1:9">
      <c r="A2916" s="1">
        <v>46182.604166666657</v>
      </c>
      <c r="B2916" s="5">
        <f>_xlfn.XLOOKUP(A2916,Banks!A:A,Banks!H:H,0,-1)</f>
        <v>4846.8196707278676</v>
      </c>
      <c r="C2916">
        <f>_xlfn.XLOOKUP(A2916,Energy!A:A,Energy!H:H,0,-1)</f>
        <v>10852.401158839481</v>
      </c>
      <c r="D2916">
        <f t="shared" si="180"/>
        <v>15699.220829567348</v>
      </c>
      <c r="E2916">
        <f>_xlfn.XLOOKUP(A2916,Banks!A:A,Banks!I:I,0)</f>
        <v>34334.840644903357</v>
      </c>
      <c r="F2916">
        <f>_xlfn.XLOOKUP(A2916,Energy!A:A,Energy!I:I,0)</f>
        <v>0</v>
      </c>
      <c r="G2916">
        <f t="shared" si="181"/>
        <v>34334.840644903357</v>
      </c>
      <c r="H2916">
        <f t="shared" si="182"/>
        <v>18635.619815336009</v>
      </c>
      <c r="I2916" t="b">
        <f t="shared" si="183"/>
        <v>0</v>
      </c>
    </row>
    <row r="2917" spans="1:9">
      <c r="A2917" s="1">
        <v>46182.604861111111</v>
      </c>
      <c r="B2917" s="5">
        <f>_xlfn.XLOOKUP(A2917,Banks!A:A,Banks!H:H,0,-1)</f>
        <v>4759.8819265028196</v>
      </c>
      <c r="C2917">
        <f>_xlfn.XLOOKUP(A2917,Energy!A:A,Energy!H:H,0,-1)</f>
        <v>10852.401158839481</v>
      </c>
      <c r="D2917">
        <f t="shared" si="180"/>
        <v>15612.2830853423</v>
      </c>
      <c r="E2917">
        <f>_xlfn.XLOOKUP(A2917,Banks!A:A,Banks!I:I,0)</f>
        <v>34424.78762199753</v>
      </c>
      <c r="F2917">
        <f>_xlfn.XLOOKUP(A2917,Energy!A:A,Energy!I:I,0)</f>
        <v>0</v>
      </c>
      <c r="G2917">
        <f t="shared" si="181"/>
        <v>34424.78762199753</v>
      </c>
      <c r="H2917">
        <f t="shared" si="182"/>
        <v>18812.504536655229</v>
      </c>
      <c r="I2917" t="b">
        <f t="shared" si="183"/>
        <v>0</v>
      </c>
    </row>
    <row r="2918" spans="1:9">
      <c r="A2918" s="1">
        <v>46182.605555555558</v>
      </c>
      <c r="B2918" s="5">
        <f>_xlfn.XLOOKUP(A2918,Banks!A:A,Banks!H:H,0,-1)</f>
        <v>5021.9653761488862</v>
      </c>
      <c r="C2918">
        <f>_xlfn.XLOOKUP(A2918,Energy!A:A,Energy!H:H,0,-1)</f>
        <v>10852.401158839481</v>
      </c>
      <c r="D2918">
        <f t="shared" si="180"/>
        <v>15874.366534988367</v>
      </c>
      <c r="E2918">
        <f>_xlfn.XLOOKUP(A2918,Banks!A:A,Banks!I:I,0)</f>
        <v>34398.492326238018</v>
      </c>
      <c r="F2918">
        <f>_xlfn.XLOOKUP(A2918,Energy!A:A,Energy!I:I,0)</f>
        <v>0</v>
      </c>
      <c r="G2918">
        <f t="shared" si="181"/>
        <v>34398.492326238018</v>
      </c>
      <c r="H2918">
        <f t="shared" si="182"/>
        <v>18524.125791249651</v>
      </c>
      <c r="I2918" t="b">
        <f t="shared" si="183"/>
        <v>0</v>
      </c>
    </row>
    <row r="2919" spans="1:9">
      <c r="A2919" s="1">
        <v>46182.606249999997</v>
      </c>
      <c r="B2919" s="5">
        <f>_xlfn.XLOOKUP(A2919,Banks!A:A,Banks!H:H,0,-1)</f>
        <v>4842.7065304459966</v>
      </c>
      <c r="C2919">
        <f>_xlfn.XLOOKUP(A2919,Energy!A:A,Energy!H:H,0,-1)</f>
        <v>10852.401158839481</v>
      </c>
      <c r="D2919">
        <f t="shared" si="180"/>
        <v>15695.107689285476</v>
      </c>
      <c r="E2919">
        <f>_xlfn.XLOOKUP(A2919,Banks!A:A,Banks!I:I,0)</f>
        <v>34527.220163537517</v>
      </c>
      <c r="F2919">
        <f>_xlfn.XLOOKUP(A2919,Energy!A:A,Energy!I:I,0)</f>
        <v>0</v>
      </c>
      <c r="G2919">
        <f t="shared" si="181"/>
        <v>34527.220163537517</v>
      </c>
      <c r="H2919">
        <f t="shared" si="182"/>
        <v>18832.112474252041</v>
      </c>
      <c r="I2919" t="b">
        <f t="shared" si="183"/>
        <v>0</v>
      </c>
    </row>
    <row r="2920" spans="1:9">
      <c r="A2920" s="1">
        <v>46182.606944444437</v>
      </c>
      <c r="B2920" s="5">
        <f>_xlfn.XLOOKUP(A2920,Banks!A:A,Banks!H:H,0,-1)</f>
        <v>5014.8430029978972</v>
      </c>
      <c r="C2920">
        <f>_xlfn.XLOOKUP(A2920,Energy!A:A,Energy!H:H,0,-1)</f>
        <v>10852.401158839481</v>
      </c>
      <c r="D2920">
        <f t="shared" si="180"/>
        <v>15867.244161837378</v>
      </c>
      <c r="E2920">
        <f>_xlfn.XLOOKUP(A2920,Banks!A:A,Banks!I:I,0)</f>
        <v>34504.402377546998</v>
      </c>
      <c r="F2920">
        <f>_xlfn.XLOOKUP(A2920,Energy!A:A,Energy!I:I,0)</f>
        <v>0</v>
      </c>
      <c r="G2920">
        <f t="shared" si="181"/>
        <v>34504.402377546998</v>
      </c>
      <c r="H2920">
        <f t="shared" si="182"/>
        <v>18637.15821570962</v>
      </c>
      <c r="I2920" t="b">
        <f t="shared" si="183"/>
        <v>0</v>
      </c>
    </row>
    <row r="2921" spans="1:9">
      <c r="A2921" s="1">
        <v>46182.607638888891</v>
      </c>
      <c r="B2921" s="5">
        <f>_xlfn.XLOOKUP(A2921,Banks!A:A,Banks!H:H,0,-1)</f>
        <v>5080.0194283454348</v>
      </c>
      <c r="C2921">
        <f>_xlfn.XLOOKUP(A2921,Energy!A:A,Energy!H:H,0,-1)</f>
        <v>10852.401158839481</v>
      </c>
      <c r="D2921">
        <f t="shared" si="180"/>
        <v>15932.420587184915</v>
      </c>
      <c r="E2921">
        <f>_xlfn.XLOOKUP(A2921,Banks!A:A,Banks!I:I,0)</f>
        <v>0</v>
      </c>
      <c r="F2921">
        <f>_xlfn.XLOOKUP(A2921,Energy!A:A,Energy!I:I,0)</f>
        <v>0</v>
      </c>
      <c r="G2921">
        <f t="shared" si="181"/>
        <v>0</v>
      </c>
      <c r="H2921">
        <f t="shared" si="182"/>
        <v>-15932.420587184915</v>
      </c>
      <c r="I2921" t="b">
        <f t="shared" si="183"/>
        <v>0</v>
      </c>
    </row>
    <row r="2922" spans="1:9">
      <c r="A2922" s="1">
        <v>46182.807638888888</v>
      </c>
      <c r="B2922" s="5">
        <f>_xlfn.XLOOKUP(A2922,Banks!A:A,Banks!H:H,0,-1)</f>
        <v>5080.0194283454348</v>
      </c>
      <c r="C2922">
        <f>_xlfn.XLOOKUP(A2922,Energy!A:A,Energy!H:H,0,-1)</f>
        <v>10852.401158839481</v>
      </c>
      <c r="D2922">
        <f t="shared" si="180"/>
        <v>15932.420587184915</v>
      </c>
      <c r="E2922">
        <f>_xlfn.XLOOKUP(A2922,Banks!A:A,Banks!I:I,0)</f>
        <v>34334.840644903357</v>
      </c>
      <c r="F2922">
        <f>_xlfn.XLOOKUP(A2922,Energy!A:A,Energy!I:I,0)</f>
        <v>0</v>
      </c>
      <c r="G2922">
        <f t="shared" si="181"/>
        <v>34334.840644903357</v>
      </c>
      <c r="H2922">
        <f t="shared" si="182"/>
        <v>18402.420057718442</v>
      </c>
      <c r="I2922" t="b">
        <f t="shared" si="183"/>
        <v>0</v>
      </c>
    </row>
    <row r="2923" spans="1:9">
      <c r="A2923" s="1">
        <v>46182.808333333327</v>
      </c>
      <c r="B2923" s="5">
        <f>_xlfn.XLOOKUP(A2923,Banks!A:A,Banks!H:H,0,-1)</f>
        <v>5138.9665448475107</v>
      </c>
      <c r="C2923">
        <f>_xlfn.XLOOKUP(A2923,Energy!A:A,Energy!H:H,0,-1)</f>
        <v>10852.401158839481</v>
      </c>
      <c r="D2923">
        <f t="shared" si="180"/>
        <v>15991.367703686992</v>
      </c>
      <c r="E2923">
        <f>_xlfn.XLOOKUP(A2923,Banks!A:A,Banks!I:I,0)</f>
        <v>34355.346906540603</v>
      </c>
      <c r="F2923">
        <f>_xlfn.XLOOKUP(A2923,Energy!A:A,Energy!I:I,0)</f>
        <v>0</v>
      </c>
      <c r="G2923">
        <f t="shared" si="181"/>
        <v>34355.346906540603</v>
      </c>
      <c r="H2923">
        <f t="shared" si="182"/>
        <v>18363.97920285361</v>
      </c>
      <c r="I2923" t="b">
        <f t="shared" si="183"/>
        <v>0</v>
      </c>
    </row>
    <row r="2924" spans="1:9">
      <c r="A2924" s="1">
        <v>46182.809027777781</v>
      </c>
      <c r="B2924" s="5">
        <f>_xlfn.XLOOKUP(A2924,Banks!A:A,Banks!H:H,0,-1)</f>
        <v>5196.6427350647273</v>
      </c>
      <c r="C2924">
        <f>_xlfn.XLOOKUP(A2924,Energy!A:A,Energy!H:H,0,-1)</f>
        <v>10852.401158839481</v>
      </c>
      <c r="D2924">
        <f t="shared" si="180"/>
        <v>16049.043893904207</v>
      </c>
      <c r="E2924">
        <f>_xlfn.XLOOKUP(A2924,Banks!A:A,Banks!I:I,0)</f>
        <v>34358.165306247232</v>
      </c>
      <c r="F2924">
        <f>_xlfn.XLOOKUP(A2924,Energy!A:A,Energy!I:I,0)</f>
        <v>0</v>
      </c>
      <c r="G2924">
        <f t="shared" si="181"/>
        <v>34358.165306247232</v>
      </c>
      <c r="H2924">
        <f t="shared" si="182"/>
        <v>18309.121412343025</v>
      </c>
      <c r="I2924" t="b">
        <f t="shared" si="183"/>
        <v>0</v>
      </c>
    </row>
    <row r="2925" spans="1:9">
      <c r="A2925" s="1">
        <v>46182.80972222222</v>
      </c>
      <c r="B2925" s="5">
        <f>_xlfn.XLOOKUP(A2925,Banks!A:A,Banks!H:H,0,-1)</f>
        <v>5178.7006878771472</v>
      </c>
      <c r="C2925">
        <f>_xlfn.XLOOKUP(A2925,Energy!A:A,Energy!H:H,0,-1)</f>
        <v>10852.401158839481</v>
      </c>
      <c r="D2925">
        <f t="shared" si="180"/>
        <v>16031.101846716629</v>
      </c>
      <c r="E2925">
        <f>_xlfn.XLOOKUP(A2925,Banks!A:A,Banks!I:I,0)</f>
        <v>34354.576896809704</v>
      </c>
      <c r="F2925">
        <f>_xlfn.XLOOKUP(A2925,Energy!A:A,Energy!I:I,0)</f>
        <v>0</v>
      </c>
      <c r="G2925">
        <f t="shared" si="181"/>
        <v>34354.576896809704</v>
      </c>
      <c r="H2925">
        <f t="shared" si="182"/>
        <v>18323.475050093075</v>
      </c>
      <c r="I2925" t="b">
        <f t="shared" si="183"/>
        <v>0</v>
      </c>
    </row>
    <row r="2926" spans="1:9">
      <c r="A2926" s="1">
        <v>46182.810416666667</v>
      </c>
      <c r="B2926" s="5">
        <f>_xlfn.XLOOKUP(A2926,Banks!A:A,Banks!H:H,0,-1)</f>
        <v>5164.1726239824466</v>
      </c>
      <c r="C2926">
        <f>_xlfn.XLOOKUP(A2926,Energy!A:A,Energy!H:H,0,-1)</f>
        <v>10852.401158839481</v>
      </c>
      <c r="D2926">
        <f t="shared" si="180"/>
        <v>16016.573782821928</v>
      </c>
      <c r="E2926">
        <f>_xlfn.XLOOKUP(A2926,Banks!A:A,Banks!I:I,0)</f>
        <v>34357.482509588648</v>
      </c>
      <c r="F2926">
        <f>_xlfn.XLOOKUP(A2926,Energy!A:A,Energy!I:I,0)</f>
        <v>0</v>
      </c>
      <c r="G2926">
        <f t="shared" si="181"/>
        <v>34357.482509588648</v>
      </c>
      <c r="H2926">
        <f t="shared" si="182"/>
        <v>18340.90872676672</v>
      </c>
      <c r="I2926" t="b">
        <f t="shared" si="183"/>
        <v>0</v>
      </c>
    </row>
    <row r="2927" spans="1:9">
      <c r="A2927" s="1">
        <v>46182.811111111107</v>
      </c>
      <c r="B2927" s="5">
        <f>_xlfn.XLOOKUP(A2927,Banks!A:A,Banks!H:H,0,-1)</f>
        <v>5209.0277419514041</v>
      </c>
      <c r="C2927">
        <f>_xlfn.XLOOKUP(A2927,Energy!A:A,Energy!H:H,0,-1)</f>
        <v>10852.401158839481</v>
      </c>
      <c r="D2927">
        <f t="shared" si="180"/>
        <v>16061.428900790885</v>
      </c>
      <c r="E2927">
        <f>_xlfn.XLOOKUP(A2927,Banks!A:A,Banks!I:I,0)</f>
        <v>34366.453533182437</v>
      </c>
      <c r="F2927">
        <f>_xlfn.XLOOKUP(A2927,Energy!A:A,Energy!I:I,0)</f>
        <v>0</v>
      </c>
      <c r="G2927">
        <f t="shared" si="181"/>
        <v>34366.453533182437</v>
      </c>
      <c r="H2927">
        <f t="shared" si="182"/>
        <v>18305.024632391553</v>
      </c>
      <c r="I2927" t="b">
        <f t="shared" si="183"/>
        <v>0</v>
      </c>
    </row>
    <row r="2928" spans="1:9">
      <c r="A2928" s="1">
        <v>46182.811805555553</v>
      </c>
      <c r="B2928" s="5">
        <f>_xlfn.XLOOKUP(A2928,Banks!A:A,Banks!H:H,0,-1)</f>
        <v>5194.4996780567044</v>
      </c>
      <c r="C2928">
        <f>_xlfn.XLOOKUP(A2928,Energy!A:A,Energy!H:H,0,-1)</f>
        <v>10852.401158839481</v>
      </c>
      <c r="D2928">
        <f t="shared" si="180"/>
        <v>16046.900836896184</v>
      </c>
      <c r="E2928">
        <f>_xlfn.XLOOKUP(A2928,Banks!A:A,Banks!I:I,0)</f>
        <v>34369.359145961382</v>
      </c>
      <c r="F2928">
        <f>_xlfn.XLOOKUP(A2928,Energy!A:A,Energy!I:I,0)</f>
        <v>0</v>
      </c>
      <c r="G2928">
        <f t="shared" si="181"/>
        <v>34369.359145961382</v>
      </c>
      <c r="H2928">
        <f t="shared" si="182"/>
        <v>18322.458309065198</v>
      </c>
      <c r="I2928" t="b">
        <f t="shared" si="183"/>
        <v>0</v>
      </c>
    </row>
    <row r="2929" spans="1:9">
      <c r="A2929" s="1">
        <v>46182.8125</v>
      </c>
      <c r="B2929" s="5">
        <f>_xlfn.XLOOKUP(A2929,Banks!A:A,Banks!H:H,0,-1)</f>
        <v>5160.7586406895662</v>
      </c>
      <c r="C2929">
        <f>_xlfn.XLOOKUP(A2929,Energy!A:A,Energy!H:H,0,-1)</f>
        <v>10852.401158839481</v>
      </c>
      <c r="D2929">
        <f t="shared" si="180"/>
        <v>16013.159799529047</v>
      </c>
      <c r="E2929">
        <f>_xlfn.XLOOKUP(A2929,Banks!A:A,Banks!I:I,0)</f>
        <v>34350.988487372197</v>
      </c>
      <c r="F2929">
        <f>_xlfn.XLOOKUP(A2929,Energy!A:A,Energy!I:I,0)</f>
        <v>0</v>
      </c>
      <c r="G2929">
        <f t="shared" si="181"/>
        <v>34350.988487372197</v>
      </c>
      <c r="H2929">
        <f t="shared" si="182"/>
        <v>18337.82868784315</v>
      </c>
      <c r="I2929" t="b">
        <f t="shared" si="183"/>
        <v>0</v>
      </c>
    </row>
    <row r="2930" spans="1:9">
      <c r="A2930" s="1">
        <v>46182.813194444447</v>
      </c>
      <c r="B2930" s="5">
        <f>_xlfn.XLOOKUP(A2930,Banks!A:A,Banks!H:H,0,-1)</f>
        <v>5153.9306741038026</v>
      </c>
      <c r="C2930">
        <f>_xlfn.XLOOKUP(A2930,Energy!A:A,Energy!H:H,0,-1)</f>
        <v>10852.401158839481</v>
      </c>
      <c r="D2930">
        <f t="shared" si="180"/>
        <v>16006.331832943284</v>
      </c>
      <c r="E2930">
        <f>_xlfn.XLOOKUP(A2930,Banks!A:A,Banks!I:I,0)</f>
        <v>34338.000442939279</v>
      </c>
      <c r="F2930">
        <f>_xlfn.XLOOKUP(A2930,Energy!A:A,Energy!I:I,0)</f>
        <v>0</v>
      </c>
      <c r="G2930">
        <f t="shared" si="181"/>
        <v>34338.000442939279</v>
      </c>
      <c r="H2930">
        <f t="shared" si="182"/>
        <v>18331.668609995995</v>
      </c>
      <c r="I2930" t="b">
        <f t="shared" si="183"/>
        <v>0</v>
      </c>
    </row>
    <row r="2931" spans="1:9">
      <c r="A2931" s="1">
        <v>46182.813888888893</v>
      </c>
      <c r="B2931" s="5">
        <f>_xlfn.XLOOKUP(A2931,Banks!A:A,Banks!H:H,0,-1)</f>
        <v>5112.4895394277146</v>
      </c>
      <c r="C2931">
        <f>_xlfn.XLOOKUP(A2931,Energy!A:A,Energy!H:H,0,-1)</f>
        <v>10852.401158839481</v>
      </c>
      <c r="D2931">
        <f t="shared" si="180"/>
        <v>15964.890698267194</v>
      </c>
      <c r="E2931">
        <f>_xlfn.XLOOKUP(A2931,Banks!A:A,Banks!I:I,0)</f>
        <v>34335.523441561942</v>
      </c>
      <c r="F2931">
        <f>_xlfn.XLOOKUP(A2931,Energy!A:A,Energy!I:I,0)</f>
        <v>0</v>
      </c>
      <c r="G2931">
        <f t="shared" si="181"/>
        <v>34335.523441561942</v>
      </c>
      <c r="H2931">
        <f t="shared" si="182"/>
        <v>18370.632743294747</v>
      </c>
      <c r="I2931" t="b">
        <f t="shared" si="183"/>
        <v>0</v>
      </c>
    </row>
    <row r="2932" spans="1:9">
      <c r="A2932" s="1">
        <v>46182.814583333333</v>
      </c>
      <c r="B2932" s="5">
        <f>_xlfn.XLOOKUP(A2932,Banks!A:A,Banks!H:H,0,-1)</f>
        <v>5110.7825477812867</v>
      </c>
      <c r="C2932">
        <f>_xlfn.XLOOKUP(A2932,Energy!A:A,Energy!H:H,0,-1)</f>
        <v>10852.401158839481</v>
      </c>
      <c r="D2932">
        <f t="shared" si="180"/>
        <v>15963.183706620766</v>
      </c>
      <c r="E2932">
        <f>_xlfn.XLOOKUP(A2932,Banks!A:A,Banks!I:I,0)</f>
        <v>34332.27643045372</v>
      </c>
      <c r="F2932">
        <f>_xlfn.XLOOKUP(A2932,Energy!A:A,Energy!I:I,0)</f>
        <v>0</v>
      </c>
      <c r="G2932">
        <f t="shared" si="181"/>
        <v>34332.27643045372</v>
      </c>
      <c r="H2932">
        <f t="shared" si="182"/>
        <v>18369.092723832953</v>
      </c>
      <c r="I2932" t="b">
        <f t="shared" si="183"/>
        <v>0</v>
      </c>
    </row>
    <row r="2933" spans="1:9">
      <c r="A2933" s="1">
        <v>46182.81527777778</v>
      </c>
      <c r="B2933" s="5">
        <f>_xlfn.XLOOKUP(A2933,Banks!A:A,Banks!H:H,0,-1)</f>
        <v>5148.3736338028893</v>
      </c>
      <c r="C2933">
        <f>_xlfn.XLOOKUP(A2933,Energy!A:A,Energy!H:H,0,-1)</f>
        <v>10852.401158839481</v>
      </c>
      <c r="D2933">
        <f t="shared" si="180"/>
        <v>16000.774792642369</v>
      </c>
      <c r="E2933">
        <f>_xlfn.XLOOKUP(A2933,Banks!A:A,Banks!I:I,0)</f>
        <v>34342.700260436977</v>
      </c>
      <c r="F2933">
        <f>_xlfn.XLOOKUP(A2933,Energy!A:A,Energy!I:I,0)</f>
        <v>0</v>
      </c>
      <c r="G2933">
        <f t="shared" si="181"/>
        <v>34342.700260436977</v>
      </c>
      <c r="H2933">
        <f t="shared" si="182"/>
        <v>18341.925467794608</v>
      </c>
      <c r="I2933" t="b">
        <f t="shared" si="183"/>
        <v>0</v>
      </c>
    </row>
    <row r="2934" spans="1:9">
      <c r="A2934" s="1">
        <v>46182.815972222219</v>
      </c>
      <c r="B2934" s="5">
        <f>_xlfn.XLOOKUP(A2934,Banks!A:A,Banks!H:H,0,-1)</f>
        <v>5151.7876170957697</v>
      </c>
      <c r="C2934">
        <f>_xlfn.XLOOKUP(A2934,Energy!A:A,Energy!H:H,0,-1)</f>
        <v>10852.401158839481</v>
      </c>
      <c r="D2934">
        <f t="shared" si="180"/>
        <v>16004.18877593525</v>
      </c>
      <c r="E2934">
        <f>_xlfn.XLOOKUP(A2934,Banks!A:A,Banks!I:I,0)</f>
        <v>34349.194282653443</v>
      </c>
      <c r="F2934">
        <f>_xlfn.XLOOKUP(A2934,Energy!A:A,Energy!I:I,0)</f>
        <v>0</v>
      </c>
      <c r="G2934">
        <f t="shared" si="181"/>
        <v>34349.194282653443</v>
      </c>
      <c r="H2934">
        <f t="shared" si="182"/>
        <v>18345.005506718193</v>
      </c>
      <c r="I2934" t="b">
        <f t="shared" si="183"/>
        <v>0</v>
      </c>
    </row>
    <row r="2935" spans="1:9">
      <c r="A2935" s="1">
        <v>46182.816666666673</v>
      </c>
      <c r="B2935" s="5">
        <f>_xlfn.XLOOKUP(A2935,Banks!A:A,Banks!H:H,0,-1)</f>
        <v>5142.8165935019861</v>
      </c>
      <c r="C2935">
        <f>_xlfn.XLOOKUP(A2935,Energy!A:A,Energy!H:H,0,-1)</f>
        <v>10852.401158839481</v>
      </c>
      <c r="D2935">
        <f t="shared" si="180"/>
        <v>15995.217752341467</v>
      </c>
      <c r="E2935">
        <f>_xlfn.XLOOKUP(A2935,Banks!A:A,Banks!I:I,0)</f>
        <v>34347.400077934682</v>
      </c>
      <c r="F2935">
        <f>_xlfn.XLOOKUP(A2935,Energy!A:A,Energy!I:I,0)</f>
        <v>0</v>
      </c>
      <c r="G2935">
        <f t="shared" si="181"/>
        <v>34347.400077934682</v>
      </c>
      <c r="H2935">
        <f t="shared" si="182"/>
        <v>18352.182325593218</v>
      </c>
      <c r="I2935" t="b">
        <f t="shared" si="183"/>
        <v>0</v>
      </c>
    </row>
    <row r="2936" spans="1:9">
      <c r="A2936" s="1">
        <v>46182.817361111112</v>
      </c>
      <c r="B2936" s="5">
        <f>_xlfn.XLOOKUP(A2936,Banks!A:A,Banks!H:H,0,-1)</f>
        <v>5137.25955320107</v>
      </c>
      <c r="C2936">
        <f>_xlfn.XLOOKUP(A2936,Energy!A:A,Energy!H:H,0,-1)</f>
        <v>10852.401158839481</v>
      </c>
      <c r="D2936">
        <f t="shared" si="180"/>
        <v>15989.66071204055</v>
      </c>
      <c r="E2936">
        <f>_xlfn.XLOOKUP(A2936,Banks!A:A,Banks!I:I,0)</f>
        <v>34352.099895432373</v>
      </c>
      <c r="F2936">
        <f>_xlfn.XLOOKUP(A2936,Energy!A:A,Energy!I:I,0)</f>
        <v>0</v>
      </c>
      <c r="G2936">
        <f t="shared" si="181"/>
        <v>34352.099895432373</v>
      </c>
      <c r="H2936">
        <f t="shared" si="182"/>
        <v>18362.439183391823</v>
      </c>
      <c r="I2936" t="b">
        <f t="shared" si="183"/>
        <v>0</v>
      </c>
    </row>
    <row r="2937" spans="1:9">
      <c r="A2937" s="1">
        <v>46182.818055555559</v>
      </c>
      <c r="B2937" s="5">
        <f>_xlfn.XLOOKUP(A2937,Banks!A:A,Banks!H:H,0,-1)</f>
        <v>5172.5280995361636</v>
      </c>
      <c r="C2937">
        <f>_xlfn.XLOOKUP(A2937,Energy!A:A,Energy!H:H,0,-1)</f>
        <v>10852.401158839481</v>
      </c>
      <c r="D2937">
        <f t="shared" si="180"/>
        <v>16024.929258375643</v>
      </c>
      <c r="E2937">
        <f>_xlfn.XLOOKUP(A2937,Banks!A:A,Banks!I:I,0)</f>
        <v>0</v>
      </c>
      <c r="F2937">
        <f>_xlfn.XLOOKUP(A2937,Energy!A:A,Energy!I:I,0)</f>
        <v>0</v>
      </c>
      <c r="G2937">
        <f t="shared" si="181"/>
        <v>0</v>
      </c>
      <c r="H2937">
        <f t="shared" si="182"/>
        <v>-16024.929258375643</v>
      </c>
      <c r="I2937" t="b">
        <f t="shared" si="183"/>
        <v>0</v>
      </c>
    </row>
    <row r="2938" spans="1:9">
      <c r="A2938" s="1">
        <v>46184.618750000001</v>
      </c>
      <c r="B2938" s="5">
        <f>_xlfn.XLOOKUP(A2938,Banks!A:A,Banks!H:H,0,-1)</f>
        <v>5172.5280995361636</v>
      </c>
      <c r="C2938">
        <f>_xlfn.XLOOKUP(A2938,Energy!A:A,Energy!H:H,0,-1)</f>
        <v>10852.401158839481</v>
      </c>
      <c r="D2938">
        <f t="shared" si="180"/>
        <v>16024.929258375643</v>
      </c>
      <c r="E2938">
        <f>_xlfn.XLOOKUP(A2938,Banks!A:A,Banks!I:I,0)</f>
        <v>34334.840644903357</v>
      </c>
      <c r="F2938">
        <f>_xlfn.XLOOKUP(A2938,Energy!A:A,Energy!I:I,0)</f>
        <v>0</v>
      </c>
      <c r="G2938">
        <f t="shared" si="181"/>
        <v>34334.840644903357</v>
      </c>
      <c r="H2938">
        <f t="shared" si="182"/>
        <v>18309.911386527714</v>
      </c>
      <c r="I2938" t="b">
        <f t="shared" si="183"/>
        <v>0</v>
      </c>
    </row>
    <row r="2939" spans="1:9">
      <c r="A2939" s="1">
        <v>46184.619444444441</v>
      </c>
      <c r="B2939" s="5">
        <f>_xlfn.XLOOKUP(A2939,Banks!A:A,Banks!H:H,0,-1)</f>
        <v>5217.1683108833549</v>
      </c>
      <c r="C2939">
        <f>_xlfn.XLOOKUP(A2939,Energy!A:A,Energy!H:H,0,-1)</f>
        <v>10852.401158839481</v>
      </c>
      <c r="D2939">
        <f t="shared" si="180"/>
        <v>16069.569469722835</v>
      </c>
      <c r="E2939">
        <f>_xlfn.XLOOKUP(A2939,Banks!A:A,Banks!I:I,0)</f>
        <v>34329.43527986863</v>
      </c>
      <c r="F2939">
        <f>_xlfn.XLOOKUP(A2939,Energy!A:A,Energy!I:I,0)</f>
        <v>0</v>
      </c>
      <c r="G2939">
        <f t="shared" si="181"/>
        <v>34329.43527986863</v>
      </c>
      <c r="H2939">
        <f t="shared" si="182"/>
        <v>18259.865810145795</v>
      </c>
      <c r="I2939" t="b">
        <f t="shared" si="183"/>
        <v>0</v>
      </c>
    </row>
    <row r="2940" spans="1:9">
      <c r="A2940" s="1">
        <v>46184.620138888888</v>
      </c>
      <c r="B2940" s="5">
        <f>_xlfn.XLOOKUP(A2940,Banks!A:A,Banks!H:H,0,-1)</f>
        <v>5191.781475144322</v>
      </c>
      <c r="C2940">
        <f>_xlfn.XLOOKUP(A2940,Energy!A:A,Energy!H:H,0,-1)</f>
        <v>10852.401158839481</v>
      </c>
      <c r="D2940">
        <f t="shared" si="180"/>
        <v>16044.182633983803</v>
      </c>
      <c r="E2940">
        <f>_xlfn.XLOOKUP(A2940,Banks!A:A,Banks!I:I,0)</f>
        <v>34341.558001485828</v>
      </c>
      <c r="F2940">
        <f>_xlfn.XLOOKUP(A2940,Energy!A:A,Energy!I:I,0)</f>
        <v>0</v>
      </c>
      <c r="G2940">
        <f t="shared" si="181"/>
        <v>34341.558001485828</v>
      </c>
      <c r="H2940">
        <f t="shared" si="182"/>
        <v>18297.375367502027</v>
      </c>
      <c r="I2940" t="b">
        <f t="shared" si="183"/>
        <v>0</v>
      </c>
    </row>
    <row r="2941" spans="1:9">
      <c r="A2941" s="1">
        <v>46184.620833333327</v>
      </c>
      <c r="B2941" s="5">
        <f>_xlfn.XLOOKUP(A2941,Banks!A:A,Banks!H:H,0,-1)</f>
        <v>5180.1213007960196</v>
      </c>
      <c r="C2941">
        <f>_xlfn.XLOOKUP(A2941,Energy!A:A,Energy!H:H,0,-1)</f>
        <v>10852.401158839481</v>
      </c>
      <c r="D2941">
        <f t="shared" si="180"/>
        <v>16032.5224596355</v>
      </c>
      <c r="E2941">
        <f>_xlfn.XLOOKUP(A2941,Banks!A:A,Banks!I:I,0)</f>
        <v>34365.026099763687</v>
      </c>
      <c r="F2941">
        <f>_xlfn.XLOOKUP(A2941,Energy!A:A,Energy!I:I,0)</f>
        <v>0</v>
      </c>
      <c r="G2941">
        <f t="shared" si="181"/>
        <v>34365.026099763687</v>
      </c>
      <c r="H2941">
        <f t="shared" si="182"/>
        <v>18332.503640128187</v>
      </c>
      <c r="I2941" t="b">
        <f t="shared" si="183"/>
        <v>0</v>
      </c>
    </row>
    <row r="2942" spans="1:9">
      <c r="A2942" s="1">
        <v>46184.621527777781</v>
      </c>
      <c r="B2942" s="5">
        <f>_xlfn.XLOOKUP(A2942,Banks!A:A,Banks!H:H,0,-1)</f>
        <v>5062.7808094067614</v>
      </c>
      <c r="C2942">
        <f>_xlfn.XLOOKUP(A2942,Energy!A:A,Energy!H:H,0,-1)</f>
        <v>10852.401158839481</v>
      </c>
      <c r="D2942">
        <f t="shared" si="180"/>
        <v>15915.181968246241</v>
      </c>
      <c r="E2942">
        <f>_xlfn.XLOOKUP(A2942,Banks!A:A,Banks!I:I,0)</f>
        <v>34367.358134633338</v>
      </c>
      <c r="F2942">
        <f>_xlfn.XLOOKUP(A2942,Energy!A:A,Energy!I:I,0)</f>
        <v>0</v>
      </c>
      <c r="G2942">
        <f t="shared" si="181"/>
        <v>34367.358134633338</v>
      </c>
      <c r="H2942">
        <f t="shared" si="182"/>
        <v>18452.176166387097</v>
      </c>
      <c r="I2942" t="b">
        <f t="shared" si="183"/>
        <v>0</v>
      </c>
    </row>
    <row r="2943" spans="1:9">
      <c r="A2943" s="1">
        <v>46184.62222222222</v>
      </c>
      <c r="B2943" s="5">
        <f>_xlfn.XLOOKUP(A2943,Banks!A:A,Banks!H:H,0,-1)</f>
        <v>5094.1208569709779</v>
      </c>
      <c r="C2943">
        <f>_xlfn.XLOOKUP(A2943,Energy!A:A,Energy!H:H,0,-1)</f>
        <v>10852.401158839481</v>
      </c>
      <c r="D2943">
        <f t="shared" si="180"/>
        <v>15946.522015810458</v>
      </c>
      <c r="E2943">
        <f>_xlfn.XLOOKUP(A2943,Banks!A:A,Banks!I:I,0)</f>
        <v>34382.226188528693</v>
      </c>
      <c r="F2943">
        <f>_xlfn.XLOOKUP(A2943,Energy!A:A,Energy!I:I,0)</f>
        <v>0</v>
      </c>
      <c r="G2943">
        <f t="shared" si="181"/>
        <v>34382.226188528693</v>
      </c>
      <c r="H2943">
        <f t="shared" si="182"/>
        <v>18435.704172718237</v>
      </c>
      <c r="I2943" t="b">
        <f t="shared" si="183"/>
        <v>0</v>
      </c>
    </row>
    <row r="2944" spans="1:9">
      <c r="A2944" s="1">
        <v>46184.622916666667</v>
      </c>
      <c r="B2944" s="5">
        <f>_xlfn.XLOOKUP(A2944,Banks!A:A,Banks!H:H,0,-1)</f>
        <v>5098.0075817537499</v>
      </c>
      <c r="C2944">
        <f>_xlfn.XLOOKUP(A2944,Energy!A:A,Energy!H:H,0,-1)</f>
        <v>10852.401158839481</v>
      </c>
      <c r="D2944">
        <f t="shared" si="180"/>
        <v>15950.40874059323</v>
      </c>
      <c r="E2944">
        <f>_xlfn.XLOOKUP(A2944,Banks!A:A,Banks!I:I,0)</f>
        <v>34374.40348910274</v>
      </c>
      <c r="F2944">
        <f>_xlfn.XLOOKUP(A2944,Energy!A:A,Energy!I:I,0)</f>
        <v>0</v>
      </c>
      <c r="G2944">
        <f t="shared" si="181"/>
        <v>34374.40348910274</v>
      </c>
      <c r="H2944">
        <f t="shared" si="182"/>
        <v>18423.994748509511</v>
      </c>
      <c r="I2944" t="b">
        <f t="shared" si="183"/>
        <v>0</v>
      </c>
    </row>
    <row r="2945" spans="1:9">
      <c r="A2945" s="1">
        <v>46184.623611111107</v>
      </c>
      <c r="B2945" s="5">
        <f>_xlfn.XLOOKUP(A2945,Banks!A:A,Banks!H:H,0,-1)</f>
        <v>5119.5076927100108</v>
      </c>
      <c r="C2945">
        <f>_xlfn.XLOOKUP(A2945,Energy!A:A,Energy!H:H,0,-1)</f>
        <v>10852.401158839481</v>
      </c>
      <c r="D2945">
        <f t="shared" si="180"/>
        <v>15971.908851549491</v>
      </c>
      <c r="E2945">
        <f>_xlfn.XLOOKUP(A2945,Banks!A:A,Banks!I:I,0)</f>
        <v>34370.103466911489</v>
      </c>
      <c r="F2945">
        <f>_xlfn.XLOOKUP(A2945,Energy!A:A,Energy!I:I,0)</f>
        <v>0</v>
      </c>
      <c r="G2945">
        <f t="shared" si="181"/>
        <v>34370.103466911489</v>
      </c>
      <c r="H2945">
        <f t="shared" si="182"/>
        <v>18398.194615361997</v>
      </c>
      <c r="I2945" t="b">
        <f t="shared" si="183"/>
        <v>0</v>
      </c>
    </row>
    <row r="2946" spans="1:9">
      <c r="A2946" s="1">
        <v>46184.624305555553</v>
      </c>
      <c r="B2946" s="5">
        <f>_xlfn.XLOOKUP(A2946,Banks!A:A,Banks!H:H,0,-1)</f>
        <v>5120.1144386234519</v>
      </c>
      <c r="C2946">
        <f>_xlfn.XLOOKUP(A2946,Energy!A:A,Energy!H:H,0,-1)</f>
        <v>10852.401158839481</v>
      </c>
      <c r="D2946">
        <f t="shared" si="180"/>
        <v>15972.515597462932</v>
      </c>
      <c r="E2946">
        <f>_xlfn.XLOOKUP(A2946,Banks!A:A,Banks!I:I,0)</f>
        <v>34355.891408790012</v>
      </c>
      <c r="F2946">
        <f>_xlfn.XLOOKUP(A2946,Energy!A:A,Energy!I:I,0)</f>
        <v>0</v>
      </c>
      <c r="G2946">
        <f t="shared" si="181"/>
        <v>34355.891408790012</v>
      </c>
      <c r="H2946">
        <f t="shared" si="182"/>
        <v>18383.375811327081</v>
      </c>
      <c r="I2946" t="b">
        <f t="shared" si="183"/>
        <v>0</v>
      </c>
    </row>
    <row r="2947" spans="1:9">
      <c r="A2947" s="1">
        <v>46184.625</v>
      </c>
      <c r="B2947" s="5">
        <f>_xlfn.XLOOKUP(A2947,Banks!A:A,Banks!H:H,0,-1)</f>
        <v>5137.7278247969398</v>
      </c>
      <c r="C2947">
        <f>_xlfn.XLOOKUP(A2947,Energy!A:A,Energy!H:H,0,-1)</f>
        <v>10852.401158839481</v>
      </c>
      <c r="D2947">
        <f t="shared" ref="D2947:D3010" si="184">B2947+C2947</f>
        <v>15990.128983636419</v>
      </c>
      <c r="E2947">
        <f>_xlfn.XLOOKUP(A2947,Banks!A:A,Banks!I:I,0)</f>
        <v>34359.414086024713</v>
      </c>
      <c r="F2947">
        <f>_xlfn.XLOOKUP(A2947,Energy!A:A,Energy!I:I,0)</f>
        <v>0</v>
      </c>
      <c r="G2947">
        <f t="shared" ref="G2947:G3010" si="185">F2947+E2947</f>
        <v>34359.414086024713</v>
      </c>
      <c r="H2947">
        <f t="shared" ref="H2947:H3010" si="186">G2947-D2947</f>
        <v>18369.285102388294</v>
      </c>
      <c r="I2947" t="b">
        <f t="shared" ref="I2947:I3010" si="187">AND(E2947&gt;0,F2947&gt;0)</f>
        <v>0</v>
      </c>
    </row>
    <row r="2948" spans="1:9">
      <c r="A2948" s="1">
        <v>46184.625694444447</v>
      </c>
      <c r="B2948" s="5">
        <f>_xlfn.XLOOKUP(A2948,Banks!A:A,Banks!H:H,0,-1)</f>
        <v>5176.6610736210132</v>
      </c>
      <c r="C2948">
        <f>_xlfn.XLOOKUP(A2948,Energy!A:A,Energy!H:H,0,-1)</f>
        <v>10852.401158839481</v>
      </c>
      <c r="D2948">
        <f t="shared" si="184"/>
        <v>16029.062232460494</v>
      </c>
      <c r="E2948">
        <f>_xlfn.XLOOKUP(A2948,Banks!A:A,Banks!I:I,0)</f>
        <v>34404.46759478037</v>
      </c>
      <c r="F2948">
        <f>_xlfn.XLOOKUP(A2948,Energy!A:A,Energy!I:I,0)</f>
        <v>0</v>
      </c>
      <c r="G2948">
        <f t="shared" si="185"/>
        <v>34404.46759478037</v>
      </c>
      <c r="H2948">
        <f t="shared" si="186"/>
        <v>18375.405362319878</v>
      </c>
      <c r="I2948" t="b">
        <f t="shared" si="187"/>
        <v>0</v>
      </c>
    </row>
    <row r="2949" spans="1:9">
      <c r="A2949" s="1">
        <v>46184.626388888893</v>
      </c>
      <c r="B2949" s="5">
        <f>_xlfn.XLOOKUP(A2949,Banks!A:A,Banks!H:H,0,-1)</f>
        <v>5225.7947556644067</v>
      </c>
      <c r="C2949">
        <f>_xlfn.XLOOKUP(A2949,Energy!A:A,Energy!H:H,0,-1)</f>
        <v>10852.401158839481</v>
      </c>
      <c r="D2949">
        <f t="shared" si="184"/>
        <v>16078.195914503887</v>
      </c>
      <c r="E2949">
        <f>_xlfn.XLOOKUP(A2949,Banks!A:A,Banks!I:I,0)</f>
        <v>34377.027472198199</v>
      </c>
      <c r="F2949">
        <f>_xlfn.XLOOKUP(A2949,Energy!A:A,Energy!I:I,0)</f>
        <v>0</v>
      </c>
      <c r="G2949">
        <f t="shared" si="185"/>
        <v>34377.027472198199</v>
      </c>
      <c r="H2949">
        <f t="shared" si="186"/>
        <v>18298.831557694313</v>
      </c>
      <c r="I2949" t="b">
        <f t="shared" si="187"/>
        <v>0</v>
      </c>
    </row>
    <row r="2950" spans="1:9">
      <c r="A2950" s="1">
        <v>46184.627083333333</v>
      </c>
      <c r="B2950" s="5">
        <f>_xlfn.XLOOKUP(A2950,Banks!A:A,Banks!H:H,0,-1)</f>
        <v>5173.5613430573803</v>
      </c>
      <c r="C2950">
        <f>_xlfn.XLOOKUP(A2950,Energy!A:A,Energy!H:H,0,-1)</f>
        <v>10852.401158839481</v>
      </c>
      <c r="D2950">
        <f t="shared" si="184"/>
        <v>16025.962501896862</v>
      </c>
      <c r="E2950">
        <f>_xlfn.XLOOKUP(A2950,Banks!A:A,Banks!I:I,0)</f>
        <v>34352.247382372618</v>
      </c>
      <c r="F2950">
        <f>_xlfn.XLOOKUP(A2950,Energy!A:A,Energy!I:I,0)</f>
        <v>0</v>
      </c>
      <c r="G2950">
        <f t="shared" si="185"/>
        <v>34352.247382372618</v>
      </c>
      <c r="H2950">
        <f t="shared" si="186"/>
        <v>18326.284880475756</v>
      </c>
      <c r="I2950" t="b">
        <f t="shared" si="187"/>
        <v>0</v>
      </c>
    </row>
    <row r="2951" spans="1:9">
      <c r="A2951" s="1">
        <v>46184.62777777778</v>
      </c>
      <c r="B2951" s="5">
        <f>_xlfn.XLOOKUP(A2951,Banks!A:A,Banks!H:H,0,-1)</f>
        <v>4962.2007089754816</v>
      </c>
      <c r="C2951">
        <f>_xlfn.XLOOKUP(A2951,Energy!A:A,Energy!H:H,0,-1)</f>
        <v>10852.401158839481</v>
      </c>
      <c r="D2951">
        <f t="shared" si="184"/>
        <v>15814.601867814963</v>
      </c>
      <c r="E2951">
        <f>_xlfn.XLOOKUP(A2951,Banks!A:A,Banks!I:I,0)</f>
        <v>34309.975255556237</v>
      </c>
      <c r="F2951">
        <f>_xlfn.XLOOKUP(A2951,Energy!A:A,Energy!I:I,0)</f>
        <v>0</v>
      </c>
      <c r="G2951">
        <f t="shared" si="185"/>
        <v>34309.975255556237</v>
      </c>
      <c r="H2951">
        <f t="shared" si="186"/>
        <v>18495.373387741274</v>
      </c>
      <c r="I2951" t="b">
        <f t="shared" si="187"/>
        <v>0</v>
      </c>
    </row>
    <row r="2952" spans="1:9">
      <c r="A2952" s="1">
        <v>46184.628472222219</v>
      </c>
      <c r="B2952" s="5">
        <f>_xlfn.XLOOKUP(A2952,Banks!A:A,Banks!H:H,0,-1)</f>
        <v>4924.4809519783048</v>
      </c>
      <c r="C2952">
        <f>_xlfn.XLOOKUP(A2952,Energy!A:A,Energy!H:H,0,-1)</f>
        <v>10852.401158839481</v>
      </c>
      <c r="D2952">
        <f t="shared" si="184"/>
        <v>15776.882110817785</v>
      </c>
      <c r="E2952">
        <f>_xlfn.XLOOKUP(A2952,Banks!A:A,Banks!I:I,0)</f>
        <v>34236.497630557613</v>
      </c>
      <c r="F2952">
        <f>_xlfn.XLOOKUP(A2952,Energy!A:A,Energy!I:I,0)</f>
        <v>0</v>
      </c>
      <c r="G2952">
        <f t="shared" si="185"/>
        <v>34236.497630557613</v>
      </c>
      <c r="H2952">
        <f t="shared" si="186"/>
        <v>18459.615519739826</v>
      </c>
      <c r="I2952" t="b">
        <f t="shared" si="187"/>
        <v>0</v>
      </c>
    </row>
    <row r="2953" spans="1:9">
      <c r="A2953" s="1">
        <v>46184.629166666673</v>
      </c>
      <c r="B2953" s="5">
        <f>_xlfn.XLOOKUP(A2953,Banks!A:A,Banks!H:H,0,-1)</f>
        <v>4940.8808463249106</v>
      </c>
      <c r="C2953">
        <f>_xlfn.XLOOKUP(A2953,Energy!A:A,Energy!H:H,0,-1)</f>
        <v>10852.401158839481</v>
      </c>
      <c r="D2953">
        <f t="shared" si="184"/>
        <v>15793.28200516439</v>
      </c>
      <c r="E2953">
        <f>_xlfn.XLOOKUP(A2953,Banks!A:A,Banks!I:I,0)</f>
        <v>34268.444424035282</v>
      </c>
      <c r="F2953">
        <f>_xlfn.XLOOKUP(A2953,Energy!A:A,Energy!I:I,0)</f>
        <v>0</v>
      </c>
      <c r="G2953">
        <f t="shared" si="185"/>
        <v>34268.444424035282</v>
      </c>
      <c r="H2953">
        <f t="shared" si="186"/>
        <v>18475.162418870892</v>
      </c>
      <c r="I2953" t="b">
        <f t="shared" si="187"/>
        <v>0</v>
      </c>
    </row>
    <row r="2954" spans="1:9">
      <c r="A2954" s="1">
        <v>46184.629861111112</v>
      </c>
      <c r="B2954" s="5">
        <f>_xlfn.XLOOKUP(A2954,Banks!A:A,Banks!H:H,0,-1)</f>
        <v>5004.5941849745523</v>
      </c>
      <c r="C2954">
        <f>_xlfn.XLOOKUP(A2954,Energy!A:A,Energy!H:H,0,-1)</f>
        <v>10852.401158839481</v>
      </c>
      <c r="D2954">
        <f t="shared" si="184"/>
        <v>15856.995343814033</v>
      </c>
      <c r="E2954">
        <f>_xlfn.XLOOKUP(A2954,Banks!A:A,Banks!I:I,0)</f>
        <v>34315.587269295218</v>
      </c>
      <c r="F2954">
        <f>_xlfn.XLOOKUP(A2954,Energy!A:A,Energy!I:I,0)</f>
        <v>0</v>
      </c>
      <c r="G2954">
        <f t="shared" si="185"/>
        <v>34315.587269295218</v>
      </c>
      <c r="H2954">
        <f t="shared" si="186"/>
        <v>18458.591925481185</v>
      </c>
      <c r="I2954" t="b">
        <f t="shared" si="187"/>
        <v>0</v>
      </c>
    </row>
    <row r="2955" spans="1:9">
      <c r="A2955" s="1">
        <v>46184.630555555559</v>
      </c>
      <c r="B2955" s="5">
        <f>_xlfn.XLOOKUP(A2955,Banks!A:A,Banks!H:H,0,-1)</f>
        <v>5041.4609467561986</v>
      </c>
      <c r="C2955">
        <f>_xlfn.XLOOKUP(A2955,Energy!A:A,Energy!H:H,0,-1)</f>
        <v>10852.401158839481</v>
      </c>
      <c r="D2955">
        <f t="shared" si="184"/>
        <v>15893.862105595679</v>
      </c>
      <c r="E2955">
        <f>_xlfn.XLOOKUP(A2955,Banks!A:A,Banks!I:I,0)</f>
        <v>34325.827303112383</v>
      </c>
      <c r="F2955">
        <f>_xlfn.XLOOKUP(A2955,Energy!A:A,Energy!I:I,0)</f>
        <v>0</v>
      </c>
      <c r="G2955">
        <f t="shared" si="185"/>
        <v>34325.827303112383</v>
      </c>
      <c r="H2955">
        <f t="shared" si="186"/>
        <v>18431.965197516703</v>
      </c>
      <c r="I2955" t="b">
        <f t="shared" si="187"/>
        <v>0</v>
      </c>
    </row>
    <row r="2956" spans="1:9">
      <c r="A2956" s="1">
        <v>46184.631249999999</v>
      </c>
      <c r="B2956" s="5">
        <f>_xlfn.XLOOKUP(A2956,Banks!A:A,Banks!H:H,0,-1)</f>
        <v>5062.3543117989957</v>
      </c>
      <c r="C2956">
        <f>_xlfn.XLOOKUP(A2956,Energy!A:A,Energy!H:H,0,-1)</f>
        <v>10852.401158839481</v>
      </c>
      <c r="D2956">
        <f t="shared" si="184"/>
        <v>15914.755470638476</v>
      </c>
      <c r="E2956">
        <f>_xlfn.XLOOKUP(A2956,Banks!A:A,Banks!I:I,0)</f>
        <v>34335.739339042608</v>
      </c>
      <c r="F2956">
        <f>_xlfn.XLOOKUP(A2956,Energy!A:A,Energy!I:I,0)</f>
        <v>0</v>
      </c>
      <c r="G2956">
        <f t="shared" si="185"/>
        <v>34335.739339042608</v>
      </c>
      <c r="H2956">
        <f t="shared" si="186"/>
        <v>18420.983868404131</v>
      </c>
      <c r="I2956" t="b">
        <f t="shared" si="187"/>
        <v>0</v>
      </c>
    </row>
    <row r="2957" spans="1:9">
      <c r="A2957" s="1">
        <v>46184.631944444453</v>
      </c>
      <c r="B2957" s="5">
        <f>_xlfn.XLOOKUP(A2957,Banks!A:A,Banks!H:H,0,-1)</f>
        <v>5022.8143170614812</v>
      </c>
      <c r="C2957">
        <f>_xlfn.XLOOKUP(A2957,Energy!A:A,Energy!H:H,0,-1)</f>
        <v>10852.401158839481</v>
      </c>
      <c r="D2957">
        <f t="shared" si="184"/>
        <v>15875.215475900961</v>
      </c>
      <c r="E2957">
        <f>_xlfn.XLOOKUP(A2957,Banks!A:A,Banks!I:I,0)</f>
        <v>34304.897888408428</v>
      </c>
      <c r="F2957">
        <f>_xlfn.XLOOKUP(A2957,Energy!A:A,Energy!I:I,0)</f>
        <v>0</v>
      </c>
      <c r="G2957">
        <f t="shared" si="185"/>
        <v>34304.897888408428</v>
      </c>
      <c r="H2957">
        <f t="shared" si="186"/>
        <v>18429.682412507467</v>
      </c>
      <c r="I2957" t="b">
        <f t="shared" si="187"/>
        <v>0</v>
      </c>
    </row>
    <row r="2958" spans="1:9">
      <c r="A2958" s="1">
        <v>46184.632638888892</v>
      </c>
      <c r="B2958" s="5">
        <f>_xlfn.XLOOKUP(A2958,Banks!A:A,Banks!H:H,0,-1)</f>
        <v>4977.1408621930941</v>
      </c>
      <c r="C2958">
        <f>_xlfn.XLOOKUP(A2958,Energy!A:A,Energy!H:H,0,-1)</f>
        <v>10852.401158839481</v>
      </c>
      <c r="D2958">
        <f t="shared" si="184"/>
        <v>15829.542021032576</v>
      </c>
      <c r="E2958">
        <f>_xlfn.XLOOKUP(A2958,Banks!A:A,Banks!I:I,0)</f>
        <v>34292.896515973916</v>
      </c>
      <c r="F2958">
        <f>_xlfn.XLOOKUP(A2958,Energy!A:A,Energy!I:I,0)</f>
        <v>0</v>
      </c>
      <c r="G2958">
        <f t="shared" si="185"/>
        <v>34292.896515973916</v>
      </c>
      <c r="H2958">
        <f t="shared" si="186"/>
        <v>18463.354494941341</v>
      </c>
      <c r="I2958" t="b">
        <f t="shared" si="187"/>
        <v>0</v>
      </c>
    </row>
    <row r="2959" spans="1:9">
      <c r="A2959" s="1">
        <v>46184.633333333331</v>
      </c>
      <c r="B2959" s="5">
        <f>_xlfn.XLOOKUP(A2959,Banks!A:A,Banks!H:H,0,-1)</f>
        <v>5007.627914541793</v>
      </c>
      <c r="C2959">
        <f>_xlfn.XLOOKUP(A2959,Energy!A:A,Energy!H:H,0,-1)</f>
        <v>10852.401158839481</v>
      </c>
      <c r="D2959">
        <f t="shared" si="184"/>
        <v>15860.029073381273</v>
      </c>
      <c r="E2959">
        <f>_xlfn.XLOOKUP(A2959,Banks!A:A,Banks!I:I,0)</f>
        <v>34244.526978687813</v>
      </c>
      <c r="F2959">
        <f>_xlfn.XLOOKUP(A2959,Energy!A:A,Energy!I:I,0)</f>
        <v>0</v>
      </c>
      <c r="G2959">
        <f t="shared" si="185"/>
        <v>34244.526978687813</v>
      </c>
      <c r="H2959">
        <f t="shared" si="186"/>
        <v>18384.49790530654</v>
      </c>
      <c r="I2959" t="b">
        <f t="shared" si="187"/>
        <v>0</v>
      </c>
    </row>
    <row r="2960" spans="1:9">
      <c r="A2960" s="1">
        <v>46184.634027777778</v>
      </c>
      <c r="B2960" s="5">
        <f>_xlfn.XLOOKUP(A2960,Banks!A:A,Banks!H:H,0,-1)</f>
        <v>4958.6744808040867</v>
      </c>
      <c r="C2960">
        <f>_xlfn.XLOOKUP(A2960,Energy!A:A,Energy!H:H,0,-1)</f>
        <v>10852.401158839481</v>
      </c>
      <c r="D2960">
        <f t="shared" si="184"/>
        <v>15811.075639643568</v>
      </c>
      <c r="E2960">
        <f>_xlfn.XLOOKUP(A2960,Banks!A:A,Banks!I:I,0)</f>
        <v>34226.136247557763</v>
      </c>
      <c r="F2960">
        <f>_xlfn.XLOOKUP(A2960,Energy!A:A,Energy!I:I,0)</f>
        <v>0</v>
      </c>
      <c r="G2960">
        <f t="shared" si="185"/>
        <v>34226.136247557763</v>
      </c>
      <c r="H2960">
        <f t="shared" si="186"/>
        <v>18415.060607914194</v>
      </c>
      <c r="I2960" t="b">
        <f t="shared" si="187"/>
        <v>0</v>
      </c>
    </row>
    <row r="2961" spans="1:9">
      <c r="A2961" s="1">
        <v>46184.634722222218</v>
      </c>
      <c r="B2961" s="5">
        <f>_xlfn.XLOOKUP(A2961,Banks!A:A,Banks!H:H,0,-1)</f>
        <v>4968.6946657177205</v>
      </c>
      <c r="C2961">
        <f>_xlfn.XLOOKUP(A2961,Energy!A:A,Energy!H:H,0,-1)</f>
        <v>10852.401158839481</v>
      </c>
      <c r="D2961">
        <f t="shared" si="184"/>
        <v>15821.0958245572</v>
      </c>
      <c r="E2961">
        <f>_xlfn.XLOOKUP(A2961,Banks!A:A,Banks!I:I,0)</f>
        <v>34199.473469932127</v>
      </c>
      <c r="F2961">
        <f>_xlfn.XLOOKUP(A2961,Energy!A:A,Energy!I:I,0)</f>
        <v>0</v>
      </c>
      <c r="G2961">
        <f t="shared" si="185"/>
        <v>34199.473469932127</v>
      </c>
      <c r="H2961">
        <f t="shared" si="186"/>
        <v>18378.377645374927</v>
      </c>
      <c r="I2961" t="b">
        <f t="shared" si="187"/>
        <v>0</v>
      </c>
    </row>
    <row r="2962" spans="1:9">
      <c r="A2962" s="1">
        <v>46184.635416666657</v>
      </c>
      <c r="B2962" s="5">
        <f>_xlfn.XLOOKUP(A2962,Banks!A:A,Banks!H:H,0,-1)</f>
        <v>4930.1879145014227</v>
      </c>
      <c r="C2962">
        <f>_xlfn.XLOOKUP(A2962,Energy!A:A,Energy!H:H,0,-1)</f>
        <v>10852.401158839481</v>
      </c>
      <c r="D2962">
        <f t="shared" si="184"/>
        <v>15782.589073340903</v>
      </c>
      <c r="E2962">
        <f>_xlfn.XLOOKUP(A2962,Banks!A:A,Banks!I:I,0)</f>
        <v>34186.038756767208</v>
      </c>
      <c r="F2962">
        <f>_xlfn.XLOOKUP(A2962,Energy!A:A,Energy!I:I,0)</f>
        <v>0</v>
      </c>
      <c r="G2962">
        <f t="shared" si="185"/>
        <v>34186.038756767208</v>
      </c>
      <c r="H2962">
        <f t="shared" si="186"/>
        <v>18403.449683426305</v>
      </c>
      <c r="I2962" t="b">
        <f t="shared" si="187"/>
        <v>0</v>
      </c>
    </row>
    <row r="2963" spans="1:9">
      <c r="A2963" s="1">
        <v>46184.636111111111</v>
      </c>
      <c r="B2963" s="5">
        <f>_xlfn.XLOOKUP(A2963,Banks!A:A,Banks!H:H,0,-1)</f>
        <v>4907.6545600239551</v>
      </c>
      <c r="C2963">
        <f>_xlfn.XLOOKUP(A2963,Energy!A:A,Energy!H:H,0,-1)</f>
        <v>10852.401158839481</v>
      </c>
      <c r="D2963">
        <f t="shared" si="184"/>
        <v>15760.055718863436</v>
      </c>
      <c r="E2963">
        <f>_xlfn.XLOOKUP(A2963,Banks!A:A,Banks!I:I,0)</f>
        <v>34172.932041489214</v>
      </c>
      <c r="F2963">
        <f>_xlfn.XLOOKUP(A2963,Energy!A:A,Energy!I:I,0)</f>
        <v>0</v>
      </c>
      <c r="G2963">
        <f t="shared" si="185"/>
        <v>34172.932041489214</v>
      </c>
      <c r="H2963">
        <f t="shared" si="186"/>
        <v>18412.87632262578</v>
      </c>
      <c r="I2963" t="b">
        <f t="shared" si="187"/>
        <v>0</v>
      </c>
    </row>
    <row r="2964" spans="1:9">
      <c r="A2964" s="1">
        <v>46184.636805555558</v>
      </c>
      <c r="B2964" s="5">
        <f>_xlfn.XLOOKUP(A2964,Banks!A:A,Banks!H:H,0,-1)</f>
        <v>4872.2475393712803</v>
      </c>
      <c r="C2964">
        <f>_xlfn.XLOOKUP(A2964,Energy!A:A,Energy!H:H,0,-1)</f>
        <v>10852.401158839481</v>
      </c>
      <c r="D2964">
        <f t="shared" si="184"/>
        <v>15724.64869821076</v>
      </c>
      <c r="E2964">
        <f>_xlfn.XLOOKUP(A2964,Banks!A:A,Banks!I:I,0)</f>
        <v>34211.717540732017</v>
      </c>
      <c r="F2964">
        <f>_xlfn.XLOOKUP(A2964,Energy!A:A,Energy!I:I,0)</f>
        <v>0</v>
      </c>
      <c r="G2964">
        <f t="shared" si="185"/>
        <v>34211.717540732017</v>
      </c>
      <c r="H2964">
        <f t="shared" si="186"/>
        <v>18487.068842521257</v>
      </c>
      <c r="I2964" t="b">
        <f t="shared" si="187"/>
        <v>0</v>
      </c>
    </row>
    <row r="2965" spans="1:9">
      <c r="A2965" s="1">
        <v>46184.637499999997</v>
      </c>
      <c r="B2965" s="5">
        <f>_xlfn.XLOOKUP(A2965,Banks!A:A,Banks!H:H,0,-1)</f>
        <v>4905.8343222836093</v>
      </c>
      <c r="C2965">
        <f>_xlfn.XLOOKUP(A2965,Energy!A:A,Energy!H:H,0,-1)</f>
        <v>10852.401158839481</v>
      </c>
      <c r="D2965">
        <f t="shared" si="184"/>
        <v>15758.235481123091</v>
      </c>
      <c r="E2965">
        <f>_xlfn.XLOOKUP(A2965,Banks!A:A,Banks!I:I,0)</f>
        <v>34215.568215853658</v>
      </c>
      <c r="F2965">
        <f>_xlfn.XLOOKUP(A2965,Energy!A:A,Energy!I:I,0)</f>
        <v>0</v>
      </c>
      <c r="G2965">
        <f t="shared" si="185"/>
        <v>34215.568215853658</v>
      </c>
      <c r="H2965">
        <f t="shared" si="186"/>
        <v>18457.332734730568</v>
      </c>
      <c r="I2965" t="b">
        <f t="shared" si="187"/>
        <v>0</v>
      </c>
    </row>
    <row r="2966" spans="1:9">
      <c r="A2966" s="1">
        <v>46184.638194444437</v>
      </c>
      <c r="B2966" s="5">
        <f>_xlfn.XLOOKUP(A2966,Banks!A:A,Banks!H:H,0,-1)</f>
        <v>4926.7276873264163</v>
      </c>
      <c r="C2966">
        <f>_xlfn.XLOOKUP(A2966,Energy!A:A,Energy!H:H,0,-1)</f>
        <v>10852.401158839481</v>
      </c>
      <c r="D2966">
        <f t="shared" si="184"/>
        <v>15779.128846165897</v>
      </c>
      <c r="E2966">
        <f>_xlfn.XLOOKUP(A2966,Banks!A:A,Banks!I:I,0)</f>
        <v>34225.480251783891</v>
      </c>
      <c r="F2966">
        <f>_xlfn.XLOOKUP(A2966,Energy!A:A,Energy!I:I,0)</f>
        <v>0</v>
      </c>
      <c r="G2966">
        <f t="shared" si="185"/>
        <v>34225.480251783891</v>
      </c>
      <c r="H2966">
        <f t="shared" si="186"/>
        <v>18446.351405617992</v>
      </c>
      <c r="I2966" t="b">
        <f t="shared" si="187"/>
        <v>0</v>
      </c>
    </row>
    <row r="2967" spans="1:9">
      <c r="A2967" s="1">
        <v>46184.638888888891</v>
      </c>
      <c r="B2967" s="5">
        <f>_xlfn.XLOOKUP(A2967,Banks!A:A,Banks!H:H,0,-1)</f>
        <v>4975.6811210641335</v>
      </c>
      <c r="C2967">
        <f>_xlfn.XLOOKUP(A2967,Energy!A:A,Energy!H:H,0,-1)</f>
        <v>10852.401158839481</v>
      </c>
      <c r="D2967">
        <f t="shared" si="184"/>
        <v>15828.082279903614</v>
      </c>
      <c r="E2967">
        <f>_xlfn.XLOOKUP(A2967,Banks!A:A,Banks!I:I,0)</f>
        <v>34243.870982913933</v>
      </c>
      <c r="F2967">
        <f>_xlfn.XLOOKUP(A2967,Energy!A:A,Energy!I:I,0)</f>
        <v>0</v>
      </c>
      <c r="G2967">
        <f t="shared" si="185"/>
        <v>34243.870982913933</v>
      </c>
      <c r="H2967">
        <f t="shared" si="186"/>
        <v>18415.788703010319</v>
      </c>
      <c r="I2967" t="b">
        <f t="shared" si="187"/>
        <v>0</v>
      </c>
    </row>
    <row r="2968" spans="1:9">
      <c r="A2968" s="1">
        <v>46184.63958333333</v>
      </c>
      <c r="B2968" s="5">
        <f>_xlfn.XLOOKUP(A2968,Banks!A:A,Banks!H:H,0,-1)</f>
        <v>4966.447930369618</v>
      </c>
      <c r="C2968">
        <f>_xlfn.XLOOKUP(A2968,Energy!A:A,Energy!H:H,0,-1)</f>
        <v>10852.401158839481</v>
      </c>
      <c r="D2968">
        <f t="shared" si="184"/>
        <v>15818.849089209099</v>
      </c>
      <c r="E2968">
        <f>_xlfn.XLOOKUP(A2968,Banks!A:A,Banks!I:I,0)</f>
        <v>34210.490848705856</v>
      </c>
      <c r="F2968">
        <f>_xlfn.XLOOKUP(A2968,Energy!A:A,Energy!I:I,0)</f>
        <v>0</v>
      </c>
      <c r="G2968">
        <f t="shared" si="185"/>
        <v>34210.490848705856</v>
      </c>
      <c r="H2968">
        <f t="shared" si="186"/>
        <v>18391.641759496757</v>
      </c>
      <c r="I2968" t="b">
        <f t="shared" si="187"/>
        <v>0</v>
      </c>
    </row>
    <row r="2969" spans="1:9">
      <c r="A2969" s="1">
        <v>46184.640277777777</v>
      </c>
      <c r="B2969" s="5">
        <f>_xlfn.XLOOKUP(A2969,Banks!A:A,Banks!H:H,0,-1)</f>
        <v>4863.4408462845304</v>
      </c>
      <c r="C2969">
        <f>_xlfn.XLOOKUP(A2969,Energy!A:A,Energy!H:H,0,-1)</f>
        <v>10852.401158839481</v>
      </c>
      <c r="D2969">
        <f t="shared" si="184"/>
        <v>15715.84200512401</v>
      </c>
      <c r="E2969">
        <f>_xlfn.XLOOKUP(A2969,Banks!A:A,Banks!I:I,0)</f>
        <v>34209.956202114678</v>
      </c>
      <c r="F2969">
        <f>_xlfn.XLOOKUP(A2969,Energy!A:A,Energy!I:I,0)</f>
        <v>0</v>
      </c>
      <c r="G2969">
        <f t="shared" si="185"/>
        <v>34209.956202114678</v>
      </c>
      <c r="H2969">
        <f t="shared" si="186"/>
        <v>18494.114196990668</v>
      </c>
      <c r="I2969" t="b">
        <f t="shared" si="187"/>
        <v>0</v>
      </c>
    </row>
    <row r="2970" spans="1:9">
      <c r="A2970" s="1">
        <v>46184.640972222223</v>
      </c>
      <c r="B2970" s="5">
        <f>_xlfn.XLOOKUP(A2970,Banks!A:A,Banks!H:H,0,-1)</f>
        <v>4913.2472752377671</v>
      </c>
      <c r="C2970">
        <f>_xlfn.XLOOKUP(A2970,Energy!A:A,Energy!H:H,0,-1)</f>
        <v>10852.401158839481</v>
      </c>
      <c r="D2970">
        <f t="shared" si="184"/>
        <v>15765.648434077248</v>
      </c>
      <c r="E2970">
        <f>_xlfn.XLOOKUP(A2970,Banks!A:A,Banks!I:I,0)</f>
        <v>34291.584524426187</v>
      </c>
      <c r="F2970">
        <f>_xlfn.XLOOKUP(A2970,Energy!A:A,Energy!I:I,0)</f>
        <v>0</v>
      </c>
      <c r="G2970">
        <f t="shared" si="185"/>
        <v>34291.584524426187</v>
      </c>
      <c r="H2970">
        <f t="shared" si="186"/>
        <v>18525.93609034894</v>
      </c>
      <c r="I2970" t="b">
        <f t="shared" si="187"/>
        <v>0</v>
      </c>
    </row>
    <row r="2971" spans="1:9">
      <c r="A2971" s="1">
        <v>46184.64166666667</v>
      </c>
      <c r="B2971" s="5">
        <f>_xlfn.XLOOKUP(A2971,Banks!A:A,Banks!H:H,0,-1)</f>
        <v>4932.5006508459264</v>
      </c>
      <c r="C2971">
        <f>_xlfn.XLOOKUP(A2971,Energy!A:A,Energy!H:H,0,-1)</f>
        <v>10852.401158839481</v>
      </c>
      <c r="D2971">
        <f t="shared" si="184"/>
        <v>15784.901809685407</v>
      </c>
      <c r="E2971">
        <f>_xlfn.XLOOKUP(A2971,Banks!A:A,Banks!I:I,0)</f>
        <v>34298.301881008658</v>
      </c>
      <c r="F2971">
        <f>_xlfn.XLOOKUP(A2971,Energy!A:A,Energy!I:I,0)</f>
        <v>0</v>
      </c>
      <c r="G2971">
        <f t="shared" si="185"/>
        <v>34298.301881008658</v>
      </c>
      <c r="H2971">
        <f t="shared" si="186"/>
        <v>18513.400071323253</v>
      </c>
      <c r="I2971" t="b">
        <f t="shared" si="187"/>
        <v>0</v>
      </c>
    </row>
    <row r="2972" spans="1:9">
      <c r="A2972" s="1">
        <v>46184.642361111109</v>
      </c>
      <c r="B2972" s="5">
        <f>_xlfn.XLOOKUP(A2972,Banks!A:A,Banks!H:H,0,-1)</f>
        <v>4938.6341109767991</v>
      </c>
      <c r="C2972">
        <f>_xlfn.XLOOKUP(A2972,Energy!A:A,Energy!H:H,0,-1)</f>
        <v>10852.401158839481</v>
      </c>
      <c r="D2972">
        <f t="shared" si="184"/>
        <v>15791.035269816279</v>
      </c>
      <c r="E2972">
        <f>_xlfn.XLOOKUP(A2972,Banks!A:A,Banks!I:I,0)</f>
        <v>34279.46180280899</v>
      </c>
      <c r="F2972">
        <f>_xlfn.XLOOKUP(A2972,Energy!A:A,Energy!I:I,0)</f>
        <v>0</v>
      </c>
      <c r="G2972">
        <f t="shared" si="185"/>
        <v>34279.46180280899</v>
      </c>
      <c r="H2972">
        <f t="shared" si="186"/>
        <v>18488.426532992711</v>
      </c>
      <c r="I2972" t="b">
        <f t="shared" si="187"/>
        <v>0</v>
      </c>
    </row>
    <row r="2973" spans="1:9">
      <c r="A2973" s="1">
        <v>46184.643055555563</v>
      </c>
      <c r="B2973" s="5">
        <f>_xlfn.XLOOKUP(A2973,Banks!A:A,Banks!H:H,0,-1)</f>
        <v>4854.4539048921042</v>
      </c>
      <c r="C2973">
        <f>_xlfn.XLOOKUP(A2973,Energy!A:A,Energy!H:H,0,-1)</f>
        <v>10852.401158839481</v>
      </c>
      <c r="D2973">
        <f t="shared" si="184"/>
        <v>15706.855063731586</v>
      </c>
      <c r="E2973">
        <f>_xlfn.XLOOKUP(A2973,Banks!A:A,Banks!I:I,0)</f>
        <v>34254.025717209552</v>
      </c>
      <c r="F2973">
        <f>_xlfn.XLOOKUP(A2973,Energy!A:A,Energy!I:I,0)</f>
        <v>0</v>
      </c>
      <c r="G2973">
        <f t="shared" si="185"/>
        <v>34254.025717209552</v>
      </c>
      <c r="H2973">
        <f t="shared" si="186"/>
        <v>18547.170653477966</v>
      </c>
      <c r="I2973" t="b">
        <f t="shared" si="187"/>
        <v>0</v>
      </c>
    </row>
    <row r="2974" spans="1:9">
      <c r="A2974" s="1">
        <v>46184.643750000003</v>
      </c>
      <c r="B2974" s="5">
        <f>_xlfn.XLOOKUP(A2974,Banks!A:A,Banks!H:H,0,-1)</f>
        <v>4877.5940052830247</v>
      </c>
      <c r="C2974">
        <f>_xlfn.XLOOKUP(A2974,Energy!A:A,Energy!H:H,0,-1)</f>
        <v>10852.401158839481</v>
      </c>
      <c r="D2974">
        <f t="shared" si="184"/>
        <v>15729.995164122505</v>
      </c>
      <c r="E2974">
        <f>_xlfn.XLOOKUP(A2974,Banks!A:A,Banks!I:I,0)</f>
        <v>34252.920374366062</v>
      </c>
      <c r="F2974">
        <f>_xlfn.XLOOKUP(A2974,Energy!A:A,Energy!I:I,0)</f>
        <v>0</v>
      </c>
      <c r="G2974">
        <f t="shared" si="185"/>
        <v>34252.920374366062</v>
      </c>
      <c r="H2974">
        <f t="shared" si="186"/>
        <v>18522.925210243557</v>
      </c>
      <c r="I2974" t="b">
        <f t="shared" si="187"/>
        <v>0</v>
      </c>
    </row>
    <row r="2975" spans="1:9">
      <c r="A2975" s="1">
        <v>46184.644444444442</v>
      </c>
      <c r="B2975" s="5">
        <f>_xlfn.XLOOKUP(A2975,Banks!A:A,Banks!H:H,0,-1)</f>
        <v>4878.0205028907776</v>
      </c>
      <c r="C2975">
        <f>_xlfn.XLOOKUP(A2975,Energy!A:A,Energy!H:H,0,-1)</f>
        <v>10852.401158839481</v>
      </c>
      <c r="D2975">
        <f t="shared" si="184"/>
        <v>15730.421661730259</v>
      </c>
      <c r="E2975">
        <f>_xlfn.XLOOKUP(A2975,Banks!A:A,Banks!I:I,0)</f>
        <v>34284.539169956792</v>
      </c>
      <c r="F2975">
        <f>_xlfn.XLOOKUP(A2975,Energy!A:A,Energy!I:I,0)</f>
        <v>0</v>
      </c>
      <c r="G2975">
        <f t="shared" si="185"/>
        <v>34284.539169956792</v>
      </c>
      <c r="H2975">
        <f t="shared" si="186"/>
        <v>18554.117508226533</v>
      </c>
      <c r="I2975" t="b">
        <f t="shared" si="187"/>
        <v>0</v>
      </c>
    </row>
    <row r="2976" spans="1:9">
      <c r="A2976" s="1">
        <v>46184.645138888889</v>
      </c>
      <c r="B2976" s="5">
        <f>_xlfn.XLOOKUP(A2976,Banks!A:A,Banks!H:H,0,-1)</f>
        <v>4896.2406349777302</v>
      </c>
      <c r="C2976">
        <f>_xlfn.XLOOKUP(A2976,Energy!A:A,Energy!H:H,0,-1)</f>
        <v>10852.401158839481</v>
      </c>
      <c r="D2976">
        <f t="shared" si="184"/>
        <v>15748.641793817211</v>
      </c>
      <c r="E2976">
        <f>_xlfn.XLOOKUP(A2976,Banks!A:A,Banks!I:I,0)</f>
        <v>34273.849789070016</v>
      </c>
      <c r="F2976">
        <f>_xlfn.XLOOKUP(A2976,Energy!A:A,Energy!I:I,0)</f>
        <v>0</v>
      </c>
      <c r="G2976">
        <f t="shared" si="185"/>
        <v>34273.849789070016</v>
      </c>
      <c r="H2976">
        <f t="shared" si="186"/>
        <v>18525.207995252807</v>
      </c>
      <c r="I2976" t="b">
        <f t="shared" si="187"/>
        <v>0</v>
      </c>
    </row>
    <row r="2977" spans="1:9">
      <c r="A2977" s="1">
        <v>46184.645833333343</v>
      </c>
      <c r="B2977" s="5">
        <f>_xlfn.XLOOKUP(A2977,Banks!A:A,Banks!H:H,0,-1)</f>
        <v>4875.9540158483642</v>
      </c>
      <c r="C2977">
        <f>_xlfn.XLOOKUP(A2977,Energy!A:A,Energy!H:H,0,-1)</f>
        <v>10852.401158839481</v>
      </c>
      <c r="D2977">
        <f t="shared" si="184"/>
        <v>15728.355174687844</v>
      </c>
      <c r="E2977">
        <f>_xlfn.XLOOKUP(A2977,Banks!A:A,Banks!I:I,0)</f>
        <v>34249.7256950183</v>
      </c>
      <c r="F2977">
        <f>_xlfn.XLOOKUP(A2977,Energy!A:A,Energy!I:I,0)</f>
        <v>0</v>
      </c>
      <c r="G2977">
        <f t="shared" si="185"/>
        <v>34249.7256950183</v>
      </c>
      <c r="H2977">
        <f t="shared" si="186"/>
        <v>18521.370520330456</v>
      </c>
      <c r="I2977" t="b">
        <f t="shared" si="187"/>
        <v>0</v>
      </c>
    </row>
    <row r="2978" spans="1:9">
      <c r="A2978" s="1">
        <v>46184.646527777782</v>
      </c>
      <c r="B2978" s="5">
        <f>_xlfn.XLOOKUP(A2978,Banks!A:A,Banks!H:H,0,-1)</f>
        <v>4887.0074442832274</v>
      </c>
      <c r="C2978">
        <f>_xlfn.XLOOKUP(A2978,Energy!A:A,Energy!H:H,0,-1)</f>
        <v>10852.401158839481</v>
      </c>
      <c r="D2978">
        <f t="shared" si="184"/>
        <v>15739.408603122709</v>
      </c>
      <c r="E2978">
        <f>_xlfn.XLOOKUP(A2978,Banks!A:A,Banks!I:I,0)</f>
        <v>34240.469654861932</v>
      </c>
      <c r="F2978">
        <f>_xlfn.XLOOKUP(A2978,Energy!A:A,Energy!I:I,0)</f>
        <v>0</v>
      </c>
      <c r="G2978">
        <f t="shared" si="185"/>
        <v>34240.469654861932</v>
      </c>
      <c r="H2978">
        <f t="shared" si="186"/>
        <v>18501.061051739223</v>
      </c>
      <c r="I2978" t="b">
        <f t="shared" si="187"/>
        <v>0</v>
      </c>
    </row>
    <row r="2979" spans="1:9">
      <c r="A2979" s="1">
        <v>46184.647222222222</v>
      </c>
      <c r="B2979" s="5">
        <f>_xlfn.XLOOKUP(A2979,Banks!A:A,Banks!H:H,0,-1)</f>
        <v>4854.1546894979047</v>
      </c>
      <c r="C2979">
        <f>_xlfn.XLOOKUP(A2979,Energy!A:A,Energy!H:H,0,-1)</f>
        <v>10852.401158839481</v>
      </c>
      <c r="D2979">
        <f t="shared" si="184"/>
        <v>15706.555848337386</v>
      </c>
      <c r="E2979">
        <f>_xlfn.XLOOKUP(A2979,Banks!A:A,Banks!I:I,0)</f>
        <v>0</v>
      </c>
      <c r="F2979">
        <f>_xlfn.XLOOKUP(A2979,Energy!A:A,Energy!I:I,0)</f>
        <v>0</v>
      </c>
      <c r="G2979">
        <f t="shared" si="185"/>
        <v>0</v>
      </c>
      <c r="H2979">
        <f t="shared" si="186"/>
        <v>-15706.555848337386</v>
      </c>
      <c r="I2979" t="b">
        <f t="shared" si="187"/>
        <v>0</v>
      </c>
    </row>
    <row r="2980" spans="1:9">
      <c r="A2980" s="1">
        <v>46185.604166666657</v>
      </c>
      <c r="B2980" s="5">
        <f>_xlfn.XLOOKUP(A2980,Banks!A:A,Banks!H:H,0,-1)</f>
        <v>4854.1546894979047</v>
      </c>
      <c r="C2980">
        <f>_xlfn.XLOOKUP(A2980,Energy!A:A,Energy!H:H,0,-1)</f>
        <v>10852.401158839481</v>
      </c>
      <c r="D2980">
        <f t="shared" si="184"/>
        <v>15706.555848337386</v>
      </c>
      <c r="E2980">
        <f>_xlfn.XLOOKUP(A2980,Banks!A:A,Banks!I:I,0)</f>
        <v>34334.840644903357</v>
      </c>
      <c r="F2980">
        <f>_xlfn.XLOOKUP(A2980,Energy!A:A,Energy!I:I,0)</f>
        <v>0</v>
      </c>
      <c r="G2980">
        <f t="shared" si="185"/>
        <v>34334.840644903357</v>
      </c>
      <c r="H2980">
        <f t="shared" si="186"/>
        <v>18628.284796565971</v>
      </c>
      <c r="I2980" t="b">
        <f t="shared" si="187"/>
        <v>0</v>
      </c>
    </row>
    <row r="2981" spans="1:9">
      <c r="A2981" s="1">
        <v>46185.604861111111</v>
      </c>
      <c r="B2981" s="5">
        <f>_xlfn.XLOOKUP(A2981,Banks!A:A,Banks!H:H,0,-1)</f>
        <v>4850.8584357738964</v>
      </c>
      <c r="C2981">
        <f>_xlfn.XLOOKUP(A2981,Energy!A:A,Energy!H:H,0,-1)</f>
        <v>10852.401158839481</v>
      </c>
      <c r="D2981">
        <f t="shared" si="184"/>
        <v>15703.259594613377</v>
      </c>
      <c r="E2981">
        <f>_xlfn.XLOOKUP(A2981,Banks!A:A,Banks!I:I,0)</f>
        <v>34402.839135318878</v>
      </c>
      <c r="F2981">
        <f>_xlfn.XLOOKUP(A2981,Energy!A:A,Energy!I:I,0)</f>
        <v>0</v>
      </c>
      <c r="G2981">
        <f t="shared" si="185"/>
        <v>34402.839135318878</v>
      </c>
      <c r="H2981">
        <f t="shared" si="186"/>
        <v>18699.579540705501</v>
      </c>
      <c r="I2981" t="b">
        <f t="shared" si="187"/>
        <v>0</v>
      </c>
    </row>
    <row r="2982" spans="1:9">
      <c r="A2982" s="1">
        <v>46185.605555555558</v>
      </c>
      <c r="B2982" s="5">
        <f>_xlfn.XLOOKUP(A2982,Banks!A:A,Banks!H:H,0,-1)</f>
        <v>4646.3725124562816</v>
      </c>
      <c r="C2982">
        <f>_xlfn.XLOOKUP(A2982,Energy!A:A,Energy!H:H,0,-1)</f>
        <v>10852.401158839481</v>
      </c>
      <c r="D2982">
        <f t="shared" si="184"/>
        <v>15498.773671295763</v>
      </c>
      <c r="E2982">
        <f>_xlfn.XLOOKUP(A2982,Banks!A:A,Banks!I:I,0)</f>
        <v>34471.79433651187</v>
      </c>
      <c r="F2982">
        <f>_xlfn.XLOOKUP(A2982,Energy!A:A,Energy!I:I,0)</f>
        <v>0</v>
      </c>
      <c r="G2982">
        <f t="shared" si="185"/>
        <v>34471.79433651187</v>
      </c>
      <c r="H2982">
        <f t="shared" si="186"/>
        <v>18973.020665216107</v>
      </c>
      <c r="I2982" t="b">
        <f t="shared" si="187"/>
        <v>0</v>
      </c>
    </row>
    <row r="2983" spans="1:9">
      <c r="A2983" s="1">
        <v>46185.606249999997</v>
      </c>
      <c r="B2983" s="5">
        <f>_xlfn.XLOOKUP(A2983,Banks!A:A,Banks!H:H,0,-1)</f>
        <v>4473.24085939216</v>
      </c>
      <c r="C2983">
        <f>_xlfn.XLOOKUP(A2983,Energy!A:A,Energy!H:H,0,-1)</f>
        <v>10852.401158839481</v>
      </c>
      <c r="D2983">
        <f t="shared" si="184"/>
        <v>15325.64201823164</v>
      </c>
      <c r="E2983">
        <f>_xlfn.XLOOKUP(A2983,Banks!A:A,Banks!I:I,0)</f>
        <v>34478.362650595227</v>
      </c>
      <c r="F2983">
        <f>_xlfn.XLOOKUP(A2983,Energy!A:A,Energy!I:I,0)</f>
        <v>0</v>
      </c>
      <c r="G2983">
        <f t="shared" si="185"/>
        <v>34478.362650595227</v>
      </c>
      <c r="H2983">
        <f t="shared" si="186"/>
        <v>19152.720632363587</v>
      </c>
      <c r="I2983" t="b">
        <f t="shared" si="187"/>
        <v>0</v>
      </c>
    </row>
    <row r="2984" spans="1:9">
      <c r="A2984" s="1">
        <v>46185.606944444437</v>
      </c>
      <c r="B2984" s="5">
        <f>_xlfn.XLOOKUP(A2984,Banks!A:A,Banks!H:H,0,-1)</f>
        <v>4426.2094540119597</v>
      </c>
      <c r="C2984">
        <f>_xlfn.XLOOKUP(A2984,Energy!A:A,Energy!H:H,0,-1)</f>
        <v>10852.401158839481</v>
      </c>
      <c r="D2984">
        <f t="shared" si="184"/>
        <v>15278.61061285144</v>
      </c>
      <c r="E2984">
        <f>_xlfn.XLOOKUP(A2984,Banks!A:A,Banks!I:I,0)</f>
        <v>34571.942981259657</v>
      </c>
      <c r="F2984">
        <f>_xlfn.XLOOKUP(A2984,Energy!A:A,Energy!I:I,0)</f>
        <v>0</v>
      </c>
      <c r="G2984">
        <f t="shared" si="185"/>
        <v>34571.942981259657</v>
      </c>
      <c r="H2984">
        <f t="shared" si="186"/>
        <v>19293.332368408217</v>
      </c>
      <c r="I2984" t="b">
        <f t="shared" si="187"/>
        <v>0</v>
      </c>
    </row>
    <row r="2985" spans="1:9">
      <c r="A2985" s="1">
        <v>46185.607638888891</v>
      </c>
      <c r="B2985" s="5">
        <f>_xlfn.XLOOKUP(A2985,Banks!A:A,Banks!H:H,0,-1)</f>
        <v>4424.7221538486156</v>
      </c>
      <c r="C2985">
        <f>_xlfn.XLOOKUP(A2985,Energy!A:A,Energy!H:H,0,-1)</f>
        <v>10852.401158839481</v>
      </c>
      <c r="D2985">
        <f t="shared" si="184"/>
        <v>15277.123312688096</v>
      </c>
      <c r="E2985">
        <f>_xlfn.XLOOKUP(A2985,Banks!A:A,Banks!I:I,0)</f>
        <v>34544.182424762868</v>
      </c>
      <c r="F2985">
        <f>_xlfn.XLOOKUP(A2985,Energy!A:A,Energy!I:I,0)</f>
        <v>0</v>
      </c>
      <c r="G2985">
        <f t="shared" si="185"/>
        <v>34544.182424762868</v>
      </c>
      <c r="H2985">
        <f t="shared" si="186"/>
        <v>19267.05911207477</v>
      </c>
      <c r="I2985" t="b">
        <f t="shared" si="187"/>
        <v>0</v>
      </c>
    </row>
    <row r="2986" spans="1:9">
      <c r="A2986" s="1">
        <v>46185.60833333333</v>
      </c>
      <c r="B2986" s="5">
        <f>_xlfn.XLOOKUP(A2986,Banks!A:A,Banks!H:H,0,-1)</f>
        <v>4552.7921817918577</v>
      </c>
      <c r="C2986">
        <f>_xlfn.XLOOKUP(A2986,Energy!A:A,Energy!H:H,0,-1)</f>
        <v>10852.401158839481</v>
      </c>
      <c r="D2986">
        <f t="shared" si="184"/>
        <v>15405.193340631338</v>
      </c>
      <c r="E2986">
        <f>_xlfn.XLOOKUP(A2986,Banks!A:A,Banks!I:I,0)</f>
        <v>34473.675592727079</v>
      </c>
      <c r="F2986">
        <f>_xlfn.XLOOKUP(A2986,Energy!A:A,Energy!I:I,0)</f>
        <v>0</v>
      </c>
      <c r="G2986">
        <f t="shared" si="185"/>
        <v>34473.675592727079</v>
      </c>
      <c r="H2986">
        <f t="shared" si="186"/>
        <v>19068.482252095739</v>
      </c>
      <c r="I2986" t="b">
        <f t="shared" si="187"/>
        <v>0</v>
      </c>
    </row>
    <row r="2987" spans="1:9">
      <c r="A2987" s="1">
        <v>46185.609027777777</v>
      </c>
      <c r="B2987" s="5">
        <f>_xlfn.XLOOKUP(A2987,Banks!A:A,Banks!H:H,0,-1)</f>
        <v>4318.6001150827933</v>
      </c>
      <c r="C2987">
        <f>_xlfn.XLOOKUP(A2987,Energy!A:A,Energy!H:H,0,-1)</f>
        <v>10852.401158839481</v>
      </c>
      <c r="D2987">
        <f t="shared" si="184"/>
        <v>15171.001273922273</v>
      </c>
      <c r="E2987">
        <f>_xlfn.XLOOKUP(A2987,Banks!A:A,Banks!I:I,0)</f>
        <v>34571.018435821927</v>
      </c>
      <c r="F2987">
        <f>_xlfn.XLOOKUP(A2987,Energy!A:A,Energy!I:I,0)</f>
        <v>0</v>
      </c>
      <c r="G2987">
        <f t="shared" si="185"/>
        <v>34571.018435821927</v>
      </c>
      <c r="H2987">
        <f t="shared" si="186"/>
        <v>19400.017161899654</v>
      </c>
      <c r="I2987" t="b">
        <f t="shared" si="187"/>
        <v>0</v>
      </c>
    </row>
    <row r="2988" spans="1:9">
      <c r="A2988" s="1">
        <v>46185.609722222223</v>
      </c>
      <c r="B2988" s="5">
        <f>_xlfn.XLOOKUP(A2988,Banks!A:A,Banks!H:H,0,-1)</f>
        <v>4319.3437651644581</v>
      </c>
      <c r="C2988">
        <f>_xlfn.XLOOKUP(A2988,Energy!A:A,Energy!H:H,0,-1)</f>
        <v>10852.401158839481</v>
      </c>
      <c r="D2988">
        <f t="shared" si="184"/>
        <v>15171.744924003939</v>
      </c>
      <c r="E2988">
        <f>_xlfn.XLOOKUP(A2988,Banks!A:A,Banks!I:I,0)</f>
        <v>34584.898714070318</v>
      </c>
      <c r="F2988">
        <f>_xlfn.XLOOKUP(A2988,Energy!A:A,Energy!I:I,0)</f>
        <v>0</v>
      </c>
      <c r="G2988">
        <f t="shared" si="185"/>
        <v>34584.898714070318</v>
      </c>
      <c r="H2988">
        <f t="shared" si="186"/>
        <v>19413.153790066379</v>
      </c>
      <c r="I2988" t="b">
        <f t="shared" si="187"/>
        <v>0</v>
      </c>
    </row>
    <row r="2989" spans="1:9">
      <c r="A2989" s="1">
        <v>46185.61041666667</v>
      </c>
      <c r="B2989" s="5">
        <f>_xlfn.XLOOKUP(A2989,Banks!A:A,Banks!H:H,0,-1)</f>
        <v>4268.7549360745479</v>
      </c>
      <c r="C2989">
        <f>_xlfn.XLOOKUP(A2989,Energy!A:A,Energy!H:H,0,-1)</f>
        <v>10852.401158839481</v>
      </c>
      <c r="D2989">
        <f t="shared" si="184"/>
        <v>15121.156094914029</v>
      </c>
      <c r="E2989">
        <f>_xlfn.XLOOKUP(A2989,Banks!A:A,Banks!I:I,0)</f>
        <v>34547.317851788212</v>
      </c>
      <c r="F2989">
        <f>_xlfn.XLOOKUP(A2989,Energy!A:A,Energy!I:I,0)</f>
        <v>0</v>
      </c>
      <c r="G2989">
        <f t="shared" si="185"/>
        <v>34547.317851788212</v>
      </c>
      <c r="H2989">
        <f t="shared" si="186"/>
        <v>19426.161756874182</v>
      </c>
      <c r="I2989" t="b">
        <f t="shared" si="187"/>
        <v>0</v>
      </c>
    </row>
    <row r="2990" spans="1:9">
      <c r="A2990" s="1">
        <v>46185.611111111109</v>
      </c>
      <c r="B2990" s="5">
        <f>_xlfn.XLOOKUP(A2990,Banks!A:A,Banks!H:H,0,-1)</f>
        <v>4445.3436695613427</v>
      </c>
      <c r="C2990">
        <f>_xlfn.XLOOKUP(A2990,Energy!A:A,Energy!H:H,0,-1)</f>
        <v>10852.401158839481</v>
      </c>
      <c r="D2990">
        <f t="shared" si="184"/>
        <v>15297.744828400824</v>
      </c>
      <c r="E2990">
        <f>_xlfn.XLOOKUP(A2990,Banks!A:A,Banks!I:I,0)</f>
        <v>34410.991245584788</v>
      </c>
      <c r="F2990">
        <f>_xlfn.XLOOKUP(A2990,Energy!A:A,Energy!I:I,0)</f>
        <v>0</v>
      </c>
      <c r="G2990">
        <f t="shared" si="185"/>
        <v>34410.991245584788</v>
      </c>
      <c r="H2990">
        <f t="shared" si="186"/>
        <v>19113.246417183964</v>
      </c>
      <c r="I2990" t="b">
        <f t="shared" si="187"/>
        <v>0</v>
      </c>
    </row>
    <row r="2991" spans="1:9">
      <c r="A2991" s="1">
        <v>46185.611805555563</v>
      </c>
      <c r="B2991" s="5">
        <f>_xlfn.XLOOKUP(A2991,Banks!A:A,Banks!H:H,0,-1)</f>
        <v>4492.0534215442294</v>
      </c>
      <c r="C2991">
        <f>_xlfn.XLOOKUP(A2991,Energy!A:A,Energy!H:H,0,-1)</f>
        <v>10852.401158839481</v>
      </c>
      <c r="D2991">
        <f t="shared" si="184"/>
        <v>15344.45458038371</v>
      </c>
      <c r="E2991">
        <f>_xlfn.XLOOKUP(A2991,Banks!A:A,Banks!I:I,0)</f>
        <v>34440.930518329456</v>
      </c>
      <c r="F2991">
        <f>_xlfn.XLOOKUP(A2991,Energy!A:A,Energy!I:I,0)</f>
        <v>0</v>
      </c>
      <c r="G2991">
        <f t="shared" si="185"/>
        <v>34440.930518329456</v>
      </c>
      <c r="H2991">
        <f t="shared" si="186"/>
        <v>19096.475937945746</v>
      </c>
      <c r="I2991" t="b">
        <f t="shared" si="187"/>
        <v>0</v>
      </c>
    </row>
    <row r="2992" spans="1:9">
      <c r="A2992" s="1">
        <v>46185.612500000003</v>
      </c>
      <c r="B2992" s="5">
        <f>_xlfn.XLOOKUP(A2992,Banks!A:A,Banks!H:H,0,-1)</f>
        <v>4453.7650605077233</v>
      </c>
      <c r="C2992">
        <f>_xlfn.XLOOKUP(A2992,Energy!A:A,Energy!H:H,0,-1)</f>
        <v>10852.401158839481</v>
      </c>
      <c r="D2992">
        <f t="shared" si="184"/>
        <v>15306.166219347204</v>
      </c>
      <c r="E2992">
        <f>_xlfn.XLOOKUP(A2992,Banks!A:A,Banks!I:I,0)</f>
        <v>34471.03460376033</v>
      </c>
      <c r="F2992">
        <f>_xlfn.XLOOKUP(A2992,Energy!A:A,Energy!I:I,0)</f>
        <v>0</v>
      </c>
      <c r="G2992">
        <f t="shared" si="185"/>
        <v>34471.03460376033</v>
      </c>
      <c r="H2992">
        <f t="shared" si="186"/>
        <v>19164.868384413126</v>
      </c>
      <c r="I2992" t="b">
        <f t="shared" si="187"/>
        <v>0</v>
      </c>
    </row>
    <row r="2993" spans="1:9">
      <c r="A2993" s="1">
        <v>46185.613194444442</v>
      </c>
      <c r="B2993" s="5">
        <f>_xlfn.XLOOKUP(A2993,Banks!A:A,Banks!H:H,0,-1)</f>
        <v>4524.7341652623991</v>
      </c>
      <c r="C2993">
        <f>_xlfn.XLOOKUP(A2993,Energy!A:A,Energy!H:H,0,-1)</f>
        <v>10852.401158839481</v>
      </c>
      <c r="D2993">
        <f t="shared" si="184"/>
        <v>15377.135324101881</v>
      </c>
      <c r="E2993">
        <f>_xlfn.XLOOKUP(A2993,Banks!A:A,Banks!I:I,0)</f>
        <v>34468.063989421178</v>
      </c>
      <c r="F2993">
        <f>_xlfn.XLOOKUP(A2993,Energy!A:A,Energy!I:I,0)</f>
        <v>0</v>
      </c>
      <c r="G2993">
        <f t="shared" si="185"/>
        <v>34468.063989421178</v>
      </c>
      <c r="H2993">
        <f t="shared" si="186"/>
        <v>19090.928665319298</v>
      </c>
      <c r="I2993" t="b">
        <f t="shared" si="187"/>
        <v>0</v>
      </c>
    </row>
    <row r="2994" spans="1:9">
      <c r="A2994" s="1">
        <v>46185.613888888889</v>
      </c>
      <c r="B2994" s="5">
        <f>_xlfn.XLOOKUP(A2994,Banks!A:A,Banks!H:H,0,-1)</f>
        <v>4482.4863137695384</v>
      </c>
      <c r="C2994">
        <f>_xlfn.XLOOKUP(A2994,Energy!A:A,Energy!H:H,0,-1)</f>
        <v>10852.401158839481</v>
      </c>
      <c r="D2994">
        <f t="shared" si="184"/>
        <v>15334.887472609018</v>
      </c>
      <c r="E2994">
        <f>_xlfn.XLOOKUP(A2994,Banks!A:A,Banks!I:I,0)</f>
        <v>34521.406386166891</v>
      </c>
      <c r="F2994">
        <f>_xlfn.XLOOKUP(A2994,Energy!A:A,Energy!I:I,0)</f>
        <v>0</v>
      </c>
      <c r="G2994">
        <f t="shared" si="185"/>
        <v>34521.406386166891</v>
      </c>
      <c r="H2994">
        <f t="shared" si="186"/>
        <v>19186.518913557873</v>
      </c>
      <c r="I2994" t="b">
        <f t="shared" si="187"/>
        <v>0</v>
      </c>
    </row>
    <row r="2995" spans="1:9">
      <c r="A2995" s="1">
        <v>46185.614583333343</v>
      </c>
      <c r="B2995" s="5">
        <f>_xlfn.XLOOKUP(A2995,Banks!A:A,Banks!H:H,0,-1)</f>
        <v>4462.1864514541166</v>
      </c>
      <c r="C2995">
        <f>_xlfn.XLOOKUP(A2995,Energy!A:A,Energy!H:H,0,-1)</f>
        <v>10852.401158839481</v>
      </c>
      <c r="D2995">
        <f t="shared" si="184"/>
        <v>15314.587610293598</v>
      </c>
      <c r="E2995">
        <f>_xlfn.XLOOKUP(A2995,Banks!A:A,Banks!I:I,0)</f>
        <v>34531.077961935873</v>
      </c>
      <c r="F2995">
        <f>_xlfn.XLOOKUP(A2995,Energy!A:A,Energy!I:I,0)</f>
        <v>0</v>
      </c>
      <c r="G2995">
        <f t="shared" si="185"/>
        <v>34531.077961935873</v>
      </c>
      <c r="H2995">
        <f t="shared" si="186"/>
        <v>19216.490351642275</v>
      </c>
      <c r="I2995" t="b">
        <f t="shared" si="187"/>
        <v>0</v>
      </c>
    </row>
    <row r="2996" spans="1:9">
      <c r="A2996" s="1">
        <v>46185.615277777782</v>
      </c>
      <c r="B2996" s="5">
        <f>_xlfn.XLOOKUP(A2996,Banks!A:A,Banks!H:H,0,-1)</f>
        <v>4639.2775949746037</v>
      </c>
      <c r="C2996">
        <f>_xlfn.XLOOKUP(A2996,Energy!A:A,Energy!H:H,0,-1)</f>
        <v>10852.401158839481</v>
      </c>
      <c r="D2996">
        <f t="shared" si="184"/>
        <v>15491.678753814085</v>
      </c>
      <c r="E2996">
        <f>_xlfn.XLOOKUP(A2996,Banks!A:A,Banks!I:I,0)</f>
        <v>34501.271336537669</v>
      </c>
      <c r="F2996">
        <f>_xlfn.XLOOKUP(A2996,Energy!A:A,Energy!I:I,0)</f>
        <v>0</v>
      </c>
      <c r="G2996">
        <f t="shared" si="185"/>
        <v>34501.271336537669</v>
      </c>
      <c r="H2996">
        <f t="shared" si="186"/>
        <v>19009.592582723584</v>
      </c>
      <c r="I2996" t="b">
        <f t="shared" si="187"/>
        <v>0</v>
      </c>
    </row>
    <row r="2997" spans="1:9">
      <c r="A2997" s="1">
        <v>46185.615972222222</v>
      </c>
      <c r="B2997" s="5">
        <f>_xlfn.XLOOKUP(A2997,Banks!A:A,Banks!H:H,0,-1)</f>
        <v>4594.8033567746843</v>
      </c>
      <c r="C2997">
        <f>_xlfn.XLOOKUP(A2997,Energy!A:A,Energy!H:H,0,-1)</f>
        <v>10852.401158839481</v>
      </c>
      <c r="D2997">
        <f t="shared" si="184"/>
        <v>15447.204515614165</v>
      </c>
      <c r="E2997">
        <f>_xlfn.XLOOKUP(A2997,Banks!A:A,Banks!I:I,0)</f>
        <v>0</v>
      </c>
      <c r="F2997">
        <f>_xlfn.XLOOKUP(A2997,Energy!A:A,Energy!I:I,0)</f>
        <v>0</v>
      </c>
      <c r="G2997">
        <f t="shared" si="185"/>
        <v>0</v>
      </c>
      <c r="H2997">
        <f t="shared" si="186"/>
        <v>-15447.204515614165</v>
      </c>
      <c r="I2997" t="b">
        <f t="shared" si="187"/>
        <v>0</v>
      </c>
    </row>
    <row r="2998" spans="1:9">
      <c r="A2998" s="1">
        <v>46185.748611111107</v>
      </c>
      <c r="B2998" s="5">
        <f>_xlfn.XLOOKUP(A2998,Banks!A:A,Banks!H:H,0,-1)</f>
        <v>4594.8033567746843</v>
      </c>
      <c r="C2998">
        <f>_xlfn.XLOOKUP(A2998,Energy!A:A,Energy!H:H,0,-1)</f>
        <v>10852.401158839481</v>
      </c>
      <c r="D2998">
        <f t="shared" si="184"/>
        <v>15447.204515614165</v>
      </c>
      <c r="E2998">
        <f>_xlfn.XLOOKUP(A2998,Banks!A:A,Banks!I:I,0)</f>
        <v>34334.840644903357</v>
      </c>
      <c r="F2998">
        <f>_xlfn.XLOOKUP(A2998,Energy!A:A,Energy!I:I,0)</f>
        <v>0</v>
      </c>
      <c r="G2998">
        <f t="shared" si="185"/>
        <v>34334.840644903357</v>
      </c>
      <c r="H2998">
        <f t="shared" si="186"/>
        <v>18887.636129289192</v>
      </c>
      <c r="I2998" t="b">
        <f t="shared" si="187"/>
        <v>0</v>
      </c>
    </row>
    <row r="2999" spans="1:9">
      <c r="A2999" s="1">
        <v>46185.749305555553</v>
      </c>
      <c r="B2999" s="5">
        <f>_xlfn.XLOOKUP(A2999,Banks!A:A,Banks!H:H,0,-1)</f>
        <v>4569.2257286733957</v>
      </c>
      <c r="C2999">
        <f>_xlfn.XLOOKUP(A2999,Energy!A:A,Energy!H:H,0,-1)</f>
        <v>10852.401158839481</v>
      </c>
      <c r="D2999">
        <f t="shared" si="184"/>
        <v>15421.626887512877</v>
      </c>
      <c r="E2999">
        <f>_xlfn.XLOOKUP(A2999,Banks!A:A,Banks!I:I,0)</f>
        <v>34329.72511928311</v>
      </c>
      <c r="F2999">
        <f>_xlfn.XLOOKUP(A2999,Energy!A:A,Energy!I:I,0)</f>
        <v>0</v>
      </c>
      <c r="G2999">
        <f t="shared" si="185"/>
        <v>34329.72511928311</v>
      </c>
      <c r="H2999">
        <f t="shared" si="186"/>
        <v>18908.098231770233</v>
      </c>
      <c r="I2999" t="b">
        <f t="shared" si="187"/>
        <v>0</v>
      </c>
    </row>
    <row r="3000" spans="1:9">
      <c r="A3000" s="1">
        <v>46185.75</v>
      </c>
      <c r="B3000" s="5">
        <f>_xlfn.XLOOKUP(A3000,Banks!A:A,Banks!H:H,0,-1)</f>
        <v>4597.1063873234016</v>
      </c>
      <c r="C3000">
        <f>_xlfn.XLOOKUP(A3000,Energy!A:A,Energy!H:H,0,-1)</f>
        <v>10852.401158839481</v>
      </c>
      <c r="D3000">
        <f t="shared" si="184"/>
        <v>15449.507546162882</v>
      </c>
      <c r="E3000">
        <f>_xlfn.XLOOKUP(A3000,Banks!A:A,Banks!I:I,0)</f>
        <v>34324.148987553112</v>
      </c>
      <c r="F3000">
        <f>_xlfn.XLOOKUP(A3000,Energy!A:A,Energy!I:I,0)</f>
        <v>0</v>
      </c>
      <c r="G3000">
        <f t="shared" si="185"/>
        <v>34324.148987553112</v>
      </c>
      <c r="H3000">
        <f t="shared" si="186"/>
        <v>18874.641441390231</v>
      </c>
      <c r="I3000" t="b">
        <f t="shared" si="187"/>
        <v>0</v>
      </c>
    </row>
    <row r="3001" spans="1:9">
      <c r="A3001" s="1">
        <v>46185.750694444447</v>
      </c>
      <c r="B3001" s="5">
        <f>_xlfn.XLOOKUP(A3001,Banks!A:A,Banks!H:H,0,-1)</f>
        <v>4609.5520782934782</v>
      </c>
      <c r="C3001">
        <f>_xlfn.XLOOKUP(A3001,Energy!A:A,Energy!H:H,0,-1)</f>
        <v>10852.401158839481</v>
      </c>
      <c r="D3001">
        <f t="shared" si="184"/>
        <v>15461.953237132959</v>
      </c>
      <c r="E3001">
        <f>_xlfn.XLOOKUP(A3001,Banks!A:A,Banks!I:I,0)</f>
        <v>34348.942652667138</v>
      </c>
      <c r="F3001">
        <f>_xlfn.XLOOKUP(A3001,Energy!A:A,Energy!I:I,0)</f>
        <v>0</v>
      </c>
      <c r="G3001">
        <f t="shared" si="185"/>
        <v>34348.942652667138</v>
      </c>
      <c r="H3001">
        <f t="shared" si="186"/>
        <v>18886.989415534179</v>
      </c>
      <c r="I3001" t="b">
        <f t="shared" si="187"/>
        <v>0</v>
      </c>
    </row>
    <row r="3002" spans="1:9">
      <c r="A3002" s="1">
        <v>46185.751388888893</v>
      </c>
      <c r="B3002" s="5">
        <f>_xlfn.XLOOKUP(A3002,Banks!A:A,Banks!H:H,0,-1)</f>
        <v>4567.6700173021354</v>
      </c>
      <c r="C3002">
        <f>_xlfn.XLOOKUP(A3002,Energy!A:A,Energy!H:H,0,-1)</f>
        <v>10852.401158839481</v>
      </c>
      <c r="D3002">
        <f t="shared" si="184"/>
        <v>15420.071176141617</v>
      </c>
      <c r="E3002">
        <f>_xlfn.XLOOKUP(A3002,Banks!A:A,Banks!I:I,0)</f>
        <v>34326.625911143863</v>
      </c>
      <c r="F3002">
        <f>_xlfn.XLOOKUP(A3002,Energy!A:A,Energy!I:I,0)</f>
        <v>0</v>
      </c>
      <c r="G3002">
        <f t="shared" si="185"/>
        <v>34326.625911143863</v>
      </c>
      <c r="H3002">
        <f t="shared" si="186"/>
        <v>18906.554735002246</v>
      </c>
      <c r="I3002" t="b">
        <f t="shared" si="187"/>
        <v>0</v>
      </c>
    </row>
    <row r="3003" spans="1:9">
      <c r="A3003" s="1">
        <v>46185.752083333333</v>
      </c>
      <c r="B3003" s="5">
        <f>_xlfn.XLOOKUP(A3003,Banks!A:A,Banks!H:H,0,-1)</f>
        <v>4564.5585945596167</v>
      </c>
      <c r="C3003">
        <f>_xlfn.XLOOKUP(A3003,Energy!A:A,Energy!H:H,0,-1)</f>
        <v>10852.401158839481</v>
      </c>
      <c r="D3003">
        <f t="shared" si="184"/>
        <v>15416.959753399096</v>
      </c>
      <c r="E3003">
        <f>_xlfn.XLOOKUP(A3003,Banks!A:A,Banks!I:I,0)</f>
        <v>34320.427494865347</v>
      </c>
      <c r="F3003">
        <f>_xlfn.XLOOKUP(A3003,Energy!A:A,Energy!I:I,0)</f>
        <v>0</v>
      </c>
      <c r="G3003">
        <f t="shared" si="185"/>
        <v>34320.427494865347</v>
      </c>
      <c r="H3003">
        <f t="shared" si="186"/>
        <v>18903.467741466251</v>
      </c>
      <c r="I3003" t="b">
        <f t="shared" si="187"/>
        <v>0</v>
      </c>
    </row>
    <row r="3004" spans="1:9">
      <c r="A3004" s="1">
        <v>46185.75277777778</v>
      </c>
      <c r="B3004" s="5">
        <f>_xlfn.XLOOKUP(A3004,Banks!A:A,Banks!H:H,0,-1)</f>
        <v>4549.062553863344</v>
      </c>
      <c r="C3004">
        <f>_xlfn.XLOOKUP(A3004,Energy!A:A,Energy!H:H,0,-1)</f>
        <v>10852.401158839481</v>
      </c>
      <c r="D3004">
        <f t="shared" si="184"/>
        <v>15401.463712702825</v>
      </c>
      <c r="E3004">
        <f>_xlfn.XLOOKUP(A3004,Banks!A:A,Banks!I:I,0)</f>
        <v>34320.116352591103</v>
      </c>
      <c r="F3004">
        <f>_xlfn.XLOOKUP(A3004,Energy!A:A,Energy!I:I,0)</f>
        <v>0</v>
      </c>
      <c r="G3004">
        <f t="shared" si="185"/>
        <v>34320.116352591103</v>
      </c>
      <c r="H3004">
        <f t="shared" si="186"/>
        <v>18918.652639888278</v>
      </c>
      <c r="I3004" t="b">
        <f t="shared" si="187"/>
        <v>0</v>
      </c>
    </row>
    <row r="3005" spans="1:9">
      <c r="A3005" s="1">
        <v>46185.753472222219</v>
      </c>
      <c r="B3005" s="5">
        <f>_xlfn.XLOOKUP(A3005,Banks!A:A,Banks!H:H,0,-1)</f>
        <v>4560.6998526396292</v>
      </c>
      <c r="C3005">
        <f>_xlfn.XLOOKUP(A3005,Energy!A:A,Energy!H:H,0,-1)</f>
        <v>10852.401158839481</v>
      </c>
      <c r="D3005">
        <f t="shared" si="184"/>
        <v>15413.10101147911</v>
      </c>
      <c r="E3005">
        <f>_xlfn.XLOOKUP(A3005,Banks!A:A,Banks!I:I,0)</f>
        <v>34328.019944076361</v>
      </c>
      <c r="F3005">
        <f>_xlfn.XLOOKUP(A3005,Energy!A:A,Energy!I:I,0)</f>
        <v>0</v>
      </c>
      <c r="G3005">
        <f t="shared" si="185"/>
        <v>34328.019944076361</v>
      </c>
      <c r="H3005">
        <f t="shared" si="186"/>
        <v>18914.918932597251</v>
      </c>
      <c r="I3005" t="b">
        <f t="shared" si="187"/>
        <v>0</v>
      </c>
    </row>
    <row r="3006" spans="1:9">
      <c r="A3006" s="1">
        <v>46185.754166666673</v>
      </c>
      <c r="B3006" s="5">
        <f>_xlfn.XLOOKUP(A3006,Banks!A:A,Banks!H:H,0,-1)</f>
        <v>4649.0700357197793</v>
      </c>
      <c r="C3006">
        <f>_xlfn.XLOOKUP(A3006,Energy!A:A,Energy!H:H,0,-1)</f>
        <v>10852.401158839481</v>
      </c>
      <c r="D3006">
        <f t="shared" si="184"/>
        <v>15501.471194559261</v>
      </c>
      <c r="E3006">
        <f>_xlfn.XLOOKUP(A3006,Banks!A:A,Banks!I:I,0)</f>
        <v>34351.27011242239</v>
      </c>
      <c r="F3006">
        <f>_xlfn.XLOOKUP(A3006,Energy!A:A,Energy!I:I,0)</f>
        <v>0</v>
      </c>
      <c r="G3006">
        <f t="shared" si="185"/>
        <v>34351.27011242239</v>
      </c>
      <c r="H3006">
        <f t="shared" si="186"/>
        <v>18849.798917863129</v>
      </c>
      <c r="I3006" t="b">
        <f t="shared" si="187"/>
        <v>0</v>
      </c>
    </row>
    <row r="3007" spans="1:9">
      <c r="A3007" s="1">
        <v>46185.754861111112</v>
      </c>
      <c r="B3007" s="5">
        <f>_xlfn.XLOOKUP(A3007,Banks!A:A,Banks!H:H,0,-1)</f>
        <v>4600.2788830822547</v>
      </c>
      <c r="C3007">
        <f>_xlfn.XLOOKUP(A3007,Energy!A:A,Energy!H:H,0,-1)</f>
        <v>10852.401158839481</v>
      </c>
      <c r="D3007">
        <f t="shared" si="184"/>
        <v>15452.680041921736</v>
      </c>
      <c r="E3007">
        <f>_xlfn.XLOOKUP(A3007,Banks!A:A,Banks!I:I,0)</f>
        <v>34361.028342949889</v>
      </c>
      <c r="F3007">
        <f>_xlfn.XLOOKUP(A3007,Energy!A:A,Energy!I:I,0)</f>
        <v>0</v>
      </c>
      <c r="G3007">
        <f t="shared" si="185"/>
        <v>34361.028342949889</v>
      </c>
      <c r="H3007">
        <f t="shared" si="186"/>
        <v>18908.348301028152</v>
      </c>
      <c r="I3007" t="b">
        <f t="shared" si="187"/>
        <v>0</v>
      </c>
    </row>
    <row r="3008" spans="1:9">
      <c r="A3008" s="1">
        <v>46185.755555555559</v>
      </c>
      <c r="B3008" s="5">
        <f>_xlfn.XLOOKUP(A3008,Banks!A:A,Banks!H:H,0,-1)</f>
        <v>4633.5739950235075</v>
      </c>
      <c r="C3008">
        <f>_xlfn.XLOOKUP(A3008,Energy!A:A,Energy!H:H,0,-1)</f>
        <v>10852.401158839481</v>
      </c>
      <c r="D3008">
        <f t="shared" si="184"/>
        <v>15485.975153862988</v>
      </c>
      <c r="E3008">
        <f>_xlfn.XLOOKUP(A3008,Banks!A:A,Banks!I:I,0)</f>
        <v>34350.958970148138</v>
      </c>
      <c r="F3008">
        <f>_xlfn.XLOOKUP(A3008,Energy!A:A,Energy!I:I,0)</f>
        <v>0</v>
      </c>
      <c r="G3008">
        <f t="shared" si="185"/>
        <v>34350.958970148138</v>
      </c>
      <c r="H3008">
        <f t="shared" si="186"/>
        <v>18864.983816285152</v>
      </c>
      <c r="I3008" t="b">
        <f t="shared" si="187"/>
        <v>0</v>
      </c>
    </row>
    <row r="3009" spans="1:9">
      <c r="A3009" s="1">
        <v>46185.756249999999</v>
      </c>
      <c r="B3009" s="5">
        <f>_xlfn.XLOOKUP(A3009,Banks!A:A,Banks!H:H,0,-1)</f>
        <v>4625.0481189897391</v>
      </c>
      <c r="C3009">
        <f>_xlfn.XLOOKUP(A3009,Energy!A:A,Energy!H:H,0,-1)</f>
        <v>10852.401158839481</v>
      </c>
      <c r="D3009">
        <f t="shared" si="184"/>
        <v>15477.449277829219</v>
      </c>
      <c r="E3009">
        <f>_xlfn.XLOOKUP(A3009,Banks!A:A,Banks!I:I,0)</f>
        <v>34349.253794941382</v>
      </c>
      <c r="F3009">
        <f>_xlfn.XLOOKUP(A3009,Energy!A:A,Energy!I:I,0)</f>
        <v>0</v>
      </c>
      <c r="G3009">
        <f t="shared" si="185"/>
        <v>34349.253794941382</v>
      </c>
      <c r="H3009">
        <f t="shared" si="186"/>
        <v>18871.804517112163</v>
      </c>
      <c r="I3009" t="b">
        <f t="shared" si="187"/>
        <v>0</v>
      </c>
    </row>
    <row r="3010" spans="1:9">
      <c r="A3010" s="1">
        <v>46185.756944444453</v>
      </c>
      <c r="B3010" s="5">
        <f>_xlfn.XLOOKUP(A3010,Banks!A:A,Banks!H:H,0,-1)</f>
        <v>4577.0042855296933</v>
      </c>
      <c r="C3010">
        <f>_xlfn.XLOOKUP(A3010,Energy!A:A,Energy!H:H,0,-1)</f>
        <v>10852.401158839481</v>
      </c>
      <c r="D3010">
        <f t="shared" si="184"/>
        <v>15429.405444369175</v>
      </c>
      <c r="E3010">
        <f>_xlfn.XLOOKUP(A3010,Banks!A:A,Banks!I:I,0)</f>
        <v>34345.221159979374</v>
      </c>
      <c r="F3010">
        <f>_xlfn.XLOOKUP(A3010,Energy!A:A,Energy!I:I,0)</f>
        <v>0</v>
      </c>
      <c r="G3010">
        <f t="shared" si="185"/>
        <v>34345.221159979374</v>
      </c>
      <c r="H3010">
        <f t="shared" si="186"/>
        <v>18915.815715610199</v>
      </c>
      <c r="I3010" t="b">
        <f t="shared" si="187"/>
        <v>0</v>
      </c>
    </row>
    <row r="3011" spans="1:9">
      <c r="A3011" s="1">
        <v>46185.757638888892</v>
      </c>
      <c r="B3011" s="5">
        <f>_xlfn.XLOOKUP(A3011,Banks!A:A,Banks!H:H,0,-1)</f>
        <v>4607.9963669222179</v>
      </c>
      <c r="C3011">
        <f>_xlfn.XLOOKUP(A3011,Energy!A:A,Energy!H:H,0,-1)</f>
        <v>10852.401158839481</v>
      </c>
      <c r="D3011">
        <f t="shared" ref="D3011:D3074" si="188">B3011+C3011</f>
        <v>15460.397525761698</v>
      </c>
      <c r="E3011">
        <f>_xlfn.XLOOKUP(A3011,Banks!A:A,Banks!I:I,0)</f>
        <v>34345.843444527884</v>
      </c>
      <c r="F3011">
        <f>_xlfn.XLOOKUP(A3011,Energy!A:A,Energy!I:I,0)</f>
        <v>0</v>
      </c>
      <c r="G3011">
        <f t="shared" ref="G3011:G3074" si="189">F3011+E3011</f>
        <v>34345.843444527884</v>
      </c>
      <c r="H3011">
        <f t="shared" ref="H3011:H3074" si="190">G3011-D3011</f>
        <v>18885.445918766185</v>
      </c>
      <c r="I3011" t="b">
        <f t="shared" ref="I3011:I3074" si="191">AND(E3011&gt;0,F3011&gt;0)</f>
        <v>0</v>
      </c>
    </row>
    <row r="3012" spans="1:9">
      <c r="A3012" s="1">
        <v>46185.758333333331</v>
      </c>
      <c r="B3012" s="5">
        <f>_xlfn.XLOOKUP(A3012,Banks!A:A,Banks!H:H,0,-1)</f>
        <v>4588.6415843059694</v>
      </c>
      <c r="C3012">
        <f>_xlfn.XLOOKUP(A3012,Energy!A:A,Energy!H:H,0,-1)</f>
        <v>10852.401158839481</v>
      </c>
      <c r="D3012">
        <f t="shared" si="188"/>
        <v>15441.04274314545</v>
      </c>
      <c r="E3012">
        <f>_xlfn.XLOOKUP(A3012,Banks!A:A,Banks!I:I,0)</f>
        <v>34353.124751464638</v>
      </c>
      <c r="F3012">
        <f>_xlfn.XLOOKUP(A3012,Energy!A:A,Energy!I:I,0)</f>
        <v>0</v>
      </c>
      <c r="G3012">
        <f t="shared" si="189"/>
        <v>34353.124751464638</v>
      </c>
      <c r="H3012">
        <f t="shared" si="190"/>
        <v>18912.082008319187</v>
      </c>
      <c r="I3012" t="b">
        <f t="shared" si="191"/>
        <v>0</v>
      </c>
    </row>
    <row r="3013" spans="1:9">
      <c r="A3013" s="1">
        <v>46185.759027777778</v>
      </c>
      <c r="B3013" s="5">
        <f>_xlfn.XLOOKUP(A3013,Banks!A:A,Banks!H:H,0,-1)</f>
        <v>4616.5222429559844</v>
      </c>
      <c r="C3013">
        <f>_xlfn.XLOOKUP(A3013,Energy!A:A,Energy!H:H,0,-1)</f>
        <v>10852.401158839481</v>
      </c>
      <c r="D3013">
        <f t="shared" si="188"/>
        <v>15468.923401795466</v>
      </c>
      <c r="E3013">
        <f>_xlfn.XLOOKUP(A3013,Banks!A:A,Banks!I:I,0)</f>
        <v>34347.54861973464</v>
      </c>
      <c r="F3013">
        <f>_xlfn.XLOOKUP(A3013,Energy!A:A,Energy!I:I,0)</f>
        <v>0</v>
      </c>
      <c r="G3013">
        <f t="shared" si="189"/>
        <v>34347.54861973464</v>
      </c>
      <c r="H3013">
        <f t="shared" si="190"/>
        <v>18878.625217939174</v>
      </c>
      <c r="I3013" t="b">
        <f t="shared" si="191"/>
        <v>0</v>
      </c>
    </row>
    <row r="3014" spans="1:9">
      <c r="A3014" s="1">
        <v>46185.759722222218</v>
      </c>
      <c r="B3014" s="5">
        <f>_xlfn.XLOOKUP(A3014,Banks!A:A,Banks!H:H,0,-1)</f>
        <v>4572.1015519680359</v>
      </c>
      <c r="C3014">
        <f>_xlfn.XLOOKUP(A3014,Energy!A:A,Energy!H:H,0,-1)</f>
        <v>10852.401158839481</v>
      </c>
      <c r="D3014">
        <f t="shared" si="188"/>
        <v>15424.502710807516</v>
      </c>
      <c r="E3014">
        <f>_xlfn.XLOOKUP(A3014,Banks!A:A,Banks!I:I,0)</f>
        <v>0</v>
      </c>
      <c r="F3014">
        <f>_xlfn.XLOOKUP(A3014,Energy!A:A,Energy!I:I,0)</f>
        <v>0</v>
      </c>
      <c r="G3014">
        <f t="shared" si="189"/>
        <v>0</v>
      </c>
      <c r="H3014">
        <f t="shared" si="190"/>
        <v>-15424.502710807516</v>
      </c>
      <c r="I3014" t="b">
        <f t="shared" si="191"/>
        <v>0</v>
      </c>
    </row>
    <row r="3015" spans="1:9">
      <c r="A3015" s="1">
        <v>46188.854861111111</v>
      </c>
      <c r="B3015" s="5">
        <f>_xlfn.XLOOKUP(A3015,Banks!A:A,Banks!H:H,0,-1)</f>
        <v>4572.1015519680359</v>
      </c>
      <c r="C3015">
        <f>_xlfn.XLOOKUP(A3015,Energy!A:A,Energy!H:H,0,-1)</f>
        <v>10852.401158839481</v>
      </c>
      <c r="D3015">
        <f t="shared" si="188"/>
        <v>15424.502710807516</v>
      </c>
      <c r="E3015">
        <f>_xlfn.XLOOKUP(A3015,Banks!A:A,Banks!I:I,0)</f>
        <v>34334.840644903357</v>
      </c>
      <c r="F3015">
        <f>_xlfn.XLOOKUP(A3015,Energy!A:A,Energy!I:I,0)</f>
        <v>0</v>
      </c>
      <c r="G3015">
        <f t="shared" si="189"/>
        <v>34334.840644903357</v>
      </c>
      <c r="H3015">
        <f t="shared" si="190"/>
        <v>18910.337934095842</v>
      </c>
      <c r="I3015" t="b">
        <f t="shared" si="191"/>
        <v>0</v>
      </c>
    </row>
    <row r="3016" spans="1:9">
      <c r="A3016" s="1">
        <v>46188.855555555558</v>
      </c>
      <c r="B3016" s="5">
        <f>_xlfn.XLOOKUP(A3016,Banks!A:A,Banks!H:H,0,-1)</f>
        <v>4635.5955327011652</v>
      </c>
      <c r="C3016">
        <f>_xlfn.XLOOKUP(A3016,Energy!A:A,Energy!H:H,0,-1)</f>
        <v>10852.401158839481</v>
      </c>
      <c r="D3016">
        <f t="shared" si="188"/>
        <v>15487.996691540646</v>
      </c>
      <c r="E3016">
        <f>_xlfn.XLOOKUP(A3016,Banks!A:A,Banks!I:I,0)</f>
        <v>34354.440752299131</v>
      </c>
      <c r="F3016">
        <f>_xlfn.XLOOKUP(A3016,Energy!A:A,Energy!I:I,0)</f>
        <v>0</v>
      </c>
      <c r="G3016">
        <f t="shared" si="189"/>
        <v>34354.440752299131</v>
      </c>
      <c r="H3016">
        <f t="shared" si="190"/>
        <v>18866.444060758484</v>
      </c>
      <c r="I3016" t="b">
        <f t="shared" si="191"/>
        <v>0</v>
      </c>
    </row>
    <row r="3017" spans="1:9">
      <c r="A3017" s="1">
        <v>46188.856249999997</v>
      </c>
      <c r="B3017" s="5">
        <f>_xlfn.XLOOKUP(A3017,Banks!A:A,Banks!H:H,0,-1)</f>
        <v>4585.8721076911479</v>
      </c>
      <c r="C3017">
        <f>_xlfn.XLOOKUP(A3017,Energy!A:A,Energy!H:H,0,-1)</f>
        <v>10852.401158839481</v>
      </c>
      <c r="D3017">
        <f t="shared" si="188"/>
        <v>15438.273266530628</v>
      </c>
      <c r="E3017">
        <f>_xlfn.XLOOKUP(A3017,Banks!A:A,Banks!I:I,0)</f>
        <v>34320.341477925147</v>
      </c>
      <c r="F3017">
        <f>_xlfn.XLOOKUP(A3017,Energy!A:A,Energy!I:I,0)</f>
        <v>0</v>
      </c>
      <c r="G3017">
        <f t="shared" si="189"/>
        <v>34320.341477925147</v>
      </c>
      <c r="H3017">
        <f t="shared" si="190"/>
        <v>18882.068211394519</v>
      </c>
      <c r="I3017" t="b">
        <f t="shared" si="191"/>
        <v>0</v>
      </c>
    </row>
    <row r="3018" spans="1:9">
      <c r="A3018" s="1">
        <v>46188.856944444437</v>
      </c>
      <c r="B3018" s="5">
        <f>_xlfn.XLOOKUP(A3018,Banks!A:A,Banks!H:H,0,-1)</f>
        <v>4693.7852628968176</v>
      </c>
      <c r="C3018">
        <f>_xlfn.XLOOKUP(A3018,Energy!A:A,Energy!H:H,0,-1)</f>
        <v>10852.401158839481</v>
      </c>
      <c r="D3018">
        <f t="shared" si="188"/>
        <v>15546.186421736298</v>
      </c>
      <c r="E3018">
        <f>_xlfn.XLOOKUP(A3018,Banks!A:A,Banks!I:I,0)</f>
        <v>34328.121486468008</v>
      </c>
      <c r="F3018">
        <f>_xlfn.XLOOKUP(A3018,Energy!A:A,Energy!I:I,0)</f>
        <v>0</v>
      </c>
      <c r="G3018">
        <f t="shared" si="189"/>
        <v>34328.121486468008</v>
      </c>
      <c r="H3018">
        <f t="shared" si="190"/>
        <v>18781.935064731711</v>
      </c>
      <c r="I3018" t="b">
        <f t="shared" si="191"/>
        <v>0</v>
      </c>
    </row>
    <row r="3019" spans="1:9">
      <c r="A3019" s="1">
        <v>46188.857638888891</v>
      </c>
      <c r="B3019" s="5">
        <f>_xlfn.XLOOKUP(A3019,Banks!A:A,Banks!H:H,0,-1)</f>
        <v>4675.2460056085438</v>
      </c>
      <c r="C3019">
        <f>_xlfn.XLOOKUP(A3019,Energy!A:A,Energy!H:H,0,-1)</f>
        <v>10852.401158839481</v>
      </c>
      <c r="D3019">
        <f t="shared" si="188"/>
        <v>15527.647164448024</v>
      </c>
      <c r="E3019">
        <f>_xlfn.XLOOKUP(A3019,Banks!A:A,Banks!I:I,0)</f>
        <v>34334.765601884057</v>
      </c>
      <c r="F3019">
        <f>_xlfn.XLOOKUP(A3019,Energy!A:A,Energy!I:I,0)</f>
        <v>0</v>
      </c>
      <c r="G3019">
        <f t="shared" si="189"/>
        <v>34334.765601884057</v>
      </c>
      <c r="H3019">
        <f t="shared" si="190"/>
        <v>18807.118437436031</v>
      </c>
      <c r="I3019" t="b">
        <f t="shared" si="191"/>
        <v>0</v>
      </c>
    </row>
    <row r="3020" spans="1:9">
      <c r="A3020" s="1">
        <v>46188.85833333333</v>
      </c>
      <c r="B3020" s="5">
        <f>_xlfn.XLOOKUP(A3020,Banks!A:A,Banks!H:H,0,-1)</f>
        <v>4556.1342530106094</v>
      </c>
      <c r="C3020">
        <f>_xlfn.XLOOKUP(A3020,Energy!A:A,Energy!H:H,0,-1)</f>
        <v>10852.401158839481</v>
      </c>
      <c r="D3020">
        <f t="shared" si="188"/>
        <v>15408.535411850091</v>
      </c>
      <c r="E3020">
        <f>_xlfn.XLOOKUP(A3020,Banks!A:A,Banks!I:I,0)</f>
        <v>34335.097840736453</v>
      </c>
      <c r="F3020">
        <f>_xlfn.XLOOKUP(A3020,Energy!A:A,Energy!I:I,0)</f>
        <v>0</v>
      </c>
      <c r="G3020">
        <f t="shared" si="189"/>
        <v>34335.097840736453</v>
      </c>
      <c r="H3020">
        <f t="shared" si="190"/>
        <v>18926.562428886362</v>
      </c>
      <c r="I3020" t="b">
        <f t="shared" si="191"/>
        <v>0</v>
      </c>
    </row>
    <row r="3021" spans="1:9">
      <c r="A3021" s="1">
        <v>46188.859027777777</v>
      </c>
      <c r="B3021" s="5">
        <f>_xlfn.XLOOKUP(A3021,Banks!A:A,Banks!H:H,0,-1)</f>
        <v>4553.0267457074378</v>
      </c>
      <c r="C3021">
        <f>_xlfn.XLOOKUP(A3021,Energy!A:A,Energy!H:H,0,-1)</f>
        <v>10852.401158839481</v>
      </c>
      <c r="D3021">
        <f t="shared" si="188"/>
        <v>15405.427904546919</v>
      </c>
      <c r="E3021">
        <f>_xlfn.XLOOKUP(A3021,Banks!A:A,Banks!I:I,0)</f>
        <v>34303.420438654699</v>
      </c>
      <c r="F3021">
        <f>_xlfn.XLOOKUP(A3021,Energy!A:A,Energy!I:I,0)</f>
        <v>0</v>
      </c>
      <c r="G3021">
        <f t="shared" si="189"/>
        <v>34303.420438654699</v>
      </c>
      <c r="H3021">
        <f t="shared" si="190"/>
        <v>18897.99253410778</v>
      </c>
      <c r="I3021" t="b">
        <f t="shared" si="191"/>
        <v>0</v>
      </c>
    </row>
    <row r="3022" spans="1:9">
      <c r="A3022" s="1">
        <v>46188.859722222223</v>
      </c>
      <c r="B3022" s="5">
        <f>_xlfn.XLOOKUP(A3022,Banks!A:A,Banks!H:H,0,-1)</f>
        <v>4513.7514878966058</v>
      </c>
      <c r="C3022">
        <f>_xlfn.XLOOKUP(A3022,Energy!A:A,Energy!H:H,0,-1)</f>
        <v>10852.401158839481</v>
      </c>
      <c r="D3022">
        <f t="shared" si="188"/>
        <v>15366.152646736085</v>
      </c>
      <c r="E3022">
        <f>_xlfn.XLOOKUP(A3022,Banks!A:A,Banks!I:I,0)</f>
        <v>34302.466698341668</v>
      </c>
      <c r="F3022">
        <f>_xlfn.XLOOKUP(A3022,Energy!A:A,Energy!I:I,0)</f>
        <v>0</v>
      </c>
      <c r="G3022">
        <f t="shared" si="189"/>
        <v>34302.466698341668</v>
      </c>
      <c r="H3022">
        <f t="shared" si="190"/>
        <v>18936.314051605583</v>
      </c>
      <c r="I3022" t="b">
        <f t="shared" si="191"/>
        <v>0</v>
      </c>
    </row>
    <row r="3023" spans="1:9">
      <c r="A3023" s="1">
        <v>46188.86041666667</v>
      </c>
      <c r="B3023" s="5">
        <f>_xlfn.XLOOKUP(A3023,Banks!A:A,Banks!H:H,0,-1)</f>
        <v>4566.0468712374704</v>
      </c>
      <c r="C3023">
        <f>_xlfn.XLOOKUP(A3023,Energy!A:A,Energy!H:H,0,-1)</f>
        <v>10852.401158839481</v>
      </c>
      <c r="D3023">
        <f t="shared" si="188"/>
        <v>15418.44803007695</v>
      </c>
      <c r="E3023">
        <f>_xlfn.XLOOKUP(A3023,Banks!A:A,Banks!I:I,0)</f>
        <v>34330.179053132677</v>
      </c>
      <c r="F3023">
        <f>_xlfn.XLOOKUP(A3023,Energy!A:A,Energy!I:I,0)</f>
        <v>0</v>
      </c>
      <c r="G3023">
        <f t="shared" si="189"/>
        <v>34330.179053132677</v>
      </c>
      <c r="H3023">
        <f t="shared" si="190"/>
        <v>18911.731023055727</v>
      </c>
      <c r="I3023" t="b">
        <f t="shared" si="191"/>
        <v>0</v>
      </c>
    </row>
    <row r="3024" spans="1:9">
      <c r="A3024" s="1">
        <v>46188.861111111109</v>
      </c>
      <c r="B3024" s="5">
        <f>_xlfn.XLOOKUP(A3024,Banks!A:A,Banks!H:H,0,-1)</f>
        <v>4570.8155728026104</v>
      </c>
      <c r="C3024">
        <f>_xlfn.XLOOKUP(A3024,Energy!A:A,Energy!H:H,0,-1)</f>
        <v>10852.401158839481</v>
      </c>
      <c r="D3024">
        <f t="shared" si="188"/>
        <v>15423.216731642091</v>
      </c>
      <c r="E3024">
        <f>_xlfn.XLOOKUP(A3024,Banks!A:A,Banks!I:I,0)</f>
        <v>34338.034104694852</v>
      </c>
      <c r="F3024">
        <f>_xlfn.XLOOKUP(A3024,Energy!A:A,Energy!I:I,0)</f>
        <v>0</v>
      </c>
      <c r="G3024">
        <f t="shared" si="189"/>
        <v>34338.034104694852</v>
      </c>
      <c r="H3024">
        <f t="shared" si="190"/>
        <v>18914.817373052763</v>
      </c>
      <c r="I3024" t="b">
        <f t="shared" si="191"/>
        <v>0</v>
      </c>
    </row>
    <row r="3025" spans="1:9">
      <c r="A3025" s="1">
        <v>46188.861805555563</v>
      </c>
      <c r="B3025" s="5">
        <f>_xlfn.XLOOKUP(A3025,Banks!A:A,Banks!H:H,0,-1)</f>
        <v>4632.1128103014371</v>
      </c>
      <c r="C3025">
        <f>_xlfn.XLOOKUP(A3025,Energy!A:A,Energy!H:H,0,-1)</f>
        <v>10852.401158839481</v>
      </c>
      <c r="D3025">
        <f t="shared" si="188"/>
        <v>15484.513969140917</v>
      </c>
      <c r="E3025">
        <f>_xlfn.XLOOKUP(A3025,Banks!A:A,Banks!I:I,0)</f>
        <v>34343.392240945483</v>
      </c>
      <c r="F3025">
        <f>_xlfn.XLOOKUP(A3025,Energy!A:A,Energy!I:I,0)</f>
        <v>0</v>
      </c>
      <c r="G3025">
        <f t="shared" si="189"/>
        <v>34343.392240945483</v>
      </c>
      <c r="H3025">
        <f t="shared" si="190"/>
        <v>18858.878271804566</v>
      </c>
      <c r="I3025" t="b">
        <f t="shared" si="191"/>
        <v>0</v>
      </c>
    </row>
    <row r="3026" spans="1:9">
      <c r="A3026" s="1">
        <v>46188.862500000003</v>
      </c>
      <c r="B3026" s="5">
        <f>_xlfn.XLOOKUP(A3026,Banks!A:A,Banks!H:H,0,-1)</f>
        <v>4565.6716561409139</v>
      </c>
      <c r="C3026">
        <f>_xlfn.XLOOKUP(A3026,Energy!A:A,Energy!H:H,0,-1)</f>
        <v>10852.401158839481</v>
      </c>
      <c r="D3026">
        <f t="shared" si="188"/>
        <v>15418.072814980394</v>
      </c>
      <c r="E3026">
        <f>_xlfn.XLOOKUP(A3026,Banks!A:A,Banks!I:I,0)</f>
        <v>34350.807943860789</v>
      </c>
      <c r="F3026">
        <f>_xlfn.XLOOKUP(A3026,Energy!A:A,Energy!I:I,0)</f>
        <v>0</v>
      </c>
      <c r="G3026">
        <f t="shared" si="189"/>
        <v>34350.807943860789</v>
      </c>
      <c r="H3026">
        <f t="shared" si="190"/>
        <v>18932.735128880395</v>
      </c>
      <c r="I3026" t="b">
        <f t="shared" si="191"/>
        <v>0</v>
      </c>
    </row>
    <row r="3027" spans="1:9">
      <c r="A3027" s="1">
        <v>46188.863194444442</v>
      </c>
      <c r="B3027" s="5">
        <f>_xlfn.XLOOKUP(A3027,Banks!A:A,Banks!H:H,0,-1)</f>
        <v>4547.1323988526492</v>
      </c>
      <c r="C3027">
        <f>_xlfn.XLOOKUP(A3027,Energy!A:A,Energy!H:H,0,-1)</f>
        <v>10852.401158839481</v>
      </c>
      <c r="D3027">
        <f t="shared" si="188"/>
        <v>15399.53355769213</v>
      </c>
      <c r="E3027">
        <f>_xlfn.XLOOKUP(A3027,Banks!A:A,Banks!I:I,0)</f>
        <v>34357.452059276839</v>
      </c>
      <c r="F3027">
        <f>_xlfn.XLOOKUP(A3027,Energy!A:A,Energy!I:I,0)</f>
        <v>0</v>
      </c>
      <c r="G3027">
        <f t="shared" si="189"/>
        <v>34357.452059276839</v>
      </c>
      <c r="H3027">
        <f t="shared" si="190"/>
        <v>18957.918501584711</v>
      </c>
      <c r="I3027" t="b">
        <f t="shared" si="191"/>
        <v>0</v>
      </c>
    </row>
    <row r="3028" spans="1:9">
      <c r="A3028" s="1">
        <v>46188.863888888889</v>
      </c>
      <c r="B3028" s="5">
        <f>_xlfn.XLOOKUP(A3028,Banks!A:A,Banks!H:H,0,-1)</f>
        <v>4429.681840516696</v>
      </c>
      <c r="C3028">
        <f>_xlfn.XLOOKUP(A3028,Energy!A:A,Energy!H:H,0,-1)</f>
        <v>10852.401158839481</v>
      </c>
      <c r="D3028">
        <f t="shared" si="188"/>
        <v>15282.082999356177</v>
      </c>
      <c r="E3028">
        <f>_xlfn.XLOOKUP(A3028,Banks!A:A,Banks!I:I,0)</f>
        <v>34333.961947609649</v>
      </c>
      <c r="F3028">
        <f>_xlfn.XLOOKUP(A3028,Energy!A:A,Energy!I:I,0)</f>
        <v>0</v>
      </c>
      <c r="G3028">
        <f t="shared" si="189"/>
        <v>34333.961947609649</v>
      </c>
      <c r="H3028">
        <f t="shared" si="190"/>
        <v>19051.87894825347</v>
      </c>
      <c r="I3028" t="b">
        <f t="shared" si="191"/>
        <v>0</v>
      </c>
    </row>
    <row r="3029" spans="1:9">
      <c r="A3029" s="1">
        <v>46188.864583333343</v>
      </c>
      <c r="B3029" s="5">
        <f>_xlfn.XLOOKUP(A3029,Banks!A:A,Banks!H:H,0,-1)</f>
        <v>4437.9332644815659</v>
      </c>
      <c r="C3029">
        <f>_xlfn.XLOOKUP(A3029,Energy!A:A,Energy!H:H,0,-1)</f>
        <v>10852.401158839481</v>
      </c>
      <c r="D3029">
        <f t="shared" si="188"/>
        <v>15290.334423321046</v>
      </c>
      <c r="E3029">
        <f>_xlfn.XLOOKUP(A3029,Banks!A:A,Banks!I:I,0)</f>
        <v>34352.865510525473</v>
      </c>
      <c r="F3029">
        <f>_xlfn.XLOOKUP(A3029,Energy!A:A,Energy!I:I,0)</f>
        <v>0</v>
      </c>
      <c r="G3029">
        <f t="shared" si="189"/>
        <v>34352.865510525473</v>
      </c>
      <c r="H3029">
        <f t="shared" si="190"/>
        <v>19062.531087204428</v>
      </c>
      <c r="I3029" t="b">
        <f t="shared" si="191"/>
        <v>0</v>
      </c>
    </row>
    <row r="3030" spans="1:9">
      <c r="A3030" s="1">
        <v>46188.865277777782</v>
      </c>
      <c r="B3030" s="5">
        <f>_xlfn.XLOOKUP(A3030,Banks!A:A,Banks!H:H,0,-1)</f>
        <v>4435.3613061507176</v>
      </c>
      <c r="C3030">
        <f>_xlfn.XLOOKUP(A3030,Energy!A:A,Energy!H:H,0,-1)</f>
        <v>10852.401158839481</v>
      </c>
      <c r="D3030">
        <f t="shared" si="188"/>
        <v>15287.762464990199</v>
      </c>
      <c r="E3030">
        <f>_xlfn.XLOOKUP(A3030,Banks!A:A,Banks!I:I,0)</f>
        <v>34359.252430108427</v>
      </c>
      <c r="F3030">
        <f>_xlfn.XLOOKUP(A3030,Energy!A:A,Energy!I:I,0)</f>
        <v>0</v>
      </c>
      <c r="G3030">
        <f t="shared" si="189"/>
        <v>34359.252430108427</v>
      </c>
      <c r="H3030">
        <f t="shared" si="190"/>
        <v>19071.489965118228</v>
      </c>
      <c r="I3030" t="b">
        <f t="shared" si="191"/>
        <v>0</v>
      </c>
    </row>
    <row r="3031" spans="1:9">
      <c r="A3031" s="1">
        <v>46188.865972222222</v>
      </c>
      <c r="B3031" s="5">
        <f>_xlfn.XLOOKUP(A3031,Banks!A:A,Banks!H:H,0,-1)</f>
        <v>4390.4065827058639</v>
      </c>
      <c r="C3031">
        <f>_xlfn.XLOOKUP(A3031,Energy!A:A,Energy!H:H,0,-1)</f>
        <v>10852.401158839481</v>
      </c>
      <c r="D3031">
        <f t="shared" si="188"/>
        <v>15242.807741545344</v>
      </c>
      <c r="E3031">
        <f>_xlfn.XLOOKUP(A3031,Banks!A:A,Banks!I:I,0)</f>
        <v>34333.008207296618</v>
      </c>
      <c r="F3031">
        <f>_xlfn.XLOOKUP(A3031,Energy!A:A,Energy!I:I,0)</f>
        <v>0</v>
      </c>
      <c r="G3031">
        <f t="shared" si="189"/>
        <v>34333.008207296618</v>
      </c>
      <c r="H3031">
        <f t="shared" si="190"/>
        <v>19090.200465751273</v>
      </c>
      <c r="I3031" t="b">
        <f t="shared" si="191"/>
        <v>0</v>
      </c>
    </row>
    <row r="3032" spans="1:9">
      <c r="A3032" s="1">
        <v>46188.866666666669</v>
      </c>
      <c r="B3032" s="5">
        <f>_xlfn.XLOOKUP(A3032,Banks!A:A,Banks!H:H,0,-1)</f>
        <v>4391.317346774732</v>
      </c>
      <c r="C3032">
        <f>_xlfn.XLOOKUP(A3032,Energy!A:A,Energy!H:H,0,-1)</f>
        <v>10852.401158839481</v>
      </c>
      <c r="D3032">
        <f t="shared" si="188"/>
        <v>15243.718505614212</v>
      </c>
      <c r="E3032">
        <f>_xlfn.XLOOKUP(A3032,Banks!A:A,Banks!I:I,0)</f>
        <v>34350.443638233242</v>
      </c>
      <c r="F3032">
        <f>_xlfn.XLOOKUP(A3032,Energy!A:A,Energy!I:I,0)</f>
        <v>0</v>
      </c>
      <c r="G3032">
        <f t="shared" si="189"/>
        <v>34350.443638233242</v>
      </c>
      <c r="H3032">
        <f t="shared" si="190"/>
        <v>19106.725132619031</v>
      </c>
      <c r="I3032" t="b">
        <f t="shared" si="191"/>
        <v>0</v>
      </c>
    </row>
    <row r="3033" spans="1:9">
      <c r="A3033" s="1">
        <v>46188.867361111108</v>
      </c>
      <c r="B3033" s="5">
        <f>_xlfn.XLOOKUP(A3033,Banks!A:A,Banks!H:H,0,-1)</f>
        <v>4329.6448941793487</v>
      </c>
      <c r="C3033">
        <f>_xlfn.XLOOKUP(A3033,Energy!A:A,Energy!H:H,0,-1)</f>
        <v>10852.401158839481</v>
      </c>
      <c r="D3033">
        <f t="shared" si="188"/>
        <v>15182.046053018828</v>
      </c>
      <c r="E3033">
        <f>_xlfn.XLOOKUP(A3033,Banks!A:A,Banks!I:I,0)</f>
        <v>34365.71439271071</v>
      </c>
      <c r="F3033">
        <f>_xlfn.XLOOKUP(A3033,Energy!A:A,Energy!I:I,0)</f>
        <v>0</v>
      </c>
      <c r="G3033">
        <f t="shared" si="189"/>
        <v>34365.71439271071</v>
      </c>
      <c r="H3033">
        <f t="shared" si="190"/>
        <v>19183.668339691882</v>
      </c>
      <c r="I3033" t="b">
        <f t="shared" si="191"/>
        <v>0</v>
      </c>
    </row>
    <row r="3034" spans="1:9">
      <c r="A3034" s="1">
        <v>46188.868055555547</v>
      </c>
      <c r="B3034" s="5">
        <f>_xlfn.XLOOKUP(A3034,Banks!A:A,Banks!H:H,0,-1)</f>
        <v>4243.9685998824634</v>
      </c>
      <c r="C3034">
        <f>_xlfn.XLOOKUP(A3034,Energy!A:A,Energy!H:H,0,-1)</f>
        <v>10852.401158839481</v>
      </c>
      <c r="D3034">
        <f t="shared" si="188"/>
        <v>15096.369758721943</v>
      </c>
      <c r="E3034">
        <f>_xlfn.XLOOKUP(A3034,Banks!A:A,Banks!I:I,0)</f>
        <v>34283.016676984516</v>
      </c>
      <c r="F3034">
        <f>_xlfn.XLOOKUP(A3034,Energy!A:A,Energy!I:I,0)</f>
        <v>0</v>
      </c>
      <c r="G3034">
        <f t="shared" si="189"/>
        <v>34283.016676984516</v>
      </c>
      <c r="H3034">
        <f t="shared" si="190"/>
        <v>19186.646918262573</v>
      </c>
      <c r="I3034" t="b">
        <f t="shared" si="191"/>
        <v>0</v>
      </c>
    </row>
    <row r="3035" spans="1:9">
      <c r="A3035" s="1">
        <v>46188.868750000001</v>
      </c>
      <c r="B3035" s="5">
        <f>_xlfn.XLOOKUP(A3035,Banks!A:A,Banks!H:H,0,-1)</f>
        <v>4204.6933420716186</v>
      </c>
      <c r="C3035">
        <f>_xlfn.XLOOKUP(A3035,Energy!A:A,Energy!H:H,0,-1)</f>
        <v>10852.401158839481</v>
      </c>
      <c r="D3035">
        <f t="shared" si="188"/>
        <v>15057.094500911098</v>
      </c>
      <c r="E3035">
        <f>_xlfn.XLOOKUP(A3035,Banks!A:A,Banks!I:I,0)</f>
        <v>34282.0629366715</v>
      </c>
      <c r="F3035">
        <f>_xlfn.XLOOKUP(A3035,Energy!A:A,Energy!I:I,0)</f>
        <v>0</v>
      </c>
      <c r="G3035">
        <f t="shared" si="189"/>
        <v>34282.0629366715</v>
      </c>
      <c r="H3035">
        <f t="shared" si="190"/>
        <v>19224.968435760402</v>
      </c>
      <c r="I3035" t="b">
        <f t="shared" si="191"/>
        <v>0</v>
      </c>
    </row>
    <row r="3036" spans="1:9">
      <c r="A3036" s="1">
        <v>46188.869444444441</v>
      </c>
      <c r="B3036" s="5">
        <f>_xlfn.XLOOKUP(A3036,Banks!A:A,Banks!H:H,0,-1)</f>
        <v>4125.9824925741877</v>
      </c>
      <c r="C3036">
        <f>_xlfn.XLOOKUP(A3036,Energy!A:A,Energy!H:H,0,-1)</f>
        <v>10852.401158839481</v>
      </c>
      <c r="D3036">
        <f t="shared" si="188"/>
        <v>14978.383651413667</v>
      </c>
      <c r="E3036">
        <f>_xlfn.XLOOKUP(A3036,Banks!A:A,Banks!I:I,0)</f>
        <v>34221.462243652612</v>
      </c>
      <c r="F3036">
        <f>_xlfn.XLOOKUP(A3036,Energy!A:A,Energy!I:I,0)</f>
        <v>0</v>
      </c>
      <c r="G3036">
        <f t="shared" si="189"/>
        <v>34221.462243652612</v>
      </c>
      <c r="H3036">
        <f t="shared" si="190"/>
        <v>19243.078592238944</v>
      </c>
      <c r="I3036" t="b">
        <f t="shared" si="191"/>
        <v>0</v>
      </c>
    </row>
    <row r="3037" spans="1:9">
      <c r="A3037" s="1">
        <v>46188.870138888888</v>
      </c>
      <c r="B3037" s="5">
        <f>_xlfn.XLOOKUP(A3037,Banks!A:A,Banks!H:H,0,-1)</f>
        <v>4230.4129253801184</v>
      </c>
      <c r="C3037">
        <f>_xlfn.XLOOKUP(A3037,Energy!A:A,Energy!H:H,0,-1)</f>
        <v>10852.401158839481</v>
      </c>
      <c r="D3037">
        <f t="shared" si="188"/>
        <v>15082.814084219599</v>
      </c>
      <c r="E3037">
        <f>_xlfn.XLOOKUP(A3037,Banks!A:A,Banks!I:I,0)</f>
        <v>34218.193740841823</v>
      </c>
      <c r="F3037">
        <f>_xlfn.XLOOKUP(A3037,Energy!A:A,Energy!I:I,0)</f>
        <v>0</v>
      </c>
      <c r="G3037">
        <f t="shared" si="189"/>
        <v>34218.193740841823</v>
      </c>
      <c r="H3037">
        <f t="shared" si="190"/>
        <v>19135.379656622223</v>
      </c>
      <c r="I3037" t="b">
        <f t="shared" si="191"/>
        <v>0</v>
      </c>
    </row>
    <row r="3038" spans="1:9">
      <c r="A3038" s="1">
        <v>46188.870833333327</v>
      </c>
      <c r="B3038" s="5">
        <f>_xlfn.XLOOKUP(A3038,Banks!A:A,Banks!H:H,0,-1)</f>
        <v>4179.9390701770117</v>
      </c>
      <c r="C3038">
        <f>_xlfn.XLOOKUP(A3038,Energy!A:A,Energy!H:H,0,-1)</f>
        <v>10852.401158839481</v>
      </c>
      <c r="D3038">
        <f t="shared" si="188"/>
        <v>15032.340229016492</v>
      </c>
      <c r="E3038">
        <f>_xlfn.XLOOKUP(A3038,Banks!A:A,Banks!I:I,0)</f>
        <v>34225.352247924042</v>
      </c>
      <c r="F3038">
        <f>_xlfn.XLOOKUP(A3038,Energy!A:A,Energy!I:I,0)</f>
        <v>0</v>
      </c>
      <c r="G3038">
        <f t="shared" si="189"/>
        <v>34225.352247924042</v>
      </c>
      <c r="H3038">
        <f t="shared" si="190"/>
        <v>19193.01201890755</v>
      </c>
      <c r="I3038" t="b">
        <f t="shared" si="191"/>
        <v>0</v>
      </c>
    </row>
    <row r="3039" spans="1:9">
      <c r="A3039" s="1">
        <v>46188.871527777781</v>
      </c>
      <c r="B3039" s="5">
        <f>_xlfn.XLOOKUP(A3039,Banks!A:A,Banks!H:H,0,-1)</f>
        <v>4288.6026555757617</v>
      </c>
      <c r="C3039">
        <f>_xlfn.XLOOKUP(A3039,Energy!A:A,Energy!H:H,0,-1)</f>
        <v>10852.401158839481</v>
      </c>
      <c r="D3039">
        <f t="shared" si="188"/>
        <v>15141.003814415242</v>
      </c>
      <c r="E3039">
        <f>_xlfn.XLOOKUP(A3039,Banks!A:A,Banks!I:I,0)</f>
        <v>34191.874475010693</v>
      </c>
      <c r="F3039">
        <f>_xlfn.XLOOKUP(A3039,Energy!A:A,Energy!I:I,0)</f>
        <v>0</v>
      </c>
      <c r="G3039">
        <f t="shared" si="189"/>
        <v>34191.874475010693</v>
      </c>
      <c r="H3039">
        <f t="shared" si="190"/>
        <v>19050.87066059545</v>
      </c>
      <c r="I3039" t="b">
        <f t="shared" si="191"/>
        <v>0</v>
      </c>
    </row>
    <row r="3040" spans="1:9">
      <c r="A3040" s="1">
        <v>46188.87222222222</v>
      </c>
      <c r="B3040" s="5">
        <f>_xlfn.XLOOKUP(A3040,Banks!A:A,Banks!H:H,0,-1)</f>
        <v>4266.0451269154464</v>
      </c>
      <c r="C3040">
        <f>_xlfn.XLOOKUP(A3040,Energy!A:A,Energy!H:H,0,-1)</f>
        <v>10852.401158839481</v>
      </c>
      <c r="D3040">
        <f t="shared" si="188"/>
        <v>15118.446285754926</v>
      </c>
      <c r="E3040">
        <f>_xlfn.XLOOKUP(A3040,Banks!A:A,Banks!I:I,0)</f>
        <v>34149.405757408378</v>
      </c>
      <c r="F3040">
        <f>_xlfn.XLOOKUP(A3040,Energy!A:A,Energy!I:I,0)</f>
        <v>0</v>
      </c>
      <c r="G3040">
        <f t="shared" si="189"/>
        <v>34149.405757408378</v>
      </c>
      <c r="H3040">
        <f t="shared" si="190"/>
        <v>19030.959471653452</v>
      </c>
      <c r="I3040" t="b">
        <f t="shared" si="191"/>
        <v>0</v>
      </c>
    </row>
    <row r="3041" spans="1:9">
      <c r="A3041" s="1">
        <v>46188.872916666667</v>
      </c>
      <c r="B3041" s="5">
        <f>_xlfn.XLOOKUP(A3041,Banks!A:A,Banks!H:H,0,-1)</f>
        <v>4242.7371680620417</v>
      </c>
      <c r="C3041">
        <f>_xlfn.XLOOKUP(A3041,Energy!A:A,Energy!H:H,0,-1)</f>
        <v>10852.401158839481</v>
      </c>
      <c r="D3041">
        <f t="shared" si="188"/>
        <v>15095.138326901522</v>
      </c>
      <c r="E3041">
        <f>_xlfn.XLOOKUP(A3041,Banks!A:A,Banks!I:I,0)</f>
        <v>34148.194821262259</v>
      </c>
      <c r="F3041">
        <f>_xlfn.XLOOKUP(A3041,Energy!A:A,Energy!I:I,0)</f>
        <v>0</v>
      </c>
      <c r="G3041">
        <f t="shared" si="189"/>
        <v>34148.194821262259</v>
      </c>
      <c r="H3041">
        <f t="shared" si="190"/>
        <v>19053.056494360739</v>
      </c>
      <c r="I3041" t="b">
        <f t="shared" si="191"/>
        <v>0</v>
      </c>
    </row>
    <row r="3042" spans="1:9">
      <c r="A3042" s="1">
        <v>46188.873611111107</v>
      </c>
      <c r="B3042" s="5">
        <f>_xlfn.XLOOKUP(A3042,Banks!A:A,Banks!H:H,0,-1)</f>
        <v>4248.7918487926072</v>
      </c>
      <c r="C3042">
        <f>_xlfn.XLOOKUP(A3042,Energy!A:A,Energy!H:H,0,-1)</f>
        <v>10852.401158839481</v>
      </c>
      <c r="D3042">
        <f t="shared" si="188"/>
        <v>15101.193007632088</v>
      </c>
      <c r="E3042">
        <f>_xlfn.XLOOKUP(A3042,Banks!A:A,Banks!I:I,0)</f>
        <v>34152.856413032947</v>
      </c>
      <c r="F3042">
        <f>_xlfn.XLOOKUP(A3042,Energy!A:A,Energy!I:I,0)</f>
        <v>0</v>
      </c>
      <c r="G3042">
        <f t="shared" si="189"/>
        <v>34152.856413032947</v>
      </c>
      <c r="H3042">
        <f t="shared" si="190"/>
        <v>19051.663405400861</v>
      </c>
      <c r="I3042" t="b">
        <f t="shared" si="191"/>
        <v>0</v>
      </c>
    </row>
    <row r="3043" spans="1:9">
      <c r="A3043" s="1">
        <v>46188.874305555553</v>
      </c>
      <c r="B3043" s="5">
        <f>_xlfn.XLOOKUP(A3043,Banks!A:A,Banks!H:H,0,-1)</f>
        <v>4297.4770638382906</v>
      </c>
      <c r="C3043">
        <f>_xlfn.XLOOKUP(A3043,Energy!A:A,Energy!H:H,0,-1)</f>
        <v>10852.401158839481</v>
      </c>
      <c r="D3043">
        <f t="shared" si="188"/>
        <v>15149.878222677771</v>
      </c>
      <c r="E3043">
        <f>_xlfn.XLOOKUP(A3043,Banks!A:A,Banks!I:I,0)</f>
        <v>0</v>
      </c>
      <c r="F3043">
        <f>_xlfn.XLOOKUP(A3043,Energy!A:A,Energy!I:I,0)</f>
        <v>0</v>
      </c>
      <c r="G3043">
        <f t="shared" si="189"/>
        <v>0</v>
      </c>
      <c r="H3043">
        <f t="shared" si="190"/>
        <v>-15149.878222677771</v>
      </c>
      <c r="I3043" t="b">
        <f t="shared" si="191"/>
        <v>0</v>
      </c>
    </row>
    <row r="3044" spans="1:9">
      <c r="A3044" s="1">
        <v>46189.868055555547</v>
      </c>
      <c r="B3044" s="5">
        <f>_xlfn.XLOOKUP(A3044,Banks!A:A,Banks!H:H,0,-1)</f>
        <v>4297.4770638382906</v>
      </c>
      <c r="C3044">
        <f>_xlfn.XLOOKUP(A3044,Energy!A:A,Energy!H:H,0,-1)</f>
        <v>10852.401158839481</v>
      </c>
      <c r="D3044">
        <f t="shared" si="188"/>
        <v>15149.878222677771</v>
      </c>
      <c r="E3044">
        <f>_xlfn.XLOOKUP(A3044,Banks!A:A,Banks!I:I,0)</f>
        <v>34334.840644903357</v>
      </c>
      <c r="F3044">
        <f>_xlfn.XLOOKUP(A3044,Energy!A:A,Energy!I:I,0)</f>
        <v>0</v>
      </c>
      <c r="G3044">
        <f t="shared" si="189"/>
        <v>34334.840644903357</v>
      </c>
      <c r="H3044">
        <f t="shared" si="190"/>
        <v>19184.962422225588</v>
      </c>
      <c r="I3044" t="b">
        <f t="shared" si="191"/>
        <v>0</v>
      </c>
    </row>
    <row r="3045" spans="1:9">
      <c r="A3045" s="1">
        <v>46189.868750000001</v>
      </c>
      <c r="B3045" s="5">
        <f>_xlfn.XLOOKUP(A3045,Banks!A:A,Banks!H:H,0,-1)</f>
        <v>4262.3379219998778</v>
      </c>
      <c r="C3045">
        <f>_xlfn.XLOOKUP(A3045,Energy!A:A,Energy!H:H,0,-1)</f>
        <v>10852.401158839481</v>
      </c>
      <c r="D3045">
        <f t="shared" si="188"/>
        <v>15114.739080839357</v>
      </c>
      <c r="E3045">
        <f>_xlfn.XLOOKUP(A3045,Banks!A:A,Banks!I:I,0)</f>
        <v>34365.234146693867</v>
      </c>
      <c r="F3045">
        <f>_xlfn.XLOOKUP(A3045,Energy!A:A,Energy!I:I,0)</f>
        <v>0</v>
      </c>
      <c r="G3045">
        <f t="shared" si="189"/>
        <v>34365.234146693867</v>
      </c>
      <c r="H3045">
        <f t="shared" si="190"/>
        <v>19250.495065854509</v>
      </c>
      <c r="I3045" t="b">
        <f t="shared" si="191"/>
        <v>0</v>
      </c>
    </row>
    <row r="3046" spans="1:9">
      <c r="A3046" s="1">
        <v>46189.869444444441</v>
      </c>
      <c r="B3046" s="5">
        <f>_xlfn.XLOOKUP(A3046,Banks!A:A,Banks!H:H,0,-1)</f>
        <v>4273.248919400291</v>
      </c>
      <c r="C3046">
        <f>_xlfn.XLOOKUP(A3046,Energy!A:A,Energy!H:H,0,-1)</f>
        <v>10852.401158839481</v>
      </c>
      <c r="D3046">
        <f t="shared" si="188"/>
        <v>15125.650078239771</v>
      </c>
      <c r="E3046">
        <f>_xlfn.XLOOKUP(A3046,Banks!A:A,Banks!I:I,0)</f>
        <v>34357.210528858093</v>
      </c>
      <c r="F3046">
        <f>_xlfn.XLOOKUP(A3046,Energy!A:A,Energy!I:I,0)</f>
        <v>0</v>
      </c>
      <c r="G3046">
        <f t="shared" si="189"/>
        <v>34357.210528858093</v>
      </c>
      <c r="H3046">
        <f t="shared" si="190"/>
        <v>19231.560450618323</v>
      </c>
      <c r="I3046" t="b">
        <f t="shared" si="191"/>
        <v>0</v>
      </c>
    </row>
    <row r="3047" spans="1:9">
      <c r="A3047" s="1">
        <v>46189.870138888888</v>
      </c>
      <c r="B3047" s="5">
        <f>_xlfn.XLOOKUP(A3047,Banks!A:A,Banks!H:H,0,-1)</f>
        <v>4235.5369798585361</v>
      </c>
      <c r="C3047">
        <f>_xlfn.XLOOKUP(A3047,Energy!A:A,Energy!H:H,0,-1)</f>
        <v>10852.401158839481</v>
      </c>
      <c r="D3047">
        <f t="shared" si="188"/>
        <v>15087.938138698017</v>
      </c>
      <c r="E3047">
        <f>_xlfn.XLOOKUP(A3047,Banks!A:A,Banks!I:I,0)</f>
        <v>34353.070080055033</v>
      </c>
      <c r="F3047">
        <f>_xlfn.XLOOKUP(A3047,Energy!A:A,Energy!I:I,0)</f>
        <v>0</v>
      </c>
      <c r="G3047">
        <f t="shared" si="189"/>
        <v>34353.070080055033</v>
      </c>
      <c r="H3047">
        <f t="shared" si="190"/>
        <v>19265.131941357016</v>
      </c>
      <c r="I3047" t="b">
        <f t="shared" si="191"/>
        <v>0</v>
      </c>
    </row>
    <row r="3048" spans="1:9">
      <c r="A3048" s="1">
        <v>46189.870833333327</v>
      </c>
      <c r="B3048" s="5">
        <f>_xlfn.XLOOKUP(A3048,Banks!A:A,Banks!H:H,0,-1)</f>
        <v>4274.4519942188717</v>
      </c>
      <c r="C3048">
        <f>_xlfn.XLOOKUP(A3048,Energy!A:A,Energy!H:H,0,-1)</f>
        <v>10852.401158839481</v>
      </c>
      <c r="D3048">
        <f t="shared" si="188"/>
        <v>15126.853153058353</v>
      </c>
      <c r="E3048">
        <f>_xlfn.XLOOKUP(A3048,Banks!A:A,Banks!I:I,0)</f>
        <v>34354.049204716517</v>
      </c>
      <c r="F3048">
        <f>_xlfn.XLOOKUP(A3048,Energy!A:A,Energy!I:I,0)</f>
        <v>0</v>
      </c>
      <c r="G3048">
        <f t="shared" si="189"/>
        <v>34354.049204716517</v>
      </c>
      <c r="H3048">
        <f t="shared" si="190"/>
        <v>19227.196051658164</v>
      </c>
      <c r="I3048" t="b">
        <f t="shared" si="191"/>
        <v>0</v>
      </c>
    </row>
    <row r="3049" spans="1:9">
      <c r="A3049" s="1">
        <v>46189.871527777781</v>
      </c>
      <c r="B3049" s="5">
        <f>_xlfn.XLOOKUP(A3049,Banks!A:A,Banks!H:H,0,-1)</f>
        <v>4234.5838771391846</v>
      </c>
      <c r="C3049">
        <f>_xlfn.XLOOKUP(A3049,Energy!A:A,Energy!H:H,0,-1)</f>
        <v>10852.401158839481</v>
      </c>
      <c r="D3049">
        <f t="shared" si="188"/>
        <v>15086.985035978665</v>
      </c>
      <c r="E3049">
        <f>_xlfn.XLOOKUP(A3049,Banks!A:A,Banks!I:I,0)</f>
        <v>34417.516302511671</v>
      </c>
      <c r="F3049">
        <f>_xlfn.XLOOKUP(A3049,Energy!A:A,Energy!I:I,0)</f>
        <v>0</v>
      </c>
      <c r="G3049">
        <f t="shared" si="189"/>
        <v>34417.516302511671</v>
      </c>
      <c r="H3049">
        <f t="shared" si="190"/>
        <v>19330.531266533006</v>
      </c>
      <c r="I3049" t="b">
        <f t="shared" si="191"/>
        <v>0</v>
      </c>
    </row>
    <row r="3050" spans="1:9">
      <c r="A3050" s="1">
        <v>46189.87222222222</v>
      </c>
      <c r="B3050" s="5">
        <f>_xlfn.XLOOKUP(A3050,Banks!A:A,Banks!H:H,0,-1)</f>
        <v>4308.7213573710178</v>
      </c>
      <c r="C3050">
        <f>_xlfn.XLOOKUP(A3050,Energy!A:A,Energy!H:H,0,-1)</f>
        <v>10852.401158839481</v>
      </c>
      <c r="D3050">
        <f t="shared" si="188"/>
        <v>15161.122516210498</v>
      </c>
      <c r="E3050">
        <f>_xlfn.XLOOKUP(A3050,Banks!A:A,Banks!I:I,0)</f>
        <v>34408.530224821006</v>
      </c>
      <c r="F3050">
        <f>_xlfn.XLOOKUP(A3050,Energy!A:A,Energy!I:I,0)</f>
        <v>0</v>
      </c>
      <c r="G3050">
        <f t="shared" si="189"/>
        <v>34408.530224821006</v>
      </c>
      <c r="H3050">
        <f t="shared" si="190"/>
        <v>19247.40770861051</v>
      </c>
      <c r="I3050" t="b">
        <f t="shared" si="191"/>
        <v>0</v>
      </c>
    </row>
    <row r="3051" spans="1:9">
      <c r="A3051" s="1">
        <v>46189.872916666667</v>
      </c>
      <c r="B3051" s="5">
        <f>_xlfn.XLOOKUP(A3051,Banks!A:A,Banks!H:H,0,-1)</f>
        <v>4245.4948745395886</v>
      </c>
      <c r="C3051">
        <f>_xlfn.XLOOKUP(A3051,Energy!A:A,Energy!H:H,0,-1)</f>
        <v>10852.401158839481</v>
      </c>
      <c r="D3051">
        <f t="shared" si="188"/>
        <v>15097.896033379069</v>
      </c>
      <c r="E3051">
        <f>_xlfn.XLOOKUP(A3051,Banks!A:A,Banks!I:I,0)</f>
        <v>34409.492684675883</v>
      </c>
      <c r="F3051">
        <f>_xlfn.XLOOKUP(A3051,Energy!A:A,Energy!I:I,0)</f>
        <v>0</v>
      </c>
      <c r="G3051">
        <f t="shared" si="189"/>
        <v>34409.492684675883</v>
      </c>
      <c r="H3051">
        <f t="shared" si="190"/>
        <v>19311.596651296815</v>
      </c>
      <c r="I3051" t="b">
        <f t="shared" si="191"/>
        <v>0</v>
      </c>
    </row>
    <row r="3052" spans="1:9">
      <c r="A3052" s="1">
        <v>46189.873611111107</v>
      </c>
      <c r="B3052" s="5">
        <f>_xlfn.XLOOKUP(A3052,Banks!A:A,Banks!H:H,0,-1)</f>
        <v>4279.430941559408</v>
      </c>
      <c r="C3052">
        <f>_xlfn.XLOOKUP(A3052,Energy!A:A,Energy!H:H,0,-1)</f>
        <v>10852.401158839481</v>
      </c>
      <c r="D3052">
        <f t="shared" si="188"/>
        <v>15131.832100398889</v>
      </c>
      <c r="E3052">
        <f>_xlfn.XLOOKUP(A3052,Banks!A:A,Banks!I:I,0)</f>
        <v>34382.260507026942</v>
      </c>
      <c r="F3052">
        <f>_xlfn.XLOOKUP(A3052,Energy!A:A,Energy!I:I,0)</f>
        <v>0</v>
      </c>
      <c r="G3052">
        <f t="shared" si="189"/>
        <v>34382.260507026942</v>
      </c>
      <c r="H3052">
        <f t="shared" si="190"/>
        <v>19250.428406628052</v>
      </c>
      <c r="I3052" t="b">
        <f t="shared" si="191"/>
        <v>0</v>
      </c>
    </row>
    <row r="3053" spans="1:9">
      <c r="A3053" s="1">
        <v>46189.874305555553</v>
      </c>
      <c r="B3053" s="5">
        <f>_xlfn.XLOOKUP(A3053,Banks!A:A,Banks!H:H,0,-1)</f>
        <v>4229.6049297986492</v>
      </c>
      <c r="C3053">
        <f>_xlfn.XLOOKUP(A3053,Energy!A:A,Energy!H:H,0,-1)</f>
        <v>10852.401158839481</v>
      </c>
      <c r="D3053">
        <f t="shared" si="188"/>
        <v>15082.006088638129</v>
      </c>
      <c r="E3053">
        <f>_xlfn.XLOOKUP(A3053,Banks!A:A,Banks!I:I,0)</f>
        <v>34389.305000201239</v>
      </c>
      <c r="F3053">
        <f>_xlfn.XLOOKUP(A3053,Energy!A:A,Energy!I:I,0)</f>
        <v>0</v>
      </c>
      <c r="G3053">
        <f t="shared" si="189"/>
        <v>34389.305000201239</v>
      </c>
      <c r="H3053">
        <f t="shared" si="190"/>
        <v>19307.29891156311</v>
      </c>
      <c r="I3053" t="b">
        <f t="shared" si="191"/>
        <v>0</v>
      </c>
    </row>
    <row r="3054" spans="1:9">
      <c r="A3054" s="1">
        <v>46190.604166666657</v>
      </c>
      <c r="B3054" s="5">
        <f>_xlfn.XLOOKUP(A3054,Banks!A:A,Banks!H:H,0,-1)</f>
        <v>4047.6438744143929</v>
      </c>
      <c r="C3054">
        <f>_xlfn.XLOOKUP(A3054,Energy!A:A,Energy!H:H,0,-1)</f>
        <v>10852.401158839481</v>
      </c>
      <c r="D3054">
        <f t="shared" si="188"/>
        <v>14900.045033253873</v>
      </c>
      <c r="E3054">
        <f>_xlfn.XLOOKUP(A3054,Banks!A:A,Banks!I:I,0)</f>
        <v>34495.794231546577</v>
      </c>
      <c r="F3054">
        <f>_xlfn.XLOOKUP(A3054,Energy!A:A,Energy!I:I,0)</f>
        <v>0</v>
      </c>
      <c r="G3054">
        <f t="shared" si="189"/>
        <v>34495.794231546577</v>
      </c>
      <c r="H3054">
        <f t="shared" si="190"/>
        <v>19595.749198292702</v>
      </c>
      <c r="I3054" t="b">
        <f t="shared" si="191"/>
        <v>0</v>
      </c>
    </row>
    <row r="3055" spans="1:9">
      <c r="A3055" s="1">
        <v>46190.604861111111</v>
      </c>
      <c r="B3055" s="5">
        <f>_xlfn.XLOOKUP(A3055,Banks!A:A,Banks!H:H,0,-1)</f>
        <v>4169.7011609682968</v>
      </c>
      <c r="C3055">
        <f>_xlfn.XLOOKUP(A3055,Energy!A:A,Energy!H:H,0,-1)</f>
        <v>10852.401158839481</v>
      </c>
      <c r="D3055">
        <f t="shared" si="188"/>
        <v>15022.102319807778</v>
      </c>
      <c r="E3055">
        <f>_xlfn.XLOOKUP(A3055,Banks!A:A,Banks!I:I,0)</f>
        <v>34608.656105594899</v>
      </c>
      <c r="F3055">
        <f>_xlfn.XLOOKUP(A3055,Energy!A:A,Energy!I:I,0)</f>
        <v>0</v>
      </c>
      <c r="G3055">
        <f t="shared" si="189"/>
        <v>34608.656105594899</v>
      </c>
      <c r="H3055">
        <f t="shared" si="190"/>
        <v>19586.55378578712</v>
      </c>
      <c r="I3055" t="b">
        <f t="shared" si="191"/>
        <v>0</v>
      </c>
    </row>
    <row r="3056" spans="1:9">
      <c r="A3056" s="1">
        <v>46190.605555555558</v>
      </c>
      <c r="B3056" s="5">
        <f>_xlfn.XLOOKUP(A3056,Banks!A:A,Banks!H:H,0,-1)</f>
        <v>4145.5563405633702</v>
      </c>
      <c r="C3056">
        <f>_xlfn.XLOOKUP(A3056,Energy!A:A,Energy!H:H,0,-1)</f>
        <v>10852.401158839481</v>
      </c>
      <c r="D3056">
        <f t="shared" si="188"/>
        <v>14997.957499402852</v>
      </c>
      <c r="E3056">
        <f>_xlfn.XLOOKUP(A3056,Banks!A:A,Banks!I:I,0)</f>
        <v>34651.454288987967</v>
      </c>
      <c r="F3056">
        <f>_xlfn.XLOOKUP(A3056,Energy!A:A,Energy!I:I,0)</f>
        <v>0</v>
      </c>
      <c r="G3056">
        <f t="shared" si="189"/>
        <v>34651.454288987967</v>
      </c>
      <c r="H3056">
        <f t="shared" si="190"/>
        <v>19653.496789585115</v>
      </c>
      <c r="I3056" t="b">
        <f t="shared" si="191"/>
        <v>0</v>
      </c>
    </row>
    <row r="3057" spans="1:9">
      <c r="A3057" s="1">
        <v>46190.606249999997</v>
      </c>
      <c r="B3057" s="5">
        <f>_xlfn.XLOOKUP(A3057,Banks!A:A,Banks!H:H,0,-1)</f>
        <v>3953.2207703326412</v>
      </c>
      <c r="C3057">
        <f>_xlfn.XLOOKUP(A3057,Energy!A:A,Energy!H:H,0,-1)</f>
        <v>10852.401158839481</v>
      </c>
      <c r="D3057">
        <f t="shared" si="188"/>
        <v>14805.621929172121</v>
      </c>
      <c r="E3057">
        <f>_xlfn.XLOOKUP(A3057,Banks!A:A,Banks!I:I,0)</f>
        <v>34599.379418520657</v>
      </c>
      <c r="F3057">
        <f>_xlfn.XLOOKUP(A3057,Energy!A:A,Energy!I:I,0)</f>
        <v>0</v>
      </c>
      <c r="G3057">
        <f t="shared" si="189"/>
        <v>34599.379418520657</v>
      </c>
      <c r="H3057">
        <f t="shared" si="190"/>
        <v>19793.757489348536</v>
      </c>
      <c r="I3057" t="b">
        <f t="shared" si="191"/>
        <v>0</v>
      </c>
    </row>
    <row r="3058" spans="1:9">
      <c r="A3058" s="1">
        <v>46190.606944444437</v>
      </c>
      <c r="B3058" s="5">
        <f>_xlfn.XLOOKUP(A3058,Banks!A:A,Banks!H:H,0,-1)</f>
        <v>4164.7222136277596</v>
      </c>
      <c r="C3058">
        <f>_xlfn.XLOOKUP(A3058,Energy!A:A,Energy!H:H,0,-1)</f>
        <v>10852.401158839481</v>
      </c>
      <c r="D3058">
        <f t="shared" si="188"/>
        <v>15017.12337246724</v>
      </c>
      <c r="E3058">
        <f>_xlfn.XLOOKUP(A3058,Banks!A:A,Banks!I:I,0)</f>
        <v>34580.444803284467</v>
      </c>
      <c r="F3058">
        <f>_xlfn.XLOOKUP(A3058,Energy!A:A,Energy!I:I,0)</f>
        <v>0</v>
      </c>
      <c r="G3058">
        <f t="shared" si="189"/>
        <v>34580.444803284467</v>
      </c>
      <c r="H3058">
        <f t="shared" si="190"/>
        <v>19563.321430817225</v>
      </c>
      <c r="I3058" t="b">
        <f t="shared" si="191"/>
        <v>0</v>
      </c>
    </row>
    <row r="3059" spans="1:9">
      <c r="A3059" s="1">
        <v>46190.607638888891</v>
      </c>
      <c r="B3059" s="5">
        <f>_xlfn.XLOOKUP(A3059,Banks!A:A,Banks!H:H,0,-1)</f>
        <v>4133.1922962451245</v>
      </c>
      <c r="C3059">
        <f>_xlfn.XLOOKUP(A3059,Energy!A:A,Energy!H:H,0,-1)</f>
        <v>10852.401158839481</v>
      </c>
      <c r="D3059">
        <f t="shared" si="188"/>
        <v>14985.593455084605</v>
      </c>
      <c r="E3059">
        <f>_xlfn.XLOOKUP(A3059,Banks!A:A,Banks!I:I,0)</f>
        <v>34601.354332650248</v>
      </c>
      <c r="F3059">
        <f>_xlfn.XLOOKUP(A3059,Energy!A:A,Energy!I:I,0)</f>
        <v>0</v>
      </c>
      <c r="G3059">
        <f t="shared" si="189"/>
        <v>34601.354332650248</v>
      </c>
      <c r="H3059">
        <f t="shared" si="190"/>
        <v>19615.760877565641</v>
      </c>
      <c r="I3059" t="b">
        <f t="shared" si="191"/>
        <v>0</v>
      </c>
    </row>
    <row r="3060" spans="1:9">
      <c r="A3060" s="1">
        <v>46190.60833333333</v>
      </c>
      <c r="B3060" s="5">
        <f>_xlfn.XLOOKUP(A3060,Banks!A:A,Banks!H:H,0,-1)</f>
        <v>4125.9738473335701</v>
      </c>
      <c r="C3060">
        <f>_xlfn.XLOOKUP(A3060,Energy!A:A,Energy!H:H,0,-1)</f>
        <v>10852.401158839481</v>
      </c>
      <c r="D3060">
        <f t="shared" si="188"/>
        <v>14978.37500617305</v>
      </c>
      <c r="E3060">
        <f>_xlfn.XLOOKUP(A3060,Banks!A:A,Banks!I:I,0)</f>
        <v>34620.32227749969</v>
      </c>
      <c r="F3060">
        <f>_xlfn.XLOOKUP(A3060,Energy!A:A,Energy!I:I,0)</f>
        <v>0</v>
      </c>
      <c r="G3060">
        <f t="shared" si="189"/>
        <v>34620.32227749969</v>
      </c>
      <c r="H3060">
        <f t="shared" si="190"/>
        <v>19641.94727132664</v>
      </c>
      <c r="I3060" t="b">
        <f t="shared" si="191"/>
        <v>0</v>
      </c>
    </row>
    <row r="3061" spans="1:9">
      <c r="A3061" s="1">
        <v>46190.609027777777</v>
      </c>
      <c r="B3061" s="5">
        <f>_xlfn.XLOOKUP(A3061,Banks!A:A,Banks!H:H,0,-1)</f>
        <v>4078.470661176922</v>
      </c>
      <c r="C3061">
        <f>_xlfn.XLOOKUP(A3061,Energy!A:A,Energy!H:H,0,-1)</f>
        <v>10852.401158839481</v>
      </c>
      <c r="D3061">
        <f t="shared" si="188"/>
        <v>14930.871820016402</v>
      </c>
      <c r="E3061">
        <f>_xlfn.XLOOKUP(A3061,Banks!A:A,Banks!I:I,0)</f>
        <v>34600.615822952488</v>
      </c>
      <c r="F3061">
        <f>_xlfn.XLOOKUP(A3061,Energy!A:A,Energy!I:I,0)</f>
        <v>0</v>
      </c>
      <c r="G3061">
        <f t="shared" si="189"/>
        <v>34600.615822952488</v>
      </c>
      <c r="H3061">
        <f t="shared" si="190"/>
        <v>19669.744002936088</v>
      </c>
      <c r="I3061" t="b">
        <f t="shared" si="191"/>
        <v>0</v>
      </c>
    </row>
    <row r="3062" spans="1:9">
      <c r="A3062" s="1">
        <v>46190.609722222223</v>
      </c>
      <c r="B3062" s="5">
        <f>_xlfn.XLOOKUP(A3062,Banks!A:A,Banks!H:H,0,-1)</f>
        <v>3986.287058666197</v>
      </c>
      <c r="C3062">
        <f>_xlfn.XLOOKUP(A3062,Energy!A:A,Energy!H:H,0,-1)</f>
        <v>10852.401158839481</v>
      </c>
      <c r="D3062">
        <f t="shared" si="188"/>
        <v>14838.688217505678</v>
      </c>
      <c r="E3062">
        <f>_xlfn.XLOOKUP(A3062,Banks!A:A,Banks!I:I,0)</f>
        <v>34657.021762766723</v>
      </c>
      <c r="F3062">
        <f>_xlfn.XLOOKUP(A3062,Energy!A:A,Energy!I:I,0)</f>
        <v>0</v>
      </c>
      <c r="G3062">
        <f t="shared" si="189"/>
        <v>34657.021762766723</v>
      </c>
      <c r="H3062">
        <f t="shared" si="190"/>
        <v>19818.333545261044</v>
      </c>
      <c r="I3062" t="b">
        <f t="shared" si="191"/>
        <v>0</v>
      </c>
    </row>
    <row r="3063" spans="1:9">
      <c r="A3063" s="1">
        <v>46190.61041666667</v>
      </c>
      <c r="B3063" s="5">
        <f>_xlfn.XLOOKUP(A3063,Banks!A:A,Banks!H:H,0,-1)</f>
        <v>4116.1826007186646</v>
      </c>
      <c r="C3063">
        <f>_xlfn.XLOOKUP(A3063,Energy!A:A,Energy!H:H,0,-1)</f>
        <v>10852.401158839481</v>
      </c>
      <c r="D3063">
        <f t="shared" si="188"/>
        <v>14968.583759558145</v>
      </c>
      <c r="E3063">
        <f>_xlfn.XLOOKUP(A3063,Banks!A:A,Banks!I:I,0)</f>
        <v>34604.756271755548</v>
      </c>
      <c r="F3063">
        <f>_xlfn.XLOOKUP(A3063,Energy!A:A,Energy!I:I,0)</f>
        <v>0</v>
      </c>
      <c r="G3063">
        <f t="shared" si="189"/>
        <v>34604.756271755548</v>
      </c>
      <c r="H3063">
        <f t="shared" si="190"/>
        <v>19636.172512197401</v>
      </c>
      <c r="I3063" t="b">
        <f t="shared" si="191"/>
        <v>0</v>
      </c>
    </row>
    <row r="3064" spans="1:9">
      <c r="A3064" s="1">
        <v>46190.611111111109</v>
      </c>
      <c r="B3064" s="5">
        <f>_xlfn.XLOOKUP(A3064,Banks!A:A,Banks!H:H,0,-1)</f>
        <v>4062.7473645021391</v>
      </c>
      <c r="C3064">
        <f>_xlfn.XLOOKUP(A3064,Energy!A:A,Energy!H:H,0,-1)</f>
        <v>10852.401158839481</v>
      </c>
      <c r="D3064">
        <f t="shared" si="188"/>
        <v>14915.148523341621</v>
      </c>
      <c r="E3064">
        <f>_xlfn.XLOOKUP(A3064,Banks!A:A,Banks!I:I,0)</f>
        <v>34621.284737354566</v>
      </c>
      <c r="F3064">
        <f>_xlfn.XLOOKUP(A3064,Energy!A:A,Energy!I:I,0)</f>
        <v>0</v>
      </c>
      <c r="G3064">
        <f t="shared" si="189"/>
        <v>34621.284737354566</v>
      </c>
      <c r="H3064">
        <f t="shared" si="190"/>
        <v>19706.136214012946</v>
      </c>
      <c r="I3064" t="b">
        <f t="shared" si="191"/>
        <v>0</v>
      </c>
    </row>
    <row r="3065" spans="1:9">
      <c r="A3065" s="1">
        <v>46190.611805555563</v>
      </c>
      <c r="B3065" s="5">
        <f>_xlfn.XLOOKUP(A3065,Banks!A:A,Banks!H:H,0,-1)</f>
        <v>4149.6855189759644</v>
      </c>
      <c r="C3065">
        <f>_xlfn.XLOOKUP(A3065,Energy!A:A,Energy!H:H,0,-1)</f>
        <v>10852.401158839481</v>
      </c>
      <c r="D3065">
        <f t="shared" si="188"/>
        <v>15002.086677815445</v>
      </c>
      <c r="E3065">
        <f>_xlfn.XLOOKUP(A3065,Banks!A:A,Banks!I:I,0)</f>
        <v>0</v>
      </c>
      <c r="F3065">
        <f>_xlfn.XLOOKUP(A3065,Energy!A:A,Energy!I:I,0)</f>
        <v>0</v>
      </c>
      <c r="G3065">
        <f t="shared" si="189"/>
        <v>0</v>
      </c>
      <c r="H3065">
        <f t="shared" si="190"/>
        <v>-15002.086677815445</v>
      </c>
      <c r="I3065" t="b">
        <f t="shared" si="191"/>
        <v>0</v>
      </c>
    </row>
    <row r="3066" spans="1:9">
      <c r="A3066" s="1">
        <v>46191.813194444447</v>
      </c>
      <c r="B3066" s="5">
        <f>_xlfn.XLOOKUP(A3066,Banks!A:A,Banks!H:H,0,-1)</f>
        <v>4149.6855189759644</v>
      </c>
      <c r="C3066">
        <f>_xlfn.XLOOKUP(A3066,Energy!A:A,Energy!H:H,0,-1)</f>
        <v>10852.401158839481</v>
      </c>
      <c r="D3066">
        <f t="shared" si="188"/>
        <v>15002.086677815445</v>
      </c>
      <c r="E3066">
        <f>_xlfn.XLOOKUP(A3066,Banks!A:A,Banks!I:I,0)</f>
        <v>34334.840644903357</v>
      </c>
      <c r="F3066">
        <f>_xlfn.XLOOKUP(A3066,Energy!A:A,Energy!I:I,0)</f>
        <v>0</v>
      </c>
      <c r="G3066">
        <f t="shared" si="189"/>
        <v>34334.840644903357</v>
      </c>
      <c r="H3066">
        <f t="shared" si="190"/>
        <v>19332.753967087912</v>
      </c>
      <c r="I3066" t="b">
        <f t="shared" si="191"/>
        <v>0</v>
      </c>
    </row>
    <row r="3067" spans="1:9">
      <c r="A3067" s="1">
        <v>46191.813888888893</v>
      </c>
      <c r="B3067" s="5">
        <f>_xlfn.XLOOKUP(A3067,Banks!A:A,Banks!H:H,0,-1)</f>
        <v>4176.9236758174966</v>
      </c>
      <c r="C3067">
        <f>_xlfn.XLOOKUP(A3067,Energy!A:A,Energy!H:H,0,-1)</f>
        <v>10852.401158839481</v>
      </c>
      <c r="D3067">
        <f t="shared" si="188"/>
        <v>15029.324834656978</v>
      </c>
      <c r="E3067">
        <f>_xlfn.XLOOKUP(A3067,Banks!A:A,Banks!I:I,0)</f>
        <v>34347.202112586609</v>
      </c>
      <c r="F3067">
        <f>_xlfn.XLOOKUP(A3067,Energy!A:A,Energy!I:I,0)</f>
        <v>0</v>
      </c>
      <c r="G3067">
        <f t="shared" si="189"/>
        <v>34347.202112586609</v>
      </c>
      <c r="H3067">
        <f t="shared" si="190"/>
        <v>19317.877277929631</v>
      </c>
      <c r="I3067" t="b">
        <f t="shared" si="191"/>
        <v>0</v>
      </c>
    </row>
    <row r="3068" spans="1:9">
      <c r="A3068" s="1">
        <v>46191.814583333333</v>
      </c>
      <c r="B3068" s="5">
        <f>_xlfn.XLOOKUP(A3068,Banks!A:A,Banks!H:H,0,-1)</f>
        <v>4101.586692185615</v>
      </c>
      <c r="C3068">
        <f>_xlfn.XLOOKUP(A3068,Energy!A:A,Energy!H:H,0,-1)</f>
        <v>10852.401158839481</v>
      </c>
      <c r="D3068">
        <f t="shared" si="188"/>
        <v>14953.987851025096</v>
      </c>
      <c r="E3068">
        <f>_xlfn.XLOOKUP(A3068,Banks!A:A,Banks!I:I,0)</f>
        <v>34356.333142962467</v>
      </c>
      <c r="F3068">
        <f>_xlfn.XLOOKUP(A3068,Energy!A:A,Energy!I:I,0)</f>
        <v>0</v>
      </c>
      <c r="G3068">
        <f t="shared" si="189"/>
        <v>34356.333142962467</v>
      </c>
      <c r="H3068">
        <f t="shared" si="190"/>
        <v>19402.34529193737</v>
      </c>
      <c r="I3068" t="b">
        <f t="shared" si="191"/>
        <v>0</v>
      </c>
    </row>
    <row r="3069" spans="1:9">
      <c r="A3069" s="1">
        <v>46191.81527777778</v>
      </c>
      <c r="B3069" s="5">
        <f>_xlfn.XLOOKUP(A3069,Banks!A:A,Banks!H:H,0,-1)</f>
        <v>4084.3021013983048</v>
      </c>
      <c r="C3069">
        <f>_xlfn.XLOOKUP(A3069,Energy!A:A,Energy!H:H,0,-1)</f>
        <v>10852.401158839481</v>
      </c>
      <c r="D3069">
        <f t="shared" si="188"/>
        <v>14936.703260237786</v>
      </c>
      <c r="E3069">
        <f>_xlfn.XLOOKUP(A3069,Banks!A:A,Banks!I:I,0)</f>
        <v>34359.790061119929</v>
      </c>
      <c r="F3069">
        <f>_xlfn.XLOOKUP(A3069,Energy!A:A,Energy!I:I,0)</f>
        <v>0</v>
      </c>
      <c r="G3069">
        <f t="shared" si="189"/>
        <v>34359.790061119929</v>
      </c>
      <c r="H3069">
        <f t="shared" si="190"/>
        <v>19423.086800882142</v>
      </c>
      <c r="I3069" t="b">
        <f t="shared" si="191"/>
        <v>0</v>
      </c>
    </row>
    <row r="3070" spans="1:9">
      <c r="A3070" s="1">
        <v>46191.815972222219</v>
      </c>
      <c r="B3070" s="5">
        <f>_xlfn.XLOOKUP(A3070,Banks!A:A,Banks!H:H,0,-1)</f>
        <v>4042.223028680477</v>
      </c>
      <c r="C3070">
        <f>_xlfn.XLOOKUP(A3070,Energy!A:A,Energy!H:H,0,-1)</f>
        <v>10852.401158839481</v>
      </c>
      <c r="D3070">
        <f t="shared" si="188"/>
        <v>14894.624187519958</v>
      </c>
      <c r="E3070">
        <f>_xlfn.XLOOKUP(A3070,Banks!A:A,Banks!I:I,0)</f>
        <v>34344.460410261432</v>
      </c>
      <c r="F3070">
        <f>_xlfn.XLOOKUP(A3070,Energy!A:A,Energy!I:I,0)</f>
        <v>0</v>
      </c>
      <c r="G3070">
        <f t="shared" si="189"/>
        <v>34344.460410261432</v>
      </c>
      <c r="H3070">
        <f t="shared" si="190"/>
        <v>19449.836222741476</v>
      </c>
      <c r="I3070" t="b">
        <f t="shared" si="191"/>
        <v>0</v>
      </c>
    </row>
    <row r="3071" spans="1:9">
      <c r="A3071" s="1">
        <v>46191.816666666673</v>
      </c>
      <c r="B3071" s="5">
        <f>_xlfn.XLOOKUP(A3071,Banks!A:A,Banks!H:H,0,-1)</f>
        <v>3979.1938528087981</v>
      </c>
      <c r="C3071">
        <f>_xlfn.XLOOKUP(A3071,Energy!A:A,Energy!H:H,0,-1)</f>
        <v>10852.401158839481</v>
      </c>
      <c r="D3071">
        <f t="shared" si="188"/>
        <v>14831.595011648278</v>
      </c>
      <c r="E3071">
        <f>_xlfn.XLOOKUP(A3071,Banks!A:A,Banks!I:I,0)</f>
        <v>34342.225329559493</v>
      </c>
      <c r="F3071">
        <f>_xlfn.XLOOKUP(A3071,Energy!A:A,Energy!I:I,0)</f>
        <v>0</v>
      </c>
      <c r="G3071">
        <f t="shared" si="189"/>
        <v>34342.225329559493</v>
      </c>
      <c r="H3071">
        <f t="shared" si="190"/>
        <v>19510.630317911215</v>
      </c>
      <c r="I3071" t="b">
        <f t="shared" si="191"/>
        <v>0</v>
      </c>
    </row>
    <row r="3072" spans="1:9">
      <c r="A3072" s="1">
        <v>46191.817361111112</v>
      </c>
      <c r="B3072" s="5">
        <f>_xlfn.XLOOKUP(A3072,Banks!A:A,Banks!H:H,0,-1)</f>
        <v>3949.5120210562241</v>
      </c>
      <c r="C3072">
        <f>_xlfn.XLOOKUP(A3072,Energy!A:A,Energy!H:H,0,-1)</f>
        <v>10852.401158839481</v>
      </c>
      <c r="D3072">
        <f t="shared" si="188"/>
        <v>14801.913179895704</v>
      </c>
      <c r="E3072">
        <f>_xlfn.XLOOKUP(A3072,Banks!A:A,Banks!I:I,0)</f>
        <v>34336.288963208979</v>
      </c>
      <c r="F3072">
        <f>_xlfn.XLOOKUP(A3072,Energy!A:A,Energy!I:I,0)</f>
        <v>0</v>
      </c>
      <c r="G3072">
        <f t="shared" si="189"/>
        <v>34336.288963208979</v>
      </c>
      <c r="H3072">
        <f t="shared" si="190"/>
        <v>19534.375783313277</v>
      </c>
      <c r="I3072" t="b">
        <f t="shared" si="191"/>
        <v>0</v>
      </c>
    </row>
    <row r="3073" spans="1:9">
      <c r="A3073" s="1">
        <v>46191.818055555559</v>
      </c>
      <c r="B3073" s="5">
        <f>_xlfn.XLOOKUP(A3073,Banks!A:A,Banks!H:H,0,-1)</f>
        <v>3945.7570754846311</v>
      </c>
      <c r="C3073">
        <f>_xlfn.XLOOKUP(A3073,Energy!A:A,Energy!H:H,0,-1)</f>
        <v>10852.401158839481</v>
      </c>
      <c r="D3073">
        <f t="shared" si="188"/>
        <v>14798.158234324112</v>
      </c>
      <c r="E3073">
        <f>_xlfn.XLOOKUP(A3073,Banks!A:A,Banks!I:I,0)</f>
        <v>34325.167219622257</v>
      </c>
      <c r="F3073">
        <f>_xlfn.XLOOKUP(A3073,Energy!A:A,Energy!I:I,0)</f>
        <v>0</v>
      </c>
      <c r="G3073">
        <f t="shared" si="189"/>
        <v>34325.167219622257</v>
      </c>
      <c r="H3073">
        <f t="shared" si="190"/>
        <v>19527.008985298147</v>
      </c>
      <c r="I3073" t="b">
        <f t="shared" si="191"/>
        <v>0</v>
      </c>
    </row>
    <row r="3074" spans="1:9">
      <c r="A3074" s="1">
        <v>46191.818749999999</v>
      </c>
      <c r="B3074" s="5">
        <f>_xlfn.XLOOKUP(A3074,Banks!A:A,Banks!H:H,0,-1)</f>
        <v>3954.3993708782791</v>
      </c>
      <c r="C3074">
        <f>_xlfn.XLOOKUP(A3074,Energy!A:A,Energy!H:H,0,-1)</f>
        <v>10852.401158839481</v>
      </c>
      <c r="D3074">
        <f t="shared" si="188"/>
        <v>14806.800529717759</v>
      </c>
      <c r="E3074">
        <f>_xlfn.XLOOKUP(A3074,Banks!A:A,Banks!I:I,0)</f>
        <v>34323.438760543533</v>
      </c>
      <c r="F3074">
        <f>_xlfn.XLOOKUP(A3074,Energy!A:A,Energy!I:I,0)</f>
        <v>0</v>
      </c>
      <c r="G3074">
        <f t="shared" si="189"/>
        <v>34323.438760543533</v>
      </c>
      <c r="H3074">
        <f t="shared" si="190"/>
        <v>19516.638230825774</v>
      </c>
      <c r="I3074" t="b">
        <f t="shared" si="191"/>
        <v>0</v>
      </c>
    </row>
    <row r="3075" spans="1:9">
      <c r="A3075" s="1">
        <v>46191.819444444453</v>
      </c>
      <c r="B3075" s="5">
        <f>_xlfn.XLOOKUP(A3075,Banks!A:A,Banks!H:H,0,-1)</f>
        <v>3940.780292457513</v>
      </c>
      <c r="C3075">
        <f>_xlfn.XLOOKUP(A3075,Energy!A:A,Energy!H:H,0,-1)</f>
        <v>10852.401158839481</v>
      </c>
      <c r="D3075">
        <f t="shared" ref="D3075:D3138" si="192">B3075+C3075</f>
        <v>14793.181451296994</v>
      </c>
      <c r="E3075">
        <f>_xlfn.XLOOKUP(A3075,Banks!A:A,Banks!I:I,0)</f>
        <v>34317.258026701922</v>
      </c>
      <c r="F3075">
        <f>_xlfn.XLOOKUP(A3075,Energy!A:A,Energy!I:I,0)</f>
        <v>0</v>
      </c>
      <c r="G3075">
        <f t="shared" ref="G3075:G3138" si="193">F3075+E3075</f>
        <v>34317.258026701922</v>
      </c>
      <c r="H3075">
        <f t="shared" ref="H3075:H3138" si="194">G3075-D3075</f>
        <v>19524.076575404928</v>
      </c>
      <c r="I3075" t="b">
        <f t="shared" ref="I3075:I3138" si="195">AND(E3075&gt;0,F3075&gt;0)</f>
        <v>0</v>
      </c>
    </row>
    <row r="3076" spans="1:9">
      <c r="A3076" s="1">
        <v>46191.820138888892</v>
      </c>
      <c r="B3076" s="5">
        <f>_xlfn.XLOOKUP(A3076,Banks!A:A,Banks!H:H,0,-1)</f>
        <v>3955.6212083337941</v>
      </c>
      <c r="C3076">
        <f>_xlfn.XLOOKUP(A3076,Energy!A:A,Energy!H:H,0,-1)</f>
        <v>10852.401158839481</v>
      </c>
      <c r="D3076">
        <f t="shared" si="192"/>
        <v>14808.022367173275</v>
      </c>
      <c r="E3076">
        <f>_xlfn.XLOOKUP(A3076,Banks!A:A,Banks!I:I,0)</f>
        <v>34320.226209877183</v>
      </c>
      <c r="F3076">
        <f>_xlfn.XLOOKUP(A3076,Energy!A:A,Energy!I:I,0)</f>
        <v>0</v>
      </c>
      <c r="G3076">
        <f t="shared" si="193"/>
        <v>34320.226209877183</v>
      </c>
      <c r="H3076">
        <f t="shared" si="194"/>
        <v>19512.203842703908</v>
      </c>
      <c r="I3076" t="b">
        <f t="shared" si="195"/>
        <v>0</v>
      </c>
    </row>
    <row r="3077" spans="1:9">
      <c r="A3077" s="1">
        <v>46191.820833333331</v>
      </c>
      <c r="B3077" s="5">
        <f>_xlfn.XLOOKUP(A3077,Banks!A:A,Banks!H:H,0,-1)</f>
        <v>3988.9685524529109</v>
      </c>
      <c r="C3077">
        <f>_xlfn.XLOOKUP(A3077,Energy!A:A,Energy!H:H,0,-1)</f>
        <v>10852.401158839481</v>
      </c>
      <c r="D3077">
        <f t="shared" si="192"/>
        <v>14841.369711292391</v>
      </c>
      <c r="E3077">
        <f>_xlfn.XLOOKUP(A3077,Banks!A:A,Banks!I:I,0)</f>
        <v>34316.524924228608</v>
      </c>
      <c r="F3077">
        <f>_xlfn.XLOOKUP(A3077,Energy!A:A,Energy!I:I,0)</f>
        <v>0</v>
      </c>
      <c r="G3077">
        <f t="shared" si="193"/>
        <v>34316.524924228608</v>
      </c>
      <c r="H3077">
        <f t="shared" si="194"/>
        <v>19475.155212936217</v>
      </c>
      <c r="I3077" t="b">
        <f t="shared" si="195"/>
        <v>0</v>
      </c>
    </row>
    <row r="3078" spans="1:9">
      <c r="A3078" s="1">
        <v>46191.821527777778</v>
      </c>
      <c r="B3078" s="5">
        <f>_xlfn.XLOOKUP(A3078,Banks!A:A,Banks!H:H,0,-1)</f>
        <v>3995.1671729355321</v>
      </c>
      <c r="C3078">
        <f>_xlfn.XLOOKUP(A3078,Energy!A:A,Energy!H:H,0,-1)</f>
        <v>10852.401158839481</v>
      </c>
      <c r="D3078">
        <f t="shared" si="192"/>
        <v>14847.568331775012</v>
      </c>
      <c r="E3078">
        <f>_xlfn.XLOOKUP(A3078,Banks!A:A,Banks!I:I,0)</f>
        <v>34321.2215664826</v>
      </c>
      <c r="F3078">
        <f>_xlfn.XLOOKUP(A3078,Energy!A:A,Energy!I:I,0)</f>
        <v>0</v>
      </c>
      <c r="G3078">
        <f t="shared" si="193"/>
        <v>34321.2215664826</v>
      </c>
      <c r="H3078">
        <f t="shared" si="194"/>
        <v>19473.653234707588</v>
      </c>
      <c r="I3078" t="b">
        <f t="shared" si="195"/>
        <v>0</v>
      </c>
    </row>
    <row r="3079" spans="1:9">
      <c r="A3079" s="1">
        <v>46191.822222222218</v>
      </c>
      <c r="B3079" s="5">
        <f>_xlfn.XLOOKUP(A3079,Banks!A:A,Banks!H:H,0,-1)</f>
        <v>3972.9057991211039</v>
      </c>
      <c r="C3079">
        <f>_xlfn.XLOOKUP(A3079,Energy!A:A,Energy!H:H,0,-1)</f>
        <v>10852.401158839481</v>
      </c>
      <c r="D3079">
        <f t="shared" si="192"/>
        <v>14825.306957960584</v>
      </c>
      <c r="E3079">
        <f>_xlfn.XLOOKUP(A3079,Banks!A:A,Banks!I:I,0)</f>
        <v>34316.769291719713</v>
      </c>
      <c r="F3079">
        <f>_xlfn.XLOOKUP(A3079,Energy!A:A,Energy!I:I,0)</f>
        <v>0</v>
      </c>
      <c r="G3079">
        <f t="shared" si="193"/>
        <v>34316.769291719713</v>
      </c>
      <c r="H3079">
        <f t="shared" si="194"/>
        <v>19491.462333759129</v>
      </c>
      <c r="I3079" t="b">
        <f t="shared" si="195"/>
        <v>0</v>
      </c>
    </row>
    <row r="3080" spans="1:9">
      <c r="A3080" s="1">
        <v>46191.822916666657</v>
      </c>
      <c r="B3080" s="5">
        <f>_xlfn.XLOOKUP(A3080,Banks!A:A,Banks!H:H,0,-1)</f>
        <v>3946.9789129401329</v>
      </c>
      <c r="C3080">
        <f>_xlfn.XLOOKUP(A3080,Energy!A:A,Energy!H:H,0,-1)</f>
        <v>10852.401158839481</v>
      </c>
      <c r="D3080">
        <f t="shared" si="192"/>
        <v>14799.380071779613</v>
      </c>
      <c r="E3080">
        <f>_xlfn.XLOOKUP(A3080,Banks!A:A,Banks!I:I,0)</f>
        <v>34321.954668955907</v>
      </c>
      <c r="F3080">
        <f>_xlfn.XLOOKUP(A3080,Energy!A:A,Energy!I:I,0)</f>
        <v>0</v>
      </c>
      <c r="G3080">
        <f t="shared" si="193"/>
        <v>34321.954668955907</v>
      </c>
      <c r="H3080">
        <f t="shared" si="194"/>
        <v>19522.574597176295</v>
      </c>
      <c r="I3080" t="b">
        <f t="shared" si="195"/>
        <v>0</v>
      </c>
    </row>
    <row r="3081" spans="1:9">
      <c r="A3081" s="1">
        <v>46191.823611111111</v>
      </c>
      <c r="B3081" s="5">
        <f>_xlfn.XLOOKUP(A3081,Banks!A:A,Banks!H:H,0,-1)</f>
        <v>3975.5283404422539</v>
      </c>
      <c r="C3081">
        <f>_xlfn.XLOOKUP(A3081,Energy!A:A,Energy!H:H,0,-1)</f>
        <v>10852.401158839481</v>
      </c>
      <c r="D3081">
        <f t="shared" si="192"/>
        <v>14827.929499281734</v>
      </c>
      <c r="E3081">
        <f>_xlfn.XLOOKUP(A3081,Banks!A:A,Banks!I:I,0)</f>
        <v>34351.862981558566</v>
      </c>
      <c r="F3081">
        <f>_xlfn.XLOOKUP(A3081,Energy!A:A,Energy!I:I,0)</f>
        <v>0</v>
      </c>
      <c r="G3081">
        <f t="shared" si="193"/>
        <v>34351.862981558566</v>
      </c>
      <c r="H3081">
        <f t="shared" si="194"/>
        <v>19523.933482276832</v>
      </c>
      <c r="I3081" t="b">
        <f t="shared" si="195"/>
        <v>0</v>
      </c>
    </row>
    <row r="3082" spans="1:9">
      <c r="A3082" s="1">
        <v>46191.824305555558</v>
      </c>
      <c r="B3082" s="5">
        <f>_xlfn.XLOOKUP(A3082,Banks!A:A,Banks!H:H,0,-1)</f>
        <v>3984.1706358359161</v>
      </c>
      <c r="C3082">
        <f>_xlfn.XLOOKUP(A3082,Energy!A:A,Energy!H:H,0,-1)</f>
        <v>10852.401158839481</v>
      </c>
      <c r="D3082">
        <f t="shared" si="192"/>
        <v>14836.571794675398</v>
      </c>
      <c r="E3082">
        <f>_xlfn.XLOOKUP(A3082,Banks!A:A,Banks!I:I,0)</f>
        <v>34350.134522479842</v>
      </c>
      <c r="F3082">
        <f>_xlfn.XLOOKUP(A3082,Energy!A:A,Energy!I:I,0)</f>
        <v>0</v>
      </c>
      <c r="G3082">
        <f t="shared" si="193"/>
        <v>34350.134522479842</v>
      </c>
      <c r="H3082">
        <f t="shared" si="194"/>
        <v>19513.562727804445</v>
      </c>
      <c r="I3082" t="b">
        <f t="shared" si="195"/>
        <v>0</v>
      </c>
    </row>
    <row r="3083" spans="1:9">
      <c r="A3083" s="1">
        <v>46191.824999999997</v>
      </c>
      <c r="B3083" s="5">
        <f>_xlfn.XLOOKUP(A3083,Banks!A:A,Banks!H:H,0,-1)</f>
        <v>3974.39593619179</v>
      </c>
      <c r="C3083">
        <f>_xlfn.XLOOKUP(A3083,Energy!A:A,Energy!H:H,0,-1)</f>
        <v>10852.401158839481</v>
      </c>
      <c r="D3083">
        <f t="shared" si="192"/>
        <v>14826.79709503127</v>
      </c>
      <c r="E3083">
        <f>_xlfn.XLOOKUP(A3083,Banks!A:A,Banks!I:I,0)</f>
        <v>34375.83492781072</v>
      </c>
      <c r="F3083">
        <f>_xlfn.XLOOKUP(A3083,Energy!A:A,Energy!I:I,0)</f>
        <v>0</v>
      </c>
      <c r="G3083">
        <f t="shared" si="193"/>
        <v>34375.83492781072</v>
      </c>
      <c r="H3083">
        <f t="shared" si="194"/>
        <v>19549.03783277945</v>
      </c>
      <c r="I3083" t="b">
        <f t="shared" si="195"/>
        <v>0</v>
      </c>
    </row>
    <row r="3084" spans="1:9">
      <c r="A3084" s="1">
        <v>46191.825694444437</v>
      </c>
      <c r="B3084" s="5">
        <f>_xlfn.XLOOKUP(A3084,Banks!A:A,Banks!H:H,0,-1)</f>
        <v>3969.4191531646838</v>
      </c>
      <c r="C3084">
        <f>_xlfn.XLOOKUP(A3084,Energy!A:A,Energy!H:H,0,-1)</f>
        <v>10852.401158839481</v>
      </c>
      <c r="D3084">
        <f t="shared" si="192"/>
        <v>14821.820312004165</v>
      </c>
      <c r="E3084">
        <f>_xlfn.XLOOKUP(A3084,Banks!A:A,Banks!I:I,0)</f>
        <v>34367.92573489037</v>
      </c>
      <c r="F3084">
        <f>_xlfn.XLOOKUP(A3084,Energy!A:A,Energy!I:I,0)</f>
        <v>0</v>
      </c>
      <c r="G3084">
        <f t="shared" si="193"/>
        <v>34367.92573489037</v>
      </c>
      <c r="H3084">
        <f t="shared" si="194"/>
        <v>19546.105422886205</v>
      </c>
      <c r="I3084" t="b">
        <f t="shared" si="195"/>
        <v>0</v>
      </c>
    </row>
    <row r="3085" spans="1:9">
      <c r="A3085" s="1">
        <v>46191.826388888891</v>
      </c>
      <c r="B3085" s="5">
        <f>_xlfn.XLOOKUP(A3085,Banks!A:A,Banks!H:H,0,-1)</f>
        <v>3974.39593619179</v>
      </c>
      <c r="C3085">
        <f>_xlfn.XLOOKUP(A3085,Energy!A:A,Energy!H:H,0,-1)</f>
        <v>10852.401158839481</v>
      </c>
      <c r="D3085">
        <f t="shared" si="192"/>
        <v>14826.79709503127</v>
      </c>
      <c r="E3085">
        <f>_xlfn.XLOOKUP(A3085,Banks!A:A,Banks!I:I,0)</f>
        <v>34375.83492781072</v>
      </c>
      <c r="F3085">
        <f>_xlfn.XLOOKUP(A3085,Energy!A:A,Energy!I:I,0)</f>
        <v>0</v>
      </c>
      <c r="G3085">
        <f t="shared" si="193"/>
        <v>34375.83492781072</v>
      </c>
      <c r="H3085">
        <f t="shared" si="194"/>
        <v>19549.03783277945</v>
      </c>
      <c r="I3085" t="b">
        <f t="shared" si="195"/>
        <v>0</v>
      </c>
    </row>
    <row r="3086" spans="1:9">
      <c r="A3086" s="1">
        <v>46191.82708333333</v>
      </c>
      <c r="B3086" s="5">
        <f>_xlfn.XLOOKUP(A3086,Banks!A:A,Banks!H:H,0,-1)</f>
        <v>4009.0545509714821</v>
      </c>
      <c r="C3086">
        <f>_xlfn.XLOOKUP(A3086,Energy!A:A,Energy!H:H,0,-1)</f>
        <v>10852.401158839481</v>
      </c>
      <c r="D3086">
        <f t="shared" si="192"/>
        <v>14861.455709810962</v>
      </c>
      <c r="E3086">
        <f>_xlfn.XLOOKUP(A3086,Banks!A:A,Banks!I:I,0)</f>
        <v>34389.680487081583</v>
      </c>
      <c r="F3086">
        <f>_xlfn.XLOOKUP(A3086,Energy!A:A,Energy!I:I,0)</f>
        <v>0</v>
      </c>
      <c r="G3086">
        <f t="shared" si="193"/>
        <v>34389.680487081583</v>
      </c>
      <c r="H3086">
        <f t="shared" si="194"/>
        <v>19528.224777270621</v>
      </c>
      <c r="I3086" t="b">
        <f t="shared" si="195"/>
        <v>0</v>
      </c>
    </row>
    <row r="3087" spans="1:9">
      <c r="A3087" s="1">
        <v>46191.827777777777</v>
      </c>
      <c r="B3087" s="5">
        <f>_xlfn.XLOOKUP(A3087,Banks!A:A,Banks!H:H,0,-1)</f>
        <v>3952.4333870959258</v>
      </c>
      <c r="C3087">
        <f>_xlfn.XLOOKUP(A3087,Energy!A:A,Energy!H:H,0,-1)</f>
        <v>10852.401158839481</v>
      </c>
      <c r="D3087">
        <f t="shared" si="192"/>
        <v>14804.834545935406</v>
      </c>
      <c r="E3087">
        <f>_xlfn.XLOOKUP(A3087,Banks!A:A,Banks!I:I,0)</f>
        <v>0</v>
      </c>
      <c r="F3087">
        <f>_xlfn.XLOOKUP(A3087,Energy!A:A,Energy!I:I,0)</f>
        <v>0</v>
      </c>
      <c r="G3087">
        <f t="shared" si="193"/>
        <v>0</v>
      </c>
      <c r="H3087">
        <f t="shared" si="194"/>
        <v>-14804.834545935406</v>
      </c>
      <c r="I3087" t="b">
        <f t="shared" si="195"/>
        <v>0</v>
      </c>
    </row>
    <row r="3088" spans="1:9">
      <c r="A3088" s="1">
        <v>46195.866666666669</v>
      </c>
      <c r="B3088" s="5">
        <f>_xlfn.XLOOKUP(A3088,Banks!A:A,Banks!H:H,0,-1)</f>
        <v>3952.4333870959258</v>
      </c>
      <c r="C3088">
        <f>_xlfn.XLOOKUP(A3088,Energy!A:A,Energy!H:H,0,-1)</f>
        <v>10852.401158839481</v>
      </c>
      <c r="D3088">
        <f t="shared" si="192"/>
        <v>14804.834545935406</v>
      </c>
      <c r="E3088">
        <f>_xlfn.XLOOKUP(A3088,Banks!A:A,Banks!I:I,0)</f>
        <v>34334.840644903357</v>
      </c>
      <c r="F3088">
        <f>_xlfn.XLOOKUP(A3088,Energy!A:A,Energy!I:I,0)</f>
        <v>0</v>
      </c>
      <c r="G3088">
        <f t="shared" si="193"/>
        <v>34334.840644903357</v>
      </c>
      <c r="H3088">
        <f t="shared" si="194"/>
        <v>19530.006098967951</v>
      </c>
      <c r="I3088" t="b">
        <f t="shared" si="195"/>
        <v>0</v>
      </c>
    </row>
    <row r="3089" spans="1:9">
      <c r="A3089" s="1">
        <v>46195.867361111108</v>
      </c>
      <c r="B3089" s="5">
        <f>_xlfn.XLOOKUP(A3089,Banks!A:A,Banks!H:H,0,-1)</f>
        <v>3924.5527037191382</v>
      </c>
      <c r="C3089">
        <f>_xlfn.XLOOKUP(A3089,Energy!A:A,Energy!H:H,0,-1)</f>
        <v>10852.401158839481</v>
      </c>
      <c r="D3089">
        <f t="shared" si="192"/>
        <v>14776.953862558619</v>
      </c>
      <c r="E3089">
        <f>_xlfn.XLOOKUP(A3089,Banks!A:A,Banks!I:I,0)</f>
        <v>34346.31771423074</v>
      </c>
      <c r="F3089">
        <f>_xlfn.XLOOKUP(A3089,Energy!A:A,Energy!I:I,0)</f>
        <v>0</v>
      </c>
      <c r="G3089">
        <f t="shared" si="193"/>
        <v>34346.31771423074</v>
      </c>
      <c r="H3089">
        <f t="shared" si="194"/>
        <v>19569.363851672118</v>
      </c>
      <c r="I3089" t="b">
        <f t="shared" si="195"/>
        <v>0</v>
      </c>
    </row>
    <row r="3090" spans="1:9">
      <c r="A3090" s="1">
        <v>46195.868055555547</v>
      </c>
      <c r="B3090" s="5">
        <f>_xlfn.XLOOKUP(A3090,Banks!A:A,Banks!H:H,0,-1)</f>
        <v>4005.2169849873972</v>
      </c>
      <c r="C3090">
        <f>_xlfn.XLOOKUP(A3090,Energy!A:A,Energy!H:H,0,-1)</f>
        <v>10852.401158839481</v>
      </c>
      <c r="D3090">
        <f t="shared" si="192"/>
        <v>14857.618143826878</v>
      </c>
      <c r="E3090">
        <f>_xlfn.XLOOKUP(A3090,Banks!A:A,Banks!I:I,0)</f>
        <v>34341.986723281123</v>
      </c>
      <c r="F3090">
        <f>_xlfn.XLOOKUP(A3090,Energy!A:A,Energy!I:I,0)</f>
        <v>0</v>
      </c>
      <c r="G3090">
        <f t="shared" si="193"/>
        <v>34341.986723281123</v>
      </c>
      <c r="H3090">
        <f t="shared" si="194"/>
        <v>19484.368579454247</v>
      </c>
      <c r="I3090" t="b">
        <f t="shared" si="195"/>
        <v>0</v>
      </c>
    </row>
    <row r="3091" spans="1:9">
      <c r="A3091" s="1">
        <v>46195.868750000001</v>
      </c>
      <c r="B3091" s="5">
        <f>_xlfn.XLOOKUP(A3091,Banks!A:A,Banks!H:H,0,-1)</f>
        <v>4072.9562663013739</v>
      </c>
      <c r="C3091">
        <f>_xlfn.XLOOKUP(A3091,Energy!A:A,Energy!H:H,0,-1)</f>
        <v>10852.401158839481</v>
      </c>
      <c r="D3091">
        <f t="shared" si="192"/>
        <v>14925.357425140854</v>
      </c>
      <c r="E3091">
        <f>_xlfn.XLOOKUP(A3091,Banks!A:A,Banks!I:I,0)</f>
        <v>34307.78560273628</v>
      </c>
      <c r="F3091">
        <f>_xlfn.XLOOKUP(A3091,Energy!A:A,Energy!I:I,0)</f>
        <v>0</v>
      </c>
      <c r="G3091">
        <f t="shared" si="193"/>
        <v>34307.78560273628</v>
      </c>
      <c r="H3091">
        <f t="shared" si="194"/>
        <v>19382.428177595426</v>
      </c>
      <c r="I3091" t="b">
        <f t="shared" si="195"/>
        <v>0</v>
      </c>
    </row>
    <row r="3092" spans="1:9">
      <c r="A3092" s="1">
        <v>46195.869444444441</v>
      </c>
      <c r="B3092" s="5">
        <f>_xlfn.XLOOKUP(A3092,Banks!A:A,Banks!H:H,0,-1)</f>
        <v>4080.332432116395</v>
      </c>
      <c r="C3092">
        <f>_xlfn.XLOOKUP(A3092,Energy!A:A,Energy!H:H,0,-1)</f>
        <v>10852.401158839481</v>
      </c>
      <c r="D3092">
        <f t="shared" si="192"/>
        <v>14932.733590955875</v>
      </c>
      <c r="E3092">
        <f>_xlfn.XLOOKUP(A3092,Banks!A:A,Banks!I:I,0)</f>
        <v>34309.260835899273</v>
      </c>
      <c r="F3092">
        <f>_xlfn.XLOOKUP(A3092,Energy!A:A,Energy!I:I,0)</f>
        <v>0</v>
      </c>
      <c r="G3092">
        <f t="shared" si="193"/>
        <v>34309.260835899273</v>
      </c>
      <c r="H3092">
        <f t="shared" si="194"/>
        <v>19376.527244943398</v>
      </c>
      <c r="I3092" t="b">
        <f t="shared" si="195"/>
        <v>0</v>
      </c>
    </row>
    <row r="3093" spans="1:9">
      <c r="A3093" s="1">
        <v>46195.870138888888</v>
      </c>
      <c r="B3093" s="5">
        <f>_xlfn.XLOOKUP(A3093,Banks!A:A,Banks!H:H,0,-1)</f>
        <v>4040.2504741472799</v>
      </c>
      <c r="C3093">
        <f>_xlfn.XLOOKUP(A3093,Energy!A:A,Energy!H:H,0,-1)</f>
        <v>10852.401158839481</v>
      </c>
      <c r="D3093">
        <f t="shared" si="192"/>
        <v>14892.651632986761</v>
      </c>
      <c r="E3093">
        <f>_xlfn.XLOOKUP(A3093,Banks!A:A,Banks!I:I,0)</f>
        <v>0</v>
      </c>
      <c r="F3093">
        <f>_xlfn.XLOOKUP(A3093,Energy!A:A,Energy!I:I,0)</f>
        <v>0</v>
      </c>
      <c r="G3093">
        <f t="shared" si="193"/>
        <v>0</v>
      </c>
      <c r="H3093">
        <f t="shared" si="194"/>
        <v>-14892.651632986761</v>
      </c>
      <c r="I3093" t="b">
        <f t="shared" si="195"/>
        <v>0</v>
      </c>
    </row>
    <row r="3094" spans="1:9">
      <c r="A3094" s="1">
        <v>46197.604166666657</v>
      </c>
      <c r="B3094" s="5">
        <f>_xlfn.XLOOKUP(A3094,Banks!A:A,Banks!H:H,0,-1)</f>
        <v>4040.2504741472799</v>
      </c>
      <c r="C3094">
        <f>_xlfn.XLOOKUP(A3094,Energy!A:A,Energy!H:H,0,-1)</f>
        <v>10852.401158839481</v>
      </c>
      <c r="D3094">
        <f t="shared" si="192"/>
        <v>14892.651632986761</v>
      </c>
      <c r="E3094">
        <f>_xlfn.XLOOKUP(A3094,Banks!A:A,Banks!I:I,0)</f>
        <v>44038.234687888696</v>
      </c>
      <c r="F3094">
        <f>_xlfn.XLOOKUP(A3094,Energy!A:A,Energy!I:I,0)</f>
        <v>0</v>
      </c>
      <c r="G3094">
        <f t="shared" si="193"/>
        <v>44038.234687888696</v>
      </c>
      <c r="H3094">
        <f t="shared" si="194"/>
        <v>29145.583054901937</v>
      </c>
      <c r="I3094" t="b">
        <f t="shared" si="195"/>
        <v>0</v>
      </c>
    </row>
    <row r="3095" spans="1:9">
      <c r="A3095" s="1">
        <v>46197.604861111111</v>
      </c>
      <c r="B3095" s="5">
        <f>_xlfn.XLOOKUP(A3095,Banks!A:A,Banks!H:H,0,-1)</f>
        <v>4243.564541856118</v>
      </c>
      <c r="C3095">
        <f>_xlfn.XLOOKUP(A3095,Energy!A:A,Energy!H:H,0,-1)</f>
        <v>10852.401158839481</v>
      </c>
      <c r="D3095">
        <f t="shared" si="192"/>
        <v>15095.965700695599</v>
      </c>
      <c r="E3095">
        <f>_xlfn.XLOOKUP(A3095,Banks!A:A,Banks!I:I,0)</f>
        <v>44037.69578469226</v>
      </c>
      <c r="F3095">
        <f>_xlfn.XLOOKUP(A3095,Energy!A:A,Energy!I:I,0)</f>
        <v>0</v>
      </c>
      <c r="G3095">
        <f t="shared" si="193"/>
        <v>44037.69578469226</v>
      </c>
      <c r="H3095">
        <f t="shared" si="194"/>
        <v>28941.730083996663</v>
      </c>
      <c r="I3095" t="b">
        <f t="shared" si="195"/>
        <v>0</v>
      </c>
    </row>
    <row r="3096" spans="1:9">
      <c r="A3096" s="1">
        <v>46197.605555555558</v>
      </c>
      <c r="B3096" s="5">
        <f>_xlfn.XLOOKUP(A3096,Banks!A:A,Banks!H:H,0,-1)</f>
        <v>4166.3113229719947</v>
      </c>
      <c r="C3096">
        <f>_xlfn.XLOOKUP(A3096,Energy!A:A,Energy!H:H,0,-1)</f>
        <v>10852.401158839481</v>
      </c>
      <c r="D3096">
        <f t="shared" si="192"/>
        <v>15018.712481811475</v>
      </c>
      <c r="E3096">
        <f>_xlfn.XLOOKUP(A3096,Banks!A:A,Banks!I:I,0)</f>
        <v>44053.146428469088</v>
      </c>
      <c r="F3096">
        <f>_xlfn.XLOOKUP(A3096,Energy!A:A,Energy!I:I,0)</f>
        <v>0</v>
      </c>
      <c r="G3096">
        <f t="shared" si="193"/>
        <v>44053.146428469088</v>
      </c>
      <c r="H3096">
        <f t="shared" si="194"/>
        <v>29034.433946657613</v>
      </c>
      <c r="I3096" t="b">
        <f t="shared" si="195"/>
        <v>0</v>
      </c>
    </row>
    <row r="3097" spans="1:9">
      <c r="A3097" s="1">
        <v>46197.606249999997</v>
      </c>
      <c r="B3097" s="5">
        <f>_xlfn.XLOOKUP(A3097,Banks!A:A,Banks!H:H,0,-1)</f>
        <v>4154.8330587864612</v>
      </c>
      <c r="C3097">
        <f>_xlfn.XLOOKUP(A3097,Energy!A:A,Energy!H:H,0,-1)</f>
        <v>10852.401158839481</v>
      </c>
      <c r="D3097">
        <f t="shared" si="192"/>
        <v>15007.234217625941</v>
      </c>
      <c r="E3097">
        <f>_xlfn.XLOOKUP(A3097,Banks!A:A,Banks!I:I,0)</f>
        <v>44047.417299237131</v>
      </c>
      <c r="F3097">
        <f>_xlfn.XLOOKUP(A3097,Energy!A:A,Energy!I:I,0)</f>
        <v>0</v>
      </c>
      <c r="G3097">
        <f t="shared" si="193"/>
        <v>44047.417299237131</v>
      </c>
      <c r="H3097">
        <f t="shared" si="194"/>
        <v>29040.183081611191</v>
      </c>
      <c r="I3097" t="b">
        <f t="shared" si="195"/>
        <v>0</v>
      </c>
    </row>
    <row r="3098" spans="1:9">
      <c r="A3098" s="1">
        <v>46197.606944444437</v>
      </c>
      <c r="B3098" s="5">
        <f>_xlfn.XLOOKUP(A3098,Banks!A:A,Banks!H:H,0,-1)</f>
        <v>4446.6785523486833</v>
      </c>
      <c r="C3098">
        <f>_xlfn.XLOOKUP(A3098,Energy!A:A,Energy!H:H,0,-1)</f>
        <v>10852.401158839481</v>
      </c>
      <c r="D3098">
        <f t="shared" si="192"/>
        <v>15299.079711188164</v>
      </c>
      <c r="E3098">
        <f>_xlfn.XLOOKUP(A3098,Banks!A:A,Banks!I:I,0)</f>
        <v>43989.048200524681</v>
      </c>
      <c r="F3098">
        <f>_xlfn.XLOOKUP(A3098,Energy!A:A,Energy!I:I,0)</f>
        <v>0</v>
      </c>
      <c r="G3098">
        <f t="shared" si="193"/>
        <v>43989.048200524681</v>
      </c>
      <c r="H3098">
        <f t="shared" si="194"/>
        <v>28689.968489336519</v>
      </c>
      <c r="I3098" t="b">
        <f t="shared" si="195"/>
        <v>0</v>
      </c>
    </row>
    <row r="3099" spans="1:9">
      <c r="A3099" s="1">
        <v>46197.607638888891</v>
      </c>
      <c r="B3099" s="5">
        <f>_xlfn.XLOOKUP(A3099,Banks!A:A,Banks!H:H,0,-1)</f>
        <v>4548.5139590650706</v>
      </c>
      <c r="C3099">
        <f>_xlfn.XLOOKUP(A3099,Energy!A:A,Energy!H:H,0,-1)</f>
        <v>10852.401158839481</v>
      </c>
      <c r="D3099">
        <f t="shared" si="192"/>
        <v>15400.915117904551</v>
      </c>
      <c r="E3099">
        <f>_xlfn.XLOOKUP(A3099,Banks!A:A,Banks!I:I,0)</f>
        <v>0</v>
      </c>
      <c r="F3099">
        <f>_xlfn.XLOOKUP(A3099,Energy!A:A,Energy!I:I,0)</f>
        <v>0</v>
      </c>
      <c r="G3099">
        <f t="shared" si="193"/>
        <v>0</v>
      </c>
      <c r="H3099">
        <f t="shared" si="194"/>
        <v>-15400.915117904551</v>
      </c>
      <c r="I3099" t="b">
        <f t="shared" si="195"/>
        <v>0</v>
      </c>
    </row>
    <row r="3100" spans="1:9">
      <c r="A3100" s="1">
        <v>46198.604861111111</v>
      </c>
      <c r="B3100" s="5">
        <f>_xlfn.XLOOKUP(A3100,Banks!A:A,Banks!H:H,0,-1)</f>
        <v>4548.5139590650706</v>
      </c>
      <c r="C3100">
        <f>_xlfn.XLOOKUP(A3100,Energy!A:A,Energy!H:H,0,-1)</f>
        <v>10852.401158839481</v>
      </c>
      <c r="D3100">
        <f t="shared" si="192"/>
        <v>15400.915117904551</v>
      </c>
      <c r="E3100">
        <f>_xlfn.XLOOKUP(A3100,Banks!A:A,Banks!I:I,0)</f>
        <v>44038.234687888696</v>
      </c>
      <c r="F3100">
        <f>_xlfn.XLOOKUP(A3100,Energy!A:A,Energy!I:I,0)</f>
        <v>0</v>
      </c>
      <c r="G3100">
        <f t="shared" si="193"/>
        <v>44038.234687888696</v>
      </c>
      <c r="H3100">
        <f t="shared" si="194"/>
        <v>28637.319569984145</v>
      </c>
      <c r="I3100" t="b">
        <f t="shared" si="195"/>
        <v>0</v>
      </c>
    </row>
    <row r="3101" spans="1:9">
      <c r="A3101" s="1">
        <v>46198.605555555558</v>
      </c>
      <c r="B3101" s="5">
        <f>_xlfn.XLOOKUP(A3101,Banks!A:A,Banks!H:H,0,-1)</f>
        <v>4588.3872232859139</v>
      </c>
      <c r="C3101">
        <f>_xlfn.XLOOKUP(A3101,Energy!A:A,Energy!H:H,0,-1)</f>
        <v>10852.401158839481</v>
      </c>
      <c r="D3101">
        <f t="shared" si="192"/>
        <v>15440.788382125394</v>
      </c>
      <c r="E3101">
        <f>_xlfn.XLOOKUP(A3101,Banks!A:A,Banks!I:I,0)</f>
        <v>44081.868498832577</v>
      </c>
      <c r="F3101">
        <f>_xlfn.XLOOKUP(A3101,Energy!A:A,Energy!I:I,0)</f>
        <v>0</v>
      </c>
      <c r="G3101">
        <f t="shared" si="193"/>
        <v>44081.868498832577</v>
      </c>
      <c r="H3101">
        <f t="shared" si="194"/>
        <v>28641.080116707184</v>
      </c>
      <c r="I3101" t="b">
        <f t="shared" si="195"/>
        <v>0</v>
      </c>
    </row>
    <row r="3102" spans="1:9">
      <c r="A3102" s="1">
        <v>46198.606249999997</v>
      </c>
      <c r="B3102" s="5">
        <f>_xlfn.XLOOKUP(A3102,Banks!A:A,Banks!H:H,0,-1)</f>
        <v>4541.9944037499563</v>
      </c>
      <c r="C3102">
        <f>_xlfn.XLOOKUP(A3102,Energy!A:A,Energy!H:H,0,-1)</f>
        <v>10852.401158839481</v>
      </c>
      <c r="D3102">
        <f t="shared" si="192"/>
        <v>15394.395562589438</v>
      </c>
      <c r="E3102">
        <f>_xlfn.XLOOKUP(A3102,Banks!A:A,Banks!I:I,0)</f>
        <v>44056.741420214406</v>
      </c>
      <c r="F3102">
        <f>_xlfn.XLOOKUP(A3102,Energy!A:A,Energy!I:I,0)</f>
        <v>0</v>
      </c>
      <c r="G3102">
        <f t="shared" si="193"/>
        <v>44056.741420214406</v>
      </c>
      <c r="H3102">
        <f t="shared" si="194"/>
        <v>28662.345857624969</v>
      </c>
      <c r="I3102" t="b">
        <f t="shared" si="195"/>
        <v>0</v>
      </c>
    </row>
    <row r="3103" spans="1:9">
      <c r="A3103" s="1">
        <v>46198.606944444437</v>
      </c>
      <c r="B3103" s="5">
        <f>_xlfn.XLOOKUP(A3103,Banks!A:A,Banks!H:H,0,-1)</f>
        <v>4559.7231918224661</v>
      </c>
      <c r="C3103">
        <f>_xlfn.XLOOKUP(A3103,Energy!A:A,Energy!H:H,0,-1)</f>
        <v>10852.401158839481</v>
      </c>
      <c r="D3103">
        <f t="shared" si="192"/>
        <v>15412.124350661947</v>
      </c>
      <c r="E3103">
        <f>_xlfn.XLOOKUP(A3103,Banks!A:A,Banks!I:I,0)</f>
        <v>44032.552277084673</v>
      </c>
      <c r="F3103">
        <f>_xlfn.XLOOKUP(A3103,Energy!A:A,Energy!I:I,0)</f>
        <v>0</v>
      </c>
      <c r="G3103">
        <f t="shared" si="193"/>
        <v>44032.552277084673</v>
      </c>
      <c r="H3103">
        <f t="shared" si="194"/>
        <v>28620.427926422726</v>
      </c>
      <c r="I3103" t="b">
        <f t="shared" si="195"/>
        <v>0</v>
      </c>
    </row>
    <row r="3104" spans="1:9">
      <c r="A3104" s="1">
        <v>46198.607638888891</v>
      </c>
      <c r="B3104" s="5">
        <f>_xlfn.XLOOKUP(A3104,Banks!A:A,Banks!H:H,0,-1)</f>
        <v>4432.7838876685273</v>
      </c>
      <c r="C3104">
        <f>_xlfn.XLOOKUP(A3104,Energy!A:A,Energy!H:H,0,-1)</f>
        <v>10852.401158839481</v>
      </c>
      <c r="D3104">
        <f t="shared" si="192"/>
        <v>15285.185046508008</v>
      </c>
      <c r="E3104">
        <f>_xlfn.XLOOKUP(A3104,Banks!A:A,Banks!I:I,0)</f>
        <v>44026.975059642631</v>
      </c>
      <c r="F3104">
        <f>_xlfn.XLOOKUP(A3104,Energy!A:A,Energy!I:I,0)</f>
        <v>0</v>
      </c>
      <c r="G3104">
        <f t="shared" si="193"/>
        <v>44026.975059642631</v>
      </c>
      <c r="H3104">
        <f t="shared" si="194"/>
        <v>28741.790013134625</v>
      </c>
      <c r="I3104" t="b">
        <f t="shared" si="195"/>
        <v>0</v>
      </c>
    </row>
    <row r="3105" spans="1:9">
      <c r="A3105" s="1">
        <v>46198.60833333333</v>
      </c>
      <c r="B3105" s="5">
        <f>_xlfn.XLOOKUP(A3105,Banks!A:A,Banks!H:H,0,-1)</f>
        <v>4500.2912616562644</v>
      </c>
      <c r="C3105">
        <f>_xlfn.XLOOKUP(A3105,Energy!A:A,Energy!H:H,0,-1)</f>
        <v>10852.401158839481</v>
      </c>
      <c r="D3105">
        <f t="shared" si="192"/>
        <v>15352.692420495745</v>
      </c>
      <c r="E3105">
        <f>_xlfn.XLOOKUP(A3105,Banks!A:A,Banks!I:I,0)</f>
        <v>44044.438663117908</v>
      </c>
      <c r="F3105">
        <f>_xlfn.XLOOKUP(A3105,Energy!A:A,Energy!I:I,0)</f>
        <v>0</v>
      </c>
      <c r="G3105">
        <f t="shared" si="193"/>
        <v>44044.438663117908</v>
      </c>
      <c r="H3105">
        <f t="shared" si="194"/>
        <v>28691.746242622161</v>
      </c>
      <c r="I3105" t="b">
        <f t="shared" si="195"/>
        <v>0</v>
      </c>
    </row>
    <row r="3106" spans="1:9">
      <c r="A3106" s="1">
        <v>46198.609027777777</v>
      </c>
      <c r="B3106" s="5">
        <f>_xlfn.XLOOKUP(A3106,Banks!A:A,Banks!H:H,0,-1)</f>
        <v>4643.9074202630463</v>
      </c>
      <c r="C3106">
        <f>_xlfn.XLOOKUP(A3106,Energy!A:A,Energy!H:H,0,-1)</f>
        <v>10852.401158839481</v>
      </c>
      <c r="D3106">
        <f t="shared" si="192"/>
        <v>15496.308579102526</v>
      </c>
      <c r="E3106">
        <f>_xlfn.XLOOKUP(A3106,Banks!A:A,Banks!I:I,0)</f>
        <v>44081.086152194774</v>
      </c>
      <c r="F3106">
        <f>_xlfn.XLOOKUP(A3106,Energy!A:A,Energy!I:I,0)</f>
        <v>0</v>
      </c>
      <c r="G3106">
        <f t="shared" si="193"/>
        <v>44081.086152194774</v>
      </c>
      <c r="H3106">
        <f t="shared" si="194"/>
        <v>28584.777573092248</v>
      </c>
      <c r="I3106" t="b">
        <f t="shared" si="195"/>
        <v>0</v>
      </c>
    </row>
    <row r="3107" spans="1:9">
      <c r="A3107" s="1">
        <v>46198.609722222223</v>
      </c>
      <c r="B3107" s="5">
        <f>_xlfn.XLOOKUP(A3107,Banks!A:A,Banks!H:H,0,-1)</f>
        <v>4280.0183396975399</v>
      </c>
      <c r="C3107">
        <f>_xlfn.XLOOKUP(A3107,Energy!A:A,Energy!H:H,0,-1)</f>
        <v>10852.401158839481</v>
      </c>
      <c r="D3107">
        <f t="shared" si="192"/>
        <v>15132.41949853702</v>
      </c>
      <c r="E3107">
        <f>_xlfn.XLOOKUP(A3107,Banks!A:A,Banks!I:I,0)</f>
        <v>44146.982839802797</v>
      </c>
      <c r="F3107">
        <f>_xlfn.XLOOKUP(A3107,Energy!A:A,Energy!I:I,0)</f>
        <v>0</v>
      </c>
      <c r="G3107">
        <f t="shared" si="193"/>
        <v>44146.982839802797</v>
      </c>
      <c r="H3107">
        <f t="shared" si="194"/>
        <v>29014.563341265777</v>
      </c>
      <c r="I3107" t="b">
        <f t="shared" si="195"/>
        <v>0</v>
      </c>
    </row>
    <row r="3108" spans="1:9">
      <c r="A3108" s="1">
        <v>46198.61041666667</v>
      </c>
      <c r="B3108" s="5">
        <f>_xlfn.XLOOKUP(A3108,Banks!A:A,Banks!H:H,0,-1)</f>
        <v>3833.226929831405</v>
      </c>
      <c r="C3108">
        <f>_xlfn.XLOOKUP(A3108,Energy!A:A,Energy!H:H,0,-1)</f>
        <v>10852.401158839481</v>
      </c>
      <c r="D3108">
        <f t="shared" si="192"/>
        <v>14685.628088670885</v>
      </c>
      <c r="E3108">
        <f>_xlfn.XLOOKUP(A3108,Banks!A:A,Banks!I:I,0)</f>
        <v>44291.390149816623</v>
      </c>
      <c r="F3108">
        <f>_xlfn.XLOOKUP(A3108,Energy!A:A,Energy!I:I,0)</f>
        <v>0</v>
      </c>
      <c r="G3108">
        <f t="shared" si="193"/>
        <v>44291.390149816623</v>
      </c>
      <c r="H3108">
        <f t="shared" si="194"/>
        <v>29605.762061145739</v>
      </c>
      <c r="I3108" t="b">
        <f t="shared" si="195"/>
        <v>0</v>
      </c>
    </row>
    <row r="3109" spans="1:9">
      <c r="A3109" s="1">
        <v>46198.611111111109</v>
      </c>
      <c r="B3109" s="5">
        <f>_xlfn.XLOOKUP(A3109,Banks!A:A,Banks!H:H,0,-1)</f>
        <v>3972.9533671721761</v>
      </c>
      <c r="C3109">
        <f>_xlfn.XLOOKUP(A3109,Energy!A:A,Energy!H:H,0,-1)</f>
        <v>10852.401158839481</v>
      </c>
      <c r="D3109">
        <f t="shared" si="192"/>
        <v>14825.354526011657</v>
      </c>
      <c r="E3109">
        <f>_xlfn.XLOOKUP(A3109,Banks!A:A,Banks!I:I,0)</f>
        <v>44208.395834307878</v>
      </c>
      <c r="F3109">
        <f>_xlfn.XLOOKUP(A3109,Energy!A:A,Energy!I:I,0)</f>
        <v>0</v>
      </c>
      <c r="G3109">
        <f t="shared" si="193"/>
        <v>44208.395834307878</v>
      </c>
      <c r="H3109">
        <f t="shared" si="194"/>
        <v>29383.041308296219</v>
      </c>
      <c r="I3109" t="b">
        <f t="shared" si="195"/>
        <v>0</v>
      </c>
    </row>
    <row r="3110" spans="1:9">
      <c r="A3110" s="1">
        <v>46198.611805555563</v>
      </c>
      <c r="B3110" s="5">
        <f>_xlfn.XLOOKUP(A3110,Banks!A:A,Banks!H:H,0,-1)</f>
        <v>3978.946955677477</v>
      </c>
      <c r="C3110">
        <f>_xlfn.XLOOKUP(A3110,Energy!A:A,Energy!H:H,0,-1)</f>
        <v>10852.401158839481</v>
      </c>
      <c r="D3110">
        <f t="shared" si="192"/>
        <v>14831.348114516957</v>
      </c>
      <c r="E3110">
        <f>_xlfn.XLOOKUP(A3110,Banks!A:A,Banks!I:I,0)</f>
        <v>44217.518809364417</v>
      </c>
      <c r="F3110">
        <f>_xlfn.XLOOKUP(A3110,Energy!A:A,Energy!I:I,0)</f>
        <v>0</v>
      </c>
      <c r="G3110">
        <f t="shared" si="193"/>
        <v>44217.518809364417</v>
      </c>
      <c r="H3110">
        <f t="shared" si="194"/>
        <v>29386.17069484746</v>
      </c>
      <c r="I3110" t="b">
        <f t="shared" si="195"/>
        <v>0</v>
      </c>
    </row>
    <row r="3111" spans="1:9">
      <c r="A3111" s="1">
        <v>46198.612500000003</v>
      </c>
      <c r="B3111" s="5">
        <f>_xlfn.XLOOKUP(A3111,Banks!A:A,Banks!H:H,0,-1)</f>
        <v>3993.5419548141158</v>
      </c>
      <c r="C3111">
        <f>_xlfn.XLOOKUP(A3111,Energy!A:A,Energy!H:H,0,-1)</f>
        <v>10852.401158839481</v>
      </c>
      <c r="D3111">
        <f t="shared" si="192"/>
        <v>14845.943113653597</v>
      </c>
      <c r="E3111">
        <f>_xlfn.XLOOKUP(A3111,Banks!A:A,Banks!I:I,0)</f>
        <v>44228.362066547248</v>
      </c>
      <c r="F3111">
        <f>_xlfn.XLOOKUP(A3111,Energy!A:A,Energy!I:I,0)</f>
        <v>0</v>
      </c>
      <c r="G3111">
        <f t="shared" si="193"/>
        <v>44228.362066547248</v>
      </c>
      <c r="H3111">
        <f t="shared" si="194"/>
        <v>29382.418952893651</v>
      </c>
      <c r="I3111" t="b">
        <f t="shared" si="195"/>
        <v>0</v>
      </c>
    </row>
    <row r="3112" spans="1:9">
      <c r="A3112" s="1">
        <v>46198.613194444442</v>
      </c>
      <c r="B3112" s="5">
        <f>_xlfn.XLOOKUP(A3112,Banks!A:A,Banks!H:H,0,-1)</f>
        <v>3905.6979706278362</v>
      </c>
      <c r="C3112">
        <f>_xlfn.XLOOKUP(A3112,Energy!A:A,Energy!H:H,0,-1)</f>
        <v>10852.401158839481</v>
      </c>
      <c r="D3112">
        <f t="shared" si="192"/>
        <v>14758.099129467317</v>
      </c>
      <c r="E3112">
        <f>_xlfn.XLOOKUP(A3112,Banks!A:A,Banks!I:I,0)</f>
        <v>44242.490299131969</v>
      </c>
      <c r="F3112">
        <f>_xlfn.XLOOKUP(A3112,Energy!A:A,Energy!I:I,0)</f>
        <v>0</v>
      </c>
      <c r="G3112">
        <f t="shared" si="193"/>
        <v>44242.490299131969</v>
      </c>
      <c r="H3112">
        <f t="shared" si="194"/>
        <v>29484.391169664654</v>
      </c>
      <c r="I3112" t="b">
        <f t="shared" si="195"/>
        <v>0</v>
      </c>
    </row>
    <row r="3113" spans="1:9">
      <c r="A3113" s="1">
        <v>46198.613888888889</v>
      </c>
      <c r="B3113" s="5">
        <f>_xlfn.XLOOKUP(A3113,Banks!A:A,Banks!H:H,0,-1)</f>
        <v>3976.339133551432</v>
      </c>
      <c r="C3113">
        <f>_xlfn.XLOOKUP(A3113,Energy!A:A,Energy!H:H,0,-1)</f>
        <v>10852.401158839481</v>
      </c>
      <c r="D3113">
        <f t="shared" si="192"/>
        <v>14828.740292390912</v>
      </c>
      <c r="E3113">
        <f>_xlfn.XLOOKUP(A3113,Banks!A:A,Banks!I:I,0)</f>
        <v>44224.92150229471</v>
      </c>
      <c r="F3113">
        <f>_xlfn.XLOOKUP(A3113,Energy!A:A,Energy!I:I,0)</f>
        <v>0</v>
      </c>
      <c r="G3113">
        <f t="shared" si="193"/>
        <v>44224.92150229471</v>
      </c>
      <c r="H3113">
        <f t="shared" si="194"/>
        <v>29396.1812099038</v>
      </c>
      <c r="I3113" t="b">
        <f t="shared" si="195"/>
        <v>0</v>
      </c>
    </row>
    <row r="3114" spans="1:9">
      <c r="A3114" s="1">
        <v>46198.614583333343</v>
      </c>
      <c r="B3114" s="5">
        <f>_xlfn.XLOOKUP(A3114,Banks!A:A,Banks!H:H,0,-1)</f>
        <v>3930.7242582686581</v>
      </c>
      <c r="C3114">
        <f>_xlfn.XLOOKUP(A3114,Energy!A:A,Energy!H:H,0,-1)</f>
        <v>10852.401158839481</v>
      </c>
      <c r="D3114">
        <f t="shared" si="192"/>
        <v>14783.125417108138</v>
      </c>
      <c r="E3114">
        <f>_xlfn.XLOOKUP(A3114,Banks!A:A,Banks!I:I,0)</f>
        <v>44223.72278459365</v>
      </c>
      <c r="F3114">
        <f>_xlfn.XLOOKUP(A3114,Energy!A:A,Energy!I:I,0)</f>
        <v>0</v>
      </c>
      <c r="G3114">
        <f t="shared" si="193"/>
        <v>44223.72278459365</v>
      </c>
      <c r="H3114">
        <f t="shared" si="194"/>
        <v>29440.597367485512</v>
      </c>
      <c r="I3114" t="b">
        <f t="shared" si="195"/>
        <v>0</v>
      </c>
    </row>
    <row r="3115" spans="1:9">
      <c r="A3115" s="1">
        <v>46198.615277777782</v>
      </c>
      <c r="B3115" s="5">
        <f>_xlfn.XLOOKUP(A3115,Banks!A:A,Banks!H:H,0,-1)</f>
        <v>4073.5624726222559</v>
      </c>
      <c r="C3115">
        <f>_xlfn.XLOOKUP(A3115,Energy!A:A,Energy!H:H,0,-1)</f>
        <v>10852.401158839481</v>
      </c>
      <c r="D3115">
        <f t="shared" si="192"/>
        <v>14925.963631461736</v>
      </c>
      <c r="E3115">
        <f>_xlfn.XLOOKUP(A3115,Banks!A:A,Banks!I:I,0)</f>
        <v>44236.441912753377</v>
      </c>
      <c r="F3115">
        <f>_xlfn.XLOOKUP(A3115,Energy!A:A,Energy!I:I,0)</f>
        <v>0</v>
      </c>
      <c r="G3115">
        <f t="shared" si="193"/>
        <v>44236.441912753377</v>
      </c>
      <c r="H3115">
        <f t="shared" si="194"/>
        <v>29310.478281291638</v>
      </c>
      <c r="I3115" t="b">
        <f t="shared" si="195"/>
        <v>0</v>
      </c>
    </row>
    <row r="3116" spans="1:9">
      <c r="A3116" s="1">
        <v>46198.615972222222</v>
      </c>
      <c r="B3116" s="5">
        <f>_xlfn.XLOOKUP(A3116,Banks!A:A,Banks!H:H,0,-1)</f>
        <v>4054.529773486724</v>
      </c>
      <c r="C3116">
        <f>_xlfn.XLOOKUP(A3116,Energy!A:A,Energy!H:H,0,-1)</f>
        <v>10852.401158839481</v>
      </c>
      <c r="D3116">
        <f t="shared" si="192"/>
        <v>14906.930932326204</v>
      </c>
      <c r="E3116">
        <f>_xlfn.XLOOKUP(A3116,Banks!A:A,Banks!I:I,0)</f>
        <v>44264.332402348249</v>
      </c>
      <c r="F3116">
        <f>_xlfn.XLOOKUP(A3116,Energy!A:A,Energy!I:I,0)</f>
        <v>0</v>
      </c>
      <c r="G3116">
        <f t="shared" si="193"/>
        <v>44264.332402348249</v>
      </c>
      <c r="H3116">
        <f t="shared" si="194"/>
        <v>29357.401470022043</v>
      </c>
      <c r="I3116" t="b">
        <f t="shared" si="195"/>
        <v>0</v>
      </c>
    </row>
    <row r="3117" spans="1:9">
      <c r="A3117" s="1">
        <v>46198.616666666669</v>
      </c>
      <c r="B3117" s="5">
        <f>_xlfn.XLOOKUP(A3117,Banks!A:A,Banks!H:H,0,-1)</f>
        <v>3990.934132688069</v>
      </c>
      <c r="C3117">
        <f>_xlfn.XLOOKUP(A3117,Energy!A:A,Energy!H:H,0,-1)</f>
        <v>10852.401158839481</v>
      </c>
      <c r="D3117">
        <f t="shared" si="192"/>
        <v>14843.33529152755</v>
      </c>
      <c r="E3117">
        <f>_xlfn.XLOOKUP(A3117,Banks!A:A,Banks!I:I,0)</f>
        <v>44235.764759477534</v>
      </c>
      <c r="F3117">
        <f>_xlfn.XLOOKUP(A3117,Energy!A:A,Energy!I:I,0)</f>
        <v>0</v>
      </c>
      <c r="G3117">
        <f t="shared" si="193"/>
        <v>44235.764759477534</v>
      </c>
      <c r="H3117">
        <f t="shared" si="194"/>
        <v>29392.429467949984</v>
      </c>
      <c r="I3117" t="b">
        <f t="shared" si="195"/>
        <v>0</v>
      </c>
    </row>
    <row r="3118" spans="1:9">
      <c r="A3118" s="1">
        <v>46198.617361111108</v>
      </c>
      <c r="B3118" s="5">
        <f>_xlfn.XLOOKUP(A3118,Banks!A:A,Banks!H:H,0,-1)</f>
        <v>4010.7447760768118</v>
      </c>
      <c r="C3118">
        <f>_xlfn.XLOOKUP(A3118,Energy!A:A,Energy!H:H,0,-1)</f>
        <v>10852.401158839481</v>
      </c>
      <c r="D3118">
        <f t="shared" si="192"/>
        <v>14863.145934916292</v>
      </c>
      <c r="E3118">
        <f>_xlfn.XLOOKUP(A3118,Banks!A:A,Banks!I:I,0)</f>
        <v>44231.802630799793</v>
      </c>
      <c r="F3118">
        <f>_xlfn.XLOOKUP(A3118,Energy!A:A,Energy!I:I,0)</f>
        <v>0</v>
      </c>
      <c r="G3118">
        <f t="shared" si="193"/>
        <v>44231.802630799793</v>
      </c>
      <c r="H3118">
        <f t="shared" si="194"/>
        <v>29368.656695883503</v>
      </c>
      <c r="I3118" t="b">
        <f t="shared" si="195"/>
        <v>0</v>
      </c>
    </row>
    <row r="3119" spans="1:9">
      <c r="A3119" s="1">
        <v>46198.618055555547</v>
      </c>
      <c r="B3119" s="5">
        <f>_xlfn.XLOOKUP(A3119,Banks!A:A,Banks!H:H,0,-1)</f>
        <v>3931.7541799652531</v>
      </c>
      <c r="C3119">
        <f>_xlfn.XLOOKUP(A3119,Energy!A:A,Energy!H:H,0,-1)</f>
        <v>10852.401158839481</v>
      </c>
      <c r="D3119">
        <f t="shared" si="192"/>
        <v>14784.155338804734</v>
      </c>
      <c r="E3119">
        <f>_xlfn.XLOOKUP(A3119,Banks!A:A,Banks!I:I,0)</f>
        <v>44299.209213810151</v>
      </c>
      <c r="F3119">
        <f>_xlfn.XLOOKUP(A3119,Energy!A:A,Energy!I:I,0)</f>
        <v>0</v>
      </c>
      <c r="G3119">
        <f t="shared" si="193"/>
        <v>44299.209213810151</v>
      </c>
      <c r="H3119">
        <f t="shared" si="194"/>
        <v>29515.053875005418</v>
      </c>
      <c r="I3119" t="b">
        <f t="shared" si="195"/>
        <v>0</v>
      </c>
    </row>
    <row r="3120" spans="1:9">
      <c r="A3120" s="1">
        <v>46198.618750000001</v>
      </c>
      <c r="B3120" s="5">
        <f>_xlfn.XLOOKUP(A3120,Banks!A:A,Banks!H:H,0,-1)</f>
        <v>3864.4987834209128</v>
      </c>
      <c r="C3120">
        <f>_xlfn.XLOOKUP(A3120,Energy!A:A,Energy!H:H,0,-1)</f>
        <v>10852.401158839481</v>
      </c>
      <c r="D3120">
        <f t="shared" si="192"/>
        <v>14716.899942260394</v>
      </c>
      <c r="E3120">
        <f>_xlfn.XLOOKUP(A3120,Banks!A:A,Banks!I:I,0)</f>
        <v>44333.303678634249</v>
      </c>
      <c r="F3120">
        <f>_xlfn.XLOOKUP(A3120,Energy!A:A,Energy!I:I,0)</f>
        <v>0</v>
      </c>
      <c r="G3120">
        <f t="shared" si="193"/>
        <v>44333.303678634249</v>
      </c>
      <c r="H3120">
        <f t="shared" si="194"/>
        <v>29616.403736373853</v>
      </c>
      <c r="I3120" t="b">
        <f t="shared" si="195"/>
        <v>0</v>
      </c>
    </row>
    <row r="3121" spans="1:9">
      <c r="A3121" s="1">
        <v>46198.619444444441</v>
      </c>
      <c r="B3121" s="5">
        <f>_xlfn.XLOOKUP(A3121,Banks!A:A,Banks!H:H,0,-1)</f>
        <v>3777.4327434878578</v>
      </c>
      <c r="C3121">
        <f>_xlfn.XLOOKUP(A3121,Energy!A:A,Energy!H:H,0,-1)</f>
        <v>10852.401158839481</v>
      </c>
      <c r="D3121">
        <f t="shared" si="192"/>
        <v>14629.833902327338</v>
      </c>
      <c r="E3121">
        <f>_xlfn.XLOOKUP(A3121,Banks!A:A,Banks!I:I,0)</f>
        <v>44371.36027213608</v>
      </c>
      <c r="F3121">
        <f>_xlfn.XLOOKUP(A3121,Energy!A:A,Energy!I:I,0)</f>
        <v>0</v>
      </c>
      <c r="G3121">
        <f t="shared" si="193"/>
        <v>44371.36027213608</v>
      </c>
      <c r="H3121">
        <f t="shared" si="194"/>
        <v>29741.526369808744</v>
      </c>
      <c r="I3121" t="b">
        <f t="shared" si="195"/>
        <v>0</v>
      </c>
    </row>
    <row r="3122" spans="1:9">
      <c r="A3122" s="1">
        <v>46198.620138888888</v>
      </c>
      <c r="B3122" s="5">
        <f>_xlfn.XLOOKUP(A3122,Banks!A:A,Banks!H:H,0,-1)</f>
        <v>3885.339348506252</v>
      </c>
      <c r="C3122">
        <f>_xlfn.XLOOKUP(A3122,Energy!A:A,Energy!H:H,0,-1)</f>
        <v>10852.401158839481</v>
      </c>
      <c r="D3122">
        <f t="shared" si="192"/>
        <v>14737.740507345732</v>
      </c>
      <c r="E3122">
        <f>_xlfn.XLOOKUP(A3122,Banks!A:A,Banks!I:I,0)</f>
        <v>44404.827979173002</v>
      </c>
      <c r="F3122">
        <f>_xlfn.XLOOKUP(A3122,Energy!A:A,Energy!I:I,0)</f>
        <v>0</v>
      </c>
      <c r="G3122">
        <f t="shared" si="193"/>
        <v>44404.827979173002</v>
      </c>
      <c r="H3122">
        <f t="shared" si="194"/>
        <v>29667.087471827268</v>
      </c>
      <c r="I3122" t="b">
        <f t="shared" si="195"/>
        <v>0</v>
      </c>
    </row>
    <row r="3123" spans="1:9">
      <c r="A3123" s="1">
        <v>46198.620833333327</v>
      </c>
      <c r="B3123" s="5">
        <f>_xlfn.XLOOKUP(A3123,Banks!A:A,Banks!H:H,0,-1)</f>
        <v>3825.129474086852</v>
      </c>
      <c r="C3123">
        <f>_xlfn.XLOOKUP(A3123,Energy!A:A,Energy!H:H,0,-1)</f>
        <v>10852.401158839481</v>
      </c>
      <c r="D3123">
        <f t="shared" si="192"/>
        <v>14677.530632926333</v>
      </c>
      <c r="E3123">
        <f>_xlfn.XLOOKUP(A3123,Banks!A:A,Banks!I:I,0)</f>
        <v>44392.786004289133</v>
      </c>
      <c r="F3123">
        <f>_xlfn.XLOOKUP(A3123,Energy!A:A,Energy!I:I,0)</f>
        <v>0</v>
      </c>
      <c r="G3123">
        <f t="shared" si="193"/>
        <v>44392.786004289133</v>
      </c>
      <c r="H3123">
        <f t="shared" si="194"/>
        <v>29715.2553713628</v>
      </c>
      <c r="I3123" t="b">
        <f t="shared" si="195"/>
        <v>0</v>
      </c>
    </row>
    <row r="3124" spans="1:9">
      <c r="A3124" s="1">
        <v>46198.621527777781</v>
      </c>
      <c r="B3124" s="5">
        <f>_xlfn.XLOOKUP(A3124,Banks!A:A,Banks!H:H,0,-1)</f>
        <v>3832.952940464977</v>
      </c>
      <c r="C3124">
        <f>_xlfn.XLOOKUP(A3124,Energy!A:A,Energy!H:H,0,-1)</f>
        <v>10852.401158839481</v>
      </c>
      <c r="D3124">
        <f t="shared" si="192"/>
        <v>14685.354099304457</v>
      </c>
      <c r="E3124">
        <f>_xlfn.XLOOKUP(A3124,Banks!A:A,Banks!I:I,0)</f>
        <v>44370.577925498277</v>
      </c>
      <c r="F3124">
        <f>_xlfn.XLOOKUP(A3124,Energy!A:A,Energy!I:I,0)</f>
        <v>0</v>
      </c>
      <c r="G3124">
        <f t="shared" si="193"/>
        <v>44370.577925498277</v>
      </c>
      <c r="H3124">
        <f t="shared" si="194"/>
        <v>29685.223826193818</v>
      </c>
      <c r="I3124" t="b">
        <f t="shared" si="195"/>
        <v>0</v>
      </c>
    </row>
    <row r="3125" spans="1:9">
      <c r="A3125" s="1">
        <v>46198.62222222222</v>
      </c>
      <c r="B3125" s="5">
        <f>_xlfn.XLOOKUP(A3125,Banks!A:A,Banks!H:H,0,-1)</f>
        <v>3899.682370199504</v>
      </c>
      <c r="C3125">
        <f>_xlfn.XLOOKUP(A3125,Energy!A:A,Energy!H:H,0,-1)</f>
        <v>10852.401158839481</v>
      </c>
      <c r="D3125">
        <f t="shared" si="192"/>
        <v>14752.083529038984</v>
      </c>
      <c r="E3125">
        <f>_xlfn.XLOOKUP(A3125,Banks!A:A,Banks!I:I,0)</f>
        <v>44364.113168056443</v>
      </c>
      <c r="F3125">
        <f>_xlfn.XLOOKUP(A3125,Energy!A:A,Energy!I:I,0)</f>
        <v>0</v>
      </c>
      <c r="G3125">
        <f t="shared" si="193"/>
        <v>44364.113168056443</v>
      </c>
      <c r="H3125">
        <f t="shared" si="194"/>
        <v>29612.029639017459</v>
      </c>
      <c r="I3125" t="b">
        <f t="shared" si="195"/>
        <v>0</v>
      </c>
    </row>
    <row r="3126" spans="1:9">
      <c r="A3126" s="1">
        <v>46198.622916666667</v>
      </c>
      <c r="B3126" s="5">
        <f>_xlfn.XLOOKUP(A3126,Banks!A:A,Banks!H:H,0,-1)</f>
        <v>3875.9599936216919</v>
      </c>
      <c r="C3126">
        <f>_xlfn.XLOOKUP(A3126,Energy!A:A,Energy!H:H,0,-1)</f>
        <v>10852.401158839481</v>
      </c>
      <c r="D3126">
        <f t="shared" si="192"/>
        <v>14728.361152461173</v>
      </c>
      <c r="E3126">
        <f>_xlfn.XLOOKUP(A3126,Banks!A:A,Banks!I:I,0)</f>
        <v>44379.179336129608</v>
      </c>
      <c r="F3126">
        <f>_xlfn.XLOOKUP(A3126,Energy!A:A,Energy!I:I,0)</f>
        <v>0</v>
      </c>
      <c r="G3126">
        <f t="shared" si="193"/>
        <v>44379.179336129608</v>
      </c>
      <c r="H3126">
        <f t="shared" si="194"/>
        <v>29650.818183668434</v>
      </c>
      <c r="I3126" t="b">
        <f t="shared" si="195"/>
        <v>0</v>
      </c>
    </row>
    <row r="3127" spans="1:9">
      <c r="A3127" s="1">
        <v>46198.623611111107</v>
      </c>
      <c r="B3127" s="5">
        <f>_xlfn.XLOOKUP(A3127,Banks!A:A,Banks!H:H,0,-1)</f>
        <v>3918.9670467784072</v>
      </c>
      <c r="C3127">
        <f>_xlfn.XLOOKUP(A3127,Energy!A:A,Energy!H:H,0,-1)</f>
        <v>10852.401158839481</v>
      </c>
      <c r="D3127">
        <f t="shared" si="192"/>
        <v>14771.368205617888</v>
      </c>
      <c r="E3127">
        <f>_xlfn.XLOOKUP(A3127,Banks!A:A,Banks!I:I,0)</f>
        <v>44387.780746760953</v>
      </c>
      <c r="F3127">
        <f>_xlfn.XLOOKUP(A3127,Energy!A:A,Energy!I:I,0)</f>
        <v>0</v>
      </c>
      <c r="G3127">
        <f t="shared" si="193"/>
        <v>44387.780746760953</v>
      </c>
      <c r="H3127">
        <f t="shared" si="194"/>
        <v>29616.412541143065</v>
      </c>
      <c r="I3127" t="b">
        <f t="shared" si="195"/>
        <v>0</v>
      </c>
    </row>
    <row r="3128" spans="1:9">
      <c r="A3128" s="1">
        <v>46198.624305555553</v>
      </c>
      <c r="B3128" s="5">
        <f>_xlfn.XLOOKUP(A3128,Banks!A:A,Banks!H:H,0,-1)</f>
        <v>3886.1172927594612</v>
      </c>
      <c r="C3128">
        <f>_xlfn.XLOOKUP(A3128,Energy!A:A,Energy!H:H,0,-1)</f>
        <v>10852.401158839481</v>
      </c>
      <c r="D3128">
        <f t="shared" si="192"/>
        <v>14738.518451598942</v>
      </c>
      <c r="E3128">
        <f>_xlfn.XLOOKUP(A3128,Banks!A:A,Banks!I:I,0)</f>
        <v>44428.756340090127</v>
      </c>
      <c r="F3128">
        <f>_xlfn.XLOOKUP(A3128,Energy!A:A,Energy!I:I,0)</f>
        <v>0</v>
      </c>
      <c r="G3128">
        <f t="shared" si="193"/>
        <v>44428.756340090127</v>
      </c>
      <c r="H3128">
        <f t="shared" si="194"/>
        <v>29690.237888491185</v>
      </c>
      <c r="I3128" t="b">
        <f t="shared" si="195"/>
        <v>0</v>
      </c>
    </row>
    <row r="3129" spans="1:9">
      <c r="A3129" s="1">
        <v>46198.625</v>
      </c>
      <c r="B3129" s="5">
        <f>_xlfn.XLOOKUP(A3129,Banks!A:A,Banks!H:H,0,-1)</f>
        <v>3830.0711289725018</v>
      </c>
      <c r="C3129">
        <f>_xlfn.XLOOKUP(A3129,Energy!A:A,Energy!H:H,0,-1)</f>
        <v>10852.401158839481</v>
      </c>
      <c r="D3129">
        <f t="shared" si="192"/>
        <v>14682.472287811983</v>
      </c>
      <c r="E3129">
        <f>_xlfn.XLOOKUP(A3129,Banks!A:A,Banks!I:I,0)</f>
        <v>44457.168394110202</v>
      </c>
      <c r="F3129">
        <f>_xlfn.XLOOKUP(A3129,Energy!A:A,Energy!I:I,0)</f>
        <v>0</v>
      </c>
      <c r="G3129">
        <f t="shared" si="193"/>
        <v>44457.168394110202</v>
      </c>
      <c r="H3129">
        <f t="shared" si="194"/>
        <v>29774.696106298219</v>
      </c>
      <c r="I3129" t="b">
        <f t="shared" si="195"/>
        <v>0</v>
      </c>
    </row>
    <row r="3130" spans="1:9">
      <c r="A3130" s="1">
        <v>46198.625694444447</v>
      </c>
      <c r="B3130" s="5">
        <f>_xlfn.XLOOKUP(A3130,Banks!A:A,Banks!H:H,0,-1)</f>
        <v>3794.109597940716</v>
      </c>
      <c r="C3130">
        <f>_xlfn.XLOOKUP(A3130,Energy!A:A,Energy!H:H,0,-1)</f>
        <v>10852.401158839481</v>
      </c>
      <c r="D3130">
        <f t="shared" si="192"/>
        <v>14646.510756780197</v>
      </c>
      <c r="E3130">
        <f>_xlfn.XLOOKUP(A3130,Banks!A:A,Banks!I:I,0)</f>
        <v>44402.430543770883</v>
      </c>
      <c r="F3130">
        <f>_xlfn.XLOOKUP(A3130,Energy!A:A,Energy!I:I,0)</f>
        <v>0</v>
      </c>
      <c r="G3130">
        <f t="shared" si="193"/>
        <v>44402.430543770883</v>
      </c>
      <c r="H3130">
        <f t="shared" si="194"/>
        <v>29755.919786990686</v>
      </c>
      <c r="I3130" t="b">
        <f t="shared" si="195"/>
        <v>0</v>
      </c>
    </row>
    <row r="3131" spans="1:9">
      <c r="A3131" s="1">
        <v>46198.626388888893</v>
      </c>
      <c r="B3131" s="5">
        <f>_xlfn.XLOOKUP(A3131,Banks!A:A,Banks!H:H,0,-1)</f>
        <v>3768.031376680256</v>
      </c>
      <c r="C3131">
        <f>_xlfn.XLOOKUP(A3131,Energy!A:A,Energy!H:H,0,-1)</f>
        <v>10852.401158839481</v>
      </c>
      <c r="D3131">
        <f t="shared" si="192"/>
        <v>14620.432535519736</v>
      </c>
      <c r="E3131">
        <f>_xlfn.XLOOKUP(A3131,Banks!A:A,Banks!I:I,0)</f>
        <v>44476.457473073729</v>
      </c>
      <c r="F3131">
        <f>_xlfn.XLOOKUP(A3131,Energy!A:A,Energy!I:I,0)</f>
        <v>0</v>
      </c>
      <c r="G3131">
        <f t="shared" si="193"/>
        <v>44476.457473073729</v>
      </c>
      <c r="H3131">
        <f t="shared" si="194"/>
        <v>29856.024937553993</v>
      </c>
      <c r="I3131" t="b">
        <f t="shared" si="195"/>
        <v>0</v>
      </c>
    </row>
    <row r="3132" spans="1:9">
      <c r="A3132" s="1">
        <v>46198.627083333333</v>
      </c>
      <c r="B3132" s="5">
        <f>_xlfn.XLOOKUP(A3132,Banks!A:A,Banks!H:H,0,-1)</f>
        <v>3792.7836749546491</v>
      </c>
      <c r="C3132">
        <f>_xlfn.XLOOKUP(A3132,Energy!A:A,Energy!H:H,0,-1)</f>
        <v>10852.401158839481</v>
      </c>
      <c r="D3132">
        <f t="shared" si="192"/>
        <v>14645.18483379413</v>
      </c>
      <c r="E3132">
        <f>_xlfn.XLOOKUP(A3132,Banks!A:A,Banks!I:I,0)</f>
        <v>44536.877734217058</v>
      </c>
      <c r="F3132">
        <f>_xlfn.XLOOKUP(A3132,Energy!A:A,Energy!I:I,0)</f>
        <v>0</v>
      </c>
      <c r="G3132">
        <f t="shared" si="193"/>
        <v>44536.877734217058</v>
      </c>
      <c r="H3132">
        <f t="shared" si="194"/>
        <v>29891.692900422928</v>
      </c>
      <c r="I3132" t="b">
        <f t="shared" si="195"/>
        <v>0</v>
      </c>
    </row>
    <row r="3133" spans="1:9">
      <c r="A3133" s="1">
        <v>46198.62777777778</v>
      </c>
      <c r="B3133" s="5">
        <f>_xlfn.XLOOKUP(A3133,Banks!A:A,Banks!H:H,0,-1)</f>
        <v>3568.8730091732841</v>
      </c>
      <c r="C3133">
        <f>_xlfn.XLOOKUP(A3133,Energy!A:A,Energy!H:H,0,-1)</f>
        <v>10852.401158839481</v>
      </c>
      <c r="D3133">
        <f t="shared" si="192"/>
        <v>14421.274168012766</v>
      </c>
      <c r="E3133">
        <f>_xlfn.XLOOKUP(A3133,Banks!A:A,Banks!I:I,0)</f>
        <v>44571.338174615717</v>
      </c>
      <c r="F3133">
        <f>_xlfn.XLOOKUP(A3133,Energy!A:A,Energy!I:I,0)</f>
        <v>0</v>
      </c>
      <c r="G3133">
        <f t="shared" si="193"/>
        <v>44571.338174615717</v>
      </c>
      <c r="H3133">
        <f t="shared" si="194"/>
        <v>30150.064006602952</v>
      </c>
      <c r="I3133" t="b">
        <f t="shared" si="195"/>
        <v>0</v>
      </c>
    </row>
    <row r="3134" spans="1:9">
      <c r="A3134" s="1">
        <v>46198.628472222219</v>
      </c>
      <c r="B3134" s="5">
        <f>_xlfn.XLOOKUP(A3134,Banks!A:A,Banks!H:H,0,-1)</f>
        <v>3662.7105818648652</v>
      </c>
      <c r="C3134">
        <f>_xlfn.XLOOKUP(A3134,Energy!A:A,Energy!H:H,0,-1)</f>
        <v>10852.401158839481</v>
      </c>
      <c r="D3134">
        <f t="shared" si="192"/>
        <v>14515.111740704346</v>
      </c>
      <c r="E3134">
        <f>_xlfn.XLOOKUP(A3134,Banks!A:A,Banks!I:I,0)</f>
        <v>44566.332917087551</v>
      </c>
      <c r="F3134">
        <f>_xlfn.XLOOKUP(A3134,Energy!A:A,Energy!I:I,0)</f>
        <v>0</v>
      </c>
      <c r="G3134">
        <f t="shared" si="193"/>
        <v>44566.332917087551</v>
      </c>
      <c r="H3134">
        <f t="shared" si="194"/>
        <v>30051.221176383206</v>
      </c>
      <c r="I3134" t="b">
        <f t="shared" si="195"/>
        <v>0</v>
      </c>
    </row>
    <row r="3135" spans="1:9">
      <c r="A3135" s="1">
        <v>46198.629166666673</v>
      </c>
      <c r="B3135" s="5">
        <f>_xlfn.XLOOKUP(A3135,Banks!A:A,Banks!H:H,0,-1)</f>
        <v>3562.3534538581821</v>
      </c>
      <c r="C3135">
        <f>_xlfn.XLOOKUP(A3135,Energy!A:A,Energy!H:H,0,-1)</f>
        <v>10852.401158839481</v>
      </c>
      <c r="D3135">
        <f t="shared" si="192"/>
        <v>14414.754612697663</v>
      </c>
      <c r="E3135">
        <f>_xlfn.XLOOKUP(A3135,Banks!A:A,Banks!I:I,0)</f>
        <v>44589.844906941398</v>
      </c>
      <c r="F3135">
        <f>_xlfn.XLOOKUP(A3135,Energy!A:A,Energy!I:I,0)</f>
        <v>0</v>
      </c>
      <c r="G3135">
        <f t="shared" si="193"/>
        <v>44589.844906941398</v>
      </c>
      <c r="H3135">
        <f t="shared" si="194"/>
        <v>30175.090294243735</v>
      </c>
      <c r="I3135" t="b">
        <f t="shared" si="195"/>
        <v>0</v>
      </c>
    </row>
    <row r="3136" spans="1:9">
      <c r="A3136" s="1">
        <v>46198.629861111112</v>
      </c>
      <c r="B3136" s="5">
        <f>_xlfn.XLOOKUP(A3136,Banks!A:A,Banks!H:H,0,-1)</f>
        <v>3590.5135304348751</v>
      </c>
      <c r="C3136">
        <f>_xlfn.XLOOKUP(A3136,Energy!A:A,Energy!H:H,0,-1)</f>
        <v>10852.401158839481</v>
      </c>
      <c r="D3136">
        <f t="shared" si="192"/>
        <v>14442.914689274356</v>
      </c>
      <c r="E3136">
        <f>_xlfn.XLOOKUP(A3136,Banks!A:A,Banks!I:I,0)</f>
        <v>44536.044992090567</v>
      </c>
      <c r="F3136">
        <f>_xlfn.XLOOKUP(A3136,Energy!A:A,Energy!I:I,0)</f>
        <v>0</v>
      </c>
      <c r="G3136">
        <f t="shared" si="193"/>
        <v>44536.044992090567</v>
      </c>
      <c r="H3136">
        <f t="shared" si="194"/>
        <v>30093.130302816211</v>
      </c>
      <c r="I3136" t="b">
        <f t="shared" si="195"/>
        <v>0</v>
      </c>
    </row>
    <row r="3137" spans="1:9">
      <c r="A3137" s="1">
        <v>46198.630555555559</v>
      </c>
      <c r="B3137" s="5">
        <f>_xlfn.XLOOKUP(A3137,Banks!A:A,Banks!H:H,0,-1)</f>
        <v>3680.1873924939769</v>
      </c>
      <c r="C3137">
        <f>_xlfn.XLOOKUP(A3137,Energy!A:A,Energy!H:H,0,-1)</f>
        <v>10852.401158839481</v>
      </c>
      <c r="D3137">
        <f t="shared" si="192"/>
        <v>14532.588551333458</v>
      </c>
      <c r="E3137">
        <f>_xlfn.XLOOKUP(A3137,Banks!A:A,Banks!I:I,0)</f>
        <v>44490.585705658443</v>
      </c>
      <c r="F3137">
        <f>_xlfn.XLOOKUP(A3137,Energy!A:A,Energy!I:I,0)</f>
        <v>0</v>
      </c>
      <c r="G3137">
        <f t="shared" si="193"/>
        <v>44490.585705658443</v>
      </c>
      <c r="H3137">
        <f t="shared" si="194"/>
        <v>29957.997154324985</v>
      </c>
      <c r="I3137" t="b">
        <f t="shared" si="195"/>
        <v>0</v>
      </c>
    </row>
    <row r="3138" spans="1:9">
      <c r="A3138" s="1">
        <v>46198.631249999999</v>
      </c>
      <c r="B3138" s="5">
        <f>_xlfn.XLOOKUP(A3138,Banks!A:A,Banks!H:H,0,-1)</f>
        <v>3775.0548868821529</v>
      </c>
      <c r="C3138">
        <f>_xlfn.XLOOKUP(A3138,Energy!A:A,Energy!H:H,0,-1)</f>
        <v>10852.401158839481</v>
      </c>
      <c r="D3138">
        <f t="shared" si="192"/>
        <v>14627.456045721634</v>
      </c>
      <c r="E3138">
        <f>_xlfn.XLOOKUP(A3138,Banks!A:A,Banks!I:I,0)</f>
        <v>44561.066877346777</v>
      </c>
      <c r="F3138">
        <f>_xlfn.XLOOKUP(A3138,Energy!A:A,Energy!I:I,0)</f>
        <v>0</v>
      </c>
      <c r="G3138">
        <f t="shared" si="193"/>
        <v>44561.066877346777</v>
      </c>
      <c r="H3138">
        <f t="shared" si="194"/>
        <v>29933.610831625141</v>
      </c>
      <c r="I3138" t="b">
        <f t="shared" si="195"/>
        <v>0</v>
      </c>
    </row>
    <row r="3139" spans="1:9">
      <c r="A3139" s="1">
        <v>46198.631944444453</v>
      </c>
      <c r="B3139" s="5">
        <f>_xlfn.XLOOKUP(A3139,Banks!A:A,Banks!H:H,0,-1)</f>
        <v>3705.4936270744261</v>
      </c>
      <c r="C3139">
        <f>_xlfn.XLOOKUP(A3139,Energy!A:A,Energy!H:H,0,-1)</f>
        <v>10852.401158839481</v>
      </c>
      <c r="D3139">
        <f t="shared" ref="D3139:D3202" si="196">B3139+C3139</f>
        <v>14557.894785913906</v>
      </c>
      <c r="E3139">
        <f>_xlfn.XLOOKUP(A3139,Banks!A:A,Banks!I:I,0)</f>
        <v>0</v>
      </c>
      <c r="F3139">
        <f>_xlfn.XLOOKUP(A3139,Energy!A:A,Energy!I:I,0)</f>
        <v>0</v>
      </c>
      <c r="G3139">
        <f t="shared" ref="G3139:G3202" si="197">F3139+E3139</f>
        <v>0</v>
      </c>
      <c r="H3139">
        <f t="shared" ref="H3139:H3202" si="198">G3139-D3139</f>
        <v>-14557.894785913906</v>
      </c>
      <c r="I3139" t="b">
        <f t="shared" ref="I3139:I3202" si="199">AND(E3139&gt;0,F3139&gt;0)</f>
        <v>0</v>
      </c>
    </row>
    <row r="3140" spans="1:9">
      <c r="A3140" s="1">
        <v>46198.871527777781</v>
      </c>
      <c r="B3140" s="5">
        <f>_xlfn.XLOOKUP(A3140,Banks!A:A,Banks!H:H,0,-1)</f>
        <v>3705.4936270744261</v>
      </c>
      <c r="C3140">
        <f>_xlfn.XLOOKUP(A3140,Energy!A:A,Energy!H:H,0,-1)</f>
        <v>10852.401158839481</v>
      </c>
      <c r="D3140">
        <f t="shared" si="196"/>
        <v>14557.894785913906</v>
      </c>
      <c r="E3140">
        <f>_xlfn.XLOOKUP(A3140,Banks!A:A,Banks!I:I,0)</f>
        <v>44038.234687888696</v>
      </c>
      <c r="F3140">
        <f>_xlfn.XLOOKUP(A3140,Energy!A:A,Energy!I:I,0)</f>
        <v>0</v>
      </c>
      <c r="G3140">
        <f t="shared" si="197"/>
        <v>44038.234687888696</v>
      </c>
      <c r="H3140">
        <f t="shared" si="198"/>
        <v>29480.339901974789</v>
      </c>
      <c r="I3140" t="b">
        <f t="shared" si="199"/>
        <v>0</v>
      </c>
    </row>
    <row r="3141" spans="1:9">
      <c r="A3141" s="1">
        <v>46198.87222222222</v>
      </c>
      <c r="B3141" s="5">
        <f>_xlfn.XLOOKUP(A3141,Banks!A:A,Banks!H:H,0,-1)</f>
        <v>3679.7027054788391</v>
      </c>
      <c r="C3141">
        <f>_xlfn.XLOOKUP(A3141,Energy!A:A,Energy!H:H,0,-1)</f>
        <v>10852.401158839481</v>
      </c>
      <c r="D3141">
        <f t="shared" si="196"/>
        <v>14532.10386431832</v>
      </c>
      <c r="E3141">
        <f>_xlfn.XLOOKUP(A3141,Banks!A:A,Banks!I:I,0)</f>
        <v>44033.07650356958</v>
      </c>
      <c r="F3141">
        <f>_xlfn.XLOOKUP(A3141,Energy!A:A,Energy!I:I,0)</f>
        <v>0</v>
      </c>
      <c r="G3141">
        <f t="shared" si="197"/>
        <v>44033.07650356958</v>
      </c>
      <c r="H3141">
        <f t="shared" si="198"/>
        <v>29500.97263925126</v>
      </c>
      <c r="I3141" t="b">
        <f t="shared" si="199"/>
        <v>0</v>
      </c>
    </row>
    <row r="3142" spans="1:9">
      <c r="A3142" s="1">
        <v>46198.872916666667</v>
      </c>
      <c r="B3142" s="5">
        <f>_xlfn.XLOOKUP(A3142,Banks!A:A,Banks!H:H,0,-1)</f>
        <v>3797.6431815008659</v>
      </c>
      <c r="C3142">
        <f>_xlfn.XLOOKUP(A3142,Energy!A:A,Energy!H:H,0,-1)</f>
        <v>10852.401158839481</v>
      </c>
      <c r="D3142">
        <f t="shared" si="196"/>
        <v>14650.044340340346</v>
      </c>
      <c r="E3142">
        <f>_xlfn.XLOOKUP(A3142,Banks!A:A,Banks!I:I,0)</f>
        <v>44009.48840836517</v>
      </c>
      <c r="F3142">
        <f>_xlfn.XLOOKUP(A3142,Energy!A:A,Energy!I:I,0)</f>
        <v>0</v>
      </c>
      <c r="G3142">
        <f t="shared" si="197"/>
        <v>44009.48840836517</v>
      </c>
      <c r="H3142">
        <f t="shared" si="198"/>
        <v>29359.444068024823</v>
      </c>
      <c r="I3142" t="b">
        <f t="shared" si="199"/>
        <v>0</v>
      </c>
    </row>
    <row r="3143" spans="1:9">
      <c r="A3143" s="1">
        <v>46198.873611111107</v>
      </c>
      <c r="B3143" s="5">
        <f>_xlfn.XLOOKUP(A3143,Banks!A:A,Banks!H:H,0,-1)</f>
        <v>3698.1736925283772</v>
      </c>
      <c r="C3143">
        <f>_xlfn.XLOOKUP(A3143,Energy!A:A,Energy!H:H,0,-1)</f>
        <v>10852.401158839481</v>
      </c>
      <c r="D3143">
        <f t="shared" si="196"/>
        <v>14550.574851367857</v>
      </c>
      <c r="E3143">
        <f>_xlfn.XLOOKUP(A3143,Banks!A:A,Banks!I:I,0)</f>
        <v>43977.800462968473</v>
      </c>
      <c r="F3143">
        <f>_xlfn.XLOOKUP(A3143,Energy!A:A,Energy!I:I,0)</f>
        <v>0</v>
      </c>
      <c r="G3143">
        <f t="shared" si="197"/>
        <v>43977.800462968473</v>
      </c>
      <c r="H3143">
        <f t="shared" si="198"/>
        <v>29427.225611600617</v>
      </c>
      <c r="I3143" t="b">
        <f t="shared" si="199"/>
        <v>0</v>
      </c>
    </row>
    <row r="3144" spans="1:9">
      <c r="A3144" s="1">
        <v>46198.874305555553</v>
      </c>
      <c r="B3144" s="5">
        <f>_xlfn.XLOOKUP(A3144,Banks!A:A,Banks!H:H,0,-1)</f>
        <v>3618.2468491033078</v>
      </c>
      <c r="C3144">
        <f>_xlfn.XLOOKUP(A3144,Energy!A:A,Energy!H:H,0,-1)</f>
        <v>10852.401158839481</v>
      </c>
      <c r="D3144">
        <f t="shared" si="196"/>
        <v>14470.648007942789</v>
      </c>
      <c r="E3144">
        <f>_xlfn.XLOOKUP(A3144,Banks!A:A,Banks!I:I,0)</f>
        <v>44079.755570305482</v>
      </c>
      <c r="F3144">
        <f>_xlfn.XLOOKUP(A3144,Energy!A:A,Energy!I:I,0)</f>
        <v>0</v>
      </c>
      <c r="G3144">
        <f t="shared" si="197"/>
        <v>44079.755570305482</v>
      </c>
      <c r="H3144">
        <f t="shared" si="198"/>
        <v>29609.107562362693</v>
      </c>
      <c r="I3144" t="b">
        <f t="shared" si="199"/>
        <v>0</v>
      </c>
    </row>
    <row r="3145" spans="1:9">
      <c r="A3145" s="1">
        <v>46199.604166666657</v>
      </c>
      <c r="B3145" s="5">
        <f>_xlfn.XLOOKUP(A3145,Banks!A:A,Banks!H:H,0,-1)</f>
        <v>4103.4172231468929</v>
      </c>
      <c r="C3145">
        <f>_xlfn.XLOOKUP(A3145,Energy!A:A,Energy!H:H,0,-1)</f>
        <v>11028.676869521811</v>
      </c>
      <c r="D3145">
        <f t="shared" si="196"/>
        <v>15132.094092668704</v>
      </c>
      <c r="E3145">
        <f>_xlfn.XLOOKUP(A3145,Banks!A:A,Banks!I:I,0)</f>
        <v>44109.956708701713</v>
      </c>
      <c r="F3145">
        <f>_xlfn.XLOOKUP(A3145,Energy!A:A,Energy!I:I,0)</f>
        <v>34488.875892905016</v>
      </c>
      <c r="G3145">
        <f t="shared" si="197"/>
        <v>78598.832601606729</v>
      </c>
      <c r="H3145">
        <f t="shared" si="198"/>
        <v>63466.738508938026</v>
      </c>
      <c r="I3145" t="b">
        <f t="shared" si="199"/>
        <v>1</v>
      </c>
    </row>
    <row r="3146" spans="1:9">
      <c r="A3146" s="1">
        <v>46199.604861111111</v>
      </c>
      <c r="B3146" s="5">
        <f>_xlfn.XLOOKUP(A3146,Banks!A:A,Banks!H:H,0,-1)</f>
        <v>3844.3222482367692</v>
      </c>
      <c r="C3146">
        <f>_xlfn.XLOOKUP(A3146,Energy!A:A,Energy!H:H,0,-1)</f>
        <v>10989.328420681601</v>
      </c>
      <c r="D3146">
        <f t="shared" si="196"/>
        <v>14833.65066891837</v>
      </c>
      <c r="E3146">
        <f>_xlfn.XLOOKUP(A3146,Banks!A:A,Banks!I:I,0)</f>
        <v>44007.03017411015</v>
      </c>
      <c r="F3146">
        <f>_xlfn.XLOOKUP(A3146,Energy!A:A,Energy!I:I,0)</f>
        <v>34468.207320130401</v>
      </c>
      <c r="G3146">
        <f t="shared" si="197"/>
        <v>78475.237494240544</v>
      </c>
      <c r="H3146">
        <f t="shared" si="198"/>
        <v>63641.586825322171</v>
      </c>
      <c r="I3146" t="b">
        <f t="shared" si="199"/>
        <v>1</v>
      </c>
    </row>
    <row r="3147" spans="1:9">
      <c r="A3147" s="1">
        <v>46199.605555555558</v>
      </c>
      <c r="B3147" s="5">
        <f>_xlfn.XLOOKUP(A3147,Banks!A:A,Banks!H:H,0,-1)</f>
        <v>3808.7942340043292</v>
      </c>
      <c r="C3147">
        <f>_xlfn.XLOOKUP(A3147,Energy!A:A,Energy!H:H,0,-1)</f>
        <v>10983.944097963909</v>
      </c>
      <c r="D3147">
        <f t="shared" si="196"/>
        <v>14792.738331968238</v>
      </c>
      <c r="E3147">
        <f>_xlfn.XLOOKUP(A3147,Banks!A:A,Banks!I:I,0)</f>
        <v>43893.778142843839</v>
      </c>
      <c r="F3147">
        <f>_xlfn.XLOOKUP(A3147,Energy!A:A,Energy!I:I,0)</f>
        <v>34520.653057250718</v>
      </c>
      <c r="G3147">
        <f t="shared" si="197"/>
        <v>78414.43120009455</v>
      </c>
      <c r="H3147">
        <f t="shared" si="198"/>
        <v>63621.692868126309</v>
      </c>
      <c r="I3147" t="b">
        <f t="shared" si="199"/>
        <v>1</v>
      </c>
    </row>
    <row r="3148" spans="1:9">
      <c r="A3148" s="1">
        <v>46199.606249999997</v>
      </c>
      <c r="B3148" s="5">
        <f>_xlfn.XLOOKUP(A3148,Banks!A:A,Banks!H:H,0,-1)</f>
        <v>3646.705949793436</v>
      </c>
      <c r="C3148">
        <f>_xlfn.XLOOKUP(A3148,Energy!A:A,Energy!H:H,0,-1)</f>
        <v>11048.213566960179</v>
      </c>
      <c r="D3148">
        <f t="shared" si="196"/>
        <v>14694.919516753616</v>
      </c>
      <c r="E3148">
        <f>_xlfn.XLOOKUP(A3148,Banks!A:A,Banks!I:I,0)</f>
        <v>43829.909692395799</v>
      </c>
      <c r="F3148">
        <f>_xlfn.XLOOKUP(A3148,Energy!A:A,Energy!I:I,0)</f>
        <v>34502.091510942933</v>
      </c>
      <c r="G3148">
        <f t="shared" si="197"/>
        <v>78332.001203338732</v>
      </c>
      <c r="H3148">
        <f t="shared" si="198"/>
        <v>63637.081686585116</v>
      </c>
      <c r="I3148" t="b">
        <f t="shared" si="199"/>
        <v>1</v>
      </c>
    </row>
    <row r="3149" spans="1:9">
      <c r="A3149" s="1">
        <v>46199.606944444437</v>
      </c>
      <c r="B3149" s="5">
        <f>_xlfn.XLOOKUP(A3149,Banks!A:A,Banks!H:H,0,-1)</f>
        <v>3471.0038148057852</v>
      </c>
      <c r="C3149">
        <f>_xlfn.XLOOKUP(A3149,Energy!A:A,Energy!H:H,0,-1)</f>
        <v>11125.927005337549</v>
      </c>
      <c r="D3149">
        <f t="shared" si="196"/>
        <v>14596.930820143334</v>
      </c>
      <c r="E3149">
        <f>_xlfn.XLOOKUP(A3149,Banks!A:A,Banks!I:I,0)</f>
        <v>43889.121646215877</v>
      </c>
      <c r="F3149">
        <f>_xlfn.XLOOKUP(A3149,Energy!A:A,Energy!I:I,0)</f>
        <v>34503.671780793047</v>
      </c>
      <c r="G3149">
        <f t="shared" si="197"/>
        <v>78392.793427008932</v>
      </c>
      <c r="H3149">
        <f t="shared" si="198"/>
        <v>63795.862606865601</v>
      </c>
      <c r="I3149" t="b">
        <f t="shared" si="199"/>
        <v>1</v>
      </c>
    </row>
    <row r="3150" spans="1:9">
      <c r="A3150" s="1">
        <v>46199.607638888891</v>
      </c>
      <c r="B3150" s="5">
        <f>_xlfn.XLOOKUP(A3150,Banks!A:A,Banks!H:H,0,-1)</f>
        <v>3455.1325465770378</v>
      </c>
      <c r="C3150">
        <f>_xlfn.XLOOKUP(A3150,Energy!A:A,Energy!H:H,0,-1)</f>
        <v>11112.641333369271</v>
      </c>
      <c r="D3150">
        <f t="shared" si="196"/>
        <v>14567.773879946308</v>
      </c>
      <c r="E3150">
        <f>_xlfn.XLOOKUP(A3150,Banks!A:A,Banks!I:I,0)</f>
        <v>43771.938265748839</v>
      </c>
      <c r="F3150">
        <f>_xlfn.XLOOKUP(A3150,Energy!A:A,Energy!I:I,0)</f>
        <v>34540.574830237892</v>
      </c>
      <c r="G3150">
        <f t="shared" si="197"/>
        <v>78312.513095986738</v>
      </c>
      <c r="H3150">
        <f t="shared" si="198"/>
        <v>63744.739216040427</v>
      </c>
      <c r="I3150" t="b">
        <f t="shared" si="199"/>
        <v>1</v>
      </c>
    </row>
    <row r="3151" spans="1:9">
      <c r="A3151" s="1">
        <v>46199.60833333333</v>
      </c>
      <c r="B3151" s="5">
        <f>_xlfn.XLOOKUP(A3151,Banks!A:A,Banks!H:H,0,-1)</f>
        <v>3613.5038132867762</v>
      </c>
      <c r="C3151">
        <f>_xlfn.XLOOKUP(A3151,Energy!A:A,Energy!H:H,0,-1)</f>
        <v>11092.00442007721</v>
      </c>
      <c r="D3151">
        <f t="shared" si="196"/>
        <v>14705.508233363986</v>
      </c>
      <c r="E3151">
        <f>_xlfn.XLOOKUP(A3151,Banks!A:A,Banks!I:I,0)</f>
        <v>43874.376804703999</v>
      </c>
      <c r="F3151">
        <f>_xlfn.XLOOKUP(A3151,Energy!A:A,Energy!I:I,0)</f>
        <v>34550.409865404828</v>
      </c>
      <c r="G3151">
        <f t="shared" si="197"/>
        <v>78424.786670108821</v>
      </c>
      <c r="H3151">
        <f t="shared" si="198"/>
        <v>63719.278436744833</v>
      </c>
      <c r="I3151" t="b">
        <f t="shared" si="199"/>
        <v>1</v>
      </c>
    </row>
    <row r="3152" spans="1:9">
      <c r="A3152" s="1">
        <v>46199.609027777777</v>
      </c>
      <c r="B3152" s="5">
        <f>_xlfn.XLOOKUP(A3152,Banks!A:A,Banks!H:H,0,-1)</f>
        <v>3553.3706364128789</v>
      </c>
      <c r="C3152">
        <f>_xlfn.XLOOKUP(A3152,Energy!A:A,Energy!H:H,0,-1)</f>
        <v>11183.612016625009</v>
      </c>
      <c r="D3152">
        <f t="shared" si="196"/>
        <v>14736.982653037889</v>
      </c>
      <c r="E3152">
        <f>_xlfn.XLOOKUP(A3152,Banks!A:A,Banks!I:I,0)</f>
        <v>43807.311280518938</v>
      </c>
      <c r="F3152">
        <f>_xlfn.XLOOKUP(A3152,Energy!A:A,Energy!I:I,0)</f>
        <v>34472.157994755697</v>
      </c>
      <c r="G3152">
        <f t="shared" si="197"/>
        <v>78279.469275274634</v>
      </c>
      <c r="H3152">
        <f t="shared" si="198"/>
        <v>63542.486622236742</v>
      </c>
      <c r="I3152" t="b">
        <f t="shared" si="199"/>
        <v>1</v>
      </c>
    </row>
    <row r="3153" spans="1:9">
      <c r="A3153" s="1">
        <v>46199.609722222223</v>
      </c>
      <c r="B3153" s="5">
        <f>_xlfn.XLOOKUP(A3153,Banks!A:A,Banks!H:H,0,-1)</f>
        <v>3517.7969819979462</v>
      </c>
      <c r="C3153">
        <f>_xlfn.XLOOKUP(A3153,Energy!A:A,Energy!H:H,0,-1)</f>
        <v>11220.226763244211</v>
      </c>
      <c r="D3153">
        <f t="shared" si="196"/>
        <v>14738.023745242157</v>
      </c>
      <c r="E3153">
        <f>_xlfn.XLOOKUP(A3153,Banks!A:A,Banks!I:I,0)</f>
        <v>43749.089010026422</v>
      </c>
      <c r="F3153">
        <f>_xlfn.XLOOKUP(A3153,Energy!A:A,Energy!I:I,0)</f>
        <v>34399.197041583757</v>
      </c>
      <c r="G3153">
        <f t="shared" si="197"/>
        <v>78148.286051610179</v>
      </c>
      <c r="H3153">
        <f t="shared" si="198"/>
        <v>63410.262306368022</v>
      </c>
      <c r="I3153" t="b">
        <f t="shared" si="199"/>
        <v>1</v>
      </c>
    </row>
    <row r="3154" spans="1:9">
      <c r="A3154" s="1">
        <v>46199.61041666667</v>
      </c>
      <c r="B3154" s="5">
        <f>_xlfn.XLOOKUP(A3154,Banks!A:A,Banks!H:H,0,-1)</f>
        <v>3452.6697483037528</v>
      </c>
      <c r="C3154">
        <f>_xlfn.XLOOKUP(A3154,Energy!A:A,Energy!H:H,0,-1)</f>
        <v>11229.169950073159</v>
      </c>
      <c r="D3154">
        <f t="shared" si="196"/>
        <v>14681.839698376913</v>
      </c>
      <c r="E3154">
        <f>_xlfn.XLOOKUP(A3154,Banks!A:A,Banks!I:I,0)</f>
        <v>43779.308404495649</v>
      </c>
      <c r="F3154">
        <f>_xlfn.XLOOKUP(A3154,Energy!A:A,Energy!I:I,0)</f>
        <v>34423.092840506361</v>
      </c>
      <c r="G3154">
        <f t="shared" si="197"/>
        <v>78202.401245002009</v>
      </c>
      <c r="H3154">
        <f t="shared" si="198"/>
        <v>63520.561546625097</v>
      </c>
      <c r="I3154" t="b">
        <f t="shared" si="199"/>
        <v>1</v>
      </c>
    </row>
    <row r="3155" spans="1:9">
      <c r="A3155" s="1">
        <v>46199.611111111109</v>
      </c>
      <c r="B3155" s="5">
        <f>_xlfn.XLOOKUP(A3155,Banks!A:A,Banks!H:H,0,-1)</f>
        <v>3324.8780791886529</v>
      </c>
      <c r="C3155">
        <f>_xlfn.XLOOKUP(A3155,Energy!A:A,Energy!H:H,0,-1)</f>
        <v>11221.66041133661</v>
      </c>
      <c r="D3155">
        <f t="shared" si="196"/>
        <v>14546.538490525263</v>
      </c>
      <c r="E3155">
        <f>_xlfn.XLOOKUP(A3155,Banks!A:A,Banks!I:I,0)</f>
        <v>43832.377054687313</v>
      </c>
      <c r="F3155">
        <f>_xlfn.XLOOKUP(A3155,Energy!A:A,Energy!I:I,0)</f>
        <v>34338.979960625707</v>
      </c>
      <c r="G3155">
        <f t="shared" si="197"/>
        <v>78171.357015313028</v>
      </c>
      <c r="H3155">
        <f t="shared" si="198"/>
        <v>63624.818524787763</v>
      </c>
      <c r="I3155" t="b">
        <f t="shared" si="199"/>
        <v>1</v>
      </c>
    </row>
    <row r="3156" spans="1:9">
      <c r="A3156" s="1">
        <v>46199.611805555563</v>
      </c>
      <c r="B3156" s="5">
        <f>_xlfn.XLOOKUP(A3156,Banks!A:A,Banks!H:H,0,-1)</f>
        <v>3376.4599223798518</v>
      </c>
      <c r="C3156">
        <f>_xlfn.XLOOKUP(A3156,Energy!A:A,Energy!H:H,0,-1)</f>
        <v>11223.266914612241</v>
      </c>
      <c r="D3156">
        <f t="shared" si="196"/>
        <v>14599.726836992093</v>
      </c>
      <c r="E3156">
        <f>_xlfn.XLOOKUP(A3156,Banks!A:A,Banks!I:I,0)</f>
        <v>43842.693423325552</v>
      </c>
      <c r="F3156">
        <f>_xlfn.XLOOKUP(A3156,Energy!A:A,Energy!I:I,0)</f>
        <v>0</v>
      </c>
      <c r="G3156">
        <f t="shared" si="197"/>
        <v>43842.693423325552</v>
      </c>
      <c r="H3156">
        <f t="shared" si="198"/>
        <v>29242.966586333459</v>
      </c>
      <c r="I3156" t="b">
        <f t="shared" si="199"/>
        <v>0</v>
      </c>
    </row>
    <row r="3157" spans="1:9">
      <c r="A3157" s="1">
        <v>46199.612500000003</v>
      </c>
      <c r="B3157" s="5">
        <f>_xlfn.XLOOKUP(A3157,Banks!A:A,Banks!H:H,0,-1)</f>
        <v>3274.573275316583</v>
      </c>
      <c r="C3157">
        <f>_xlfn.XLOOKUP(A3157,Energy!A:A,Energy!H:H,0,-1)</f>
        <v>11223.266914612241</v>
      </c>
      <c r="D3157">
        <f t="shared" si="196"/>
        <v>14497.840189928824</v>
      </c>
      <c r="E3157">
        <f>_xlfn.XLOOKUP(A3157,Banks!A:A,Banks!I:I,0)</f>
        <v>43763.345855901891</v>
      </c>
      <c r="F3157">
        <f>_xlfn.XLOOKUP(A3157,Energy!A:A,Energy!I:I,0)</f>
        <v>0</v>
      </c>
      <c r="G3157">
        <f t="shared" si="197"/>
        <v>43763.345855901891</v>
      </c>
      <c r="H3157">
        <f t="shared" si="198"/>
        <v>29265.505665973069</v>
      </c>
      <c r="I3157" t="b">
        <f t="shared" si="199"/>
        <v>0</v>
      </c>
    </row>
    <row r="3158" spans="1:9">
      <c r="A3158" s="1">
        <v>46199.613194444442</v>
      </c>
      <c r="B3158" s="5">
        <f>_xlfn.XLOOKUP(A3158,Banks!A:A,Banks!H:H,0,-1)</f>
        <v>3313.9552275976821</v>
      </c>
      <c r="C3158">
        <f>_xlfn.XLOOKUP(A3158,Energy!A:A,Energy!H:H,0,-1)</f>
        <v>11223.266914612241</v>
      </c>
      <c r="D3158">
        <f t="shared" si="196"/>
        <v>14537.222142209923</v>
      </c>
      <c r="E3158">
        <f>_xlfn.XLOOKUP(A3158,Banks!A:A,Banks!I:I,0)</f>
        <v>43672.938516339753</v>
      </c>
      <c r="F3158">
        <f>_xlfn.XLOOKUP(A3158,Energy!A:A,Energy!I:I,0)</f>
        <v>0</v>
      </c>
      <c r="G3158">
        <f t="shared" si="197"/>
        <v>43672.938516339753</v>
      </c>
      <c r="H3158">
        <f t="shared" si="198"/>
        <v>29135.716374129828</v>
      </c>
      <c r="I3158" t="b">
        <f t="shared" si="199"/>
        <v>0</v>
      </c>
    </row>
    <row r="3159" spans="1:9">
      <c r="A3159" s="1">
        <v>46199.613888888889</v>
      </c>
      <c r="B3159" s="5">
        <f>_xlfn.XLOOKUP(A3159,Banks!A:A,Banks!H:H,0,-1)</f>
        <v>3078.0742755536412</v>
      </c>
      <c r="C3159">
        <f>_xlfn.XLOOKUP(A3159,Energy!A:A,Energy!H:H,0,-1)</f>
        <v>11223.266914612241</v>
      </c>
      <c r="D3159">
        <f t="shared" si="196"/>
        <v>14301.341190165882</v>
      </c>
      <c r="E3159">
        <f>_xlfn.XLOOKUP(A3159,Banks!A:A,Banks!I:I,0)</f>
        <v>43720.114706748573</v>
      </c>
      <c r="F3159">
        <f>_xlfn.XLOOKUP(A3159,Energy!A:A,Energy!I:I,0)</f>
        <v>0</v>
      </c>
      <c r="G3159">
        <f t="shared" si="197"/>
        <v>43720.114706748573</v>
      </c>
      <c r="H3159">
        <f t="shared" si="198"/>
        <v>29418.773516582689</v>
      </c>
      <c r="I3159" t="b">
        <f t="shared" si="199"/>
        <v>0</v>
      </c>
    </row>
    <row r="3160" spans="1:9">
      <c r="A3160" s="1">
        <v>46199.614583333343</v>
      </c>
      <c r="B3160" s="5">
        <f>_xlfn.XLOOKUP(A3160,Banks!A:A,Banks!H:H,0,-1)</f>
        <v>3123.4534828791552</v>
      </c>
      <c r="C3160">
        <f>_xlfn.XLOOKUP(A3160,Energy!A:A,Energy!H:H,0,-1)</f>
        <v>11223.266914612241</v>
      </c>
      <c r="D3160">
        <f t="shared" si="196"/>
        <v>14346.720397491395</v>
      </c>
      <c r="E3160">
        <f>_xlfn.XLOOKUP(A3160,Banks!A:A,Banks!I:I,0)</f>
        <v>43803.886183027607</v>
      </c>
      <c r="F3160">
        <f>_xlfn.XLOOKUP(A3160,Energy!A:A,Energy!I:I,0)</f>
        <v>0</v>
      </c>
      <c r="G3160">
        <f t="shared" si="197"/>
        <v>43803.886183027607</v>
      </c>
      <c r="H3160">
        <f t="shared" si="198"/>
        <v>29457.165785536214</v>
      </c>
      <c r="I3160" t="b">
        <f t="shared" si="199"/>
        <v>0</v>
      </c>
    </row>
    <row r="3161" spans="1:9">
      <c r="A3161" s="1">
        <v>46199.615277777782</v>
      </c>
      <c r="B3161" s="5">
        <f>_xlfn.XLOOKUP(A3161,Banks!A:A,Banks!H:H,0,-1)</f>
        <v>3004.2816077204911</v>
      </c>
      <c r="C3161">
        <f>_xlfn.XLOOKUP(A3161,Energy!A:A,Energy!H:H,0,-1)</f>
        <v>11223.266914612241</v>
      </c>
      <c r="D3161">
        <f t="shared" si="196"/>
        <v>14227.548522332732</v>
      </c>
      <c r="E3161">
        <f>_xlfn.XLOOKUP(A3161,Banks!A:A,Banks!I:I,0)</f>
        <v>43831.159347605433</v>
      </c>
      <c r="F3161">
        <f>_xlfn.XLOOKUP(A3161,Energy!A:A,Energy!I:I,0)</f>
        <v>0</v>
      </c>
      <c r="G3161">
        <f t="shared" si="197"/>
        <v>43831.159347605433</v>
      </c>
      <c r="H3161">
        <f t="shared" si="198"/>
        <v>29603.610825272699</v>
      </c>
      <c r="I3161" t="b">
        <f t="shared" si="199"/>
        <v>0</v>
      </c>
    </row>
    <row r="3162" spans="1:9">
      <c r="A3162" s="1">
        <v>46199.615972222222</v>
      </c>
      <c r="B3162" s="5">
        <f>_xlfn.XLOOKUP(A3162,Banks!A:A,Banks!H:H,0,-1)</f>
        <v>3049.7292753197712</v>
      </c>
      <c r="C3162">
        <f>_xlfn.XLOOKUP(A3162,Energy!A:A,Energy!H:H,0,-1)</f>
        <v>11223.266914612241</v>
      </c>
      <c r="D3162">
        <f t="shared" si="196"/>
        <v>14272.996189932011</v>
      </c>
      <c r="E3162">
        <f>_xlfn.XLOOKUP(A3162,Banks!A:A,Banks!I:I,0)</f>
        <v>43832.386182723807</v>
      </c>
      <c r="F3162">
        <f>_xlfn.XLOOKUP(A3162,Energy!A:A,Energy!I:I,0)</f>
        <v>0</v>
      </c>
      <c r="G3162">
        <f t="shared" si="197"/>
        <v>43832.386182723807</v>
      </c>
      <c r="H3162">
        <f t="shared" si="198"/>
        <v>29559.389992791796</v>
      </c>
      <c r="I3162" t="b">
        <f t="shared" si="199"/>
        <v>0</v>
      </c>
    </row>
    <row r="3163" spans="1:9">
      <c r="A3163" s="1">
        <v>46199.616666666669</v>
      </c>
      <c r="B3163" s="5">
        <f>_xlfn.XLOOKUP(A3163,Banks!A:A,Banks!H:H,0,-1)</f>
        <v>3007.9529850391518</v>
      </c>
      <c r="C3163">
        <f>_xlfn.XLOOKUP(A3163,Energy!A:A,Energy!H:H,0,-1)</f>
        <v>11223.266914612241</v>
      </c>
      <c r="D3163">
        <f t="shared" si="196"/>
        <v>14231.219899651393</v>
      </c>
      <c r="E3163">
        <f>_xlfn.XLOOKUP(A3163,Banks!A:A,Banks!I:I,0)</f>
        <v>43847.619019872087</v>
      </c>
      <c r="F3163">
        <f>_xlfn.XLOOKUP(A3163,Energy!A:A,Energy!I:I,0)</f>
        <v>0</v>
      </c>
      <c r="G3163">
        <f t="shared" si="197"/>
        <v>43847.619019872087</v>
      </c>
      <c r="H3163">
        <f t="shared" si="198"/>
        <v>29616.399120220696</v>
      </c>
      <c r="I3163" t="b">
        <f t="shared" si="199"/>
        <v>0</v>
      </c>
    </row>
    <row r="3164" spans="1:9">
      <c r="A3164" s="1">
        <v>46199.617361111108</v>
      </c>
      <c r="B3164" s="5">
        <f>_xlfn.XLOOKUP(A3164,Banks!A:A,Banks!H:H,0,-1)</f>
        <v>3066.9232230501661</v>
      </c>
      <c r="C3164">
        <f>_xlfn.XLOOKUP(A3164,Energy!A:A,Energy!H:H,0,-1)</f>
        <v>11223.266914612241</v>
      </c>
      <c r="D3164">
        <f t="shared" si="196"/>
        <v>14290.190137662406</v>
      </c>
      <c r="E3164">
        <f>_xlfn.XLOOKUP(A3164,Banks!A:A,Banks!I:I,0)</f>
        <v>43835.824972269889</v>
      </c>
      <c r="F3164">
        <f>_xlfn.XLOOKUP(A3164,Energy!A:A,Energy!I:I,0)</f>
        <v>0</v>
      </c>
      <c r="G3164">
        <f t="shared" si="197"/>
        <v>43835.824972269889</v>
      </c>
      <c r="H3164">
        <f t="shared" si="198"/>
        <v>29545.634834607481</v>
      </c>
      <c r="I3164" t="b">
        <f t="shared" si="199"/>
        <v>0</v>
      </c>
    </row>
    <row r="3165" spans="1:9">
      <c r="A3165" s="1">
        <v>46199.618055555547</v>
      </c>
      <c r="B3165" s="5">
        <f>_xlfn.XLOOKUP(A3165,Banks!A:A,Banks!H:H,0,-1)</f>
        <v>2982.1392433522929</v>
      </c>
      <c r="C3165">
        <f>_xlfn.XLOOKUP(A3165,Energy!A:A,Energy!H:H,0,-1)</f>
        <v>11223.266914612241</v>
      </c>
      <c r="D3165">
        <f t="shared" si="196"/>
        <v>14205.406157964533</v>
      </c>
      <c r="E3165">
        <f>_xlfn.XLOOKUP(A3165,Banks!A:A,Banks!I:I,0)</f>
        <v>43869.975715939872</v>
      </c>
      <c r="F3165">
        <f>_xlfn.XLOOKUP(A3165,Energy!A:A,Energy!I:I,0)</f>
        <v>0</v>
      </c>
      <c r="G3165">
        <f t="shared" si="197"/>
        <v>43869.975715939872</v>
      </c>
      <c r="H3165">
        <f t="shared" si="198"/>
        <v>29664.569557975337</v>
      </c>
      <c r="I3165" t="b">
        <f t="shared" si="199"/>
        <v>0</v>
      </c>
    </row>
    <row r="3166" spans="1:9">
      <c r="A3166" s="1">
        <v>46199.618750000001</v>
      </c>
      <c r="B3166" s="5">
        <f>_xlfn.XLOOKUP(A3166,Banks!A:A,Banks!H:H,0,-1)</f>
        <v>2915.8490707952301</v>
      </c>
      <c r="C3166">
        <f>_xlfn.XLOOKUP(A3166,Energy!A:A,Energy!H:H,0,-1)</f>
        <v>11223.266914612241</v>
      </c>
      <c r="D3166">
        <f t="shared" si="196"/>
        <v>14139.11598540747</v>
      </c>
      <c r="E3166">
        <f>_xlfn.XLOOKUP(A3166,Banks!A:A,Banks!I:I,0)</f>
        <v>43821.335538621854</v>
      </c>
      <c r="F3166">
        <f>_xlfn.XLOOKUP(A3166,Energy!A:A,Energy!I:I,0)</f>
        <v>0</v>
      </c>
      <c r="G3166">
        <f t="shared" si="197"/>
        <v>43821.335538621854</v>
      </c>
      <c r="H3166">
        <f t="shared" si="198"/>
        <v>29682.219553214381</v>
      </c>
      <c r="I3166" t="b">
        <f t="shared" si="199"/>
        <v>0</v>
      </c>
    </row>
    <row r="3167" spans="1:9">
      <c r="A3167" s="1">
        <v>46199.619444444441</v>
      </c>
      <c r="B3167" s="5">
        <f>_xlfn.XLOOKUP(A3167,Banks!A:A,Banks!H:H,0,-1)</f>
        <v>2926.908842933693</v>
      </c>
      <c r="C3167">
        <f>_xlfn.XLOOKUP(A3167,Energy!A:A,Energy!H:H,0,-1)</f>
        <v>11223.266914612241</v>
      </c>
      <c r="D3167">
        <f t="shared" si="196"/>
        <v>14150.175757545934</v>
      </c>
      <c r="E3167">
        <f>_xlfn.XLOOKUP(A3167,Banks!A:A,Banks!I:I,0)</f>
        <v>43815.684794648063</v>
      </c>
      <c r="F3167">
        <f>_xlfn.XLOOKUP(A3167,Energy!A:A,Energy!I:I,0)</f>
        <v>0</v>
      </c>
      <c r="G3167">
        <f t="shared" si="197"/>
        <v>43815.684794648063</v>
      </c>
      <c r="H3167">
        <f t="shared" si="198"/>
        <v>29665.509037102129</v>
      </c>
      <c r="I3167" t="b">
        <f t="shared" si="199"/>
        <v>0</v>
      </c>
    </row>
    <row r="3168" spans="1:9">
      <c r="A3168" s="1">
        <v>46199.620138888888</v>
      </c>
      <c r="B3168" s="5">
        <f>_xlfn.XLOOKUP(A3168,Banks!A:A,Banks!H:H,0,-1)</f>
        <v>3224.506522967908</v>
      </c>
      <c r="C3168">
        <f>_xlfn.XLOOKUP(A3168,Energy!A:A,Energy!H:H,0,-1)</f>
        <v>11223.266914612241</v>
      </c>
      <c r="D3168">
        <f t="shared" si="196"/>
        <v>14447.773437580148</v>
      </c>
      <c r="E3168">
        <f>_xlfn.XLOOKUP(A3168,Banks!A:A,Banks!I:I,0)</f>
        <v>0</v>
      </c>
      <c r="F3168">
        <f>_xlfn.XLOOKUP(A3168,Energy!A:A,Energy!I:I,0)</f>
        <v>0</v>
      </c>
      <c r="G3168">
        <f t="shared" si="197"/>
        <v>0</v>
      </c>
      <c r="H3168">
        <f t="shared" si="198"/>
        <v>-14447.773437580148</v>
      </c>
      <c r="I3168" t="b">
        <f t="shared" si="199"/>
        <v>0</v>
      </c>
    </row>
    <row r="3169" spans="1:9">
      <c r="A3169" s="1">
        <v>46199.850694444453</v>
      </c>
      <c r="B3169" s="5">
        <f>_xlfn.XLOOKUP(A3169,Banks!A:A,Banks!H:H,0,-1)</f>
        <v>3224.506522967908</v>
      </c>
      <c r="C3169">
        <f>_xlfn.XLOOKUP(A3169,Energy!A:A,Energy!H:H,0,-1)</f>
        <v>11223.266914612241</v>
      </c>
      <c r="D3169">
        <f t="shared" si="196"/>
        <v>14447.773437580148</v>
      </c>
      <c r="E3169">
        <f>_xlfn.XLOOKUP(A3169,Banks!A:A,Banks!I:I,0)</f>
        <v>44038.234687888696</v>
      </c>
      <c r="F3169">
        <f>_xlfn.XLOOKUP(A3169,Energy!A:A,Energy!I:I,0)</f>
        <v>0</v>
      </c>
      <c r="G3169">
        <f t="shared" si="197"/>
        <v>44038.234687888696</v>
      </c>
      <c r="H3169">
        <f t="shared" si="198"/>
        <v>29590.461250308548</v>
      </c>
      <c r="I3169" t="b">
        <f t="shared" si="199"/>
        <v>0</v>
      </c>
    </row>
    <row r="3170" spans="1:9">
      <c r="A3170" s="1">
        <v>46199.851388888892</v>
      </c>
      <c r="B3170" s="5">
        <f>_xlfn.XLOOKUP(A3170,Banks!A:A,Banks!H:H,0,-1)</f>
        <v>3150.4129863391308</v>
      </c>
      <c r="C3170">
        <f>_xlfn.XLOOKUP(A3170,Energy!A:A,Energy!H:H,0,-1)</f>
        <v>11223.266914612241</v>
      </c>
      <c r="D3170">
        <f t="shared" si="196"/>
        <v>14373.679900951371</v>
      </c>
      <c r="E3170">
        <f>_xlfn.XLOOKUP(A3170,Banks!A:A,Banks!I:I,0)</f>
        <v>44037.225750975507</v>
      </c>
      <c r="F3170">
        <f>_xlfn.XLOOKUP(A3170,Energy!A:A,Energy!I:I,0)</f>
        <v>0</v>
      </c>
      <c r="G3170">
        <f t="shared" si="197"/>
        <v>44037.225750975507</v>
      </c>
      <c r="H3170">
        <f t="shared" si="198"/>
        <v>29663.545850024137</v>
      </c>
      <c r="I3170" t="b">
        <f t="shared" si="199"/>
        <v>0</v>
      </c>
    </row>
    <row r="3171" spans="1:9">
      <c r="A3171" s="1">
        <v>46199.852083333331</v>
      </c>
      <c r="B3171" s="5">
        <f>_xlfn.XLOOKUP(A3171,Banks!A:A,Banks!H:H,0,-1)</f>
        <v>3173.9810550622628</v>
      </c>
      <c r="C3171">
        <f>_xlfn.XLOOKUP(A3171,Energy!A:A,Energy!H:H,0,-1)</f>
        <v>11223.266914612241</v>
      </c>
      <c r="D3171">
        <f t="shared" si="196"/>
        <v>14397.247969674503</v>
      </c>
      <c r="E3171">
        <f>_xlfn.XLOOKUP(A3171,Banks!A:A,Banks!I:I,0)</f>
        <v>44052.296692529562</v>
      </c>
      <c r="F3171">
        <f>_xlfn.XLOOKUP(A3171,Energy!A:A,Energy!I:I,0)</f>
        <v>0</v>
      </c>
      <c r="G3171">
        <f t="shared" si="197"/>
        <v>44052.296692529562</v>
      </c>
      <c r="H3171">
        <f t="shared" si="198"/>
        <v>29655.048722855059</v>
      </c>
      <c r="I3171" t="b">
        <f t="shared" si="199"/>
        <v>0</v>
      </c>
    </row>
    <row r="3172" spans="1:9">
      <c r="A3172" s="1">
        <v>46199.852777777778</v>
      </c>
      <c r="B3172" s="5">
        <f>_xlfn.XLOOKUP(A3172,Banks!A:A,Banks!H:H,0,-1)</f>
        <v>3292.8854783368288</v>
      </c>
      <c r="C3172">
        <f>_xlfn.XLOOKUP(A3172,Energy!A:A,Energy!H:H,0,-1)</f>
        <v>11223.266914612241</v>
      </c>
      <c r="D3172">
        <f t="shared" si="196"/>
        <v>14516.152392949069</v>
      </c>
      <c r="E3172">
        <f>_xlfn.XLOOKUP(A3172,Banks!A:A,Banks!I:I,0)</f>
        <v>44103.697118009608</v>
      </c>
      <c r="F3172">
        <f>_xlfn.XLOOKUP(A3172,Energy!A:A,Energy!I:I,0)</f>
        <v>0</v>
      </c>
      <c r="G3172">
        <f t="shared" si="197"/>
        <v>44103.697118009608</v>
      </c>
      <c r="H3172">
        <f t="shared" si="198"/>
        <v>29587.544725060539</v>
      </c>
      <c r="I3172" t="b">
        <f t="shared" si="199"/>
        <v>0</v>
      </c>
    </row>
    <row r="3173" spans="1:9">
      <c r="A3173" s="1">
        <v>46199.853472222218</v>
      </c>
      <c r="B3173" s="5">
        <f>_xlfn.XLOOKUP(A3173,Banks!A:A,Banks!H:H,0,-1)</f>
        <v>3245.552249408061</v>
      </c>
      <c r="C3173">
        <f>_xlfn.XLOOKUP(A3173,Energy!A:A,Energy!H:H,0,-1)</f>
        <v>11223.266914612241</v>
      </c>
      <c r="D3173">
        <f t="shared" si="196"/>
        <v>14468.819164020302</v>
      </c>
      <c r="E3173">
        <f>_xlfn.XLOOKUP(A3173,Banks!A:A,Banks!I:I,0)</f>
        <v>44045.896275779873</v>
      </c>
      <c r="F3173">
        <f>_xlfn.XLOOKUP(A3173,Energy!A:A,Energy!I:I,0)</f>
        <v>0</v>
      </c>
      <c r="G3173">
        <f t="shared" si="197"/>
        <v>44045.896275779873</v>
      </c>
      <c r="H3173">
        <f t="shared" si="198"/>
        <v>29577.077111759572</v>
      </c>
      <c r="I3173" t="b">
        <f t="shared" si="199"/>
        <v>0</v>
      </c>
    </row>
    <row r="3174" spans="1:9">
      <c r="A3174" s="1">
        <v>46199.854166666657</v>
      </c>
      <c r="B3174" s="5">
        <f>_xlfn.XLOOKUP(A3174,Banks!A:A,Banks!H:H,0,-1)</f>
        <v>3271.6417454401512</v>
      </c>
      <c r="C3174">
        <f>_xlfn.XLOOKUP(A3174,Energy!A:A,Energy!H:H,0,-1)</f>
        <v>11223.266914612241</v>
      </c>
      <c r="D3174">
        <f t="shared" si="196"/>
        <v>14494.908660052391</v>
      </c>
      <c r="E3174">
        <f>_xlfn.XLOOKUP(A3174,Banks!A:A,Banks!I:I,0)</f>
        <v>0</v>
      </c>
      <c r="F3174">
        <f>_xlfn.XLOOKUP(A3174,Energy!A:A,Energy!I:I,0)</f>
        <v>0</v>
      </c>
      <c r="G3174">
        <f t="shared" si="197"/>
        <v>0</v>
      </c>
      <c r="H3174">
        <f t="shared" si="198"/>
        <v>-14494.908660052391</v>
      </c>
      <c r="I3174" t="b">
        <f t="shared" si="199"/>
        <v>0</v>
      </c>
    </row>
    <row r="3175" spans="1:9">
      <c r="A3175" s="1">
        <v>46202.718055555553</v>
      </c>
      <c r="B3175" s="5">
        <f>_xlfn.XLOOKUP(A3175,Banks!A:A,Banks!H:H,0,-1)</f>
        <v>3271.6417454401512</v>
      </c>
      <c r="C3175">
        <f>_xlfn.XLOOKUP(A3175,Energy!A:A,Energy!H:H,0,-1)</f>
        <v>11223.266914612241</v>
      </c>
      <c r="D3175">
        <f t="shared" si="196"/>
        <v>14494.908660052391</v>
      </c>
      <c r="E3175">
        <f>_xlfn.XLOOKUP(A3175,Banks!A:A,Banks!I:I,0)</f>
        <v>0</v>
      </c>
      <c r="F3175">
        <f>_xlfn.XLOOKUP(A3175,Energy!A:A,Energy!I:I,0)</f>
        <v>34488.875892905016</v>
      </c>
      <c r="G3175">
        <f t="shared" si="197"/>
        <v>34488.875892905016</v>
      </c>
      <c r="H3175">
        <f t="shared" si="198"/>
        <v>19993.967232852625</v>
      </c>
      <c r="I3175" t="b">
        <f t="shared" si="199"/>
        <v>0</v>
      </c>
    </row>
    <row r="3176" spans="1:9">
      <c r="A3176" s="1">
        <v>46202.71875</v>
      </c>
      <c r="B3176" s="5">
        <f>_xlfn.XLOOKUP(A3176,Banks!A:A,Banks!H:H,0,-1)</f>
        <v>3271.6417454401512</v>
      </c>
      <c r="C3176">
        <f>_xlfn.XLOOKUP(A3176,Energy!A:A,Energy!H:H,0,-1)</f>
        <v>11295.929281176461</v>
      </c>
      <c r="D3176">
        <f t="shared" si="196"/>
        <v>14567.571026616612</v>
      </c>
      <c r="E3176">
        <f>_xlfn.XLOOKUP(A3176,Banks!A:A,Banks!I:I,0)</f>
        <v>0</v>
      </c>
      <c r="F3176">
        <f>_xlfn.XLOOKUP(A3176,Energy!A:A,Energy!I:I,0)</f>
        <v>34503.408366217853</v>
      </c>
      <c r="G3176">
        <f t="shared" si="197"/>
        <v>34503.408366217853</v>
      </c>
      <c r="H3176">
        <f t="shared" si="198"/>
        <v>19935.837339601239</v>
      </c>
      <c r="I3176" t="b">
        <f t="shared" si="199"/>
        <v>0</v>
      </c>
    </row>
    <row r="3177" spans="1:9">
      <c r="A3177" s="1">
        <v>46202.719444444447</v>
      </c>
      <c r="B3177" s="5">
        <f>_xlfn.XLOOKUP(A3177,Banks!A:A,Banks!H:H,0,-1)</f>
        <v>3271.6417454401512</v>
      </c>
      <c r="C3177">
        <f>_xlfn.XLOOKUP(A3177,Energy!A:A,Energy!H:H,0,-1)</f>
        <v>11315.95590817727</v>
      </c>
      <c r="D3177">
        <f t="shared" si="196"/>
        <v>14587.59765361742</v>
      </c>
      <c r="E3177">
        <f>_xlfn.XLOOKUP(A3177,Banks!A:A,Banks!I:I,0)</f>
        <v>0</v>
      </c>
      <c r="F3177">
        <f>_xlfn.XLOOKUP(A3177,Energy!A:A,Energy!I:I,0)</f>
        <v>0</v>
      </c>
      <c r="G3177">
        <f t="shared" si="197"/>
        <v>0</v>
      </c>
      <c r="H3177">
        <f t="shared" si="198"/>
        <v>-14587.59765361742</v>
      </c>
      <c r="I3177" t="b">
        <f t="shared" si="199"/>
        <v>0</v>
      </c>
    </row>
    <row r="3178" spans="1:9">
      <c r="A3178" s="1">
        <v>46202.868750000001</v>
      </c>
      <c r="B3178" s="5">
        <f>_xlfn.XLOOKUP(A3178,Banks!A:A,Banks!H:H,0,-1)</f>
        <v>3271.6417454401512</v>
      </c>
      <c r="C3178">
        <f>_xlfn.XLOOKUP(A3178,Energy!A:A,Energy!H:H,0,-1)</f>
        <v>11315.95590817727</v>
      </c>
      <c r="D3178">
        <f t="shared" si="196"/>
        <v>14587.59765361742</v>
      </c>
      <c r="E3178">
        <f>_xlfn.XLOOKUP(A3178,Banks!A:A,Banks!I:I,0)</f>
        <v>0</v>
      </c>
      <c r="F3178">
        <f>_xlfn.XLOOKUP(A3178,Energy!A:A,Energy!I:I,0)</f>
        <v>34488.875892905009</v>
      </c>
      <c r="G3178">
        <f t="shared" si="197"/>
        <v>34488.875892905009</v>
      </c>
      <c r="H3178">
        <f t="shared" si="198"/>
        <v>19901.278239287589</v>
      </c>
      <c r="I3178" t="b">
        <f t="shared" si="199"/>
        <v>0</v>
      </c>
    </row>
    <row r="3179" spans="1:9">
      <c r="A3179" s="1">
        <v>46202.869444444441</v>
      </c>
      <c r="B3179" s="5">
        <f>_xlfn.XLOOKUP(A3179,Banks!A:A,Banks!H:H,0,-1)</f>
        <v>3271.6417454401512</v>
      </c>
      <c r="C3179">
        <f>_xlfn.XLOOKUP(A3179,Energy!A:A,Energy!H:H,0,-1)</f>
        <v>11341.080738624811</v>
      </c>
      <c r="D3179">
        <f t="shared" si="196"/>
        <v>14612.722484064961</v>
      </c>
      <c r="E3179">
        <f>_xlfn.XLOOKUP(A3179,Banks!A:A,Banks!I:I,0)</f>
        <v>0</v>
      </c>
      <c r="F3179">
        <f>_xlfn.XLOOKUP(A3179,Energy!A:A,Energy!I:I,0)</f>
        <v>34486.795221855733</v>
      </c>
      <c r="G3179">
        <f t="shared" si="197"/>
        <v>34486.795221855733</v>
      </c>
      <c r="H3179">
        <f t="shared" si="198"/>
        <v>19874.072737790771</v>
      </c>
      <c r="I3179" t="b">
        <f t="shared" si="199"/>
        <v>0</v>
      </c>
    </row>
    <row r="3180" spans="1:9">
      <c r="A3180" s="1">
        <v>46202.870138888888</v>
      </c>
      <c r="B3180" s="5">
        <f>_xlfn.XLOOKUP(A3180,Banks!A:A,Banks!H:H,0,-1)</f>
        <v>3271.6417454401512</v>
      </c>
      <c r="C3180">
        <f>_xlfn.XLOOKUP(A3180,Energy!A:A,Energy!H:H,0,-1)</f>
        <v>11390.38263923012</v>
      </c>
      <c r="D3180">
        <f t="shared" si="196"/>
        <v>14662.024384670271</v>
      </c>
      <c r="E3180">
        <f>_xlfn.XLOOKUP(A3180,Banks!A:A,Banks!I:I,0)</f>
        <v>0</v>
      </c>
      <c r="F3180">
        <f>_xlfn.XLOOKUP(A3180,Energy!A:A,Energy!I:I,0)</f>
        <v>34444.547596292272</v>
      </c>
      <c r="G3180">
        <f t="shared" si="197"/>
        <v>34444.547596292272</v>
      </c>
      <c r="H3180">
        <f t="shared" si="198"/>
        <v>19782.523211622</v>
      </c>
      <c r="I3180" t="b">
        <f t="shared" si="199"/>
        <v>0</v>
      </c>
    </row>
    <row r="3181" spans="1:9">
      <c r="A3181" s="1">
        <v>46202.870833333327</v>
      </c>
      <c r="B3181" s="5">
        <f>_xlfn.XLOOKUP(A3181,Banks!A:A,Banks!H:H,0,-1)</f>
        <v>3271.6417454401512</v>
      </c>
      <c r="C3181">
        <f>_xlfn.XLOOKUP(A3181,Energy!A:A,Energy!H:H,0,-1)</f>
        <v>11357.113181901799</v>
      </c>
      <c r="D3181">
        <f t="shared" si="196"/>
        <v>14628.75492734195</v>
      </c>
      <c r="E3181">
        <f>_xlfn.XLOOKUP(A3181,Banks!A:A,Banks!I:I,0)</f>
        <v>0</v>
      </c>
      <c r="F3181">
        <f>_xlfn.XLOOKUP(A3181,Energy!A:A,Energy!I:I,0)</f>
        <v>34395.259881993828</v>
      </c>
      <c r="G3181">
        <f t="shared" si="197"/>
        <v>34395.259881993828</v>
      </c>
      <c r="H3181">
        <f t="shared" si="198"/>
        <v>19766.504954651879</v>
      </c>
      <c r="I3181" t="b">
        <f t="shared" si="199"/>
        <v>0</v>
      </c>
    </row>
    <row r="3182" spans="1:9">
      <c r="A3182" s="1">
        <v>46202.871527777781</v>
      </c>
      <c r="B3182" s="5">
        <f>_xlfn.XLOOKUP(A3182,Banks!A:A,Banks!H:H,0,-1)</f>
        <v>3271.6417454401512</v>
      </c>
      <c r="C3182">
        <f>_xlfn.XLOOKUP(A3182,Energy!A:A,Energy!H:H,0,-1)</f>
        <v>11446.799470921749</v>
      </c>
      <c r="D3182">
        <f t="shared" si="196"/>
        <v>14718.4412163619</v>
      </c>
      <c r="E3182">
        <f>_xlfn.XLOOKUP(A3182,Banks!A:A,Banks!I:I,0)</f>
        <v>0</v>
      </c>
      <c r="F3182">
        <f>_xlfn.XLOOKUP(A3182,Energy!A:A,Energy!I:I,0)</f>
        <v>34421.48704979309</v>
      </c>
      <c r="G3182">
        <f t="shared" si="197"/>
        <v>34421.48704979309</v>
      </c>
      <c r="H3182">
        <f t="shared" si="198"/>
        <v>19703.045833431192</v>
      </c>
      <c r="I3182" t="b">
        <f t="shared" si="199"/>
        <v>0</v>
      </c>
    </row>
    <row r="3183" spans="1:9">
      <c r="A3183" s="1">
        <v>46202.87222222222</v>
      </c>
      <c r="B3183" s="5">
        <f>_xlfn.XLOOKUP(A3183,Banks!A:A,Banks!H:H,0,-1)</f>
        <v>3271.6417454401512</v>
      </c>
      <c r="C3183">
        <f>_xlfn.XLOOKUP(A3183,Energy!A:A,Energy!H:H,0,-1)</f>
        <v>11412.628723041231</v>
      </c>
      <c r="D3183">
        <f t="shared" si="196"/>
        <v>14684.270468481382</v>
      </c>
      <c r="E3183">
        <f>_xlfn.XLOOKUP(A3183,Banks!A:A,Banks!I:I,0)</f>
        <v>0</v>
      </c>
      <c r="F3183">
        <f>_xlfn.XLOOKUP(A3183,Energy!A:A,Energy!I:I,0)</f>
        <v>34437.154084489841</v>
      </c>
      <c r="G3183">
        <f t="shared" si="197"/>
        <v>34437.154084489841</v>
      </c>
      <c r="H3183">
        <f t="shared" si="198"/>
        <v>19752.883616008461</v>
      </c>
      <c r="I3183" t="b">
        <f t="shared" si="199"/>
        <v>0</v>
      </c>
    </row>
    <row r="3184" spans="1:9">
      <c r="A3184" s="1">
        <v>46202.872916666667</v>
      </c>
      <c r="B3184" s="5">
        <f>_xlfn.XLOOKUP(A3184,Banks!A:A,Banks!H:H,0,-1)</f>
        <v>3271.6417454401512</v>
      </c>
      <c r="C3184">
        <f>_xlfn.XLOOKUP(A3184,Energy!A:A,Energy!H:H,0,-1)</f>
        <v>11430.065073869249</v>
      </c>
      <c r="D3184">
        <f t="shared" si="196"/>
        <v>14701.7068193094</v>
      </c>
      <c r="E3184">
        <f>_xlfn.XLOOKUP(A3184,Banks!A:A,Banks!I:I,0)</f>
        <v>0</v>
      </c>
      <c r="F3184">
        <f>_xlfn.XLOOKUP(A3184,Energy!A:A,Energy!I:I,0)</f>
        <v>34457.221174645972</v>
      </c>
      <c r="G3184">
        <f t="shared" si="197"/>
        <v>34457.221174645972</v>
      </c>
      <c r="H3184">
        <f t="shared" si="198"/>
        <v>19755.514355336571</v>
      </c>
      <c r="I3184" t="b">
        <f t="shared" si="199"/>
        <v>0</v>
      </c>
    </row>
    <row r="3185" spans="1:9">
      <c r="A3185" s="1">
        <v>46202.873611111107</v>
      </c>
      <c r="B3185" s="5">
        <f>_xlfn.XLOOKUP(A3185,Banks!A:A,Banks!H:H,0,-1)</f>
        <v>3271.6417454401512</v>
      </c>
      <c r="C3185">
        <f>_xlfn.XLOOKUP(A3185,Energy!A:A,Energy!H:H,0,-1)</f>
        <v>11383.021901629591</v>
      </c>
      <c r="D3185">
        <f t="shared" si="196"/>
        <v>14654.663647069741</v>
      </c>
      <c r="E3185">
        <f>_xlfn.XLOOKUP(A3185,Banks!A:A,Banks!I:I,0)</f>
        <v>0</v>
      </c>
      <c r="F3185">
        <f>_xlfn.XLOOKUP(A3185,Energy!A:A,Energy!I:I,0)</f>
        <v>34443.075448772157</v>
      </c>
      <c r="G3185">
        <f t="shared" si="197"/>
        <v>34443.075448772157</v>
      </c>
      <c r="H3185">
        <f t="shared" si="198"/>
        <v>19788.411801702416</v>
      </c>
      <c r="I3185" t="b">
        <f t="shared" si="199"/>
        <v>0</v>
      </c>
    </row>
    <row r="3186" spans="1:9">
      <c r="A3186" s="1">
        <v>46202.874305555553</v>
      </c>
      <c r="B3186" s="5">
        <f>_xlfn.XLOOKUP(A3186,Banks!A:A,Banks!H:H,0,-1)</f>
        <v>3271.6417454401512</v>
      </c>
      <c r="C3186">
        <f>_xlfn.XLOOKUP(A3186,Energy!A:A,Energy!H:H,0,-1)</f>
        <v>11390.95618776334</v>
      </c>
      <c r="D3186">
        <f t="shared" si="196"/>
        <v>14662.597933203491</v>
      </c>
      <c r="E3186">
        <f>_xlfn.XLOOKUP(A3186,Banks!A:A,Banks!I:I,0)</f>
        <v>0</v>
      </c>
      <c r="F3186">
        <f>_xlfn.XLOOKUP(A3186,Energy!A:A,Energy!I:I,0)</f>
        <v>34403.2127560226</v>
      </c>
      <c r="G3186">
        <f t="shared" si="197"/>
        <v>34403.2127560226</v>
      </c>
      <c r="H3186">
        <f t="shared" si="198"/>
        <v>19740.614822819109</v>
      </c>
      <c r="I3186" t="b">
        <f t="shared" si="199"/>
        <v>0</v>
      </c>
    </row>
    <row r="3187" spans="1:9">
      <c r="A3187" s="1">
        <v>46203.604166666657</v>
      </c>
      <c r="B3187" s="5">
        <f>_xlfn.XLOOKUP(A3187,Banks!A:A,Banks!H:H,0,-1)</f>
        <v>3271.6417454401512</v>
      </c>
      <c r="C3187">
        <f>_xlfn.XLOOKUP(A3187,Energy!A:A,Energy!H:H,0,-1)</f>
        <v>11862.04339419795</v>
      </c>
      <c r="D3187">
        <f t="shared" si="196"/>
        <v>15133.685139638101</v>
      </c>
      <c r="E3187">
        <f>_xlfn.XLOOKUP(A3187,Banks!A:A,Banks!I:I,0)</f>
        <v>44038.234687888696</v>
      </c>
      <c r="F3187">
        <f>_xlfn.XLOOKUP(A3187,Energy!A:A,Energy!I:I,0)</f>
        <v>34497.430197309528</v>
      </c>
      <c r="G3187">
        <f t="shared" si="197"/>
        <v>78535.664885198232</v>
      </c>
      <c r="H3187">
        <f t="shared" si="198"/>
        <v>63401.979745560129</v>
      </c>
      <c r="I3187" t="b">
        <f t="shared" si="199"/>
        <v>1</v>
      </c>
    </row>
    <row r="3188" spans="1:9">
      <c r="A3188" s="1">
        <v>46203.604861111111</v>
      </c>
      <c r="B3188" s="5">
        <f>_xlfn.XLOOKUP(A3188,Banks!A:A,Banks!H:H,0,-1)</f>
        <v>3406.9456036334609</v>
      </c>
      <c r="C3188">
        <f>_xlfn.XLOOKUP(A3188,Energy!A:A,Energy!H:H,0,-1)</f>
        <v>11105.92235113437</v>
      </c>
      <c r="D3188">
        <f t="shared" si="196"/>
        <v>14512.867954767831</v>
      </c>
      <c r="E3188">
        <f>_xlfn.XLOOKUP(A3188,Banks!A:A,Banks!I:I,0)</f>
        <v>44027.051217893277</v>
      </c>
      <c r="F3188">
        <f>_xlfn.XLOOKUP(A3188,Energy!A:A,Energy!I:I,0)</f>
        <v>34731.094667048303</v>
      </c>
      <c r="G3188">
        <f t="shared" si="197"/>
        <v>78758.145884941579</v>
      </c>
      <c r="H3188">
        <f t="shared" si="198"/>
        <v>64245.277930173746</v>
      </c>
      <c r="I3188" t="b">
        <f t="shared" si="199"/>
        <v>1</v>
      </c>
    </row>
    <row r="3189" spans="1:9">
      <c r="A3189" s="1">
        <v>46203.605555555558</v>
      </c>
      <c r="B3189" s="5">
        <f>_xlfn.XLOOKUP(A3189,Banks!A:A,Banks!H:H,0,-1)</f>
        <v>3608.161915430831</v>
      </c>
      <c r="C3189">
        <f>_xlfn.XLOOKUP(A3189,Energy!A:A,Energy!H:H,0,-1)</f>
        <v>11026.311675341891</v>
      </c>
      <c r="D3189">
        <f t="shared" si="196"/>
        <v>14634.473590772723</v>
      </c>
      <c r="E3189">
        <f>_xlfn.XLOOKUP(A3189,Banks!A:A,Banks!I:I,0)</f>
        <v>43962.992003068917</v>
      </c>
      <c r="F3189">
        <f>_xlfn.XLOOKUP(A3189,Energy!A:A,Energy!I:I,0)</f>
        <v>34723.46244188508</v>
      </c>
      <c r="G3189">
        <f t="shared" si="197"/>
        <v>78686.454444953997</v>
      </c>
      <c r="H3189">
        <f t="shared" si="198"/>
        <v>64051.980854181274</v>
      </c>
      <c r="I3189" t="b">
        <f t="shared" si="199"/>
        <v>1</v>
      </c>
    </row>
    <row r="3190" spans="1:9">
      <c r="A3190" s="1">
        <v>46203.606249999997</v>
      </c>
      <c r="B3190" s="5">
        <f>_xlfn.XLOOKUP(A3190,Banks!A:A,Banks!H:H,0,-1)</f>
        <v>3442.2874168279009</v>
      </c>
      <c r="C3190">
        <f>_xlfn.XLOOKUP(A3190,Energy!A:A,Energy!H:H,0,-1)</f>
        <v>11299.068644085641</v>
      </c>
      <c r="D3190">
        <f t="shared" si="196"/>
        <v>14741.356060913542</v>
      </c>
      <c r="E3190">
        <f>_xlfn.XLOOKUP(A3190,Banks!A:A,Banks!I:I,0)</f>
        <v>43797.700632248823</v>
      </c>
      <c r="F3190">
        <f>_xlfn.XLOOKUP(A3190,Energy!A:A,Energy!I:I,0)</f>
        <v>34748.407014222168</v>
      </c>
      <c r="G3190">
        <f t="shared" si="197"/>
        <v>78546.107646470991</v>
      </c>
      <c r="H3190">
        <f t="shared" si="198"/>
        <v>63804.751585557446</v>
      </c>
      <c r="I3190" t="b">
        <f t="shared" si="199"/>
        <v>1</v>
      </c>
    </row>
    <row r="3191" spans="1:9">
      <c r="A3191" s="1">
        <v>46203.606944444437</v>
      </c>
      <c r="B3191" s="5">
        <f>_xlfn.XLOOKUP(A3191,Banks!A:A,Banks!H:H,0,-1)</f>
        <v>3193.989208352109</v>
      </c>
      <c r="C3191">
        <f>_xlfn.XLOOKUP(A3191,Energy!A:A,Energy!H:H,0,-1)</f>
        <v>11602.169853783729</v>
      </c>
      <c r="D3191">
        <f t="shared" si="196"/>
        <v>14796.159062135837</v>
      </c>
      <c r="E3191">
        <f>_xlfn.XLOOKUP(A3191,Banks!A:A,Banks!I:I,0)</f>
        <v>43831.482972300728</v>
      </c>
      <c r="F3191">
        <f>_xlfn.XLOOKUP(A3191,Energy!A:A,Energy!I:I,0)</f>
        <v>34714.285427644492</v>
      </c>
      <c r="G3191">
        <f t="shared" si="197"/>
        <v>78545.768399945227</v>
      </c>
      <c r="H3191">
        <f t="shared" si="198"/>
        <v>63749.609337809394</v>
      </c>
      <c r="I3191" t="b">
        <f t="shared" si="199"/>
        <v>1</v>
      </c>
    </row>
    <row r="3192" spans="1:9">
      <c r="A3192" s="1">
        <v>46203.607638888891</v>
      </c>
      <c r="B3192" s="5">
        <f>_xlfn.XLOOKUP(A3192,Banks!A:A,Banks!H:H,0,-1)</f>
        <v>3350.3711340278669</v>
      </c>
      <c r="C3192">
        <f>_xlfn.XLOOKUP(A3192,Energy!A:A,Energy!H:H,0,-1)</f>
        <v>11504.123632372741</v>
      </c>
      <c r="D3192">
        <f t="shared" si="196"/>
        <v>14854.494766400607</v>
      </c>
      <c r="E3192">
        <f>_xlfn.XLOOKUP(A3192,Banks!A:A,Banks!I:I,0)</f>
        <v>43827.991865041273</v>
      </c>
      <c r="F3192">
        <f>_xlfn.XLOOKUP(A3192,Energy!A:A,Energy!I:I,0)</f>
        <v>0</v>
      </c>
      <c r="G3192">
        <f t="shared" si="197"/>
        <v>43827.991865041273</v>
      </c>
      <c r="H3192">
        <f t="shared" si="198"/>
        <v>28973.497098640666</v>
      </c>
      <c r="I3192" t="b">
        <f t="shared" si="199"/>
        <v>0</v>
      </c>
    </row>
    <row r="3193" spans="1:9">
      <c r="A3193" s="1">
        <v>46203.60833333333</v>
      </c>
      <c r="B3193" s="5">
        <f>_xlfn.XLOOKUP(A3193,Banks!A:A,Banks!H:H,0,-1)</f>
        <v>3563.6864798091278</v>
      </c>
      <c r="C3193">
        <f>_xlfn.XLOOKUP(A3193,Energy!A:A,Energy!H:H,0,-1)</f>
        <v>11504.123632372741</v>
      </c>
      <c r="D3193">
        <f t="shared" si="196"/>
        <v>15067.810112181869</v>
      </c>
      <c r="E3193">
        <f>_xlfn.XLOOKUP(A3193,Banks!A:A,Banks!I:I,0)</f>
        <v>43884.56193115536</v>
      </c>
      <c r="F3193">
        <f>_xlfn.XLOOKUP(A3193,Energy!A:A,Energy!I:I,0)</f>
        <v>0</v>
      </c>
      <c r="G3193">
        <f t="shared" si="197"/>
        <v>43884.56193115536</v>
      </c>
      <c r="H3193">
        <f t="shared" si="198"/>
        <v>28816.751818973491</v>
      </c>
      <c r="I3193" t="b">
        <f t="shared" si="199"/>
        <v>0</v>
      </c>
    </row>
    <row r="3194" spans="1:9">
      <c r="A3194" s="1">
        <v>46203.609027777777</v>
      </c>
      <c r="B3194" s="5">
        <f>_xlfn.XLOOKUP(A3194,Banks!A:A,Banks!H:H,0,-1)</f>
        <v>3820.453458326921</v>
      </c>
      <c r="C3194">
        <f>_xlfn.XLOOKUP(A3194,Energy!A:A,Energy!H:H,0,-1)</f>
        <v>11504.123632372741</v>
      </c>
      <c r="D3194">
        <f t="shared" si="196"/>
        <v>15324.577090699662</v>
      </c>
      <c r="E3194">
        <f>_xlfn.XLOOKUP(A3194,Banks!A:A,Banks!I:I,0)</f>
        <v>0</v>
      </c>
      <c r="F3194">
        <f>_xlfn.XLOOKUP(A3194,Energy!A:A,Energy!I:I,0)</f>
        <v>0</v>
      </c>
      <c r="G3194">
        <f t="shared" si="197"/>
        <v>0</v>
      </c>
      <c r="H3194">
        <f t="shared" si="198"/>
        <v>-15324.577090699662</v>
      </c>
      <c r="I3194" t="b">
        <f t="shared" si="199"/>
        <v>0</v>
      </c>
    </row>
    <row r="3195" spans="1:9">
      <c r="A3195" s="1">
        <v>46204.604166666657</v>
      </c>
      <c r="B3195" s="5">
        <f>_xlfn.XLOOKUP(A3195,Banks!A:A,Banks!H:H,0,-1)</f>
        <v>3820.453458326921</v>
      </c>
      <c r="C3195">
        <f>_xlfn.XLOOKUP(A3195,Energy!A:A,Energy!H:H,0,-1)</f>
        <v>11504.123632372741</v>
      </c>
      <c r="D3195">
        <f t="shared" si="196"/>
        <v>15324.577090699662</v>
      </c>
      <c r="E3195">
        <f>_xlfn.XLOOKUP(A3195,Banks!A:A,Banks!I:I,0)</f>
        <v>44038.234687888696</v>
      </c>
      <c r="F3195">
        <f>_xlfn.XLOOKUP(A3195,Energy!A:A,Energy!I:I,0)</f>
        <v>0</v>
      </c>
      <c r="G3195">
        <f t="shared" si="197"/>
        <v>44038.234687888696</v>
      </c>
      <c r="H3195">
        <f t="shared" si="198"/>
        <v>28713.657597189034</v>
      </c>
      <c r="I3195" t="b">
        <f t="shared" si="199"/>
        <v>0</v>
      </c>
    </row>
    <row r="3196" spans="1:9">
      <c r="A3196" s="1">
        <v>46204.604861111111</v>
      </c>
      <c r="B3196" s="5">
        <f>_xlfn.XLOOKUP(A3196,Banks!A:A,Banks!H:H,0,-1)</f>
        <v>3809.294909650735</v>
      </c>
      <c r="C3196">
        <f>_xlfn.XLOOKUP(A3196,Energy!A:A,Energy!H:H,0,-1)</f>
        <v>11504.123632372741</v>
      </c>
      <c r="D3196">
        <f t="shared" si="196"/>
        <v>15313.418542023475</v>
      </c>
      <c r="E3196">
        <f>_xlfn.XLOOKUP(A3196,Banks!A:A,Banks!I:I,0)</f>
        <v>43944.902767922213</v>
      </c>
      <c r="F3196">
        <f>_xlfn.XLOOKUP(A3196,Energy!A:A,Energy!I:I,0)</f>
        <v>34488.875892905016</v>
      </c>
      <c r="G3196">
        <f t="shared" si="197"/>
        <v>78433.778660827229</v>
      </c>
      <c r="H3196">
        <f t="shared" si="198"/>
        <v>63120.360118803757</v>
      </c>
      <c r="I3196" t="b">
        <f t="shared" si="199"/>
        <v>1</v>
      </c>
    </row>
    <row r="3197" spans="1:9">
      <c r="A3197" s="1">
        <v>46204.605555555558</v>
      </c>
      <c r="B3197" s="5">
        <f>_xlfn.XLOOKUP(A3197,Banks!A:A,Banks!H:H,0,-1)</f>
        <v>3927.1592661473728</v>
      </c>
      <c r="C3197">
        <f>_xlfn.XLOOKUP(A3197,Energy!A:A,Energy!H:H,0,-1)</f>
        <v>11416.508919907679</v>
      </c>
      <c r="D3197">
        <f t="shared" si="196"/>
        <v>15343.668186055053</v>
      </c>
      <c r="E3197">
        <f>_xlfn.XLOOKUP(A3197,Banks!A:A,Banks!I:I,0)</f>
        <v>43993.002618899183</v>
      </c>
      <c r="F3197">
        <f>_xlfn.XLOOKUP(A3197,Energy!A:A,Energy!I:I,0)</f>
        <v>34536.303636002573</v>
      </c>
      <c r="G3197">
        <f t="shared" si="197"/>
        <v>78529.306254901749</v>
      </c>
      <c r="H3197">
        <f t="shared" si="198"/>
        <v>63185.638068846696</v>
      </c>
      <c r="I3197" t="b">
        <f t="shared" si="199"/>
        <v>1</v>
      </c>
    </row>
    <row r="3198" spans="1:9">
      <c r="A3198" s="1">
        <v>46204.606249999997</v>
      </c>
      <c r="B3198" s="5">
        <f>_xlfn.XLOOKUP(A3198,Banks!A:A,Banks!H:H,0,-1)</f>
        <v>3941.1029046155231</v>
      </c>
      <c r="C3198">
        <f>_xlfn.XLOOKUP(A3198,Energy!A:A,Energy!H:H,0,-1)</f>
        <v>11227.62438121402</v>
      </c>
      <c r="D3198">
        <f t="shared" si="196"/>
        <v>15168.727285829544</v>
      </c>
      <c r="E3198">
        <f>_xlfn.XLOOKUP(A3198,Banks!A:A,Banks!I:I,0)</f>
        <v>44065.868431386079</v>
      </c>
      <c r="F3198">
        <f>_xlfn.XLOOKUP(A3198,Energy!A:A,Energy!I:I,0)</f>
        <v>34642.861585131774</v>
      </c>
      <c r="G3198">
        <f t="shared" si="197"/>
        <v>78708.73001651786</v>
      </c>
      <c r="H3198">
        <f t="shared" si="198"/>
        <v>63540.002730688313</v>
      </c>
      <c r="I3198" t="b">
        <f t="shared" si="199"/>
        <v>1</v>
      </c>
    </row>
    <row r="3199" spans="1:9">
      <c r="A3199" s="1">
        <v>46204.606944444437</v>
      </c>
      <c r="B3199" s="5">
        <f>_xlfn.XLOOKUP(A3199,Banks!A:A,Banks!H:H,0,-1)</f>
        <v>3908.0407195643588</v>
      </c>
      <c r="C3199">
        <f>_xlfn.XLOOKUP(A3199,Energy!A:A,Energy!H:H,0,-1)</f>
        <v>11160.33857985378</v>
      </c>
      <c r="D3199">
        <f t="shared" si="196"/>
        <v>15068.379299418139</v>
      </c>
      <c r="E3199">
        <f>_xlfn.XLOOKUP(A3199,Banks!A:A,Banks!I:I,0)</f>
        <v>43933.117241747961</v>
      </c>
      <c r="F3199">
        <f>_xlfn.XLOOKUP(A3199,Energy!A:A,Energy!I:I,0)</f>
        <v>34629.404424859727</v>
      </c>
      <c r="G3199">
        <f t="shared" si="197"/>
        <v>78562.521666607689</v>
      </c>
      <c r="H3199">
        <f t="shared" si="198"/>
        <v>63494.142367189546</v>
      </c>
      <c r="I3199" t="b">
        <f t="shared" si="199"/>
        <v>1</v>
      </c>
    </row>
    <row r="3200" spans="1:9">
      <c r="A3200" s="1">
        <v>46204.607638888891</v>
      </c>
      <c r="B3200" s="5">
        <f>_xlfn.XLOOKUP(A3200,Banks!A:A,Banks!H:H,0,-1)</f>
        <v>3983.3018072266282</v>
      </c>
      <c r="C3200">
        <f>_xlfn.XLOOKUP(A3200,Energy!A:A,Energy!H:H,0,-1)</f>
        <v>11324.342502854781</v>
      </c>
      <c r="D3200">
        <f t="shared" si="196"/>
        <v>15307.644310081409</v>
      </c>
      <c r="E3200">
        <f>_xlfn.XLOOKUP(A3200,Banks!A:A,Banks!I:I,0)</f>
        <v>43993.719564396037</v>
      </c>
      <c r="F3200">
        <f>_xlfn.XLOOKUP(A3200,Energy!A:A,Energy!I:I,0)</f>
        <v>34587.632200078158</v>
      </c>
      <c r="G3200">
        <f t="shared" si="197"/>
        <v>78581.351764474195</v>
      </c>
      <c r="H3200">
        <f t="shared" si="198"/>
        <v>63273.707454392788</v>
      </c>
      <c r="I3200" t="b">
        <f t="shared" si="199"/>
        <v>1</v>
      </c>
    </row>
    <row r="3201" spans="1:9">
      <c r="A3201" s="1">
        <v>46204.60833333333</v>
      </c>
      <c r="B3201" s="5">
        <f>_xlfn.XLOOKUP(A3201,Banks!A:A,Banks!H:H,0,-1)</f>
        <v>4008.3858048626698</v>
      </c>
      <c r="C3201">
        <f>_xlfn.XLOOKUP(A3201,Energy!A:A,Energy!H:H,0,-1)</f>
        <v>11310.02754411947</v>
      </c>
      <c r="D3201">
        <f t="shared" si="196"/>
        <v>15318.41334898214</v>
      </c>
      <c r="E3201">
        <f>_xlfn.XLOOKUP(A3201,Banks!A:A,Banks!I:I,0)</f>
        <v>43984.720946964597</v>
      </c>
      <c r="F3201">
        <f>_xlfn.XLOOKUP(A3201,Energy!A:A,Energy!I:I,0)</f>
        <v>34647.314312973867</v>
      </c>
      <c r="G3201">
        <f t="shared" si="197"/>
        <v>78632.035259938464</v>
      </c>
      <c r="H3201">
        <f t="shared" si="198"/>
        <v>63313.621910956324</v>
      </c>
      <c r="I3201" t="b">
        <f t="shared" si="199"/>
        <v>1</v>
      </c>
    </row>
    <row r="3202" spans="1:9">
      <c r="A3202" s="1">
        <v>46204.609027777777</v>
      </c>
      <c r="B3202" s="5">
        <f>_xlfn.XLOOKUP(A3202,Banks!A:A,Banks!H:H,0,-1)</f>
        <v>3842.7523661709861</v>
      </c>
      <c r="C3202">
        <f>_xlfn.XLOOKUP(A3202,Energy!A:A,Energy!H:H,0,-1)</f>
        <v>11327.574517499161</v>
      </c>
      <c r="D3202">
        <f t="shared" si="196"/>
        <v>15170.326883670146</v>
      </c>
      <c r="E3202">
        <f>_xlfn.XLOOKUP(A3202,Banks!A:A,Banks!I:I,0)</f>
        <v>44049.702177936837</v>
      </c>
      <c r="F3202">
        <f>_xlfn.XLOOKUP(A3202,Energy!A:A,Energy!I:I,0)</f>
        <v>34679.690679023392</v>
      </c>
      <c r="G3202">
        <f t="shared" si="197"/>
        <v>78729.392856960229</v>
      </c>
      <c r="H3202">
        <f t="shared" si="198"/>
        <v>63559.065973290082</v>
      </c>
      <c r="I3202" t="b">
        <f t="shared" si="199"/>
        <v>1</v>
      </c>
    </row>
    <row r="3203" spans="1:9">
      <c r="A3203" s="1">
        <v>46204.609722222223</v>
      </c>
      <c r="B3203" s="5">
        <f>_xlfn.XLOOKUP(A3203,Banks!A:A,Banks!H:H,0,-1)</f>
        <v>4211.9850786397146</v>
      </c>
      <c r="C3203">
        <f>_xlfn.XLOOKUP(A3203,Energy!A:A,Energy!H:H,0,-1)</f>
        <v>11219.73577795554</v>
      </c>
      <c r="D3203">
        <f t="shared" ref="D3203:D3266" si="200">B3203+C3203</f>
        <v>15431.720856595255</v>
      </c>
      <c r="E3203">
        <f>_xlfn.XLOOKUP(A3203,Banks!A:A,Banks!I:I,0)</f>
        <v>0</v>
      </c>
      <c r="F3203">
        <f>_xlfn.XLOOKUP(A3203,Energy!A:A,Energy!I:I,0)</f>
        <v>34671.35362632756</v>
      </c>
      <c r="G3203">
        <f t="shared" ref="G3203:G3266" si="201">F3203+E3203</f>
        <v>34671.35362632756</v>
      </c>
      <c r="H3203">
        <f t="shared" ref="H3203:H3266" si="202">G3203-D3203</f>
        <v>19239.632769732307</v>
      </c>
      <c r="I3203" t="b">
        <f t="shared" ref="I3203:I3266" si="203">AND(E3203&gt;0,F3203&gt;0)</f>
        <v>0</v>
      </c>
    </row>
    <row r="3204" spans="1:9">
      <c r="A3204" s="1">
        <v>46204.61041666667</v>
      </c>
      <c r="B3204" s="5">
        <f>_xlfn.XLOOKUP(A3204,Banks!A:A,Banks!H:H,0,-1)</f>
        <v>4211.9850786397146</v>
      </c>
      <c r="C3204">
        <f>_xlfn.XLOOKUP(A3204,Energy!A:A,Energy!H:H,0,-1)</f>
        <v>11141.88431963794</v>
      </c>
      <c r="D3204">
        <f t="shared" si="200"/>
        <v>15353.869398277655</v>
      </c>
      <c r="E3204">
        <f>_xlfn.XLOOKUP(A3204,Banks!A:A,Banks!I:I,0)</f>
        <v>0</v>
      </c>
      <c r="F3204">
        <f>_xlfn.XLOOKUP(A3204,Energy!A:A,Energy!I:I,0)</f>
        <v>34663.000077507437</v>
      </c>
      <c r="G3204">
        <f t="shared" si="201"/>
        <v>34663.000077507437</v>
      </c>
      <c r="H3204">
        <f t="shared" si="202"/>
        <v>19309.130679229784</v>
      </c>
      <c r="I3204" t="b">
        <f t="shared" si="203"/>
        <v>0</v>
      </c>
    </row>
    <row r="3205" spans="1:9">
      <c r="A3205" s="1">
        <v>46204.611111111109</v>
      </c>
      <c r="B3205" s="5">
        <f>_xlfn.XLOOKUP(A3205,Banks!A:A,Banks!H:H,0,-1)</f>
        <v>4211.9850786397146</v>
      </c>
      <c r="C3205">
        <f>_xlfn.XLOOKUP(A3205,Energy!A:A,Energy!H:H,0,-1)</f>
        <v>11333.445912030489</v>
      </c>
      <c r="D3205">
        <f t="shared" si="200"/>
        <v>15545.430990670204</v>
      </c>
      <c r="E3205">
        <f>_xlfn.XLOOKUP(A3205,Banks!A:A,Banks!I:I,0)</f>
        <v>0</v>
      </c>
      <c r="F3205">
        <f>_xlfn.XLOOKUP(A3205,Energy!A:A,Energy!I:I,0)</f>
        <v>34579.830558122107</v>
      </c>
      <c r="G3205">
        <f t="shared" si="201"/>
        <v>34579.830558122107</v>
      </c>
      <c r="H3205">
        <f t="shared" si="202"/>
        <v>19034.399567451903</v>
      </c>
      <c r="I3205" t="b">
        <f t="shared" si="203"/>
        <v>0</v>
      </c>
    </row>
    <row r="3206" spans="1:9">
      <c r="A3206" s="1">
        <v>46204.611805555563</v>
      </c>
      <c r="B3206" s="5">
        <f>_xlfn.XLOOKUP(A3206,Banks!A:A,Banks!H:H,0,-1)</f>
        <v>4211.9850786397146</v>
      </c>
      <c r="C3206">
        <f>_xlfn.XLOOKUP(A3206,Energy!A:A,Energy!H:H,0,-1)</f>
        <v>11197.32958090691</v>
      </c>
      <c r="D3206">
        <f t="shared" si="200"/>
        <v>15409.314659546624</v>
      </c>
      <c r="E3206">
        <f>_xlfn.XLOOKUP(A3206,Banks!A:A,Banks!I:I,0)</f>
        <v>0</v>
      </c>
      <c r="F3206">
        <f>_xlfn.XLOOKUP(A3206,Energy!A:A,Energy!I:I,0)</f>
        <v>34556.215663319083</v>
      </c>
      <c r="G3206">
        <f t="shared" si="201"/>
        <v>34556.215663319083</v>
      </c>
      <c r="H3206">
        <f t="shared" si="202"/>
        <v>19146.901003772458</v>
      </c>
      <c r="I3206" t="b">
        <f t="shared" si="203"/>
        <v>0</v>
      </c>
    </row>
    <row r="3207" spans="1:9">
      <c r="A3207" s="1">
        <v>46204.612500000003</v>
      </c>
      <c r="B3207" s="5">
        <f>_xlfn.XLOOKUP(A3207,Banks!A:A,Banks!H:H,0,-1)</f>
        <v>4211.9850786397146</v>
      </c>
      <c r="C3207">
        <f>_xlfn.XLOOKUP(A3207,Energy!A:A,Energy!H:H,0,-1)</f>
        <v>11164.08788163174</v>
      </c>
      <c r="D3207">
        <f t="shared" si="200"/>
        <v>15376.072960271455</v>
      </c>
      <c r="E3207">
        <f>_xlfn.XLOOKUP(A3207,Banks!A:A,Banks!I:I,0)</f>
        <v>0</v>
      </c>
      <c r="F3207">
        <f>_xlfn.XLOOKUP(A3207,Energy!A:A,Energy!I:I,0)</f>
        <v>34574.825923415941</v>
      </c>
      <c r="G3207">
        <f t="shared" si="201"/>
        <v>34574.825923415941</v>
      </c>
      <c r="H3207">
        <f t="shared" si="202"/>
        <v>19198.752963144485</v>
      </c>
      <c r="I3207" t="b">
        <f t="shared" si="203"/>
        <v>0</v>
      </c>
    </row>
    <row r="3208" spans="1:9">
      <c r="A3208" s="1">
        <v>46204.613194444442</v>
      </c>
      <c r="B3208" s="5">
        <f>_xlfn.XLOOKUP(A3208,Banks!A:A,Banks!H:H,0,-1)</f>
        <v>4211.9850786397146</v>
      </c>
      <c r="C3208">
        <f>_xlfn.XLOOKUP(A3208,Energy!A:A,Energy!H:H,0,-1)</f>
        <v>11236.25531006569</v>
      </c>
      <c r="D3208">
        <f t="shared" si="200"/>
        <v>15448.240388705404</v>
      </c>
      <c r="E3208">
        <f>_xlfn.XLOOKUP(A3208,Banks!A:A,Banks!I:I,0)</f>
        <v>0</v>
      </c>
      <c r="F3208">
        <f>_xlfn.XLOOKUP(A3208,Energy!A:A,Energy!I:I,0)</f>
        <v>34560.392437729148</v>
      </c>
      <c r="G3208">
        <f t="shared" si="201"/>
        <v>34560.392437729148</v>
      </c>
      <c r="H3208">
        <f t="shared" si="202"/>
        <v>19112.152049023745</v>
      </c>
      <c r="I3208" t="b">
        <f t="shared" si="203"/>
        <v>0</v>
      </c>
    </row>
    <row r="3209" spans="1:9">
      <c r="A3209" s="1">
        <v>46204.613888888889</v>
      </c>
      <c r="B3209" s="5">
        <f>_xlfn.XLOOKUP(A3209,Banks!A:A,Banks!H:H,0,-1)</f>
        <v>4211.9850786397146</v>
      </c>
      <c r="C3209">
        <f>_xlfn.XLOOKUP(A3209,Energy!A:A,Energy!H:H,0,-1)</f>
        <v>11146.04602452325</v>
      </c>
      <c r="D3209">
        <f t="shared" si="200"/>
        <v>15358.031103162964</v>
      </c>
      <c r="E3209">
        <f>_xlfn.XLOOKUP(A3209,Banks!A:A,Banks!I:I,0)</f>
        <v>0</v>
      </c>
      <c r="F3209">
        <f>_xlfn.XLOOKUP(A3209,Energy!A:A,Energy!I:I,0)</f>
        <v>34578.434294837643</v>
      </c>
      <c r="G3209">
        <f t="shared" si="201"/>
        <v>34578.434294837643</v>
      </c>
      <c r="H3209">
        <f t="shared" si="202"/>
        <v>19220.403191674679</v>
      </c>
      <c r="I3209" t="b">
        <f t="shared" si="203"/>
        <v>0</v>
      </c>
    </row>
    <row r="3210" spans="1:9">
      <c r="A3210" s="1">
        <v>46204.614583333343</v>
      </c>
      <c r="B3210" s="5">
        <f>_xlfn.XLOOKUP(A3210,Banks!A:A,Banks!H:H,0,-1)</f>
        <v>4211.9850786397146</v>
      </c>
      <c r="C3210">
        <f>_xlfn.XLOOKUP(A3210,Energy!A:A,Energy!H:H,0,-1)</f>
        <v>11229.663993345919</v>
      </c>
      <c r="D3210">
        <f t="shared" si="200"/>
        <v>15441.649071985634</v>
      </c>
      <c r="E3210">
        <f>_xlfn.XLOOKUP(A3210,Banks!A:A,Banks!I:I,0)</f>
        <v>0</v>
      </c>
      <c r="F3210">
        <f>_xlfn.XLOOKUP(A3210,Energy!A:A,Energy!I:I,0)</f>
        <v>34603.577421919472</v>
      </c>
      <c r="G3210">
        <f t="shared" si="201"/>
        <v>34603.577421919472</v>
      </c>
      <c r="H3210">
        <f t="shared" si="202"/>
        <v>19161.928349933838</v>
      </c>
      <c r="I3210" t="b">
        <f t="shared" si="203"/>
        <v>0</v>
      </c>
    </row>
    <row r="3211" spans="1:9">
      <c r="A3211" s="1">
        <v>46204.615277777782</v>
      </c>
      <c r="B3211" s="5">
        <f>_xlfn.XLOOKUP(A3211,Banks!A:A,Banks!H:H,0,-1)</f>
        <v>4211.9850786397146</v>
      </c>
      <c r="C3211">
        <f>_xlfn.XLOOKUP(A3211,Energy!A:A,Energy!H:H,0,-1)</f>
        <v>11319.79079826692</v>
      </c>
      <c r="D3211">
        <f t="shared" si="200"/>
        <v>15531.775876906635</v>
      </c>
      <c r="E3211">
        <f>_xlfn.XLOOKUP(A3211,Banks!A:A,Banks!I:I,0)</f>
        <v>0</v>
      </c>
      <c r="F3211">
        <f>_xlfn.XLOOKUP(A3211,Energy!A:A,Energy!I:I,0)</f>
        <v>34591.533021056188</v>
      </c>
      <c r="G3211">
        <f t="shared" si="201"/>
        <v>34591.533021056188</v>
      </c>
      <c r="H3211">
        <f t="shared" si="202"/>
        <v>19059.757144149553</v>
      </c>
      <c r="I3211" t="b">
        <f t="shared" si="203"/>
        <v>0</v>
      </c>
    </row>
    <row r="3212" spans="1:9">
      <c r="A3212" s="1">
        <v>46204.615972222222</v>
      </c>
      <c r="B3212" s="5">
        <f>_xlfn.XLOOKUP(A3212,Banks!A:A,Banks!H:H,0,-1)</f>
        <v>4211.9850786397146</v>
      </c>
      <c r="C3212">
        <f>_xlfn.XLOOKUP(A3212,Energy!A:A,Energy!H:H,0,-1)</f>
        <v>11215.123996150989</v>
      </c>
      <c r="D3212">
        <f t="shared" si="200"/>
        <v>15427.109074790704</v>
      </c>
      <c r="E3212">
        <f>_xlfn.XLOOKUP(A3212,Banks!A:A,Banks!I:I,0)</f>
        <v>0</v>
      </c>
      <c r="F3212">
        <f>_xlfn.XLOOKUP(A3212,Energy!A:A,Energy!I:I,0)</f>
        <v>34570.599660633008</v>
      </c>
      <c r="G3212">
        <f t="shared" si="201"/>
        <v>34570.599660633008</v>
      </c>
      <c r="H3212">
        <f t="shared" si="202"/>
        <v>19143.490585842304</v>
      </c>
      <c r="I3212" t="b">
        <f t="shared" si="203"/>
        <v>0</v>
      </c>
    </row>
    <row r="3213" spans="1:9">
      <c r="A3213" s="1">
        <v>46204.616666666669</v>
      </c>
      <c r="B3213" s="5">
        <f>_xlfn.XLOOKUP(A3213,Banks!A:A,Banks!H:H,0,-1)</f>
        <v>4211.9850786397146</v>
      </c>
      <c r="C3213">
        <f>_xlfn.XLOOKUP(A3213,Energy!A:A,Energy!H:H,0,-1)</f>
        <v>11140.361994639599</v>
      </c>
      <c r="D3213">
        <f t="shared" si="200"/>
        <v>15352.347073279314</v>
      </c>
      <c r="E3213">
        <f>_xlfn.XLOOKUP(A3213,Banks!A:A,Banks!I:I,0)</f>
        <v>0</v>
      </c>
      <c r="F3213">
        <f>_xlfn.XLOOKUP(A3213,Energy!A:A,Energy!I:I,0)</f>
        <v>34555.647260330727</v>
      </c>
      <c r="G3213">
        <f t="shared" si="201"/>
        <v>34555.647260330727</v>
      </c>
      <c r="H3213">
        <f t="shared" si="202"/>
        <v>19203.300187051413</v>
      </c>
      <c r="I3213" t="b">
        <f t="shared" si="203"/>
        <v>0</v>
      </c>
    </row>
    <row r="3214" spans="1:9">
      <c r="A3214" s="1">
        <v>46204.617361111108</v>
      </c>
      <c r="B3214" s="5">
        <f>_xlfn.XLOOKUP(A3214,Banks!A:A,Banks!H:H,0,-1)</f>
        <v>4211.9850786397146</v>
      </c>
      <c r="C3214">
        <f>_xlfn.XLOOKUP(A3214,Energy!A:A,Energy!H:H,0,-1)</f>
        <v>11255.616857117669</v>
      </c>
      <c r="D3214">
        <f t="shared" si="200"/>
        <v>15467.601935757384</v>
      </c>
      <c r="E3214">
        <f>_xlfn.XLOOKUP(A3214,Banks!A:A,Banks!I:I,0)</f>
        <v>0</v>
      </c>
      <c r="F3214">
        <f>_xlfn.XLOOKUP(A3214,Energy!A:A,Energy!I:I,0)</f>
        <v>34460.82476638419</v>
      </c>
      <c r="G3214">
        <f t="shared" si="201"/>
        <v>34460.82476638419</v>
      </c>
      <c r="H3214">
        <f t="shared" si="202"/>
        <v>18993.222830626808</v>
      </c>
      <c r="I3214" t="b">
        <f t="shared" si="203"/>
        <v>0</v>
      </c>
    </row>
    <row r="3215" spans="1:9">
      <c r="A3215" s="1">
        <v>46204.618055555547</v>
      </c>
      <c r="B3215" s="5">
        <f>_xlfn.XLOOKUP(A3215,Banks!A:A,Banks!H:H,0,-1)</f>
        <v>4211.9850786397146</v>
      </c>
      <c r="C3215">
        <f>_xlfn.XLOOKUP(A3215,Energy!A:A,Energy!H:H,0,-1)</f>
        <v>11234.155620717091</v>
      </c>
      <c r="D3215">
        <f t="shared" si="200"/>
        <v>15446.140699356805</v>
      </c>
      <c r="E3215">
        <f>_xlfn.XLOOKUP(A3215,Banks!A:A,Banks!I:I,0)</f>
        <v>0</v>
      </c>
      <c r="F3215">
        <f>_xlfn.XLOOKUP(A3215,Energy!A:A,Energy!I:I,0)</f>
        <v>34495.021814268854</v>
      </c>
      <c r="G3215">
        <f t="shared" si="201"/>
        <v>34495.021814268854</v>
      </c>
      <c r="H3215">
        <f t="shared" si="202"/>
        <v>19048.881114912048</v>
      </c>
      <c r="I3215" t="b">
        <f t="shared" si="203"/>
        <v>0</v>
      </c>
    </row>
    <row r="3216" spans="1:9">
      <c r="A3216" s="1">
        <v>46204.618750000001</v>
      </c>
      <c r="B3216" s="5">
        <f>_xlfn.XLOOKUP(A3216,Banks!A:A,Banks!H:H,0,-1)</f>
        <v>4211.9850786397146</v>
      </c>
      <c r="C3216">
        <f>_xlfn.XLOOKUP(A3216,Energy!A:A,Energy!H:H,0,-1)</f>
        <v>11308.872768452789</v>
      </c>
      <c r="D3216">
        <f t="shared" si="200"/>
        <v>15520.857847092504</v>
      </c>
      <c r="E3216">
        <f>_xlfn.XLOOKUP(A3216,Banks!A:A,Banks!I:I,0)</f>
        <v>0</v>
      </c>
      <c r="F3216">
        <f>_xlfn.XLOOKUP(A3216,Energy!A:A,Energy!I:I,0)</f>
        <v>0</v>
      </c>
      <c r="G3216">
        <f t="shared" si="201"/>
        <v>0</v>
      </c>
      <c r="H3216">
        <f t="shared" si="202"/>
        <v>-15520.857847092504</v>
      </c>
      <c r="I3216" t="b">
        <f t="shared" si="203"/>
        <v>0</v>
      </c>
    </row>
    <row r="3217" spans="1:9">
      <c r="A3217" s="1">
        <v>46205.604166666657</v>
      </c>
      <c r="B3217" s="5">
        <f>_xlfn.XLOOKUP(A3217,Banks!A:A,Banks!H:H,0,-1)</f>
        <v>4211.9850786397146</v>
      </c>
      <c r="C3217">
        <f>_xlfn.XLOOKUP(A3217,Energy!A:A,Energy!H:H,0,-1)</f>
        <v>11308.872768452789</v>
      </c>
      <c r="D3217">
        <f t="shared" si="200"/>
        <v>15520.857847092504</v>
      </c>
      <c r="E3217">
        <f>_xlfn.XLOOKUP(A3217,Banks!A:A,Banks!I:I,0)</f>
        <v>0</v>
      </c>
      <c r="F3217">
        <f>_xlfn.XLOOKUP(A3217,Energy!A:A,Energy!I:I,0)</f>
        <v>34488.875892905016</v>
      </c>
      <c r="G3217">
        <f t="shared" si="201"/>
        <v>34488.875892905016</v>
      </c>
      <c r="H3217">
        <f t="shared" si="202"/>
        <v>18968.018045812511</v>
      </c>
      <c r="I3217" t="b">
        <f t="shared" si="203"/>
        <v>0</v>
      </c>
    </row>
    <row r="3218" spans="1:9">
      <c r="A3218" s="1">
        <v>46205.604861111111</v>
      </c>
      <c r="B3218" s="5">
        <f>_xlfn.XLOOKUP(A3218,Banks!A:A,Banks!H:H,0,-1)</f>
        <v>4211.9850786397146</v>
      </c>
      <c r="C3218">
        <f>_xlfn.XLOOKUP(A3218,Energy!A:A,Energy!H:H,0,-1)</f>
        <v>11338.133516286969</v>
      </c>
      <c r="D3218">
        <f t="shared" si="200"/>
        <v>15550.118594926684</v>
      </c>
      <c r="E3218">
        <f>_xlfn.XLOOKUP(A3218,Banks!A:A,Banks!I:I,0)</f>
        <v>0</v>
      </c>
      <c r="F3218">
        <f>_xlfn.XLOOKUP(A3218,Energy!A:A,Energy!I:I,0)</f>
        <v>34447.123162971693</v>
      </c>
      <c r="G3218">
        <f t="shared" si="201"/>
        <v>34447.123162971693</v>
      </c>
      <c r="H3218">
        <f t="shared" si="202"/>
        <v>18897.004568045009</v>
      </c>
      <c r="I3218" t="b">
        <f t="shared" si="203"/>
        <v>0</v>
      </c>
    </row>
    <row r="3219" spans="1:9">
      <c r="A3219" s="1">
        <v>46205.605555555558</v>
      </c>
      <c r="B3219" s="5">
        <f>_xlfn.XLOOKUP(A3219,Banks!A:A,Banks!H:H,0,-1)</f>
        <v>4211.9850786397146</v>
      </c>
      <c r="C3219">
        <f>_xlfn.XLOOKUP(A3219,Energy!A:A,Energy!H:H,0,-1)</f>
        <v>11351.183440486649</v>
      </c>
      <c r="D3219">
        <f t="shared" si="200"/>
        <v>15563.168519126364</v>
      </c>
      <c r="E3219">
        <f>_xlfn.XLOOKUP(A3219,Banks!A:A,Banks!I:I,0)</f>
        <v>0</v>
      </c>
      <c r="F3219">
        <f>_xlfn.XLOOKUP(A3219,Energy!A:A,Energy!I:I,0)</f>
        <v>34528.281198986879</v>
      </c>
      <c r="G3219">
        <f t="shared" si="201"/>
        <v>34528.281198986879</v>
      </c>
      <c r="H3219">
        <f t="shared" si="202"/>
        <v>18965.112679860515</v>
      </c>
      <c r="I3219" t="b">
        <f t="shared" si="203"/>
        <v>0</v>
      </c>
    </row>
    <row r="3220" spans="1:9">
      <c r="A3220" s="1">
        <v>46205.606249999997</v>
      </c>
      <c r="B3220" s="5">
        <f>_xlfn.XLOOKUP(A3220,Banks!A:A,Banks!H:H,0,-1)</f>
        <v>4211.9850786397146</v>
      </c>
      <c r="C3220">
        <f>_xlfn.XLOOKUP(A3220,Energy!A:A,Energy!H:H,0,-1)</f>
        <v>11220.32179393982</v>
      </c>
      <c r="D3220">
        <f t="shared" si="200"/>
        <v>15432.306872579535</v>
      </c>
      <c r="E3220">
        <f>_xlfn.XLOOKUP(A3220,Banks!A:A,Banks!I:I,0)</f>
        <v>0</v>
      </c>
      <c r="F3220">
        <f>_xlfn.XLOOKUP(A3220,Energy!A:A,Energy!I:I,0)</f>
        <v>34449.743502227349</v>
      </c>
      <c r="G3220">
        <f t="shared" si="201"/>
        <v>34449.743502227349</v>
      </c>
      <c r="H3220">
        <f t="shared" si="202"/>
        <v>19017.436629647815</v>
      </c>
      <c r="I3220" t="b">
        <f t="shared" si="203"/>
        <v>0</v>
      </c>
    </row>
    <row r="3221" spans="1:9">
      <c r="A3221" s="1">
        <v>46205.606944444437</v>
      </c>
      <c r="B3221" s="5">
        <f>_xlfn.XLOOKUP(A3221,Banks!A:A,Banks!H:H,0,-1)</f>
        <v>4211.9850786397146</v>
      </c>
      <c r="C3221">
        <f>_xlfn.XLOOKUP(A3221,Energy!A:A,Energy!H:H,0,-1)</f>
        <v>11241.72328088346</v>
      </c>
      <c r="D3221">
        <f t="shared" si="200"/>
        <v>15453.708359523174</v>
      </c>
      <c r="E3221">
        <f>_xlfn.XLOOKUP(A3221,Banks!A:A,Banks!I:I,0)</f>
        <v>0</v>
      </c>
      <c r="F3221">
        <f>_xlfn.XLOOKUP(A3221,Energy!A:A,Energy!I:I,0)</f>
        <v>34487.347215266178</v>
      </c>
      <c r="G3221">
        <f t="shared" si="201"/>
        <v>34487.347215266178</v>
      </c>
      <c r="H3221">
        <f t="shared" si="202"/>
        <v>19033.638855743004</v>
      </c>
      <c r="I3221" t="b">
        <f t="shared" si="203"/>
        <v>0</v>
      </c>
    </row>
    <row r="3222" spans="1:9">
      <c r="A3222" s="1">
        <v>46205.607638888891</v>
      </c>
      <c r="B3222" s="5">
        <f>_xlfn.XLOOKUP(A3222,Banks!A:A,Banks!H:H,0,-1)</f>
        <v>4211.9850786397146</v>
      </c>
      <c r="C3222">
        <f>_xlfn.XLOOKUP(A3222,Energy!A:A,Energy!H:H,0,-1)</f>
        <v>11335.978714407251</v>
      </c>
      <c r="D3222">
        <f t="shared" si="200"/>
        <v>15547.963793046965</v>
      </c>
      <c r="E3222">
        <f>_xlfn.XLOOKUP(A3222,Banks!A:A,Banks!I:I,0)</f>
        <v>0</v>
      </c>
      <c r="F3222">
        <f>_xlfn.XLOOKUP(A3222,Energy!A:A,Energy!I:I,0)</f>
        <v>34507.388423958437</v>
      </c>
      <c r="G3222">
        <f t="shared" si="201"/>
        <v>34507.388423958437</v>
      </c>
      <c r="H3222">
        <f t="shared" si="202"/>
        <v>18959.424630911471</v>
      </c>
      <c r="I3222" t="b">
        <f t="shared" si="203"/>
        <v>0</v>
      </c>
    </row>
    <row r="3223" spans="1:9">
      <c r="A3223" s="1">
        <v>46205.60833333333</v>
      </c>
      <c r="B3223" s="5">
        <f>_xlfn.XLOOKUP(A3223,Banks!A:A,Banks!H:H,0,-1)</f>
        <v>4211.9850786397146</v>
      </c>
      <c r="C3223">
        <f>_xlfn.XLOOKUP(A3223,Energy!A:A,Energy!H:H,0,-1)</f>
        <v>11457.884167817479</v>
      </c>
      <c r="D3223">
        <f t="shared" si="200"/>
        <v>15669.869246457194</v>
      </c>
      <c r="E3223">
        <f>_xlfn.XLOOKUP(A3223,Banks!A:A,Banks!I:I,0)</f>
        <v>0</v>
      </c>
      <c r="F3223">
        <f>_xlfn.XLOOKUP(A3223,Energy!A:A,Energy!I:I,0)</f>
        <v>34477.023903215319</v>
      </c>
      <c r="G3223">
        <f t="shared" si="201"/>
        <v>34477.023903215319</v>
      </c>
      <c r="H3223">
        <f t="shared" si="202"/>
        <v>18807.154656758124</v>
      </c>
      <c r="I3223" t="b">
        <f t="shared" si="203"/>
        <v>0</v>
      </c>
    </row>
    <row r="3224" spans="1:9">
      <c r="A3224" s="1">
        <v>46205.609027777777</v>
      </c>
      <c r="B3224" s="5">
        <f>_xlfn.XLOOKUP(A3224,Banks!A:A,Banks!H:H,0,-1)</f>
        <v>4211.9850786397146</v>
      </c>
      <c r="C3224">
        <f>_xlfn.XLOOKUP(A3224,Energy!A:A,Energy!H:H,0,-1)</f>
        <v>11553.17597712667</v>
      </c>
      <c r="D3224">
        <f t="shared" si="200"/>
        <v>15765.161055766384</v>
      </c>
      <c r="E3224">
        <f>_xlfn.XLOOKUP(A3224,Banks!A:A,Banks!I:I,0)</f>
        <v>0</v>
      </c>
      <c r="F3224">
        <f>_xlfn.XLOOKUP(A3224,Energy!A:A,Energy!I:I,0)</f>
        <v>34463.948971414553</v>
      </c>
      <c r="G3224">
        <f t="shared" si="201"/>
        <v>34463.948971414553</v>
      </c>
      <c r="H3224">
        <f t="shared" si="202"/>
        <v>18698.787915648169</v>
      </c>
      <c r="I3224" t="b">
        <f t="shared" si="203"/>
        <v>0</v>
      </c>
    </row>
    <row r="3225" spans="1:9">
      <c r="A3225" s="1">
        <v>46205.609722222223</v>
      </c>
      <c r="B3225" s="5">
        <f>_xlfn.XLOOKUP(A3225,Banks!A:A,Banks!H:H,0,-1)</f>
        <v>4211.9850786397146</v>
      </c>
      <c r="C3225">
        <f>_xlfn.XLOOKUP(A3225,Energy!A:A,Energy!H:H,0,-1)</f>
        <v>11452.67201066007</v>
      </c>
      <c r="D3225">
        <f t="shared" si="200"/>
        <v>15664.657089299784</v>
      </c>
      <c r="E3225">
        <f>_xlfn.XLOOKUP(A3225,Banks!A:A,Banks!I:I,0)</f>
        <v>0</v>
      </c>
      <c r="F3225">
        <f>_xlfn.XLOOKUP(A3225,Energy!A:A,Energy!I:I,0)</f>
        <v>34531.917205196507</v>
      </c>
      <c r="G3225">
        <f t="shared" si="201"/>
        <v>34531.917205196507</v>
      </c>
      <c r="H3225">
        <f t="shared" si="202"/>
        <v>18867.260115896723</v>
      </c>
      <c r="I3225" t="b">
        <f t="shared" si="203"/>
        <v>0</v>
      </c>
    </row>
    <row r="3226" spans="1:9">
      <c r="A3226" s="1">
        <v>46205.61041666667</v>
      </c>
      <c r="B3226" s="5">
        <f>_xlfn.XLOOKUP(A3226,Banks!A:A,Banks!H:H,0,-1)</f>
        <v>4211.9850786397146</v>
      </c>
      <c r="C3226">
        <f>_xlfn.XLOOKUP(A3226,Energy!A:A,Energy!H:H,0,-1)</f>
        <v>11353.99464483761</v>
      </c>
      <c r="D3226">
        <f t="shared" si="200"/>
        <v>15565.979723477325</v>
      </c>
      <c r="E3226">
        <f>_xlfn.XLOOKUP(A3226,Banks!A:A,Banks!I:I,0)</f>
        <v>0</v>
      </c>
      <c r="F3226">
        <f>_xlfn.XLOOKUP(A3226,Energy!A:A,Energy!I:I,0)</f>
        <v>34515.752097994533</v>
      </c>
      <c r="G3226">
        <f t="shared" si="201"/>
        <v>34515.752097994533</v>
      </c>
      <c r="H3226">
        <f t="shared" si="202"/>
        <v>18949.772374517208</v>
      </c>
      <c r="I3226" t="b">
        <f t="shared" si="203"/>
        <v>0</v>
      </c>
    </row>
    <row r="3227" spans="1:9">
      <c r="A3227" s="1">
        <v>46205.611111111109</v>
      </c>
      <c r="B3227" s="5">
        <f>_xlfn.XLOOKUP(A3227,Banks!A:A,Banks!H:H,0,-1)</f>
        <v>4211.9850786397146</v>
      </c>
      <c r="C3227">
        <f>_xlfn.XLOOKUP(A3227,Energy!A:A,Energy!H:H,0,-1)</f>
        <v>11625.56790008375</v>
      </c>
      <c r="D3227">
        <f t="shared" si="200"/>
        <v>15837.552978723465</v>
      </c>
      <c r="E3227">
        <f>_xlfn.XLOOKUP(A3227,Banks!A:A,Banks!I:I,0)</f>
        <v>0</v>
      </c>
      <c r="F3227">
        <f>_xlfn.XLOOKUP(A3227,Energy!A:A,Energy!I:I,0)</f>
        <v>34521.2717475561</v>
      </c>
      <c r="G3227">
        <f t="shared" si="201"/>
        <v>34521.2717475561</v>
      </c>
      <c r="H3227">
        <f t="shared" si="202"/>
        <v>18683.718768832638</v>
      </c>
      <c r="I3227" t="b">
        <f t="shared" si="203"/>
        <v>0</v>
      </c>
    </row>
    <row r="3228" spans="1:9">
      <c r="A3228" s="1">
        <v>46205.611805555563</v>
      </c>
      <c r="B3228" s="5">
        <f>_xlfn.XLOOKUP(A3228,Banks!A:A,Banks!H:H,0,-1)</f>
        <v>4211.9850786397146</v>
      </c>
      <c r="C3228">
        <f>_xlfn.XLOOKUP(A3228,Energy!A:A,Energy!H:H,0,-1)</f>
        <v>11268.53130383262</v>
      </c>
      <c r="D3228">
        <f t="shared" si="200"/>
        <v>15480.516382472335</v>
      </c>
      <c r="E3228">
        <f>_xlfn.XLOOKUP(A3228,Banks!A:A,Banks!I:I,0)</f>
        <v>0</v>
      </c>
      <c r="F3228">
        <f>_xlfn.XLOOKUP(A3228,Energy!A:A,Energy!I:I,0)</f>
        <v>34592.679066806333</v>
      </c>
      <c r="G3228">
        <f t="shared" si="201"/>
        <v>34592.679066806333</v>
      </c>
      <c r="H3228">
        <f t="shared" si="202"/>
        <v>19112.162684333998</v>
      </c>
      <c r="I3228" t="b">
        <f t="shared" si="203"/>
        <v>0</v>
      </c>
    </row>
    <row r="3229" spans="1:9">
      <c r="A3229" s="1">
        <v>46205.612500000003</v>
      </c>
      <c r="B3229" s="5">
        <f>_xlfn.XLOOKUP(A3229,Banks!A:A,Banks!H:H,0,-1)</f>
        <v>4211.9850786397146</v>
      </c>
      <c r="C3229">
        <f>_xlfn.XLOOKUP(A3229,Energy!A:A,Energy!H:H,0,-1)</f>
        <v>11379.027839221229</v>
      </c>
      <c r="D3229">
        <f t="shared" si="200"/>
        <v>15591.012917860944</v>
      </c>
      <c r="E3229">
        <f>_xlfn.XLOOKUP(A3229,Banks!A:A,Banks!I:I,0)</f>
        <v>0</v>
      </c>
      <c r="F3229">
        <f>_xlfn.XLOOKUP(A3229,Energy!A:A,Energy!I:I,0)</f>
        <v>34600.496910034002</v>
      </c>
      <c r="G3229">
        <f t="shared" si="201"/>
        <v>34600.496910034002</v>
      </c>
      <c r="H3229">
        <f t="shared" si="202"/>
        <v>19009.48399217306</v>
      </c>
      <c r="I3229" t="b">
        <f t="shared" si="203"/>
        <v>0</v>
      </c>
    </row>
    <row r="3230" spans="1:9">
      <c r="A3230" s="1">
        <v>46205.613194444442</v>
      </c>
      <c r="B3230" s="5">
        <f>_xlfn.XLOOKUP(A3230,Banks!A:A,Banks!H:H,0,-1)</f>
        <v>4211.9850786397146</v>
      </c>
      <c r="C3230">
        <f>_xlfn.XLOOKUP(A3230,Energy!A:A,Energy!H:H,0,-1)</f>
        <v>11296.755675881381</v>
      </c>
      <c r="D3230">
        <f t="shared" si="200"/>
        <v>15508.740754521095</v>
      </c>
      <c r="E3230">
        <f>_xlfn.XLOOKUP(A3230,Banks!A:A,Banks!I:I,0)</f>
        <v>0</v>
      </c>
      <c r="F3230">
        <f>_xlfn.XLOOKUP(A3230,Energy!A:A,Energy!I:I,0)</f>
        <v>34584.042477366042</v>
      </c>
      <c r="G3230">
        <f t="shared" si="201"/>
        <v>34584.042477366042</v>
      </c>
      <c r="H3230">
        <f t="shared" si="202"/>
        <v>19075.301722844946</v>
      </c>
      <c r="I3230" t="b">
        <f t="shared" si="203"/>
        <v>0</v>
      </c>
    </row>
    <row r="3231" spans="1:9">
      <c r="A3231" s="1">
        <v>46205.613888888889</v>
      </c>
      <c r="B3231" s="5">
        <f>_xlfn.XLOOKUP(A3231,Banks!A:A,Banks!H:H,0,-1)</f>
        <v>4211.9850786397146</v>
      </c>
      <c r="C3231">
        <f>_xlfn.XLOOKUP(A3231,Energy!A:A,Energy!H:H,0,-1)</f>
        <v>11325.964651636999</v>
      </c>
      <c r="D3231">
        <f t="shared" si="200"/>
        <v>15537.949730276714</v>
      </c>
      <c r="E3231">
        <f>_xlfn.XLOOKUP(A3231,Banks!A:A,Banks!I:I,0)</f>
        <v>0</v>
      </c>
      <c r="F3231">
        <f>_xlfn.XLOOKUP(A3231,Energy!A:A,Energy!I:I,0)</f>
        <v>34647.010127917332</v>
      </c>
      <c r="G3231">
        <f t="shared" si="201"/>
        <v>34647.010127917332</v>
      </c>
      <c r="H3231">
        <f t="shared" si="202"/>
        <v>19109.06039764062</v>
      </c>
      <c r="I3231" t="b">
        <f t="shared" si="203"/>
        <v>0</v>
      </c>
    </row>
    <row r="3232" spans="1:9">
      <c r="A3232" s="1">
        <v>46205.614583333343</v>
      </c>
      <c r="B3232" s="5">
        <f>_xlfn.XLOOKUP(A3232,Banks!A:A,Banks!H:H,0,-1)</f>
        <v>4211.9850786397146</v>
      </c>
      <c r="C3232">
        <f>_xlfn.XLOOKUP(A3232,Energy!A:A,Energy!H:H,0,-1)</f>
        <v>11330.714785171291</v>
      </c>
      <c r="D3232">
        <f t="shared" si="200"/>
        <v>15542.699863811005</v>
      </c>
      <c r="E3232">
        <f>_xlfn.XLOOKUP(A3232,Banks!A:A,Banks!I:I,0)</f>
        <v>0</v>
      </c>
      <c r="F3232">
        <f>_xlfn.XLOOKUP(A3232,Energy!A:A,Energy!I:I,0)</f>
        <v>34667.002106424246</v>
      </c>
      <c r="G3232">
        <f t="shared" si="201"/>
        <v>34667.002106424246</v>
      </c>
      <c r="H3232">
        <f t="shared" si="202"/>
        <v>19124.302242613241</v>
      </c>
      <c r="I3232" t="b">
        <f t="shared" si="203"/>
        <v>0</v>
      </c>
    </row>
    <row r="3233" spans="1:9">
      <c r="A3233" s="1">
        <v>46205.615277777782</v>
      </c>
      <c r="B3233" s="5">
        <f>_xlfn.XLOOKUP(A3233,Banks!A:A,Banks!H:H,0,-1)</f>
        <v>4211.9850786397146</v>
      </c>
      <c r="C3233">
        <f>_xlfn.XLOOKUP(A3233,Energy!A:A,Energy!H:H,0,-1)</f>
        <v>11471.70282302761</v>
      </c>
      <c r="D3233">
        <f t="shared" si="200"/>
        <v>15683.687901667325</v>
      </c>
      <c r="E3233">
        <f>_xlfn.XLOOKUP(A3233,Banks!A:A,Banks!I:I,0)</f>
        <v>0</v>
      </c>
      <c r="F3233">
        <f>_xlfn.XLOOKUP(A3233,Energy!A:A,Energy!I:I,0)</f>
        <v>34722.572519708097</v>
      </c>
      <c r="G3233">
        <f t="shared" si="201"/>
        <v>34722.572519708097</v>
      </c>
      <c r="H3233">
        <f t="shared" si="202"/>
        <v>19038.884618040771</v>
      </c>
      <c r="I3233" t="b">
        <f t="shared" si="203"/>
        <v>0</v>
      </c>
    </row>
    <row r="3234" spans="1:9">
      <c r="A3234" s="1">
        <v>46205.615972222222</v>
      </c>
      <c r="B3234" s="5">
        <f>_xlfn.XLOOKUP(A3234,Banks!A:A,Banks!H:H,0,-1)</f>
        <v>4211.9850786397146</v>
      </c>
      <c r="C3234">
        <f>_xlfn.XLOOKUP(A3234,Energy!A:A,Energy!H:H,0,-1)</f>
        <v>11479.18211060397</v>
      </c>
      <c r="D3234">
        <f t="shared" si="200"/>
        <v>15691.167189243684</v>
      </c>
      <c r="E3234">
        <f>_xlfn.XLOOKUP(A3234,Banks!A:A,Banks!I:I,0)</f>
        <v>0</v>
      </c>
      <c r="F3234">
        <f>_xlfn.XLOOKUP(A3234,Energy!A:A,Energy!I:I,0)</f>
        <v>34724.068377223382</v>
      </c>
      <c r="G3234">
        <f t="shared" si="201"/>
        <v>34724.068377223382</v>
      </c>
      <c r="H3234">
        <f t="shared" si="202"/>
        <v>19032.901187979696</v>
      </c>
      <c r="I3234" t="b">
        <f t="shared" si="203"/>
        <v>0</v>
      </c>
    </row>
    <row r="3235" spans="1:9">
      <c r="A3235" s="1">
        <v>46205.616666666669</v>
      </c>
      <c r="B3235" s="5">
        <f>_xlfn.XLOOKUP(A3235,Banks!A:A,Banks!H:H,0,-1)</f>
        <v>4211.9850786397146</v>
      </c>
      <c r="C3235">
        <f>_xlfn.XLOOKUP(A3235,Energy!A:A,Energy!H:H,0,-1)</f>
        <v>11241.23976341213</v>
      </c>
      <c r="D3235">
        <f t="shared" si="200"/>
        <v>15453.224842051844</v>
      </c>
      <c r="E3235">
        <f>_xlfn.XLOOKUP(A3235,Banks!A:A,Banks!I:I,0)</f>
        <v>0</v>
      </c>
      <c r="F3235">
        <f>_xlfn.XLOOKUP(A3235,Energy!A:A,Energy!I:I,0)</f>
        <v>34777.640276722821</v>
      </c>
      <c r="G3235">
        <f t="shared" si="201"/>
        <v>34777.640276722821</v>
      </c>
      <c r="H3235">
        <f t="shared" si="202"/>
        <v>19324.415434670977</v>
      </c>
      <c r="I3235" t="b">
        <f t="shared" si="203"/>
        <v>0</v>
      </c>
    </row>
    <row r="3236" spans="1:9">
      <c r="A3236" s="1">
        <v>46205.617361111108</v>
      </c>
      <c r="B3236" s="5">
        <f>_xlfn.XLOOKUP(A3236,Banks!A:A,Banks!H:H,0,-1)</f>
        <v>4211.9850786397146</v>
      </c>
      <c r="C3236">
        <f>_xlfn.XLOOKUP(A3236,Energy!A:A,Energy!H:H,0,-1)</f>
        <v>11265.20630378</v>
      </c>
      <c r="D3236">
        <f t="shared" si="200"/>
        <v>15477.191382419715</v>
      </c>
      <c r="E3236">
        <f>_xlfn.XLOOKUP(A3236,Banks!A:A,Banks!I:I,0)</f>
        <v>0</v>
      </c>
      <c r="F3236">
        <f>_xlfn.XLOOKUP(A3236,Energy!A:A,Energy!I:I,0)</f>
        <v>34784.81382877141</v>
      </c>
      <c r="G3236">
        <f t="shared" si="201"/>
        <v>34784.81382877141</v>
      </c>
      <c r="H3236">
        <f t="shared" si="202"/>
        <v>19307.622446351696</v>
      </c>
      <c r="I3236" t="b">
        <f t="shared" si="203"/>
        <v>0</v>
      </c>
    </row>
    <row r="3237" spans="1:9">
      <c r="A3237" s="1">
        <v>46205.618055555547</v>
      </c>
      <c r="B3237" s="5">
        <f>_xlfn.XLOOKUP(A3237,Banks!A:A,Banks!H:H,0,-1)</f>
        <v>4211.9850786397146</v>
      </c>
      <c r="C3237">
        <f>_xlfn.XLOOKUP(A3237,Energy!A:A,Energy!H:H,0,-1)</f>
        <v>11288.844642912271</v>
      </c>
      <c r="D3237">
        <f t="shared" si="200"/>
        <v>15500.829721551985</v>
      </c>
      <c r="E3237">
        <f>_xlfn.XLOOKUP(A3237,Banks!A:A,Banks!I:I,0)</f>
        <v>0</v>
      </c>
      <c r="F3237">
        <f>_xlfn.XLOOKUP(A3237,Energy!A:A,Energy!I:I,0)</f>
        <v>34768.1193008228</v>
      </c>
      <c r="G3237">
        <f t="shared" si="201"/>
        <v>34768.1193008228</v>
      </c>
      <c r="H3237">
        <f t="shared" si="202"/>
        <v>19267.289579270815</v>
      </c>
      <c r="I3237" t="b">
        <f t="shared" si="203"/>
        <v>0</v>
      </c>
    </row>
    <row r="3238" spans="1:9">
      <c r="A3238" s="1">
        <v>46205.618750000001</v>
      </c>
      <c r="B3238" s="5">
        <f>_xlfn.XLOOKUP(A3238,Banks!A:A,Banks!H:H,0,-1)</f>
        <v>4211.9850786397146</v>
      </c>
      <c r="C3238">
        <f>_xlfn.XLOOKUP(A3238,Energy!A:A,Energy!H:H,0,-1)</f>
        <v>11352.647327391071</v>
      </c>
      <c r="D3238">
        <f t="shared" si="200"/>
        <v>15564.632406030785</v>
      </c>
      <c r="E3238">
        <f>_xlfn.XLOOKUP(A3238,Banks!A:A,Banks!I:I,0)</f>
        <v>0</v>
      </c>
      <c r="F3238">
        <f>_xlfn.XLOOKUP(A3238,Energy!A:A,Energy!I:I,0)</f>
        <v>0</v>
      </c>
      <c r="G3238">
        <f t="shared" si="201"/>
        <v>0</v>
      </c>
      <c r="H3238">
        <f t="shared" si="202"/>
        <v>-15564.632406030785</v>
      </c>
      <c r="I3238" t="b">
        <f t="shared" si="203"/>
        <v>0</v>
      </c>
    </row>
    <row r="3239" spans="1:9">
      <c r="A3239" s="1">
        <v>46205.799305555563</v>
      </c>
      <c r="B3239" s="5">
        <f>_xlfn.XLOOKUP(A3239,Banks!A:A,Banks!H:H,0,-1)</f>
        <v>4211.9850786397146</v>
      </c>
      <c r="C3239">
        <f>_xlfn.XLOOKUP(A3239,Energy!A:A,Energy!H:H,0,-1)</f>
        <v>11352.647327391071</v>
      </c>
      <c r="D3239">
        <f t="shared" si="200"/>
        <v>15564.632406030785</v>
      </c>
      <c r="E3239">
        <f>_xlfn.XLOOKUP(A3239,Banks!A:A,Banks!I:I,0)</f>
        <v>0</v>
      </c>
      <c r="F3239">
        <f>_xlfn.XLOOKUP(A3239,Energy!A:A,Energy!I:I,0)</f>
        <v>34488.875892905009</v>
      </c>
      <c r="G3239">
        <f t="shared" si="201"/>
        <v>34488.875892905009</v>
      </c>
      <c r="H3239">
        <f t="shared" si="202"/>
        <v>18924.243486874224</v>
      </c>
      <c r="I3239" t="b">
        <f t="shared" si="203"/>
        <v>0</v>
      </c>
    </row>
    <row r="3240" spans="1:9">
      <c r="A3240" s="1">
        <v>46205.8</v>
      </c>
      <c r="B3240" s="5">
        <f>_xlfn.XLOOKUP(A3240,Banks!A:A,Banks!H:H,0,-1)</f>
        <v>4211.9850786397146</v>
      </c>
      <c r="C3240">
        <f>_xlfn.XLOOKUP(A3240,Energy!A:A,Energy!H:H,0,-1)</f>
        <v>11379.75535283823</v>
      </c>
      <c r="D3240">
        <f t="shared" si="200"/>
        <v>15591.740431477945</v>
      </c>
      <c r="E3240">
        <f>_xlfn.XLOOKUP(A3240,Banks!A:A,Banks!I:I,0)</f>
        <v>0</v>
      </c>
      <c r="F3240">
        <f>_xlfn.XLOOKUP(A3240,Energy!A:A,Energy!I:I,0)</f>
        <v>34464.411202835807</v>
      </c>
      <c r="G3240">
        <f t="shared" si="201"/>
        <v>34464.411202835807</v>
      </c>
      <c r="H3240">
        <f t="shared" si="202"/>
        <v>18872.670771357862</v>
      </c>
      <c r="I3240" t="b">
        <f t="shared" si="203"/>
        <v>0</v>
      </c>
    </row>
    <row r="3241" spans="1:9">
      <c r="A3241" s="1">
        <v>46205.800694444442</v>
      </c>
      <c r="B3241" s="5">
        <f>_xlfn.XLOOKUP(A3241,Banks!A:A,Banks!H:H,0,-1)</f>
        <v>4211.9850786397146</v>
      </c>
      <c r="C3241">
        <f>_xlfn.XLOOKUP(A3241,Energy!A:A,Energy!H:H,0,-1)</f>
        <v>11352.71306482993</v>
      </c>
      <c r="D3241">
        <f t="shared" si="200"/>
        <v>15564.698143469644</v>
      </c>
      <c r="E3241">
        <f>_xlfn.XLOOKUP(A3241,Banks!A:A,Banks!I:I,0)</f>
        <v>0</v>
      </c>
      <c r="F3241">
        <f>_xlfn.XLOOKUP(A3241,Energy!A:A,Energy!I:I,0)</f>
        <v>34482.911781361057</v>
      </c>
      <c r="G3241">
        <f t="shared" si="201"/>
        <v>34482.911781361057</v>
      </c>
      <c r="H3241">
        <f t="shared" si="202"/>
        <v>18918.213637891415</v>
      </c>
      <c r="I3241" t="b">
        <f t="shared" si="203"/>
        <v>0</v>
      </c>
    </row>
    <row r="3242" spans="1:9">
      <c r="A3242" s="1">
        <v>46205.801388888889</v>
      </c>
      <c r="B3242" s="5">
        <f>_xlfn.XLOOKUP(A3242,Banks!A:A,Banks!H:H,0,-1)</f>
        <v>4211.9850786397146</v>
      </c>
      <c r="C3242">
        <f>_xlfn.XLOOKUP(A3242,Energy!A:A,Energy!H:H,0,-1)</f>
        <v>11404.81686904092</v>
      </c>
      <c r="D3242">
        <f t="shared" si="200"/>
        <v>15616.801947680635</v>
      </c>
      <c r="E3242">
        <f>_xlfn.XLOOKUP(A3242,Banks!A:A,Banks!I:I,0)</f>
        <v>0</v>
      </c>
      <c r="F3242">
        <f>_xlfn.XLOOKUP(A3242,Energy!A:A,Energy!I:I,0)</f>
        <v>34490.3439126874</v>
      </c>
      <c r="G3242">
        <f t="shared" si="201"/>
        <v>34490.3439126874</v>
      </c>
      <c r="H3242">
        <f t="shared" si="202"/>
        <v>18873.541965006763</v>
      </c>
      <c r="I3242" t="b">
        <f t="shared" si="203"/>
        <v>0</v>
      </c>
    </row>
    <row r="3243" spans="1:9">
      <c r="A3243" s="1">
        <v>46205.802083333343</v>
      </c>
      <c r="B3243" s="5">
        <f>_xlfn.XLOOKUP(A3243,Banks!A:A,Banks!H:H,0,-1)</f>
        <v>4211.9850786397146</v>
      </c>
      <c r="C3243">
        <f>_xlfn.XLOOKUP(A3243,Energy!A:A,Energy!H:H,0,-1)</f>
        <v>11428.423512949021</v>
      </c>
      <c r="D3243">
        <f t="shared" si="200"/>
        <v>15640.408591588735</v>
      </c>
      <c r="E3243">
        <f>_xlfn.XLOOKUP(A3243,Banks!A:A,Banks!I:I,0)</f>
        <v>0</v>
      </c>
      <c r="F3243">
        <f>_xlfn.XLOOKUP(A3243,Energy!A:A,Energy!I:I,0)</f>
        <v>34512.997018564187</v>
      </c>
      <c r="G3243">
        <f t="shared" si="201"/>
        <v>34512.997018564187</v>
      </c>
      <c r="H3243">
        <f t="shared" si="202"/>
        <v>18872.588426975453</v>
      </c>
      <c r="I3243" t="b">
        <f t="shared" si="203"/>
        <v>0</v>
      </c>
    </row>
    <row r="3244" spans="1:9">
      <c r="A3244" s="1">
        <v>46205.802777777782</v>
      </c>
      <c r="B3244" s="5">
        <f>_xlfn.XLOOKUP(A3244,Banks!A:A,Banks!H:H,0,-1)</f>
        <v>4211.9850786397146</v>
      </c>
      <c r="C3244">
        <f>_xlfn.XLOOKUP(A3244,Energy!A:A,Energy!H:H,0,-1)</f>
        <v>11408.85279873037</v>
      </c>
      <c r="D3244">
        <f t="shared" si="200"/>
        <v>15620.837877370084</v>
      </c>
      <c r="E3244">
        <f>_xlfn.XLOOKUP(A3244,Banks!A:A,Banks!I:I,0)</f>
        <v>0</v>
      </c>
      <c r="F3244">
        <f>_xlfn.XLOOKUP(A3244,Energy!A:A,Energy!I:I,0)</f>
        <v>34530.003282331512</v>
      </c>
      <c r="G3244">
        <f t="shared" si="201"/>
        <v>34530.003282331512</v>
      </c>
      <c r="H3244">
        <f t="shared" si="202"/>
        <v>18909.16540496143</v>
      </c>
      <c r="I3244" t="b">
        <f t="shared" si="203"/>
        <v>0</v>
      </c>
    </row>
    <row r="3245" spans="1:9">
      <c r="A3245" s="1">
        <v>46205.803472222222</v>
      </c>
      <c r="B3245" s="5">
        <f>_xlfn.XLOOKUP(A3245,Banks!A:A,Banks!H:H,0,-1)</f>
        <v>4211.9850786397146</v>
      </c>
      <c r="C3245">
        <f>_xlfn.XLOOKUP(A3245,Energy!A:A,Energy!H:H,0,-1)</f>
        <v>11441.51736360048</v>
      </c>
      <c r="D3245">
        <f t="shared" si="200"/>
        <v>15653.502442240195</v>
      </c>
      <c r="E3245">
        <f>_xlfn.XLOOKUP(A3245,Banks!A:A,Banks!I:I,0)</f>
        <v>0</v>
      </c>
      <c r="F3245">
        <f>_xlfn.XLOOKUP(A3245,Energy!A:A,Energy!I:I,0)</f>
        <v>34542.513454337262</v>
      </c>
      <c r="G3245">
        <f t="shared" si="201"/>
        <v>34542.513454337262</v>
      </c>
      <c r="H3245">
        <f t="shared" si="202"/>
        <v>18889.011012097068</v>
      </c>
      <c r="I3245" t="b">
        <f t="shared" si="203"/>
        <v>0</v>
      </c>
    </row>
    <row r="3246" spans="1:9">
      <c r="A3246" s="1">
        <v>46205.804166666669</v>
      </c>
      <c r="B3246" s="5">
        <f>_xlfn.XLOOKUP(A3246,Banks!A:A,Banks!H:H,0,-1)</f>
        <v>4211.9850786397146</v>
      </c>
      <c r="C3246">
        <f>_xlfn.XLOOKUP(A3246,Energy!A:A,Energy!H:H,0,-1)</f>
        <v>11425.18508116544</v>
      </c>
      <c r="D3246">
        <f t="shared" si="200"/>
        <v>15637.170159805155</v>
      </c>
      <c r="E3246">
        <f>_xlfn.XLOOKUP(A3246,Banks!A:A,Banks!I:I,0)</f>
        <v>0</v>
      </c>
      <c r="F3246">
        <f>_xlfn.XLOOKUP(A3246,Energy!A:A,Energy!I:I,0)</f>
        <v>34536.258368334376</v>
      </c>
      <c r="G3246">
        <f t="shared" si="201"/>
        <v>34536.258368334376</v>
      </c>
      <c r="H3246">
        <f t="shared" si="202"/>
        <v>18899.088208529221</v>
      </c>
      <c r="I3246" t="b">
        <f t="shared" si="203"/>
        <v>0</v>
      </c>
    </row>
    <row r="3247" spans="1:9">
      <c r="A3247" s="1">
        <v>46205.804861111108</v>
      </c>
      <c r="B3247" s="5">
        <f>_xlfn.XLOOKUP(A3247,Banks!A:A,Banks!H:H,0,-1)</f>
        <v>4211.9850786397146</v>
      </c>
      <c r="C3247">
        <f>_xlfn.XLOOKUP(A3247,Energy!A:A,Energy!H:H,0,-1)</f>
        <v>11466.84182955868</v>
      </c>
      <c r="D3247">
        <f t="shared" si="200"/>
        <v>15678.826908198394</v>
      </c>
      <c r="E3247">
        <f>_xlfn.XLOOKUP(A3247,Banks!A:A,Banks!I:I,0)</f>
        <v>0</v>
      </c>
      <c r="F3247">
        <f>_xlfn.XLOOKUP(A3247,Energy!A:A,Energy!I:I,0)</f>
        <v>34544.589718013027</v>
      </c>
      <c r="G3247">
        <f t="shared" si="201"/>
        <v>34544.589718013027</v>
      </c>
      <c r="H3247">
        <f t="shared" si="202"/>
        <v>18865.762809814631</v>
      </c>
      <c r="I3247" t="b">
        <f t="shared" si="203"/>
        <v>0</v>
      </c>
    </row>
    <row r="3248" spans="1:9">
      <c r="A3248" s="1">
        <v>46205.805555555547</v>
      </c>
      <c r="B3248" s="5">
        <f>_xlfn.XLOOKUP(A3248,Banks!A:A,Banks!H:H,0,-1)</f>
        <v>4211.9850786397146</v>
      </c>
      <c r="C3248">
        <f>_xlfn.XLOOKUP(A3248,Energy!A:A,Energy!H:H,0,-1)</f>
        <v>11462.280000358231</v>
      </c>
      <c r="D3248">
        <f t="shared" si="200"/>
        <v>15674.265078997945</v>
      </c>
      <c r="E3248">
        <f>_xlfn.XLOOKUP(A3248,Banks!A:A,Banks!I:I,0)</f>
        <v>0</v>
      </c>
      <c r="F3248">
        <f>_xlfn.XLOOKUP(A3248,Energy!A:A,Energy!I:I,0)</f>
        <v>34552.643240720528</v>
      </c>
      <c r="G3248">
        <f t="shared" si="201"/>
        <v>34552.643240720528</v>
      </c>
      <c r="H3248">
        <f t="shared" si="202"/>
        <v>18878.378161722583</v>
      </c>
      <c r="I3248" t="b">
        <f t="shared" si="203"/>
        <v>0</v>
      </c>
    </row>
    <row r="3249" spans="1:9">
      <c r="A3249" s="1">
        <v>46205.806250000001</v>
      </c>
      <c r="B3249" s="5">
        <f>_xlfn.XLOOKUP(A3249,Banks!A:A,Banks!H:H,0,-1)</f>
        <v>4211.9850786397146</v>
      </c>
      <c r="C3249">
        <f>_xlfn.XLOOKUP(A3249,Energy!A:A,Energy!H:H,0,-1)</f>
        <v>11494.878827789449</v>
      </c>
      <c r="D3249">
        <f t="shared" si="200"/>
        <v>15706.863906429164</v>
      </c>
      <c r="E3249">
        <f>_xlfn.XLOOKUP(A3249,Banks!A:A,Banks!I:I,0)</f>
        <v>0</v>
      </c>
      <c r="F3249">
        <f>_xlfn.XLOOKUP(A3249,Energy!A:A,Energy!I:I,0)</f>
        <v>34571.117524270223</v>
      </c>
      <c r="G3249">
        <f t="shared" si="201"/>
        <v>34571.117524270223</v>
      </c>
      <c r="H3249">
        <f t="shared" si="202"/>
        <v>18864.253617841059</v>
      </c>
      <c r="I3249" t="b">
        <f t="shared" si="203"/>
        <v>0</v>
      </c>
    </row>
    <row r="3250" spans="1:9">
      <c r="A3250" s="1">
        <v>46205.806944444441</v>
      </c>
      <c r="B3250" s="5">
        <f>_xlfn.XLOOKUP(A3250,Banks!A:A,Banks!H:H,0,-1)</f>
        <v>4211.9850786397146</v>
      </c>
      <c r="C3250">
        <f>_xlfn.XLOOKUP(A3250,Energy!A:A,Energy!H:H,0,-1)</f>
        <v>11470.943496686979</v>
      </c>
      <c r="D3250">
        <f t="shared" si="200"/>
        <v>15682.928575326694</v>
      </c>
      <c r="E3250">
        <f>_xlfn.XLOOKUP(A3250,Banks!A:A,Banks!I:I,0)</f>
        <v>0</v>
      </c>
      <c r="F3250">
        <f>_xlfn.XLOOKUP(A3250,Energy!A:A,Energy!I:I,0)</f>
        <v>34578.284976113187</v>
      </c>
      <c r="G3250">
        <f t="shared" si="201"/>
        <v>34578.284976113187</v>
      </c>
      <c r="H3250">
        <f t="shared" si="202"/>
        <v>18895.356400786492</v>
      </c>
      <c r="I3250" t="b">
        <f t="shared" si="203"/>
        <v>0</v>
      </c>
    </row>
    <row r="3251" spans="1:9">
      <c r="A3251" s="1">
        <v>46205.807638888888</v>
      </c>
      <c r="B3251" s="5">
        <f>_xlfn.XLOOKUP(A3251,Banks!A:A,Banks!H:H,0,-1)</f>
        <v>4211.9850786397146</v>
      </c>
      <c r="C3251">
        <f>_xlfn.XLOOKUP(A3251,Energy!A:A,Energy!H:H,0,-1)</f>
        <v>11423.138571920959</v>
      </c>
      <c r="D3251">
        <f t="shared" si="200"/>
        <v>15635.123650560674</v>
      </c>
      <c r="E3251">
        <f>_xlfn.XLOOKUP(A3251,Banks!A:A,Banks!I:I,0)</f>
        <v>0</v>
      </c>
      <c r="F3251">
        <f>_xlfn.XLOOKUP(A3251,Energy!A:A,Energy!I:I,0)</f>
        <v>34586.655768255157</v>
      </c>
      <c r="G3251">
        <f t="shared" si="201"/>
        <v>34586.655768255157</v>
      </c>
      <c r="H3251">
        <f t="shared" si="202"/>
        <v>18951.532117694485</v>
      </c>
      <c r="I3251" t="b">
        <f t="shared" si="203"/>
        <v>0</v>
      </c>
    </row>
    <row r="3252" spans="1:9">
      <c r="A3252" s="1">
        <v>46205.808333333327</v>
      </c>
      <c r="B3252" s="5">
        <f>_xlfn.XLOOKUP(A3252,Banks!A:A,Banks!H:H,0,-1)</f>
        <v>4211.9850786397146</v>
      </c>
      <c r="C3252">
        <f>_xlfn.XLOOKUP(A3252,Energy!A:A,Energy!H:H,0,-1)</f>
        <v>11423.270046798711</v>
      </c>
      <c r="D3252">
        <f t="shared" si="200"/>
        <v>15635.255125438425</v>
      </c>
      <c r="E3252">
        <f>_xlfn.XLOOKUP(A3252,Banks!A:A,Banks!I:I,0)</f>
        <v>0</v>
      </c>
      <c r="F3252">
        <f>_xlfn.XLOOKUP(A3252,Energy!A:A,Energy!I:I,0)</f>
        <v>34574.727545167261</v>
      </c>
      <c r="G3252">
        <f t="shared" si="201"/>
        <v>34574.727545167261</v>
      </c>
      <c r="H3252">
        <f t="shared" si="202"/>
        <v>18939.472419728838</v>
      </c>
      <c r="I3252" t="b">
        <f t="shared" si="203"/>
        <v>0</v>
      </c>
    </row>
    <row r="3253" spans="1:9">
      <c r="A3253" s="1">
        <v>46205.809027777781</v>
      </c>
      <c r="B3253" s="5">
        <f>_xlfn.XLOOKUP(A3253,Banks!A:A,Banks!H:H,0,-1)</f>
        <v>4211.9850786397146</v>
      </c>
      <c r="C3253">
        <f>_xlfn.XLOOKUP(A3253,Energy!A:A,Energy!H:H,0,-1)</f>
        <v>11412.888728419841</v>
      </c>
      <c r="D3253">
        <f t="shared" si="200"/>
        <v>15624.873807059555</v>
      </c>
      <c r="E3253">
        <f>_xlfn.XLOOKUP(A3253,Banks!A:A,Banks!I:I,0)</f>
        <v>0</v>
      </c>
      <c r="F3253">
        <f>_xlfn.XLOOKUP(A3253,Energy!A:A,Energy!I:I,0)</f>
        <v>34569.662651975617</v>
      </c>
      <c r="G3253">
        <f t="shared" si="201"/>
        <v>34569.662651975617</v>
      </c>
      <c r="H3253">
        <f t="shared" si="202"/>
        <v>18944.78884491606</v>
      </c>
      <c r="I3253" t="b">
        <f t="shared" si="203"/>
        <v>0</v>
      </c>
    </row>
    <row r="3254" spans="1:9">
      <c r="A3254" s="1">
        <v>46205.80972222222</v>
      </c>
      <c r="B3254" s="5">
        <f>_xlfn.XLOOKUP(A3254,Banks!A:A,Banks!H:H,0,-1)</f>
        <v>4211.9850786397146</v>
      </c>
      <c r="C3254">
        <f>_xlfn.XLOOKUP(A3254,Energy!A:A,Energy!H:H,0,-1)</f>
        <v>11412.6780591264</v>
      </c>
      <c r="D3254">
        <f t="shared" si="200"/>
        <v>15624.663137766114</v>
      </c>
      <c r="E3254">
        <f>_xlfn.XLOOKUP(A3254,Banks!A:A,Banks!I:I,0)</f>
        <v>0</v>
      </c>
      <c r="F3254">
        <f>_xlfn.XLOOKUP(A3254,Energy!A:A,Energy!I:I,0)</f>
        <v>0</v>
      </c>
      <c r="G3254">
        <f t="shared" si="201"/>
        <v>0</v>
      </c>
      <c r="H3254">
        <f t="shared" si="202"/>
        <v>-15624.663137766114</v>
      </c>
      <c r="I3254" t="b">
        <f t="shared" si="203"/>
        <v>0</v>
      </c>
    </row>
    <row r="3255" spans="1:9">
      <c r="A3255" s="1">
        <v>46209.604166666657</v>
      </c>
      <c r="B3255" s="5">
        <f>_xlfn.XLOOKUP(A3255,Banks!A:A,Banks!H:H,0,-1)</f>
        <v>4211.9850786397146</v>
      </c>
      <c r="C3255">
        <f>_xlfn.XLOOKUP(A3255,Energy!A:A,Energy!H:H,0,-1)</f>
        <v>11412.6780591264</v>
      </c>
      <c r="D3255">
        <f t="shared" si="200"/>
        <v>15624.663137766114</v>
      </c>
      <c r="E3255">
        <f>_xlfn.XLOOKUP(A3255,Banks!A:A,Banks!I:I,0)</f>
        <v>44038.234687888696</v>
      </c>
      <c r="F3255">
        <f>_xlfn.XLOOKUP(A3255,Energy!A:A,Energy!I:I,0)</f>
        <v>34488.875892905009</v>
      </c>
      <c r="G3255">
        <f t="shared" si="201"/>
        <v>78527.110580793698</v>
      </c>
      <c r="H3255">
        <f t="shared" si="202"/>
        <v>62902.447443027588</v>
      </c>
      <c r="I3255" t="b">
        <f t="shared" si="203"/>
        <v>1</v>
      </c>
    </row>
    <row r="3256" spans="1:9">
      <c r="A3256" s="1">
        <v>46209.604861111111</v>
      </c>
      <c r="B3256" s="5">
        <f>_xlfn.XLOOKUP(A3256,Banks!A:A,Banks!H:H,0,-1)</f>
        <v>3978.9174039294371</v>
      </c>
      <c r="C3256">
        <f>_xlfn.XLOOKUP(A3256,Energy!A:A,Energy!H:H,0,-1)</f>
        <v>11605.487340125241</v>
      </c>
      <c r="D3256">
        <f t="shared" si="200"/>
        <v>15584.404744054678</v>
      </c>
      <c r="E3256">
        <f>_xlfn.XLOOKUP(A3256,Banks!A:A,Banks!I:I,0)</f>
        <v>44148.89676488367</v>
      </c>
      <c r="F3256">
        <f>_xlfn.XLOOKUP(A3256,Energy!A:A,Energy!I:I,0)</f>
        <v>34450.31403670524</v>
      </c>
      <c r="G3256">
        <f t="shared" si="201"/>
        <v>78599.21080158891</v>
      </c>
      <c r="H3256">
        <f t="shared" si="202"/>
        <v>63014.806057534232</v>
      </c>
      <c r="I3256" t="b">
        <f t="shared" si="203"/>
        <v>1</v>
      </c>
    </row>
    <row r="3257" spans="1:9">
      <c r="A3257" s="1">
        <v>46209.605555555558</v>
      </c>
      <c r="B3257" s="5">
        <f>_xlfn.XLOOKUP(A3257,Banks!A:A,Banks!H:H,0,-1)</f>
        <v>4092.25521621296</v>
      </c>
      <c r="C3257">
        <f>_xlfn.XLOOKUP(A3257,Energy!A:A,Energy!H:H,0,-1)</f>
        <v>11277.860614250219</v>
      </c>
      <c r="D3257">
        <f t="shared" si="200"/>
        <v>15370.115830463179</v>
      </c>
      <c r="E3257">
        <f>_xlfn.XLOOKUP(A3257,Banks!A:A,Banks!I:I,0)</f>
        <v>44075.664563964143</v>
      </c>
      <c r="F3257">
        <f>_xlfn.XLOOKUP(A3257,Energy!A:A,Energy!I:I,0)</f>
        <v>34435.215734253012</v>
      </c>
      <c r="G3257">
        <f t="shared" si="201"/>
        <v>78510.880298217147</v>
      </c>
      <c r="H3257">
        <f t="shared" si="202"/>
        <v>63140.764467753965</v>
      </c>
      <c r="I3257" t="b">
        <f t="shared" si="203"/>
        <v>1</v>
      </c>
    </row>
    <row r="3258" spans="1:9">
      <c r="A3258" s="1">
        <v>46209.606249999997</v>
      </c>
      <c r="B3258" s="5">
        <f>_xlfn.XLOOKUP(A3258,Banks!A:A,Banks!H:H,0,-1)</f>
        <v>4538.9133248801718</v>
      </c>
      <c r="C3258">
        <f>_xlfn.XLOOKUP(A3258,Energy!A:A,Energy!H:H,0,-1)</f>
        <v>11145.908636830411</v>
      </c>
      <c r="D3258">
        <f t="shared" si="200"/>
        <v>15684.821961710582</v>
      </c>
      <c r="E3258">
        <f>_xlfn.XLOOKUP(A3258,Banks!A:A,Banks!I:I,0)</f>
        <v>44053.752460181138</v>
      </c>
      <c r="F3258">
        <f>_xlfn.XLOOKUP(A3258,Energy!A:A,Energy!I:I,0)</f>
        <v>34435.522008445812</v>
      </c>
      <c r="G3258">
        <f t="shared" si="201"/>
        <v>78489.274468626943</v>
      </c>
      <c r="H3258">
        <f t="shared" si="202"/>
        <v>62804.452506916365</v>
      </c>
      <c r="I3258" t="b">
        <f t="shared" si="203"/>
        <v>1</v>
      </c>
    </row>
    <row r="3259" spans="1:9">
      <c r="A3259" s="1">
        <v>46209.606944444437</v>
      </c>
      <c r="B3259" s="5">
        <f>_xlfn.XLOOKUP(A3259,Banks!A:A,Banks!H:H,0,-1)</f>
        <v>4627.8378686934993</v>
      </c>
      <c r="C3259">
        <f>_xlfn.XLOOKUP(A3259,Energy!A:A,Energy!H:H,0,-1)</f>
        <v>11239.37109202339</v>
      </c>
      <c r="D3259">
        <f t="shared" si="200"/>
        <v>15867.208960716889</v>
      </c>
      <c r="E3259">
        <f>_xlfn.XLOOKUP(A3259,Banks!A:A,Banks!I:I,0)</f>
        <v>44056.193406803613</v>
      </c>
      <c r="F3259">
        <f>_xlfn.XLOOKUP(A3259,Energy!A:A,Energy!I:I,0)</f>
        <v>34403.787456761638</v>
      </c>
      <c r="G3259">
        <f t="shared" si="201"/>
        <v>78459.980863565259</v>
      </c>
      <c r="H3259">
        <f t="shared" si="202"/>
        <v>62592.77190284837</v>
      </c>
      <c r="I3259" t="b">
        <f t="shared" si="203"/>
        <v>1</v>
      </c>
    </row>
    <row r="3260" spans="1:9">
      <c r="A3260" s="1">
        <v>46209.607638888891</v>
      </c>
      <c r="B3260" s="5">
        <f>_xlfn.XLOOKUP(A3260,Banks!A:A,Banks!H:H,0,-1)</f>
        <v>4844.0468616706539</v>
      </c>
      <c r="C3260">
        <f>_xlfn.XLOOKUP(A3260,Energy!A:A,Energy!H:H,0,-1)</f>
        <v>11165.2136762546</v>
      </c>
      <c r="D3260">
        <f t="shared" si="200"/>
        <v>16009.260537925253</v>
      </c>
      <c r="E3260">
        <f>_xlfn.XLOOKUP(A3260,Banks!A:A,Banks!I:I,0)</f>
        <v>44053.403318978439</v>
      </c>
      <c r="F3260">
        <f>_xlfn.XLOOKUP(A3260,Energy!A:A,Energy!I:I,0)</f>
        <v>34418.618939915403</v>
      </c>
      <c r="G3260">
        <f t="shared" si="201"/>
        <v>78472.022258893849</v>
      </c>
      <c r="H3260">
        <f t="shared" si="202"/>
        <v>62462.7617209686</v>
      </c>
      <c r="I3260" t="b">
        <f t="shared" si="203"/>
        <v>1</v>
      </c>
    </row>
    <row r="3261" spans="1:9">
      <c r="A3261" s="1">
        <v>46209.60833333333</v>
      </c>
      <c r="B3261" s="5">
        <f>_xlfn.XLOOKUP(A3261,Banks!A:A,Banks!H:H,0,-1)</f>
        <v>4737.3907831174683</v>
      </c>
      <c r="C3261">
        <f>_xlfn.XLOOKUP(A3261,Energy!A:A,Energy!H:H,0,-1)</f>
        <v>10987.23587840952</v>
      </c>
      <c r="D3261">
        <f t="shared" si="200"/>
        <v>15724.626661526989</v>
      </c>
      <c r="E3261">
        <f>_xlfn.XLOOKUP(A3261,Banks!A:A,Banks!I:I,0)</f>
        <v>44189.347715204844</v>
      </c>
      <c r="F3261">
        <f>_xlfn.XLOOKUP(A3261,Energy!A:A,Energy!I:I,0)</f>
        <v>34454.214499484413</v>
      </c>
      <c r="G3261">
        <f t="shared" si="201"/>
        <v>78643.562214689257</v>
      </c>
      <c r="H3261">
        <f t="shared" si="202"/>
        <v>62918.935553162271</v>
      </c>
      <c r="I3261" t="b">
        <f t="shared" si="203"/>
        <v>1</v>
      </c>
    </row>
    <row r="3262" spans="1:9">
      <c r="A3262" s="1">
        <v>46209.609027777777</v>
      </c>
      <c r="B3262" s="5">
        <f>_xlfn.XLOOKUP(A3262,Banks!A:A,Banks!H:H,0,-1)</f>
        <v>4689.4409014293497</v>
      </c>
      <c r="C3262">
        <f>_xlfn.XLOOKUP(A3262,Energy!A:A,Energy!H:H,0,-1)</f>
        <v>10960.504137715579</v>
      </c>
      <c r="D3262">
        <f t="shared" si="200"/>
        <v>15649.945039144928</v>
      </c>
      <c r="E3262">
        <f>_xlfn.XLOOKUP(A3262,Banks!A:A,Banks!I:I,0)</f>
        <v>44198.937691542473</v>
      </c>
      <c r="F3262">
        <f>_xlfn.XLOOKUP(A3262,Energy!A:A,Energy!I:I,0)</f>
        <v>34478.531117653132</v>
      </c>
      <c r="G3262">
        <f t="shared" si="201"/>
        <v>78677.468809195605</v>
      </c>
      <c r="H3262">
        <f t="shared" si="202"/>
        <v>63027.523770050677</v>
      </c>
      <c r="I3262" t="b">
        <f t="shared" si="203"/>
        <v>1</v>
      </c>
    </row>
    <row r="3263" spans="1:9">
      <c r="A3263" s="1">
        <v>46209.609722222223</v>
      </c>
      <c r="B3263" s="5">
        <f>_xlfn.XLOOKUP(A3263,Banks!A:A,Banks!H:H,0,-1)</f>
        <v>4752.4999565916041</v>
      </c>
      <c r="C3263">
        <f>_xlfn.XLOOKUP(A3263,Energy!A:A,Energy!H:H,0,-1)</f>
        <v>10984.129297710049</v>
      </c>
      <c r="D3263">
        <f t="shared" si="200"/>
        <v>15736.629254301653</v>
      </c>
      <c r="E3263">
        <f>_xlfn.XLOOKUP(A3263,Banks!A:A,Banks!I:I,0)</f>
        <v>44253.745398460458</v>
      </c>
      <c r="F3263">
        <f>_xlfn.XLOOKUP(A3263,Energy!A:A,Energy!I:I,0)</f>
        <v>34530.716895744052</v>
      </c>
      <c r="G3263">
        <f t="shared" si="201"/>
        <v>78784.46229420451</v>
      </c>
      <c r="H3263">
        <f t="shared" si="202"/>
        <v>63047.833039902856</v>
      </c>
      <c r="I3263" t="b">
        <f t="shared" si="203"/>
        <v>1</v>
      </c>
    </row>
    <row r="3264" spans="1:9">
      <c r="A3264" s="1">
        <v>46209.61041666667</v>
      </c>
      <c r="B3264" s="5">
        <f>_xlfn.XLOOKUP(A3264,Banks!A:A,Banks!H:H,0,-1)</f>
        <v>4731.3647371124316</v>
      </c>
      <c r="C3264">
        <f>_xlfn.XLOOKUP(A3264,Energy!A:A,Energy!H:H,0,-1)</f>
        <v>11153.1819024</v>
      </c>
      <c r="D3264">
        <f t="shared" si="200"/>
        <v>15884.546639512431</v>
      </c>
      <c r="E3264">
        <f>_xlfn.XLOOKUP(A3264,Banks!A:A,Banks!I:I,0)</f>
        <v>0</v>
      </c>
      <c r="F3264">
        <f>_xlfn.XLOOKUP(A3264,Energy!A:A,Energy!I:I,0)</f>
        <v>34511.134077328512</v>
      </c>
      <c r="G3264">
        <f t="shared" si="201"/>
        <v>34511.134077328512</v>
      </c>
      <c r="H3264">
        <f t="shared" si="202"/>
        <v>18626.587437816081</v>
      </c>
      <c r="I3264" t="b">
        <f t="shared" si="203"/>
        <v>0</v>
      </c>
    </row>
    <row r="3265" spans="1:9">
      <c r="A3265" s="1">
        <v>46209.611111111109</v>
      </c>
      <c r="B3265" s="5">
        <f>_xlfn.XLOOKUP(A3265,Banks!A:A,Banks!H:H,0,-1)</f>
        <v>4731.3647371124316</v>
      </c>
      <c r="C3265">
        <f>_xlfn.XLOOKUP(A3265,Energy!A:A,Energy!H:H,0,-1)</f>
        <v>10918.91899448213</v>
      </c>
      <c r="D3265">
        <f t="shared" si="200"/>
        <v>15650.283731594562</v>
      </c>
      <c r="E3265">
        <f>_xlfn.XLOOKUP(A3265,Banks!A:A,Banks!I:I,0)</f>
        <v>0</v>
      </c>
      <c r="F3265">
        <f>_xlfn.XLOOKUP(A3265,Energy!A:A,Energy!I:I,0)</f>
        <v>34517.674835098464</v>
      </c>
      <c r="G3265">
        <f t="shared" si="201"/>
        <v>34517.674835098464</v>
      </c>
      <c r="H3265">
        <f t="shared" si="202"/>
        <v>18867.391103503902</v>
      </c>
      <c r="I3265" t="b">
        <f t="shared" si="203"/>
        <v>0</v>
      </c>
    </row>
    <row r="3266" spans="1:9">
      <c r="A3266" s="1">
        <v>46209.611805555563</v>
      </c>
      <c r="B3266" s="5">
        <f>_xlfn.XLOOKUP(A3266,Banks!A:A,Banks!H:H,0,-1)</f>
        <v>4731.3647371124316</v>
      </c>
      <c r="C3266">
        <f>_xlfn.XLOOKUP(A3266,Energy!A:A,Energy!H:H,0,-1)</f>
        <v>10908.572027291701</v>
      </c>
      <c r="D3266">
        <f t="shared" si="200"/>
        <v>15639.936764404132</v>
      </c>
      <c r="E3266">
        <f>_xlfn.XLOOKUP(A3266,Banks!A:A,Banks!I:I,0)</f>
        <v>0</v>
      </c>
      <c r="F3266">
        <f>_xlfn.XLOOKUP(A3266,Energy!A:A,Energy!I:I,0)</f>
        <v>34500.773958506623</v>
      </c>
      <c r="G3266">
        <f t="shared" si="201"/>
        <v>34500.773958506623</v>
      </c>
      <c r="H3266">
        <f t="shared" si="202"/>
        <v>18860.837194102489</v>
      </c>
      <c r="I3266" t="b">
        <f t="shared" si="203"/>
        <v>0</v>
      </c>
    </row>
    <row r="3267" spans="1:9">
      <c r="A3267" s="1">
        <v>46209.612500000003</v>
      </c>
      <c r="B3267" s="5">
        <f>_xlfn.XLOOKUP(A3267,Banks!A:A,Banks!H:H,0,-1)</f>
        <v>4731.3647371124316</v>
      </c>
      <c r="C3267">
        <f>_xlfn.XLOOKUP(A3267,Energy!A:A,Energy!H:H,0,-1)</f>
        <v>10862.5571665593</v>
      </c>
      <c r="D3267">
        <f t="shared" ref="D3267:D3330" si="204">B3267+C3267</f>
        <v>15593.921903671731</v>
      </c>
      <c r="E3267">
        <f>_xlfn.XLOOKUP(A3267,Banks!A:A,Banks!I:I,0)</f>
        <v>0</v>
      </c>
      <c r="F3267">
        <f>_xlfn.XLOOKUP(A3267,Energy!A:A,Energy!I:I,0)</f>
        <v>34530.132842559913</v>
      </c>
      <c r="G3267">
        <f t="shared" ref="G3267:G3330" si="205">F3267+E3267</f>
        <v>34530.132842559913</v>
      </c>
      <c r="H3267">
        <f t="shared" ref="H3267:H3330" si="206">G3267-D3267</f>
        <v>18936.21093888818</v>
      </c>
      <c r="I3267" t="b">
        <f t="shared" ref="I3267:I3330" si="207">AND(E3267&gt;0,F3267&gt;0)</f>
        <v>0</v>
      </c>
    </row>
    <row r="3268" spans="1:9">
      <c r="A3268" s="1">
        <v>46209.613194444442</v>
      </c>
      <c r="B3268" s="5">
        <f>_xlfn.XLOOKUP(A3268,Banks!A:A,Banks!H:H,0,-1)</f>
        <v>4731.3647371124316</v>
      </c>
      <c r="C3268">
        <f>_xlfn.XLOOKUP(A3268,Energy!A:A,Energy!H:H,0,-1)</f>
        <v>10911.393655976581</v>
      </c>
      <c r="D3268">
        <f t="shared" si="204"/>
        <v>15642.758393089012</v>
      </c>
      <c r="E3268">
        <f>_xlfn.XLOOKUP(A3268,Banks!A:A,Banks!I:I,0)</f>
        <v>0</v>
      </c>
      <c r="F3268">
        <f>_xlfn.XLOOKUP(A3268,Energy!A:A,Energy!I:I,0)</f>
        <v>34578.461996643127</v>
      </c>
      <c r="G3268">
        <f t="shared" si="205"/>
        <v>34578.461996643127</v>
      </c>
      <c r="H3268">
        <f t="shared" si="206"/>
        <v>18935.703603554117</v>
      </c>
      <c r="I3268" t="b">
        <f t="shared" si="207"/>
        <v>0</v>
      </c>
    </row>
    <row r="3269" spans="1:9">
      <c r="A3269" s="1">
        <v>46209.613888888889</v>
      </c>
      <c r="B3269" s="5">
        <f>_xlfn.XLOOKUP(A3269,Banks!A:A,Banks!H:H,0,-1)</f>
        <v>4731.3647371124316</v>
      </c>
      <c r="C3269">
        <f>_xlfn.XLOOKUP(A3269,Energy!A:A,Energy!H:H,0,-1)</f>
        <v>10865.45551309427</v>
      </c>
      <c r="D3269">
        <f t="shared" si="204"/>
        <v>15596.820250206702</v>
      </c>
      <c r="E3269">
        <f>_xlfn.XLOOKUP(A3269,Banks!A:A,Banks!I:I,0)</f>
        <v>0</v>
      </c>
      <c r="F3269">
        <f>_xlfn.XLOOKUP(A3269,Energy!A:A,Energy!I:I,0)</f>
        <v>34566.308071435917</v>
      </c>
      <c r="G3269">
        <f t="shared" si="205"/>
        <v>34566.308071435917</v>
      </c>
      <c r="H3269">
        <f t="shared" si="206"/>
        <v>18969.487821229217</v>
      </c>
      <c r="I3269" t="b">
        <f t="shared" si="207"/>
        <v>0</v>
      </c>
    </row>
    <row r="3270" spans="1:9">
      <c r="A3270" s="1">
        <v>46209.614583333343</v>
      </c>
      <c r="B3270" s="5">
        <f>_xlfn.XLOOKUP(A3270,Banks!A:A,Banks!H:H,0,-1)</f>
        <v>4731.3647371124316</v>
      </c>
      <c r="C3270">
        <f>_xlfn.XLOOKUP(A3270,Energy!A:A,Energy!H:H,0,-1)</f>
        <v>10788.43262986911</v>
      </c>
      <c r="D3270">
        <f t="shared" si="204"/>
        <v>15519.797366981542</v>
      </c>
      <c r="E3270">
        <f>_xlfn.XLOOKUP(A3270,Banks!A:A,Banks!I:I,0)</f>
        <v>0</v>
      </c>
      <c r="F3270">
        <f>_xlfn.XLOOKUP(A3270,Energy!A:A,Energy!I:I,0)</f>
        <v>34527.173121744883</v>
      </c>
      <c r="G3270">
        <f t="shared" si="205"/>
        <v>34527.173121744883</v>
      </c>
      <c r="H3270">
        <f t="shared" si="206"/>
        <v>19007.375754763343</v>
      </c>
      <c r="I3270" t="b">
        <f t="shared" si="207"/>
        <v>0</v>
      </c>
    </row>
    <row r="3271" spans="1:9">
      <c r="A3271" s="1">
        <v>46209.615277777782</v>
      </c>
      <c r="B3271" s="5">
        <f>_xlfn.XLOOKUP(A3271,Banks!A:A,Banks!H:H,0,-1)</f>
        <v>4731.3647371124316</v>
      </c>
      <c r="C3271">
        <f>_xlfn.XLOOKUP(A3271,Energy!A:A,Energy!H:H,0,-1)</f>
        <v>10696.49058594726</v>
      </c>
      <c r="D3271">
        <f t="shared" si="204"/>
        <v>15427.855323059692</v>
      </c>
      <c r="E3271">
        <f>_xlfn.XLOOKUP(A3271,Banks!A:A,Banks!I:I,0)</f>
        <v>0</v>
      </c>
      <c r="F3271">
        <f>_xlfn.XLOOKUP(A3271,Energy!A:A,Energy!I:I,0)</f>
        <v>34538.447679268022</v>
      </c>
      <c r="G3271">
        <f t="shared" si="205"/>
        <v>34538.447679268022</v>
      </c>
      <c r="H3271">
        <f t="shared" si="206"/>
        <v>19110.59235620833</v>
      </c>
      <c r="I3271" t="b">
        <f t="shared" si="207"/>
        <v>0</v>
      </c>
    </row>
    <row r="3272" spans="1:9">
      <c r="A3272" s="1">
        <v>46209.615972222222</v>
      </c>
      <c r="B3272" s="5">
        <f>_xlfn.XLOOKUP(A3272,Banks!A:A,Banks!H:H,0,-1)</f>
        <v>4731.3647371124316</v>
      </c>
      <c r="C3272">
        <f>_xlfn.XLOOKUP(A3272,Energy!A:A,Energy!H:H,0,-1)</f>
        <v>10711.322069101019</v>
      </c>
      <c r="D3272">
        <f t="shared" si="204"/>
        <v>15442.686806213451</v>
      </c>
      <c r="E3272">
        <f>_xlfn.XLOOKUP(A3272,Banks!A:A,Banks!I:I,0)</f>
        <v>0</v>
      </c>
      <c r="F3272">
        <f>_xlfn.XLOOKUP(A3272,Energy!A:A,Energy!I:I,0)</f>
        <v>34535.48138263727</v>
      </c>
      <c r="G3272">
        <f t="shared" si="205"/>
        <v>34535.48138263727</v>
      </c>
      <c r="H3272">
        <f t="shared" si="206"/>
        <v>19092.794576423817</v>
      </c>
      <c r="I3272" t="b">
        <f t="shared" si="207"/>
        <v>0</v>
      </c>
    </row>
    <row r="3273" spans="1:9">
      <c r="A3273" s="1">
        <v>46209.616666666669</v>
      </c>
      <c r="B3273" s="5">
        <f>_xlfn.XLOOKUP(A3273,Banks!A:A,Banks!H:H,0,-1)</f>
        <v>4731.3647371124316</v>
      </c>
      <c r="C3273">
        <f>_xlfn.XLOOKUP(A3273,Energy!A:A,Energy!H:H,0,-1)</f>
        <v>10921.79542163137</v>
      </c>
      <c r="D3273">
        <f t="shared" si="204"/>
        <v>15653.160158743802</v>
      </c>
      <c r="E3273">
        <f>_xlfn.XLOOKUP(A3273,Banks!A:A,Banks!I:I,0)</f>
        <v>0</v>
      </c>
      <c r="F3273">
        <f>_xlfn.XLOOKUP(A3273,Energy!A:A,Energy!I:I,0)</f>
        <v>34565.710866620328</v>
      </c>
      <c r="G3273">
        <f t="shared" si="205"/>
        <v>34565.710866620328</v>
      </c>
      <c r="H3273">
        <f t="shared" si="206"/>
        <v>18912.550707876526</v>
      </c>
      <c r="I3273" t="b">
        <f t="shared" si="207"/>
        <v>0</v>
      </c>
    </row>
    <row r="3274" spans="1:9">
      <c r="A3274" s="1">
        <v>46209.617361111108</v>
      </c>
      <c r="B3274" s="5">
        <f>_xlfn.XLOOKUP(A3274,Banks!A:A,Banks!H:H,0,-1)</f>
        <v>4731.3647371124316</v>
      </c>
      <c r="C3274">
        <f>_xlfn.XLOOKUP(A3274,Energy!A:A,Energy!H:H,0,-1)</f>
        <v>10988.51517643755</v>
      </c>
      <c r="D3274">
        <f t="shared" si="204"/>
        <v>15719.879913549981</v>
      </c>
      <c r="E3274">
        <f>_xlfn.XLOOKUP(A3274,Banks!A:A,Banks!I:I,0)</f>
        <v>0</v>
      </c>
      <c r="F3274">
        <f>_xlfn.XLOOKUP(A3274,Energy!A:A,Energy!I:I,0)</f>
        <v>34564.223334427807</v>
      </c>
      <c r="G3274">
        <f t="shared" si="205"/>
        <v>34564.223334427807</v>
      </c>
      <c r="H3274">
        <f t="shared" si="206"/>
        <v>18844.343420877827</v>
      </c>
      <c r="I3274" t="b">
        <f t="shared" si="207"/>
        <v>0</v>
      </c>
    </row>
    <row r="3275" spans="1:9">
      <c r="A3275" s="1">
        <v>46209.618055555547</v>
      </c>
      <c r="B3275" s="5">
        <f>_xlfn.XLOOKUP(A3275,Banks!A:A,Banks!H:H,0,-1)</f>
        <v>4731.3647371124316</v>
      </c>
      <c r="C3275">
        <f>_xlfn.XLOOKUP(A3275,Energy!A:A,Energy!H:H,0,-1)</f>
        <v>10938.158275749131</v>
      </c>
      <c r="D3275">
        <f t="shared" si="204"/>
        <v>15669.523012861562</v>
      </c>
      <c r="E3275">
        <f>_xlfn.XLOOKUP(A3275,Banks!A:A,Banks!I:I,0)</f>
        <v>0</v>
      </c>
      <c r="F3275">
        <f>_xlfn.XLOOKUP(A3275,Energy!A:A,Energy!I:I,0)</f>
        <v>34536.354174505621</v>
      </c>
      <c r="G3275">
        <f t="shared" si="205"/>
        <v>34536.354174505621</v>
      </c>
      <c r="H3275">
        <f t="shared" si="206"/>
        <v>18866.831161644059</v>
      </c>
      <c r="I3275" t="b">
        <f t="shared" si="207"/>
        <v>0</v>
      </c>
    </row>
    <row r="3276" spans="1:9">
      <c r="A3276" s="1">
        <v>46209.618750000001</v>
      </c>
      <c r="B3276" s="5">
        <f>_xlfn.XLOOKUP(A3276,Banks!A:A,Banks!H:H,0,-1)</f>
        <v>4731.3647371124316</v>
      </c>
      <c r="C3276">
        <f>_xlfn.XLOOKUP(A3276,Energy!A:A,Energy!H:H,0,-1)</f>
        <v>10865.43359370852</v>
      </c>
      <c r="D3276">
        <f t="shared" si="204"/>
        <v>15596.798330820951</v>
      </c>
      <c r="E3276">
        <f>_xlfn.XLOOKUP(A3276,Banks!A:A,Banks!I:I,0)</f>
        <v>0</v>
      </c>
      <c r="F3276">
        <f>_xlfn.XLOOKUP(A3276,Energy!A:A,Energy!I:I,0)</f>
        <v>34578.16887408177</v>
      </c>
      <c r="G3276">
        <f t="shared" si="205"/>
        <v>34578.16887408177</v>
      </c>
      <c r="H3276">
        <f t="shared" si="206"/>
        <v>18981.370543260819</v>
      </c>
      <c r="I3276" t="b">
        <f t="shared" si="207"/>
        <v>0</v>
      </c>
    </row>
    <row r="3277" spans="1:9">
      <c r="A3277" s="1">
        <v>46209.619444444441</v>
      </c>
      <c r="B3277" s="5">
        <f>_xlfn.XLOOKUP(A3277,Banks!A:A,Banks!H:H,0,-1)</f>
        <v>4731.3647371124316</v>
      </c>
      <c r="C3277">
        <f>_xlfn.XLOOKUP(A3277,Energy!A:A,Energy!H:H,0,-1)</f>
        <v>10957.331798858901</v>
      </c>
      <c r="D3277">
        <f t="shared" si="204"/>
        <v>15688.696535971332</v>
      </c>
      <c r="E3277">
        <f>_xlfn.XLOOKUP(A3277,Banks!A:A,Banks!I:I,0)</f>
        <v>0</v>
      </c>
      <c r="F3277">
        <f>_xlfn.XLOOKUP(A3277,Energy!A:A,Energy!I:I,0)</f>
        <v>34590.615921850353</v>
      </c>
      <c r="G3277">
        <f t="shared" si="205"/>
        <v>34590.615921850353</v>
      </c>
      <c r="H3277">
        <f t="shared" si="206"/>
        <v>18901.91938587902</v>
      </c>
      <c r="I3277" t="b">
        <f t="shared" si="207"/>
        <v>0</v>
      </c>
    </row>
    <row r="3278" spans="1:9">
      <c r="A3278" s="1">
        <v>46209.620138888888</v>
      </c>
      <c r="B3278" s="5">
        <f>_xlfn.XLOOKUP(A3278,Banks!A:A,Banks!H:H,0,-1)</f>
        <v>4731.3647371124316</v>
      </c>
      <c r="C3278">
        <f>_xlfn.XLOOKUP(A3278,Energy!A:A,Energy!H:H,0,-1)</f>
        <v>10972.097523855449</v>
      </c>
      <c r="D3278">
        <f t="shared" si="204"/>
        <v>15703.462260967881</v>
      </c>
      <c r="E3278">
        <f>_xlfn.XLOOKUP(A3278,Banks!A:A,Banks!I:I,0)</f>
        <v>0</v>
      </c>
      <c r="F3278">
        <f>_xlfn.XLOOKUP(A3278,Energy!A:A,Energy!I:I,0)</f>
        <v>34623.232033157183</v>
      </c>
      <c r="G3278">
        <f t="shared" si="205"/>
        <v>34623.232033157183</v>
      </c>
      <c r="H3278">
        <f t="shared" si="206"/>
        <v>18919.769772189302</v>
      </c>
      <c r="I3278" t="b">
        <f t="shared" si="207"/>
        <v>0</v>
      </c>
    </row>
    <row r="3279" spans="1:9">
      <c r="A3279" s="1">
        <v>46209.620833333327</v>
      </c>
      <c r="B3279" s="5">
        <f>_xlfn.XLOOKUP(A3279,Banks!A:A,Banks!H:H,0,-1)</f>
        <v>4731.3647371124316</v>
      </c>
      <c r="C3279">
        <f>_xlfn.XLOOKUP(A3279,Energy!A:A,Energy!H:H,0,-1)</f>
        <v>11010.12085088783</v>
      </c>
      <c r="D3279">
        <f t="shared" si="204"/>
        <v>15741.485588000261</v>
      </c>
      <c r="E3279">
        <f>_xlfn.XLOOKUP(A3279,Banks!A:A,Banks!I:I,0)</f>
        <v>0</v>
      </c>
      <c r="F3279">
        <f>_xlfn.XLOOKUP(A3279,Energy!A:A,Energy!I:I,0)</f>
        <v>0</v>
      </c>
      <c r="G3279">
        <f t="shared" si="205"/>
        <v>0</v>
      </c>
      <c r="H3279">
        <f t="shared" si="206"/>
        <v>-15741.485588000261</v>
      </c>
      <c r="I3279" t="b">
        <f t="shared" si="207"/>
        <v>0</v>
      </c>
    </row>
    <row r="3280" spans="1:9">
      <c r="A3280" s="1">
        <v>46209.840277777781</v>
      </c>
      <c r="B3280" s="5">
        <f>_xlfn.XLOOKUP(A3280,Banks!A:A,Banks!H:H,0,-1)</f>
        <v>4731.3647371124316</v>
      </c>
      <c r="C3280">
        <f>_xlfn.XLOOKUP(A3280,Energy!A:A,Energy!H:H,0,-1)</f>
        <v>11010.12085088783</v>
      </c>
      <c r="D3280">
        <f t="shared" si="204"/>
        <v>15741.485588000261</v>
      </c>
      <c r="E3280">
        <f>_xlfn.XLOOKUP(A3280,Banks!A:A,Banks!I:I,0)</f>
        <v>0</v>
      </c>
      <c r="F3280">
        <f>_xlfn.XLOOKUP(A3280,Energy!A:A,Energy!I:I,0)</f>
        <v>34488.875892905016</v>
      </c>
      <c r="G3280">
        <f t="shared" si="205"/>
        <v>34488.875892905016</v>
      </c>
      <c r="H3280">
        <f t="shared" si="206"/>
        <v>18747.390304904755</v>
      </c>
      <c r="I3280" t="b">
        <f t="shared" si="207"/>
        <v>0</v>
      </c>
    </row>
    <row r="3281" spans="1:9">
      <c r="A3281" s="1">
        <v>46209.84097222222</v>
      </c>
      <c r="B3281" s="5">
        <f>_xlfn.XLOOKUP(A3281,Banks!A:A,Banks!H:H,0,-1)</f>
        <v>4731.3647371124316</v>
      </c>
      <c r="C3281">
        <f>_xlfn.XLOOKUP(A3281,Energy!A:A,Energy!H:H,0,-1)</f>
        <v>11084.54358363324</v>
      </c>
      <c r="D3281">
        <f t="shared" si="204"/>
        <v>15815.908320745672</v>
      </c>
      <c r="E3281">
        <f>_xlfn.XLOOKUP(A3281,Banks!A:A,Banks!I:I,0)</f>
        <v>0</v>
      </c>
      <c r="F3281">
        <f>_xlfn.XLOOKUP(A3281,Energy!A:A,Energy!I:I,0)</f>
        <v>34491.832958538063</v>
      </c>
      <c r="G3281">
        <f t="shared" si="205"/>
        <v>34491.832958538063</v>
      </c>
      <c r="H3281">
        <f t="shared" si="206"/>
        <v>18675.924637792392</v>
      </c>
      <c r="I3281" t="b">
        <f t="shared" si="207"/>
        <v>0</v>
      </c>
    </row>
    <row r="3282" spans="1:9">
      <c r="A3282" s="1">
        <v>46209.841666666667</v>
      </c>
      <c r="B3282" s="5">
        <f>_xlfn.XLOOKUP(A3282,Banks!A:A,Banks!H:H,0,-1)</f>
        <v>4731.3647371124316</v>
      </c>
      <c r="C3282">
        <f>_xlfn.XLOOKUP(A3282,Energy!A:A,Energy!H:H,0,-1)</f>
        <v>11063.538574746801</v>
      </c>
      <c r="D3282">
        <f t="shared" si="204"/>
        <v>15794.903311859232</v>
      </c>
      <c r="E3282">
        <f>_xlfn.XLOOKUP(A3282,Banks!A:A,Banks!I:I,0)</f>
        <v>0</v>
      </c>
      <c r="F3282">
        <f>_xlfn.XLOOKUP(A3282,Energy!A:A,Energy!I:I,0)</f>
        <v>0</v>
      </c>
      <c r="G3282">
        <f t="shared" si="205"/>
        <v>0</v>
      </c>
      <c r="H3282">
        <f t="shared" si="206"/>
        <v>-15794.903311859232</v>
      </c>
      <c r="I3282" t="b">
        <f t="shared" si="207"/>
        <v>0</v>
      </c>
    </row>
    <row r="3283" spans="1:9">
      <c r="A3283" s="1">
        <v>46210.604166666657</v>
      </c>
      <c r="B3283" s="5">
        <f>_xlfn.XLOOKUP(A3283,Banks!A:A,Banks!H:H,0,-1)</f>
        <v>4731.3647371124316</v>
      </c>
      <c r="C3283">
        <f>_xlfn.XLOOKUP(A3283,Energy!A:A,Energy!H:H,0,-1)</f>
        <v>11063.538574746801</v>
      </c>
      <c r="D3283">
        <f t="shared" si="204"/>
        <v>15794.903311859232</v>
      </c>
      <c r="E3283">
        <f>_xlfn.XLOOKUP(A3283,Banks!A:A,Banks!I:I,0)</f>
        <v>0</v>
      </c>
      <c r="F3283">
        <f>_xlfn.XLOOKUP(A3283,Energy!A:A,Energy!I:I,0)</f>
        <v>34488.875892905016</v>
      </c>
      <c r="G3283">
        <f t="shared" si="205"/>
        <v>34488.875892905016</v>
      </c>
      <c r="H3283">
        <f t="shared" si="206"/>
        <v>18693.972581045782</v>
      </c>
      <c r="I3283" t="b">
        <f t="shared" si="207"/>
        <v>0</v>
      </c>
    </row>
    <row r="3284" spans="1:9">
      <c r="A3284" s="1">
        <v>46210.604861111111</v>
      </c>
      <c r="B3284" s="5">
        <f>_xlfn.XLOOKUP(A3284,Banks!A:A,Banks!H:H,0,-1)</f>
        <v>4731.3647371124316</v>
      </c>
      <c r="C3284">
        <f>_xlfn.XLOOKUP(A3284,Energy!A:A,Energy!H:H,0,-1)</f>
        <v>11218.436490851551</v>
      </c>
      <c r="D3284">
        <f t="shared" si="204"/>
        <v>15949.801227963982</v>
      </c>
      <c r="E3284">
        <f>_xlfn.XLOOKUP(A3284,Banks!A:A,Banks!I:I,0)</f>
        <v>44038.234687888696</v>
      </c>
      <c r="F3284">
        <f>_xlfn.XLOOKUP(A3284,Energy!A:A,Energy!I:I,0)</f>
        <v>34528.046203052967</v>
      </c>
      <c r="G3284">
        <f t="shared" si="205"/>
        <v>78566.280890941664</v>
      </c>
      <c r="H3284">
        <f t="shared" si="206"/>
        <v>62616.479662977683</v>
      </c>
      <c r="I3284" t="b">
        <f t="shared" si="207"/>
        <v>1</v>
      </c>
    </row>
    <row r="3285" spans="1:9">
      <c r="A3285" s="1">
        <v>46210.605555555558</v>
      </c>
      <c r="B3285" s="5">
        <f>_xlfn.XLOOKUP(A3285,Banks!A:A,Banks!H:H,0,-1)</f>
        <v>4896.6351611100299</v>
      </c>
      <c r="C3285">
        <f>_xlfn.XLOOKUP(A3285,Energy!A:A,Energy!H:H,0,-1)</f>
        <v>11654.22265686639</v>
      </c>
      <c r="D3285">
        <f t="shared" si="204"/>
        <v>16550.857817976419</v>
      </c>
      <c r="E3285">
        <f>_xlfn.XLOOKUP(A3285,Banks!A:A,Banks!I:I,0)</f>
        <v>44081.202850678957</v>
      </c>
      <c r="F3285">
        <f>_xlfn.XLOOKUP(A3285,Energy!A:A,Energy!I:I,0)</f>
        <v>0</v>
      </c>
      <c r="G3285">
        <f t="shared" si="205"/>
        <v>44081.202850678957</v>
      </c>
      <c r="H3285">
        <f t="shared" si="206"/>
        <v>27530.345032702538</v>
      </c>
      <c r="I3285" t="b">
        <f t="shared" si="207"/>
        <v>0</v>
      </c>
    </row>
    <row r="3286" spans="1:9">
      <c r="A3286" s="1">
        <v>46210.606249999997</v>
      </c>
      <c r="B3286" s="5">
        <f>_xlfn.XLOOKUP(A3286,Banks!A:A,Banks!H:H,0,-1)</f>
        <v>4595.91528688772</v>
      </c>
      <c r="C3286">
        <f>_xlfn.XLOOKUP(A3286,Energy!A:A,Energy!H:H,0,-1)</f>
        <v>11654.22265686639</v>
      </c>
      <c r="D3286">
        <f t="shared" si="204"/>
        <v>16250.137943754111</v>
      </c>
      <c r="E3286">
        <f>_xlfn.XLOOKUP(A3286,Banks!A:A,Banks!I:I,0)</f>
        <v>44156.551275041384</v>
      </c>
      <c r="F3286">
        <f>_xlfn.XLOOKUP(A3286,Energy!A:A,Energy!I:I,0)</f>
        <v>0</v>
      </c>
      <c r="G3286">
        <f t="shared" si="205"/>
        <v>44156.551275041384</v>
      </c>
      <c r="H3286">
        <f t="shared" si="206"/>
        <v>27906.413331287273</v>
      </c>
      <c r="I3286" t="b">
        <f t="shared" si="207"/>
        <v>0</v>
      </c>
    </row>
    <row r="3287" spans="1:9">
      <c r="A3287" s="1">
        <v>46210.606944444437</v>
      </c>
      <c r="B3287" s="5">
        <f>_xlfn.XLOOKUP(A3287,Banks!A:A,Banks!H:H,0,-1)</f>
        <v>4449.6504247875882</v>
      </c>
      <c r="C3287">
        <f>_xlfn.XLOOKUP(A3287,Energy!A:A,Energy!H:H,0,-1)</f>
        <v>11654.22265686639</v>
      </c>
      <c r="D3287">
        <f t="shared" si="204"/>
        <v>16103.873081653979</v>
      </c>
      <c r="E3287">
        <f>_xlfn.XLOOKUP(A3287,Banks!A:A,Banks!I:I,0)</f>
        <v>44117.384224630601</v>
      </c>
      <c r="F3287">
        <f>_xlfn.XLOOKUP(A3287,Energy!A:A,Energy!I:I,0)</f>
        <v>0</v>
      </c>
      <c r="G3287">
        <f t="shared" si="205"/>
        <v>44117.384224630601</v>
      </c>
      <c r="H3287">
        <f t="shared" si="206"/>
        <v>28013.511142976622</v>
      </c>
      <c r="I3287" t="b">
        <f t="shared" si="207"/>
        <v>0</v>
      </c>
    </row>
    <row r="3288" spans="1:9">
      <c r="A3288" s="1">
        <v>46210.607638888891</v>
      </c>
      <c r="B3288" s="5">
        <f>_xlfn.XLOOKUP(A3288,Banks!A:A,Banks!H:H,0,-1)</f>
        <v>4793.3456199638358</v>
      </c>
      <c r="C3288">
        <f>_xlfn.XLOOKUP(A3288,Energy!A:A,Energy!H:H,0,-1)</f>
        <v>11654.22265686639</v>
      </c>
      <c r="D3288">
        <f t="shared" si="204"/>
        <v>16447.568276830225</v>
      </c>
      <c r="E3288">
        <f>_xlfn.XLOOKUP(A3288,Banks!A:A,Banks!I:I,0)</f>
        <v>44063.8496351133</v>
      </c>
      <c r="F3288">
        <f>_xlfn.XLOOKUP(A3288,Energy!A:A,Energy!I:I,0)</f>
        <v>0</v>
      </c>
      <c r="G3288">
        <f t="shared" si="205"/>
        <v>44063.8496351133</v>
      </c>
      <c r="H3288">
        <f t="shared" si="206"/>
        <v>27616.281358283075</v>
      </c>
      <c r="I3288" t="b">
        <f t="shared" si="207"/>
        <v>0</v>
      </c>
    </row>
    <row r="3289" spans="1:9">
      <c r="A3289" s="1">
        <v>46210.60833333333</v>
      </c>
      <c r="B3289" s="5">
        <f>_xlfn.XLOOKUP(A3289,Banks!A:A,Banks!H:H,0,-1)</f>
        <v>4748.278022981277</v>
      </c>
      <c r="C3289">
        <f>_xlfn.XLOOKUP(A3289,Energy!A:A,Energy!H:H,0,-1)</f>
        <v>11654.22265686639</v>
      </c>
      <c r="D3289">
        <f t="shared" si="204"/>
        <v>16402.500679847668</v>
      </c>
      <c r="E3289">
        <f>_xlfn.XLOOKUP(A3289,Banks!A:A,Banks!I:I,0)</f>
        <v>43985.437569781563</v>
      </c>
      <c r="F3289">
        <f>_xlfn.XLOOKUP(A3289,Energy!A:A,Energy!I:I,0)</f>
        <v>0</v>
      </c>
      <c r="G3289">
        <f t="shared" si="205"/>
        <v>43985.437569781563</v>
      </c>
      <c r="H3289">
        <f t="shared" si="206"/>
        <v>27582.936889933895</v>
      </c>
      <c r="I3289" t="b">
        <f t="shared" si="207"/>
        <v>0</v>
      </c>
    </row>
    <row r="3290" spans="1:9">
      <c r="A3290" s="1">
        <v>46210.609027777777</v>
      </c>
      <c r="B3290" s="5">
        <f>_xlfn.XLOOKUP(A3290,Banks!A:A,Banks!H:H,0,-1)</f>
        <v>4875.9629365533883</v>
      </c>
      <c r="C3290">
        <f>_xlfn.XLOOKUP(A3290,Energy!A:A,Energy!H:H,0,-1)</f>
        <v>11654.22265686639</v>
      </c>
      <c r="D3290">
        <f t="shared" si="204"/>
        <v>16530.185593419777</v>
      </c>
      <c r="E3290">
        <f>_xlfn.XLOOKUP(A3290,Banks!A:A,Banks!I:I,0)</f>
        <v>44047.326171795386</v>
      </c>
      <c r="F3290">
        <f>_xlfn.XLOOKUP(A3290,Energy!A:A,Energy!I:I,0)</f>
        <v>0</v>
      </c>
      <c r="G3290">
        <f t="shared" si="205"/>
        <v>44047.326171795386</v>
      </c>
      <c r="H3290">
        <f t="shared" si="206"/>
        <v>27517.140578375609</v>
      </c>
      <c r="I3290" t="b">
        <f t="shared" si="207"/>
        <v>0</v>
      </c>
    </row>
    <row r="3291" spans="1:9">
      <c r="A3291" s="1">
        <v>46210.609722222223</v>
      </c>
      <c r="B3291" s="5">
        <f>_xlfn.XLOOKUP(A3291,Banks!A:A,Banks!H:H,0,-1)</f>
        <v>4801.2175290718451</v>
      </c>
      <c r="C3291">
        <f>_xlfn.XLOOKUP(A3291,Energy!A:A,Energy!H:H,0,-1)</f>
        <v>11654.22265686639</v>
      </c>
      <c r="D3291">
        <f t="shared" si="204"/>
        <v>16455.440185938234</v>
      </c>
      <c r="E3291">
        <f>_xlfn.XLOOKUP(A3291,Banks!A:A,Banks!I:I,0)</f>
        <v>44111.68971422506</v>
      </c>
      <c r="F3291">
        <f>_xlfn.XLOOKUP(A3291,Energy!A:A,Energy!I:I,0)</f>
        <v>0</v>
      </c>
      <c r="G3291">
        <f t="shared" si="205"/>
        <v>44111.68971422506</v>
      </c>
      <c r="H3291">
        <f t="shared" si="206"/>
        <v>27656.249528286826</v>
      </c>
      <c r="I3291" t="b">
        <f t="shared" si="207"/>
        <v>0</v>
      </c>
    </row>
    <row r="3292" spans="1:9">
      <c r="A3292" s="1">
        <v>46210.61041666667</v>
      </c>
      <c r="B3292" s="5">
        <f>_xlfn.XLOOKUP(A3292,Banks!A:A,Banks!H:H,0,-1)</f>
        <v>4712.3591752149769</v>
      </c>
      <c r="C3292">
        <f>_xlfn.XLOOKUP(A3292,Energy!A:A,Energy!H:H,0,-1)</f>
        <v>11654.22265686639</v>
      </c>
      <c r="D3292">
        <f t="shared" si="204"/>
        <v>16366.581832081367</v>
      </c>
      <c r="E3292">
        <f>_xlfn.XLOOKUP(A3292,Banks!A:A,Banks!I:I,0)</f>
        <v>44034.433575509203</v>
      </c>
      <c r="F3292">
        <f>_xlfn.XLOOKUP(A3292,Energy!A:A,Energy!I:I,0)</f>
        <v>0</v>
      </c>
      <c r="G3292">
        <f t="shared" si="205"/>
        <v>44034.433575509203</v>
      </c>
      <c r="H3292">
        <f t="shared" si="206"/>
        <v>27667.851743427836</v>
      </c>
      <c r="I3292" t="b">
        <f t="shared" si="207"/>
        <v>0</v>
      </c>
    </row>
    <row r="3293" spans="1:9">
      <c r="A3293" s="1">
        <v>46210.611111111109</v>
      </c>
      <c r="B3293" s="5">
        <f>_xlfn.XLOOKUP(A3293,Banks!A:A,Banks!H:H,0,-1)</f>
        <v>4794.1252650657116</v>
      </c>
      <c r="C3293">
        <f>_xlfn.XLOOKUP(A3293,Energy!A:A,Energy!H:H,0,-1)</f>
        <v>11654.22265686639</v>
      </c>
      <c r="D3293">
        <f t="shared" si="204"/>
        <v>16448.347921932102</v>
      </c>
      <c r="E3293">
        <f>_xlfn.XLOOKUP(A3293,Banks!A:A,Banks!I:I,0)</f>
        <v>43964.864784226207</v>
      </c>
      <c r="F3293">
        <f>_xlfn.XLOOKUP(A3293,Energy!A:A,Energy!I:I,0)</f>
        <v>0</v>
      </c>
      <c r="G3293">
        <f t="shared" si="205"/>
        <v>43964.864784226207</v>
      </c>
      <c r="H3293">
        <f t="shared" si="206"/>
        <v>27516.516862294106</v>
      </c>
      <c r="I3293" t="b">
        <f t="shared" si="207"/>
        <v>0</v>
      </c>
    </row>
    <row r="3294" spans="1:9">
      <c r="A3294" s="1">
        <v>46210.611805555563</v>
      </c>
      <c r="B3294" s="5">
        <f>_xlfn.XLOOKUP(A3294,Banks!A:A,Banks!H:H,0,-1)</f>
        <v>4701.5795541580264</v>
      </c>
      <c r="C3294">
        <f>_xlfn.XLOOKUP(A3294,Energy!A:A,Energy!H:H,0,-1)</f>
        <v>11654.22265686639</v>
      </c>
      <c r="D3294">
        <f t="shared" si="204"/>
        <v>16355.802211024416</v>
      </c>
      <c r="E3294">
        <f>_xlfn.XLOOKUP(A3294,Banks!A:A,Banks!I:I,0)</f>
        <v>43952.965027371829</v>
      </c>
      <c r="F3294">
        <f>_xlfn.XLOOKUP(A3294,Energy!A:A,Energy!I:I,0)</f>
        <v>0</v>
      </c>
      <c r="G3294">
        <f t="shared" si="205"/>
        <v>43952.965027371829</v>
      </c>
      <c r="H3294">
        <f t="shared" si="206"/>
        <v>27597.162816347412</v>
      </c>
      <c r="I3294" t="b">
        <f t="shared" si="207"/>
        <v>0</v>
      </c>
    </row>
    <row r="3295" spans="1:9">
      <c r="A3295" s="1">
        <v>46210.612500000003</v>
      </c>
      <c r="B3295" s="5">
        <f>_xlfn.XLOOKUP(A3295,Banks!A:A,Banks!H:H,0,-1)</f>
        <v>4821.8539628100052</v>
      </c>
      <c r="C3295">
        <f>_xlfn.XLOOKUP(A3295,Energy!A:A,Energy!H:H,0,-1)</f>
        <v>11654.22265686639</v>
      </c>
      <c r="D3295">
        <f t="shared" si="204"/>
        <v>16476.076619676394</v>
      </c>
      <c r="E3295">
        <f>_xlfn.XLOOKUP(A3295,Banks!A:A,Banks!I:I,0)</f>
        <v>44069.551303682543</v>
      </c>
      <c r="F3295">
        <f>_xlfn.XLOOKUP(A3295,Energy!A:A,Energy!I:I,0)</f>
        <v>0</v>
      </c>
      <c r="G3295">
        <f t="shared" si="205"/>
        <v>44069.551303682543</v>
      </c>
      <c r="H3295">
        <f t="shared" si="206"/>
        <v>27593.474684006149</v>
      </c>
      <c r="I3295" t="b">
        <f t="shared" si="207"/>
        <v>0</v>
      </c>
    </row>
    <row r="3296" spans="1:9">
      <c r="A3296" s="1">
        <v>46210.613194444442</v>
      </c>
      <c r="B3296" s="5">
        <f>_xlfn.XLOOKUP(A3296,Banks!A:A,Banks!H:H,0,-1)</f>
        <v>4676.8301499996269</v>
      </c>
      <c r="C3296">
        <f>_xlfn.XLOOKUP(A3296,Energy!A:A,Energy!H:H,0,-1)</f>
        <v>11654.22265686639</v>
      </c>
      <c r="D3296">
        <f t="shared" si="204"/>
        <v>16331.052806866017</v>
      </c>
      <c r="E3296">
        <f>_xlfn.XLOOKUP(A3296,Banks!A:A,Banks!I:I,0)</f>
        <v>44033.937155793297</v>
      </c>
      <c r="F3296">
        <f>_xlfn.XLOOKUP(A3296,Energy!A:A,Energy!I:I,0)</f>
        <v>0</v>
      </c>
      <c r="G3296">
        <f t="shared" si="205"/>
        <v>44033.937155793297</v>
      </c>
      <c r="H3296">
        <f t="shared" si="206"/>
        <v>27702.88434892728</v>
      </c>
      <c r="I3296" t="b">
        <f t="shared" si="207"/>
        <v>0</v>
      </c>
    </row>
    <row r="3297" spans="1:9">
      <c r="A3297" s="1">
        <v>46210.613888888889</v>
      </c>
      <c r="B3297" s="5">
        <f>_xlfn.XLOOKUP(A3297,Banks!A:A,Banks!H:H,0,-1)</f>
        <v>4701.6153449764952</v>
      </c>
      <c r="C3297">
        <f>_xlfn.XLOOKUP(A3297,Energy!A:A,Energy!H:H,0,-1)</f>
        <v>11654.22265686639</v>
      </c>
      <c r="D3297">
        <f t="shared" si="204"/>
        <v>16355.838001842885</v>
      </c>
      <c r="E3297">
        <f>_xlfn.XLOOKUP(A3297,Banks!A:A,Banks!I:I,0)</f>
        <v>44028.980116797931</v>
      </c>
      <c r="F3297">
        <f>_xlfn.XLOOKUP(A3297,Energy!A:A,Energy!I:I,0)</f>
        <v>0</v>
      </c>
      <c r="G3297">
        <f t="shared" si="205"/>
        <v>44028.980116797931</v>
      </c>
      <c r="H3297">
        <f t="shared" si="206"/>
        <v>27673.142114955044</v>
      </c>
      <c r="I3297" t="b">
        <f t="shared" si="207"/>
        <v>0</v>
      </c>
    </row>
    <row r="3298" spans="1:9">
      <c r="A3298" s="1">
        <v>46210.614583333343</v>
      </c>
      <c r="B3298" s="5">
        <f>_xlfn.XLOOKUP(A3298,Banks!A:A,Banks!H:H,0,-1)</f>
        <v>4702.8563942662631</v>
      </c>
      <c r="C3298">
        <f>_xlfn.XLOOKUP(A3298,Energy!A:A,Energy!H:H,0,-1)</f>
        <v>11654.22265686639</v>
      </c>
      <c r="D3298">
        <f t="shared" si="204"/>
        <v>16357.079051132652</v>
      </c>
      <c r="E3298">
        <f>_xlfn.XLOOKUP(A3298,Banks!A:A,Banks!I:I,0)</f>
        <v>44032.53301931946</v>
      </c>
      <c r="F3298">
        <f>_xlfn.XLOOKUP(A3298,Energy!A:A,Energy!I:I,0)</f>
        <v>0</v>
      </c>
      <c r="G3298">
        <f t="shared" si="205"/>
        <v>44032.53301931946</v>
      </c>
      <c r="H3298">
        <f t="shared" si="206"/>
        <v>27675.453968186808</v>
      </c>
      <c r="I3298" t="b">
        <f t="shared" si="207"/>
        <v>0</v>
      </c>
    </row>
    <row r="3299" spans="1:9">
      <c r="A3299" s="1">
        <v>46210.615277777782</v>
      </c>
      <c r="B3299" s="5">
        <f>_xlfn.XLOOKUP(A3299,Banks!A:A,Banks!H:H,0,-1)</f>
        <v>4629.3162452560173</v>
      </c>
      <c r="C3299">
        <f>_xlfn.XLOOKUP(A3299,Energy!A:A,Energy!H:H,0,-1)</f>
        <v>11654.22265686639</v>
      </c>
      <c r="D3299">
        <f t="shared" si="204"/>
        <v>16283.538902122407</v>
      </c>
      <c r="E3299">
        <f>_xlfn.XLOOKUP(A3299,Banks!A:A,Banks!I:I,0)</f>
        <v>44024.434374844583</v>
      </c>
      <c r="F3299">
        <f>_xlfn.XLOOKUP(A3299,Energy!A:A,Energy!I:I,0)</f>
        <v>0</v>
      </c>
      <c r="G3299">
        <f t="shared" si="205"/>
        <v>44024.434374844583</v>
      </c>
      <c r="H3299">
        <f t="shared" si="206"/>
        <v>27740.895472722175</v>
      </c>
      <c r="I3299" t="b">
        <f t="shared" si="207"/>
        <v>0</v>
      </c>
    </row>
    <row r="3300" spans="1:9">
      <c r="A3300" s="1">
        <v>46210.615972222222</v>
      </c>
      <c r="B3300" s="5">
        <f>_xlfn.XLOOKUP(A3300,Banks!A:A,Banks!H:H,0,-1)</f>
        <v>4634.7060557844916</v>
      </c>
      <c r="C3300">
        <f>_xlfn.XLOOKUP(A3300,Energy!A:A,Energy!H:H,0,-1)</f>
        <v>11654.22265686639</v>
      </c>
      <c r="D3300">
        <f t="shared" si="204"/>
        <v>16288.928712650883</v>
      </c>
      <c r="E3300">
        <f>_xlfn.XLOOKUP(A3300,Banks!A:A,Banks!I:I,0)</f>
        <v>44065.168648913263</v>
      </c>
      <c r="F3300">
        <f>_xlfn.XLOOKUP(A3300,Energy!A:A,Energy!I:I,0)</f>
        <v>0</v>
      </c>
      <c r="G3300">
        <f t="shared" si="205"/>
        <v>44065.168648913263</v>
      </c>
      <c r="H3300">
        <f t="shared" si="206"/>
        <v>27776.23993626238</v>
      </c>
      <c r="I3300" t="b">
        <f t="shared" si="207"/>
        <v>0</v>
      </c>
    </row>
    <row r="3301" spans="1:9">
      <c r="A3301" s="1">
        <v>46210.616666666669</v>
      </c>
      <c r="B3301" s="5">
        <f>_xlfn.XLOOKUP(A3301,Banks!A:A,Banks!H:H,0,-1)</f>
        <v>4627.2597600458912</v>
      </c>
      <c r="C3301">
        <f>_xlfn.XLOOKUP(A3301,Energy!A:A,Energy!H:H,0,-1)</f>
        <v>11654.22265686639</v>
      </c>
      <c r="D3301">
        <f t="shared" si="204"/>
        <v>16281.48241691228</v>
      </c>
      <c r="E3301">
        <f>_xlfn.XLOOKUP(A3301,Banks!A:A,Banks!I:I,0)</f>
        <v>44043.851233784037</v>
      </c>
      <c r="F3301">
        <f>_xlfn.XLOOKUP(A3301,Energy!A:A,Energy!I:I,0)</f>
        <v>0</v>
      </c>
      <c r="G3301">
        <f t="shared" si="205"/>
        <v>44043.851233784037</v>
      </c>
      <c r="H3301">
        <f t="shared" si="206"/>
        <v>27762.368816871756</v>
      </c>
      <c r="I3301" t="b">
        <f t="shared" si="207"/>
        <v>0</v>
      </c>
    </row>
    <row r="3302" spans="1:9">
      <c r="A3302" s="1">
        <v>46210.617361111108</v>
      </c>
      <c r="B3302" s="5">
        <f>_xlfn.XLOOKUP(A3302,Banks!A:A,Banks!H:H,0,-1)</f>
        <v>4591.7307348305412</v>
      </c>
      <c r="C3302">
        <f>_xlfn.XLOOKUP(A3302,Energy!A:A,Energy!H:H,0,-1)</f>
        <v>11654.22265686639</v>
      </c>
      <c r="D3302">
        <f t="shared" si="204"/>
        <v>16245.95339169693</v>
      </c>
      <c r="E3302">
        <f>_xlfn.XLOOKUP(A3302,Banks!A:A,Banks!I:I,0)</f>
        <v>44043.354814068138</v>
      </c>
      <c r="F3302">
        <f>_xlfn.XLOOKUP(A3302,Energy!A:A,Energy!I:I,0)</f>
        <v>0</v>
      </c>
      <c r="G3302">
        <f t="shared" si="205"/>
        <v>44043.354814068138</v>
      </c>
      <c r="H3302">
        <f t="shared" si="206"/>
        <v>27797.401422371207</v>
      </c>
      <c r="I3302" t="b">
        <f t="shared" si="207"/>
        <v>0</v>
      </c>
    </row>
    <row r="3303" spans="1:9">
      <c r="A3303" s="1">
        <v>46210.618055555547</v>
      </c>
      <c r="B3303" s="5">
        <f>_xlfn.XLOOKUP(A3303,Banks!A:A,Banks!H:H,0,-1)</f>
        <v>4603.7156143588018</v>
      </c>
      <c r="C3303">
        <f>_xlfn.XLOOKUP(A3303,Energy!A:A,Energy!H:H,0,-1)</f>
        <v>11654.22265686639</v>
      </c>
      <c r="D3303">
        <f t="shared" si="204"/>
        <v>16257.938271225192</v>
      </c>
      <c r="E3303">
        <f>_xlfn.XLOOKUP(A3303,Banks!A:A,Banks!I:I,0)</f>
        <v>44052.361175300954</v>
      </c>
      <c r="F3303">
        <f>_xlfn.XLOOKUP(A3303,Energy!A:A,Energy!I:I,0)</f>
        <v>0</v>
      </c>
      <c r="G3303">
        <f t="shared" si="205"/>
        <v>44052.361175300954</v>
      </c>
      <c r="H3303">
        <f t="shared" si="206"/>
        <v>27794.422904075764</v>
      </c>
      <c r="I3303" t="b">
        <f t="shared" si="207"/>
        <v>0</v>
      </c>
    </row>
    <row r="3304" spans="1:9">
      <c r="A3304" s="1">
        <v>46210.618750000001</v>
      </c>
      <c r="B3304" s="5">
        <f>_xlfn.XLOOKUP(A3304,Banks!A:A,Banks!H:H,0,-1)</f>
        <v>4465.3226613666793</v>
      </c>
      <c r="C3304">
        <f>_xlfn.XLOOKUP(A3304,Energy!A:A,Energy!H:H,0,-1)</f>
        <v>11654.22265686639</v>
      </c>
      <c r="D3304">
        <f t="shared" si="204"/>
        <v>16119.545318233069</v>
      </c>
      <c r="E3304">
        <f>_xlfn.XLOOKUP(A3304,Banks!A:A,Banks!I:I,0)</f>
        <v>44061.034204001939</v>
      </c>
      <c r="F3304">
        <f>_xlfn.XLOOKUP(A3304,Energy!A:A,Energy!I:I,0)</f>
        <v>0</v>
      </c>
      <c r="G3304">
        <f t="shared" si="205"/>
        <v>44061.034204001939</v>
      </c>
      <c r="H3304">
        <f t="shared" si="206"/>
        <v>27941.488885768871</v>
      </c>
      <c r="I3304" t="b">
        <f t="shared" si="207"/>
        <v>0</v>
      </c>
    </row>
    <row r="3305" spans="1:9">
      <c r="A3305" s="1">
        <v>46210.619444444441</v>
      </c>
      <c r="B3305" s="5">
        <f>_xlfn.XLOOKUP(A3305,Banks!A:A,Banks!H:H,0,-1)</f>
        <v>4461.5995134973782</v>
      </c>
      <c r="C3305">
        <f>_xlfn.XLOOKUP(A3305,Energy!A:A,Energy!H:H,0,-1)</f>
        <v>11654.22265686639</v>
      </c>
      <c r="D3305">
        <f t="shared" si="204"/>
        <v>16115.822170363768</v>
      </c>
      <c r="E3305">
        <f>_xlfn.XLOOKUP(A3305,Banks!A:A,Banks!I:I,0)</f>
        <v>44050.375496437329</v>
      </c>
      <c r="F3305">
        <f>_xlfn.XLOOKUP(A3305,Energy!A:A,Energy!I:I,0)</f>
        <v>0</v>
      </c>
      <c r="G3305">
        <f t="shared" si="205"/>
        <v>44050.375496437329</v>
      </c>
      <c r="H3305">
        <f t="shared" si="206"/>
        <v>27934.553326073561</v>
      </c>
      <c r="I3305" t="b">
        <f t="shared" si="207"/>
        <v>0</v>
      </c>
    </row>
    <row r="3306" spans="1:9">
      <c r="A3306" s="1">
        <v>46210.620138888888</v>
      </c>
      <c r="B3306" s="5">
        <f>_xlfn.XLOOKUP(A3306,Banks!A:A,Banks!H:H,0,-1)</f>
        <v>4490.9232922638939</v>
      </c>
      <c r="C3306">
        <f>_xlfn.XLOOKUP(A3306,Energy!A:A,Energy!H:H,0,-1)</f>
        <v>11654.22265686639</v>
      </c>
      <c r="D3306">
        <f t="shared" si="204"/>
        <v>16145.145949130285</v>
      </c>
      <c r="E3306">
        <f>_xlfn.XLOOKUP(A3306,Banks!A:A,Banks!I:I,0)</f>
        <v>44033.107403545553</v>
      </c>
      <c r="F3306">
        <f>_xlfn.XLOOKUP(A3306,Energy!A:A,Energy!I:I,0)</f>
        <v>0</v>
      </c>
      <c r="G3306">
        <f t="shared" si="205"/>
        <v>44033.107403545553</v>
      </c>
      <c r="H3306">
        <f t="shared" si="206"/>
        <v>27887.961454415268</v>
      </c>
      <c r="I3306" t="b">
        <f t="shared" si="207"/>
        <v>0</v>
      </c>
    </row>
    <row r="3307" spans="1:9">
      <c r="A3307" s="1">
        <v>46210.620833333327</v>
      </c>
      <c r="B3307" s="5">
        <f>_xlfn.XLOOKUP(A3307,Banks!A:A,Banks!H:H,0,-1)</f>
        <v>4534.7140491382033</v>
      </c>
      <c r="C3307">
        <f>_xlfn.XLOOKUP(A3307,Energy!A:A,Energy!H:H,0,-1)</f>
        <v>11654.22265686639</v>
      </c>
      <c r="D3307">
        <f t="shared" si="204"/>
        <v>16188.936706004593</v>
      </c>
      <c r="E3307">
        <f>_xlfn.XLOOKUP(A3307,Banks!A:A,Banks!I:I,0)</f>
        <v>44031.951476929673</v>
      </c>
      <c r="F3307">
        <f>_xlfn.XLOOKUP(A3307,Energy!A:A,Energy!I:I,0)</f>
        <v>0</v>
      </c>
      <c r="G3307">
        <f t="shared" si="205"/>
        <v>44031.951476929673</v>
      </c>
      <c r="H3307">
        <f t="shared" si="206"/>
        <v>27843.014770925081</v>
      </c>
      <c r="I3307" t="b">
        <f t="shared" si="207"/>
        <v>0</v>
      </c>
    </row>
    <row r="3308" spans="1:9">
      <c r="A3308" s="1">
        <v>46210.621527777781</v>
      </c>
      <c r="B3308" s="5">
        <f>_xlfn.XLOOKUP(A3308,Banks!A:A,Banks!H:H,0,-1)</f>
        <v>4333.9503907437374</v>
      </c>
      <c r="C3308">
        <f>_xlfn.XLOOKUP(A3308,Energy!A:A,Energy!H:H,0,-1)</f>
        <v>11654.22265686639</v>
      </c>
      <c r="D3308">
        <f t="shared" si="204"/>
        <v>15988.173047610127</v>
      </c>
      <c r="E3308">
        <f>_xlfn.XLOOKUP(A3308,Banks!A:A,Banks!I:I,0)</f>
        <v>44064.501983849586</v>
      </c>
      <c r="F3308">
        <f>_xlfn.XLOOKUP(A3308,Energy!A:A,Energy!I:I,0)</f>
        <v>0</v>
      </c>
      <c r="G3308">
        <f t="shared" si="205"/>
        <v>44064.501983849586</v>
      </c>
      <c r="H3308">
        <f t="shared" si="206"/>
        <v>28076.328936239457</v>
      </c>
      <c r="I3308" t="b">
        <f t="shared" si="207"/>
        <v>0</v>
      </c>
    </row>
    <row r="3309" spans="1:9">
      <c r="A3309" s="1">
        <v>46210.62222222222</v>
      </c>
      <c r="B3309" s="5">
        <f>_xlfn.XLOOKUP(A3309,Banks!A:A,Banks!H:H,0,-1)</f>
        <v>4535.565275877032</v>
      </c>
      <c r="C3309">
        <f>_xlfn.XLOOKUP(A3309,Energy!A:A,Energy!H:H,0,-1)</f>
        <v>11654.22265686639</v>
      </c>
      <c r="D3309">
        <f t="shared" si="204"/>
        <v>16189.787932743422</v>
      </c>
      <c r="E3309">
        <f>_xlfn.XLOOKUP(A3309,Banks!A:A,Banks!I:I,0)</f>
        <v>44084.996804894763</v>
      </c>
      <c r="F3309">
        <f>_xlfn.XLOOKUP(A3309,Energy!A:A,Energy!I:I,0)</f>
        <v>0</v>
      </c>
      <c r="G3309">
        <f t="shared" si="205"/>
        <v>44084.996804894763</v>
      </c>
      <c r="H3309">
        <f t="shared" si="206"/>
        <v>27895.208872151343</v>
      </c>
      <c r="I3309" t="b">
        <f t="shared" si="207"/>
        <v>0</v>
      </c>
    </row>
    <row r="3310" spans="1:9">
      <c r="A3310" s="1">
        <v>46210.622916666667</v>
      </c>
      <c r="B3310" s="5">
        <f>_xlfn.XLOOKUP(A3310,Banks!A:A,Banks!H:H,0,-1)</f>
        <v>4524.5536432492709</v>
      </c>
      <c r="C3310">
        <f>_xlfn.XLOOKUP(A3310,Energy!A:A,Energy!H:H,0,-1)</f>
        <v>11654.22265686639</v>
      </c>
      <c r="D3310">
        <f t="shared" si="204"/>
        <v>16178.77630011566</v>
      </c>
      <c r="E3310">
        <f>_xlfn.XLOOKUP(A3310,Banks!A:A,Banks!I:I,0)</f>
        <v>0</v>
      </c>
      <c r="F3310">
        <f>_xlfn.XLOOKUP(A3310,Energy!A:A,Energy!I:I,0)</f>
        <v>0</v>
      </c>
      <c r="G3310">
        <f t="shared" si="205"/>
        <v>0</v>
      </c>
      <c r="H3310">
        <f t="shared" si="206"/>
        <v>-16178.77630011566</v>
      </c>
      <c r="I3310" t="b">
        <f t="shared" si="207"/>
        <v>0</v>
      </c>
    </row>
    <row r="3311" spans="1:9">
      <c r="A3311" s="1">
        <v>46211.604166666657</v>
      </c>
      <c r="B3311" s="5">
        <f>_xlfn.XLOOKUP(A3311,Banks!A:A,Banks!H:H,0,-1)</f>
        <v>4524.5536432492709</v>
      </c>
      <c r="C3311">
        <f>_xlfn.XLOOKUP(A3311,Energy!A:A,Energy!H:H,0,-1)</f>
        <v>11654.22265686639</v>
      </c>
      <c r="D3311">
        <f t="shared" si="204"/>
        <v>16178.77630011566</v>
      </c>
      <c r="E3311">
        <f>_xlfn.XLOOKUP(A3311,Banks!A:A,Banks!I:I,0)</f>
        <v>44038.234687888696</v>
      </c>
      <c r="F3311">
        <f>_xlfn.XLOOKUP(A3311,Energy!A:A,Energy!I:I,0)</f>
        <v>0</v>
      </c>
      <c r="G3311">
        <f t="shared" si="205"/>
        <v>44038.234687888696</v>
      </c>
      <c r="H3311">
        <f t="shared" si="206"/>
        <v>27859.458387773037</v>
      </c>
      <c r="I3311" t="b">
        <f t="shared" si="207"/>
        <v>0</v>
      </c>
    </row>
    <row r="3312" spans="1:9">
      <c r="A3312" s="1">
        <v>46211.604861111111</v>
      </c>
      <c r="B3312" s="5">
        <f>_xlfn.XLOOKUP(A3312,Banks!A:A,Banks!H:H,0,-1)</f>
        <v>4435.7764664166516</v>
      </c>
      <c r="C3312">
        <f>_xlfn.XLOOKUP(A3312,Energy!A:A,Energy!H:H,0,-1)</f>
        <v>11654.22265686639</v>
      </c>
      <c r="D3312">
        <f t="shared" si="204"/>
        <v>16089.999123283042</v>
      </c>
      <c r="E3312">
        <f>_xlfn.XLOOKUP(A3312,Banks!A:A,Banks!I:I,0)</f>
        <v>44202.788503028583</v>
      </c>
      <c r="F3312">
        <f>_xlfn.XLOOKUP(A3312,Energy!A:A,Energy!I:I,0)</f>
        <v>0</v>
      </c>
      <c r="G3312">
        <f t="shared" si="205"/>
        <v>44202.788503028583</v>
      </c>
      <c r="H3312">
        <f t="shared" si="206"/>
        <v>28112.78937974554</v>
      </c>
      <c r="I3312" t="b">
        <f t="shared" si="207"/>
        <v>0</v>
      </c>
    </row>
    <row r="3313" spans="1:9">
      <c r="A3313" s="1">
        <v>46211.605555555558</v>
      </c>
      <c r="B3313" s="5">
        <f>_xlfn.XLOOKUP(A3313,Banks!A:A,Banks!H:H,0,-1)</f>
        <v>4609.203791145932</v>
      </c>
      <c r="C3313">
        <f>_xlfn.XLOOKUP(A3313,Energy!A:A,Energy!H:H,0,-1)</f>
        <v>11654.22265686639</v>
      </c>
      <c r="D3313">
        <f t="shared" si="204"/>
        <v>16263.426448012322</v>
      </c>
      <c r="E3313">
        <f>_xlfn.XLOOKUP(A3313,Banks!A:A,Banks!I:I,0)</f>
        <v>44102.430078710429</v>
      </c>
      <c r="F3313">
        <f>_xlfn.XLOOKUP(A3313,Energy!A:A,Energy!I:I,0)</f>
        <v>0</v>
      </c>
      <c r="G3313">
        <f t="shared" si="205"/>
        <v>44102.430078710429</v>
      </c>
      <c r="H3313">
        <f t="shared" si="206"/>
        <v>27839.003630698106</v>
      </c>
      <c r="I3313" t="b">
        <f t="shared" si="207"/>
        <v>0</v>
      </c>
    </row>
    <row r="3314" spans="1:9">
      <c r="A3314" s="1">
        <v>46211.606249999997</v>
      </c>
      <c r="B3314" s="5">
        <f>_xlfn.XLOOKUP(A3314,Banks!A:A,Banks!H:H,0,-1)</f>
        <v>4461.6541617665434</v>
      </c>
      <c r="C3314">
        <f>_xlfn.XLOOKUP(A3314,Energy!A:A,Energy!H:H,0,-1)</f>
        <v>11654.22265686639</v>
      </c>
      <c r="D3314">
        <f t="shared" si="204"/>
        <v>16115.876818632933</v>
      </c>
      <c r="E3314">
        <f>_xlfn.XLOOKUP(A3314,Banks!A:A,Banks!I:I,0)</f>
        <v>43985.141624812954</v>
      </c>
      <c r="F3314">
        <f>_xlfn.XLOOKUP(A3314,Energy!A:A,Energy!I:I,0)</f>
        <v>0</v>
      </c>
      <c r="G3314">
        <f t="shared" si="205"/>
        <v>43985.141624812954</v>
      </c>
      <c r="H3314">
        <f t="shared" si="206"/>
        <v>27869.264806180021</v>
      </c>
      <c r="I3314" t="b">
        <f t="shared" si="207"/>
        <v>0</v>
      </c>
    </row>
    <row r="3315" spans="1:9">
      <c r="A3315" s="1">
        <v>46211.606944444437</v>
      </c>
      <c r="B3315" s="5">
        <f>_xlfn.XLOOKUP(A3315,Banks!A:A,Banks!H:H,0,-1)</f>
        <v>4293.1795896620824</v>
      </c>
      <c r="C3315">
        <f>_xlfn.XLOOKUP(A3315,Energy!A:A,Energy!H:H,0,-1)</f>
        <v>11654.22265686639</v>
      </c>
      <c r="D3315">
        <f t="shared" si="204"/>
        <v>15947.402246528472</v>
      </c>
      <c r="E3315">
        <f>_xlfn.XLOOKUP(A3315,Banks!A:A,Banks!I:I,0)</f>
        <v>44127.003766435257</v>
      </c>
      <c r="F3315">
        <f>_xlfn.XLOOKUP(A3315,Energy!A:A,Energy!I:I,0)</f>
        <v>0</v>
      </c>
      <c r="G3315">
        <f t="shared" si="205"/>
        <v>44127.003766435257</v>
      </c>
      <c r="H3315">
        <f t="shared" si="206"/>
        <v>28179.601519906784</v>
      </c>
      <c r="I3315" t="b">
        <f t="shared" si="207"/>
        <v>0</v>
      </c>
    </row>
    <row r="3316" spans="1:9">
      <c r="A3316" s="1">
        <v>46211.607638888891</v>
      </c>
      <c r="B3316" s="5">
        <f>_xlfn.XLOOKUP(A3316,Banks!A:A,Banks!H:H,0,-1)</f>
        <v>4334.0806876242159</v>
      </c>
      <c r="C3316">
        <f>_xlfn.XLOOKUP(A3316,Energy!A:A,Energy!H:H,0,-1)</f>
        <v>11654.22265686639</v>
      </c>
      <c r="D3316">
        <f t="shared" si="204"/>
        <v>15988.303344490607</v>
      </c>
      <c r="E3316">
        <f>_xlfn.XLOOKUP(A3316,Banks!A:A,Banks!I:I,0)</f>
        <v>44087.918624785292</v>
      </c>
      <c r="F3316">
        <f>_xlfn.XLOOKUP(A3316,Energy!A:A,Energy!I:I,0)</f>
        <v>0</v>
      </c>
      <c r="G3316">
        <f t="shared" si="205"/>
        <v>44087.918624785292</v>
      </c>
      <c r="H3316">
        <f t="shared" si="206"/>
        <v>28099.615280294685</v>
      </c>
      <c r="I3316" t="b">
        <f t="shared" si="207"/>
        <v>0</v>
      </c>
    </row>
    <row r="3317" spans="1:9">
      <c r="A3317" s="1">
        <v>46211.60833333333</v>
      </c>
      <c r="B3317" s="5">
        <f>_xlfn.XLOOKUP(A3317,Banks!A:A,Banks!H:H,0,-1)</f>
        <v>4251.8656298555106</v>
      </c>
      <c r="C3317">
        <f>_xlfn.XLOOKUP(A3317,Energy!A:A,Energy!H:H,0,-1)</f>
        <v>11654.22265686639</v>
      </c>
      <c r="D3317">
        <f t="shared" si="204"/>
        <v>15906.088286721901</v>
      </c>
      <c r="E3317">
        <f>_xlfn.XLOOKUP(A3317,Banks!A:A,Banks!I:I,0)</f>
        <v>44030.962446452351</v>
      </c>
      <c r="F3317">
        <f>_xlfn.XLOOKUP(A3317,Energy!A:A,Energy!I:I,0)</f>
        <v>0</v>
      </c>
      <c r="G3317">
        <f t="shared" si="205"/>
        <v>44030.962446452351</v>
      </c>
      <c r="H3317">
        <f t="shared" si="206"/>
        <v>28124.874159730451</v>
      </c>
      <c r="I3317" t="b">
        <f t="shared" si="207"/>
        <v>0</v>
      </c>
    </row>
    <row r="3318" spans="1:9">
      <c r="A3318" s="1">
        <v>46211.609027777777</v>
      </c>
      <c r="B3318" s="5">
        <f>_xlfn.XLOOKUP(A3318,Banks!A:A,Banks!H:H,0,-1)</f>
        <v>4174.6033247116211</v>
      </c>
      <c r="C3318">
        <f>_xlfn.XLOOKUP(A3318,Energy!A:A,Energy!H:H,0,-1)</f>
        <v>11654.22265686639</v>
      </c>
      <c r="D3318">
        <f t="shared" si="204"/>
        <v>15828.825981578011</v>
      </c>
      <c r="E3318">
        <f>_xlfn.XLOOKUP(A3318,Banks!A:A,Banks!I:I,0)</f>
        <v>44015.509985423567</v>
      </c>
      <c r="F3318">
        <f>_xlfn.XLOOKUP(A3318,Energy!A:A,Energy!I:I,0)</f>
        <v>0</v>
      </c>
      <c r="G3318">
        <f t="shared" si="205"/>
        <v>44015.509985423567</v>
      </c>
      <c r="H3318">
        <f t="shared" si="206"/>
        <v>28186.684003845556</v>
      </c>
      <c r="I3318" t="b">
        <f t="shared" si="207"/>
        <v>0</v>
      </c>
    </row>
    <row r="3319" spans="1:9">
      <c r="A3319" s="1">
        <v>46211.609722222223</v>
      </c>
      <c r="B3319" s="5">
        <f>_xlfn.XLOOKUP(A3319,Banks!A:A,Banks!H:H,0,-1)</f>
        <v>4208.1991522898516</v>
      </c>
      <c r="C3319">
        <f>_xlfn.XLOOKUP(A3319,Energy!A:A,Energy!H:H,0,-1)</f>
        <v>11654.22265686639</v>
      </c>
      <c r="D3319">
        <f t="shared" si="204"/>
        <v>15862.421809156242</v>
      </c>
      <c r="E3319">
        <f>_xlfn.XLOOKUP(A3319,Banks!A:A,Banks!I:I,0)</f>
        <v>43954.707206307212</v>
      </c>
      <c r="F3319">
        <f>_xlfn.XLOOKUP(A3319,Energy!A:A,Energy!I:I,0)</f>
        <v>0</v>
      </c>
      <c r="G3319">
        <f t="shared" si="205"/>
        <v>43954.707206307212</v>
      </c>
      <c r="H3319">
        <f t="shared" si="206"/>
        <v>28092.285397150968</v>
      </c>
      <c r="I3319" t="b">
        <f t="shared" si="207"/>
        <v>0</v>
      </c>
    </row>
    <row r="3320" spans="1:9">
      <c r="A3320" s="1">
        <v>46211.61041666667</v>
      </c>
      <c r="B3320" s="5">
        <f>_xlfn.XLOOKUP(A3320,Banks!A:A,Banks!H:H,0,-1)</f>
        <v>4277.021214354736</v>
      </c>
      <c r="C3320">
        <f>_xlfn.XLOOKUP(A3320,Energy!A:A,Energy!H:H,0,-1)</f>
        <v>11654.22265686639</v>
      </c>
      <c r="D3320">
        <f t="shared" si="204"/>
        <v>15931.243871221126</v>
      </c>
      <c r="E3320">
        <f>_xlfn.XLOOKUP(A3320,Banks!A:A,Banks!I:I,0)</f>
        <v>43971.847715951793</v>
      </c>
      <c r="F3320">
        <f>_xlfn.XLOOKUP(A3320,Energy!A:A,Energy!I:I,0)</f>
        <v>0</v>
      </c>
      <c r="G3320">
        <f t="shared" si="205"/>
        <v>43971.847715951793</v>
      </c>
      <c r="H3320">
        <f t="shared" si="206"/>
        <v>28040.603844730667</v>
      </c>
      <c r="I3320" t="b">
        <f t="shared" si="207"/>
        <v>0</v>
      </c>
    </row>
    <row r="3321" spans="1:9">
      <c r="A3321" s="1">
        <v>46211.611111111109</v>
      </c>
      <c r="B3321" s="5">
        <f>_xlfn.XLOOKUP(A3321,Banks!A:A,Banks!H:H,0,-1)</f>
        <v>4179.3909325986879</v>
      </c>
      <c r="C3321">
        <f>_xlfn.XLOOKUP(A3321,Energy!A:A,Energy!H:H,0,-1)</f>
        <v>11654.22265686639</v>
      </c>
      <c r="D3321">
        <f t="shared" si="204"/>
        <v>15833.613589465078</v>
      </c>
      <c r="E3321">
        <f>_xlfn.XLOOKUP(A3321,Banks!A:A,Banks!I:I,0)</f>
        <v>44002.963118074578</v>
      </c>
      <c r="F3321">
        <f>_xlfn.XLOOKUP(A3321,Energy!A:A,Energy!I:I,0)</f>
        <v>0</v>
      </c>
      <c r="G3321">
        <f t="shared" si="205"/>
        <v>44002.963118074578</v>
      </c>
      <c r="H3321">
        <f t="shared" si="206"/>
        <v>28169.349528609499</v>
      </c>
      <c r="I3321" t="b">
        <f t="shared" si="207"/>
        <v>0</v>
      </c>
    </row>
    <row r="3322" spans="1:9">
      <c r="A3322" s="1">
        <v>46211.611805555563</v>
      </c>
      <c r="B3322" s="5">
        <f>_xlfn.XLOOKUP(A3322,Banks!A:A,Banks!H:H,0,-1)</f>
        <v>4026.1664397437899</v>
      </c>
      <c r="C3322">
        <f>_xlfn.XLOOKUP(A3322,Energy!A:A,Energy!H:H,0,-1)</f>
        <v>11654.22265686639</v>
      </c>
      <c r="D3322">
        <f t="shared" si="204"/>
        <v>15680.389096610179</v>
      </c>
      <c r="E3322">
        <f>_xlfn.XLOOKUP(A3322,Banks!A:A,Banks!I:I,0)</f>
        <v>44002.703094588003</v>
      </c>
      <c r="F3322">
        <f>_xlfn.XLOOKUP(A3322,Energy!A:A,Energy!I:I,0)</f>
        <v>0</v>
      </c>
      <c r="G3322">
        <f t="shared" si="205"/>
        <v>44002.703094588003</v>
      </c>
      <c r="H3322">
        <f t="shared" si="206"/>
        <v>28322.313997977824</v>
      </c>
      <c r="I3322" t="b">
        <f t="shared" si="207"/>
        <v>0</v>
      </c>
    </row>
    <row r="3323" spans="1:9">
      <c r="A3323" s="1">
        <v>46211.612500000003</v>
      </c>
      <c r="B3323" s="5">
        <f>_xlfn.XLOOKUP(A3323,Banks!A:A,Banks!H:H,0,-1)</f>
        <v>4080.2128163030889</v>
      </c>
      <c r="C3323">
        <f>_xlfn.XLOOKUP(A3323,Energy!A:A,Energy!H:H,0,-1)</f>
        <v>11654.22265686639</v>
      </c>
      <c r="D3323">
        <f t="shared" si="204"/>
        <v>15734.435473169478</v>
      </c>
      <c r="E3323">
        <f>_xlfn.XLOOKUP(A3323,Banks!A:A,Banks!I:I,0)</f>
        <v>43922.357744646659</v>
      </c>
      <c r="F3323">
        <f>_xlfn.XLOOKUP(A3323,Energy!A:A,Energy!I:I,0)</f>
        <v>0</v>
      </c>
      <c r="G3323">
        <f t="shared" si="205"/>
        <v>43922.357744646659</v>
      </c>
      <c r="H3323">
        <f t="shared" si="206"/>
        <v>28187.922271477182</v>
      </c>
      <c r="I3323" t="b">
        <f t="shared" si="207"/>
        <v>0</v>
      </c>
    </row>
    <row r="3324" spans="1:9">
      <c r="A3324" s="1">
        <v>46211.613194444442</v>
      </c>
      <c r="B3324" s="5">
        <f>_xlfn.XLOOKUP(A3324,Banks!A:A,Banks!H:H,0,-1)</f>
        <v>3873.8292024773482</v>
      </c>
      <c r="C3324">
        <f>_xlfn.XLOOKUP(A3324,Energy!A:A,Energy!H:H,0,-1)</f>
        <v>11654.22265686639</v>
      </c>
      <c r="D3324">
        <f t="shared" si="204"/>
        <v>15528.051859343737</v>
      </c>
      <c r="E3324">
        <f>_xlfn.XLOOKUP(A3324,Banks!A:A,Banks!I:I,0)</f>
        <v>43897.961508039509</v>
      </c>
      <c r="F3324">
        <f>_xlfn.XLOOKUP(A3324,Energy!A:A,Energy!I:I,0)</f>
        <v>0</v>
      </c>
      <c r="G3324">
        <f t="shared" si="205"/>
        <v>43897.961508039509</v>
      </c>
      <c r="H3324">
        <f t="shared" si="206"/>
        <v>28369.909648695771</v>
      </c>
      <c r="I3324" t="b">
        <f t="shared" si="207"/>
        <v>0</v>
      </c>
    </row>
    <row r="3325" spans="1:9">
      <c r="A3325" s="1">
        <v>46211.613888888889</v>
      </c>
      <c r="B3325" s="5">
        <f>_xlfn.XLOOKUP(A3325,Banks!A:A,Banks!H:H,0,-1)</f>
        <v>3758.100889499306</v>
      </c>
      <c r="C3325">
        <f>_xlfn.XLOOKUP(A3325,Energy!A:A,Energy!H:H,0,-1)</f>
        <v>11654.22265686639</v>
      </c>
      <c r="D3325">
        <f t="shared" si="204"/>
        <v>15412.323546365697</v>
      </c>
      <c r="E3325">
        <f>_xlfn.XLOOKUP(A3325,Banks!A:A,Banks!I:I,0)</f>
        <v>43928.833401149503</v>
      </c>
      <c r="F3325">
        <f>_xlfn.XLOOKUP(A3325,Energy!A:A,Energy!I:I,0)</f>
        <v>0</v>
      </c>
      <c r="G3325">
        <f t="shared" si="205"/>
        <v>43928.833401149503</v>
      </c>
      <c r="H3325">
        <f t="shared" si="206"/>
        <v>28516.509854783806</v>
      </c>
      <c r="I3325" t="b">
        <f t="shared" si="207"/>
        <v>0</v>
      </c>
    </row>
    <row r="3326" spans="1:9">
      <c r="A3326" s="1">
        <v>46211.614583333343</v>
      </c>
      <c r="B3326" s="5">
        <f>_xlfn.XLOOKUP(A3326,Banks!A:A,Banks!H:H,0,-1)</f>
        <v>3766.2934154716522</v>
      </c>
      <c r="C3326">
        <f>_xlfn.XLOOKUP(A3326,Energy!A:A,Energy!H:H,0,-1)</f>
        <v>11654.22265686639</v>
      </c>
      <c r="D3326">
        <f t="shared" si="204"/>
        <v>15420.516072338043</v>
      </c>
      <c r="E3326">
        <f>_xlfn.XLOOKUP(A3326,Banks!A:A,Banks!I:I,0)</f>
        <v>43846.069475553973</v>
      </c>
      <c r="F3326">
        <f>_xlfn.XLOOKUP(A3326,Energy!A:A,Energy!I:I,0)</f>
        <v>0</v>
      </c>
      <c r="G3326">
        <f t="shared" si="205"/>
        <v>43846.069475553973</v>
      </c>
      <c r="H3326">
        <f t="shared" si="206"/>
        <v>28425.55340321593</v>
      </c>
      <c r="I3326" t="b">
        <f t="shared" si="207"/>
        <v>0</v>
      </c>
    </row>
    <row r="3327" spans="1:9">
      <c r="A3327" s="1">
        <v>46211.615277777782</v>
      </c>
      <c r="B3327" s="5">
        <f>_xlfn.XLOOKUP(A3327,Banks!A:A,Banks!H:H,0,-1)</f>
        <v>3681.97355705052</v>
      </c>
      <c r="C3327">
        <f>_xlfn.XLOOKUP(A3327,Energy!A:A,Energy!H:H,0,-1)</f>
        <v>11654.22265686639</v>
      </c>
      <c r="D3327">
        <f t="shared" si="204"/>
        <v>15336.19621391691</v>
      </c>
      <c r="E3327">
        <f>_xlfn.XLOOKUP(A3327,Banks!A:A,Banks!I:I,0)</f>
        <v>43889.975254038553</v>
      </c>
      <c r="F3327">
        <f>_xlfn.XLOOKUP(A3327,Energy!A:A,Energy!I:I,0)</f>
        <v>0</v>
      </c>
      <c r="G3327">
        <f t="shared" si="205"/>
        <v>43889.975254038553</v>
      </c>
      <c r="H3327">
        <f t="shared" si="206"/>
        <v>28553.779040121641</v>
      </c>
      <c r="I3327" t="b">
        <f t="shared" si="207"/>
        <v>0</v>
      </c>
    </row>
    <row r="3328" spans="1:9">
      <c r="A3328" s="1">
        <v>46211.615972222222</v>
      </c>
      <c r="B3328" s="5">
        <f>_xlfn.XLOOKUP(A3328,Banks!A:A,Banks!H:H,0,-1)</f>
        <v>3895.4972965224001</v>
      </c>
      <c r="C3328">
        <f>_xlfn.XLOOKUP(A3328,Energy!A:A,Energy!H:H,0,-1)</f>
        <v>11654.22265686639</v>
      </c>
      <c r="D3328">
        <f t="shared" si="204"/>
        <v>15549.719953388791</v>
      </c>
      <c r="E3328">
        <f>_xlfn.XLOOKUP(A3328,Banks!A:A,Banks!I:I,0)</f>
        <v>43882.038543458912</v>
      </c>
      <c r="F3328">
        <f>_xlfn.XLOOKUP(A3328,Energy!A:A,Energy!I:I,0)</f>
        <v>0</v>
      </c>
      <c r="G3328">
        <f t="shared" si="205"/>
        <v>43882.038543458912</v>
      </c>
      <c r="H3328">
        <f t="shared" si="206"/>
        <v>28332.318590070121</v>
      </c>
      <c r="I3328" t="b">
        <f t="shared" si="207"/>
        <v>0</v>
      </c>
    </row>
    <row r="3329" spans="1:9">
      <c r="A3329" s="1">
        <v>46211.616666666669</v>
      </c>
      <c r="B3329" s="5">
        <f>_xlfn.XLOOKUP(A3329,Banks!A:A,Banks!H:H,0,-1)</f>
        <v>3749.4129293136539</v>
      </c>
      <c r="C3329">
        <f>_xlfn.XLOOKUP(A3329,Energy!A:A,Energy!H:H,0,-1)</f>
        <v>11654.22265686639</v>
      </c>
      <c r="D3329">
        <f t="shared" si="204"/>
        <v>15403.635586180044</v>
      </c>
      <c r="E3329">
        <f>_xlfn.XLOOKUP(A3329,Banks!A:A,Banks!I:I,0)</f>
        <v>43849.445572785567</v>
      </c>
      <c r="F3329">
        <f>_xlfn.XLOOKUP(A3329,Energy!A:A,Energy!I:I,0)</f>
        <v>0</v>
      </c>
      <c r="G3329">
        <f t="shared" si="205"/>
        <v>43849.445572785567</v>
      </c>
      <c r="H3329">
        <f t="shared" si="206"/>
        <v>28445.809986605524</v>
      </c>
      <c r="I3329" t="b">
        <f t="shared" si="207"/>
        <v>0</v>
      </c>
    </row>
    <row r="3330" spans="1:9">
      <c r="A3330" s="1">
        <v>46211.617361111108</v>
      </c>
      <c r="B3330" s="5">
        <f>_xlfn.XLOOKUP(A3330,Banks!A:A,Banks!H:H,0,-1)</f>
        <v>3889.4921435713618</v>
      </c>
      <c r="C3330">
        <f>_xlfn.XLOOKUP(A3330,Energy!A:A,Energy!H:H,0,-1)</f>
        <v>11654.22265686639</v>
      </c>
      <c r="D3330">
        <f t="shared" si="204"/>
        <v>15543.714800437752</v>
      </c>
      <c r="E3330">
        <f>_xlfn.XLOOKUP(A3330,Banks!A:A,Banks!I:I,0)</f>
        <v>43890.965804563522</v>
      </c>
      <c r="F3330">
        <f>_xlfn.XLOOKUP(A3330,Energy!A:A,Energy!I:I,0)</f>
        <v>0</v>
      </c>
      <c r="G3330">
        <f t="shared" si="205"/>
        <v>43890.965804563522</v>
      </c>
      <c r="H3330">
        <f t="shared" si="206"/>
        <v>28347.25100412577</v>
      </c>
      <c r="I3330" t="b">
        <f t="shared" si="207"/>
        <v>0</v>
      </c>
    </row>
    <row r="3331" spans="1:9">
      <c r="A3331" s="1">
        <v>46211.618055555547</v>
      </c>
      <c r="B3331" s="5">
        <f>_xlfn.XLOOKUP(A3331,Banks!A:A,Banks!H:H,0,-1)</f>
        <v>3616.638985439824</v>
      </c>
      <c r="C3331">
        <f>_xlfn.XLOOKUP(A3331,Energy!A:A,Energy!H:H,0,-1)</f>
        <v>11654.22265686639</v>
      </c>
      <c r="D3331">
        <f t="shared" ref="D3331:D3343" si="208">B3331+C3331</f>
        <v>15270.861642306214</v>
      </c>
      <c r="E3331">
        <f>_xlfn.XLOOKUP(A3331,Banks!A:A,Banks!I:I,0)</f>
        <v>43829.642978474003</v>
      </c>
      <c r="F3331">
        <f>_xlfn.XLOOKUP(A3331,Energy!A:A,Energy!I:I,0)</f>
        <v>0</v>
      </c>
      <c r="G3331">
        <f t="shared" ref="G3331:G3343" si="209">F3331+E3331</f>
        <v>43829.642978474003</v>
      </c>
      <c r="H3331">
        <f t="shared" ref="H3331:H3343" si="210">G3331-D3331</f>
        <v>28558.781336167791</v>
      </c>
      <c r="I3331" t="b">
        <f t="shared" ref="I3331:I3343" si="211">AND(E3331&gt;0,F3331&gt;0)</f>
        <v>0</v>
      </c>
    </row>
    <row r="3332" spans="1:9">
      <c r="A3332" s="1">
        <v>46211.618750000001</v>
      </c>
      <c r="B3332" s="5">
        <f>_xlfn.XLOOKUP(A3332,Banks!A:A,Banks!H:H,0,-1)</f>
        <v>3691.466200455744</v>
      </c>
      <c r="C3332">
        <f>_xlfn.XLOOKUP(A3332,Energy!A:A,Energy!H:H,0,-1)</f>
        <v>11654.22265686639</v>
      </c>
      <c r="D3332">
        <f t="shared" si="208"/>
        <v>15345.688857322133</v>
      </c>
      <c r="E3332">
        <f>_xlfn.XLOOKUP(A3332,Banks!A:A,Banks!I:I,0)</f>
        <v>43837.856227013981</v>
      </c>
      <c r="F3332">
        <f>_xlfn.XLOOKUP(A3332,Energy!A:A,Energy!I:I,0)</f>
        <v>0</v>
      </c>
      <c r="G3332">
        <f t="shared" si="209"/>
        <v>43837.856227013981</v>
      </c>
      <c r="H3332">
        <f t="shared" si="210"/>
        <v>28492.167369691848</v>
      </c>
      <c r="I3332" t="b">
        <f t="shared" si="211"/>
        <v>0</v>
      </c>
    </row>
    <row r="3333" spans="1:9">
      <c r="A3333" s="1">
        <v>46211.619444444441</v>
      </c>
      <c r="B3333" s="5">
        <f>_xlfn.XLOOKUP(A3333,Banks!A:A,Banks!H:H,0,-1)</f>
        <v>3644.3948048047951</v>
      </c>
      <c r="C3333">
        <f>_xlfn.XLOOKUP(A3333,Energy!A:A,Energy!H:H,0,-1)</f>
        <v>11654.22265686639</v>
      </c>
      <c r="D3333">
        <f t="shared" si="208"/>
        <v>15298.617461671185</v>
      </c>
      <c r="E3333">
        <f>_xlfn.XLOOKUP(A3333,Banks!A:A,Banks!I:I,0)</f>
        <v>43831.818045115389</v>
      </c>
      <c r="F3333">
        <f>_xlfn.XLOOKUP(A3333,Energy!A:A,Energy!I:I,0)</f>
        <v>0</v>
      </c>
      <c r="G3333">
        <f t="shared" si="209"/>
        <v>43831.818045115389</v>
      </c>
      <c r="H3333">
        <f t="shared" si="210"/>
        <v>28533.200583444202</v>
      </c>
      <c r="I3333" t="b">
        <f t="shared" si="211"/>
        <v>0</v>
      </c>
    </row>
    <row r="3334" spans="1:9">
      <c r="A3334" s="1">
        <v>46211.620138888888</v>
      </c>
      <c r="B3334" s="5">
        <f>_xlfn.XLOOKUP(A3334,Banks!A:A,Banks!H:H,0,-1)</f>
        <v>3798.9194150925591</v>
      </c>
      <c r="C3334">
        <f>_xlfn.XLOOKUP(A3334,Energy!A:A,Energy!H:H,0,-1)</f>
        <v>11654.22265686639</v>
      </c>
      <c r="D3334">
        <f t="shared" si="208"/>
        <v>15453.14207195895</v>
      </c>
      <c r="E3334">
        <f>_xlfn.XLOOKUP(A3334,Banks!A:A,Banks!I:I,0)</f>
        <v>43862.722967172936</v>
      </c>
      <c r="F3334">
        <f>_xlfn.XLOOKUP(A3334,Energy!A:A,Energy!I:I,0)</f>
        <v>0</v>
      </c>
      <c r="G3334">
        <f t="shared" si="209"/>
        <v>43862.722967172936</v>
      </c>
      <c r="H3334">
        <f t="shared" si="210"/>
        <v>28409.580895213985</v>
      </c>
      <c r="I3334" t="b">
        <f t="shared" si="211"/>
        <v>0</v>
      </c>
    </row>
    <row r="3335" spans="1:9">
      <c r="A3335" s="1">
        <v>46211.620833333327</v>
      </c>
      <c r="B3335" s="5">
        <f>_xlfn.XLOOKUP(A3335,Banks!A:A,Banks!H:H,0,-1)</f>
        <v>3531.019009585852</v>
      </c>
      <c r="C3335">
        <f>_xlfn.XLOOKUP(A3335,Energy!A:A,Energy!H:H,0,-1)</f>
        <v>11654.22265686639</v>
      </c>
      <c r="D3335">
        <f t="shared" si="208"/>
        <v>15185.241666452242</v>
      </c>
      <c r="E3335">
        <f>_xlfn.XLOOKUP(A3335,Banks!A:A,Banks!I:I,0)</f>
        <v>43842.90385838761</v>
      </c>
      <c r="F3335">
        <f>_xlfn.XLOOKUP(A3335,Energy!A:A,Energy!I:I,0)</f>
        <v>0</v>
      </c>
      <c r="G3335">
        <f t="shared" si="209"/>
        <v>43842.90385838761</v>
      </c>
      <c r="H3335">
        <f t="shared" si="210"/>
        <v>28657.662191935367</v>
      </c>
      <c r="I3335" t="b">
        <f t="shared" si="211"/>
        <v>0</v>
      </c>
    </row>
    <row r="3336" spans="1:9">
      <c r="A3336" s="1">
        <v>46211.621527777781</v>
      </c>
      <c r="B3336" s="5">
        <f>_xlfn.XLOOKUP(A3336,Banks!A:A,Banks!H:H,0,-1)</f>
        <v>3606.8986249279651</v>
      </c>
      <c r="C3336">
        <f>_xlfn.XLOOKUP(A3336,Energy!A:A,Energy!H:H,0,-1)</f>
        <v>11654.22265686639</v>
      </c>
      <c r="D3336">
        <f t="shared" si="208"/>
        <v>15261.121281794356</v>
      </c>
      <c r="E3336">
        <f>_xlfn.XLOOKUP(A3336,Banks!A:A,Banks!I:I,0)</f>
        <v>43800.686128518828</v>
      </c>
      <c r="F3336">
        <f>_xlfn.XLOOKUP(A3336,Energy!A:A,Energy!I:I,0)</f>
        <v>0</v>
      </c>
      <c r="G3336">
        <f t="shared" si="209"/>
        <v>43800.686128518828</v>
      </c>
      <c r="H3336">
        <f t="shared" si="210"/>
        <v>28539.564846724472</v>
      </c>
      <c r="I3336" t="b">
        <f t="shared" si="211"/>
        <v>0</v>
      </c>
    </row>
    <row r="3337" spans="1:9">
      <c r="A3337" s="1">
        <v>46211.62222222222</v>
      </c>
      <c r="B3337" s="5">
        <f>_xlfn.XLOOKUP(A3337,Banks!A:A,Banks!H:H,0,-1)</f>
        <v>3693.9012905836998</v>
      </c>
      <c r="C3337">
        <f>_xlfn.XLOOKUP(A3337,Energy!A:A,Energy!H:H,0,-1)</f>
        <v>11654.22265686639</v>
      </c>
      <c r="D3337">
        <f t="shared" si="208"/>
        <v>15348.123947450091</v>
      </c>
      <c r="E3337">
        <f>_xlfn.XLOOKUP(A3337,Banks!A:A,Banks!I:I,0)</f>
        <v>43845.095439502773</v>
      </c>
      <c r="F3337">
        <f>_xlfn.XLOOKUP(A3337,Energy!A:A,Energy!I:I,0)</f>
        <v>0</v>
      </c>
      <c r="G3337">
        <f t="shared" si="209"/>
        <v>43845.095439502773</v>
      </c>
      <c r="H3337">
        <f t="shared" si="210"/>
        <v>28496.971492052682</v>
      </c>
      <c r="I3337" t="b">
        <f t="shared" si="211"/>
        <v>0</v>
      </c>
    </row>
    <row r="3338" spans="1:9">
      <c r="A3338" s="1">
        <v>46211.622916666667</v>
      </c>
      <c r="B3338" s="5">
        <f>_xlfn.XLOOKUP(A3338,Banks!A:A,Banks!H:H,0,-1)</f>
        <v>3673.4507416026449</v>
      </c>
      <c r="C3338">
        <f>_xlfn.XLOOKUP(A3338,Energy!A:A,Energy!H:H,0,-1)</f>
        <v>11654.22265686639</v>
      </c>
      <c r="D3338">
        <f t="shared" si="208"/>
        <v>15327.673398469035</v>
      </c>
      <c r="E3338">
        <f>_xlfn.XLOOKUP(A3338,Banks!A:A,Banks!I:I,0)</f>
        <v>43864.638010327762</v>
      </c>
      <c r="F3338">
        <f>_xlfn.XLOOKUP(A3338,Energy!A:A,Energy!I:I,0)</f>
        <v>0</v>
      </c>
      <c r="G3338">
        <f t="shared" si="209"/>
        <v>43864.638010327762</v>
      </c>
      <c r="H3338">
        <f t="shared" si="210"/>
        <v>28536.964611858726</v>
      </c>
      <c r="I3338" t="b">
        <f t="shared" si="211"/>
        <v>0</v>
      </c>
    </row>
    <row r="3339" spans="1:9">
      <c r="A3339" s="1">
        <v>46211.623611111107</v>
      </c>
      <c r="B3339" s="5">
        <f>_xlfn.XLOOKUP(A3339,Banks!A:A,Banks!H:H,0,-1)</f>
        <v>3748.2779566185532</v>
      </c>
      <c r="C3339">
        <f>_xlfn.XLOOKUP(A3339,Energy!A:A,Energy!H:H,0,-1)</f>
        <v>11654.22265686639</v>
      </c>
      <c r="D3339">
        <f t="shared" si="208"/>
        <v>15402.500613484943</v>
      </c>
      <c r="E3339">
        <f>_xlfn.XLOOKUP(A3339,Banks!A:A,Banks!I:I,0)</f>
        <v>43872.851258867748</v>
      </c>
      <c r="F3339">
        <f>_xlfn.XLOOKUP(A3339,Energy!A:A,Energy!I:I,0)</f>
        <v>0</v>
      </c>
      <c r="G3339">
        <f t="shared" si="209"/>
        <v>43872.851258867748</v>
      </c>
      <c r="H3339">
        <f t="shared" si="210"/>
        <v>28470.350645382805</v>
      </c>
      <c r="I3339" t="b">
        <f t="shared" si="211"/>
        <v>0</v>
      </c>
    </row>
    <row r="3340" spans="1:9">
      <c r="A3340" s="1">
        <v>46211.624305555553</v>
      </c>
      <c r="B3340" s="5">
        <f>_xlfn.XLOOKUP(A3340,Banks!A:A,Banks!H:H,0,-1)</f>
        <v>3745.8428664905719</v>
      </c>
      <c r="C3340">
        <f>_xlfn.XLOOKUP(A3340,Energy!A:A,Energy!H:H,0,-1)</f>
        <v>11654.22265686639</v>
      </c>
      <c r="D3340">
        <f t="shared" si="208"/>
        <v>15400.065523356961</v>
      </c>
      <c r="E3340">
        <f>_xlfn.XLOOKUP(A3340,Banks!A:A,Banks!I:I,0)</f>
        <v>43865.612046378963</v>
      </c>
      <c r="F3340">
        <f>_xlfn.XLOOKUP(A3340,Energy!A:A,Energy!I:I,0)</f>
        <v>0</v>
      </c>
      <c r="G3340">
        <f t="shared" si="209"/>
        <v>43865.612046378963</v>
      </c>
      <c r="H3340">
        <f t="shared" si="210"/>
        <v>28465.546523022</v>
      </c>
      <c r="I3340" t="b">
        <f t="shared" si="211"/>
        <v>0</v>
      </c>
    </row>
    <row r="3341" spans="1:9">
      <c r="A3341" s="1">
        <v>46211.625</v>
      </c>
      <c r="B3341" s="5">
        <f>_xlfn.XLOOKUP(A3341,Banks!A:A,Banks!H:H,0,-1)</f>
        <v>3786.9091091904838</v>
      </c>
      <c r="C3341">
        <f>_xlfn.XLOOKUP(A3341,Energy!A:A,Energy!H:H,0,-1)</f>
        <v>11654.22265686639</v>
      </c>
      <c r="D3341">
        <f t="shared" si="208"/>
        <v>15441.131766056875</v>
      </c>
      <c r="E3341">
        <f>_xlfn.XLOOKUP(A3341,Banks!A:A,Banks!I:I,0)</f>
        <v>43880.577489382144</v>
      </c>
      <c r="F3341">
        <f>_xlfn.XLOOKUP(A3341,Energy!A:A,Energy!I:I,0)</f>
        <v>0</v>
      </c>
      <c r="G3341">
        <f t="shared" si="209"/>
        <v>43880.577489382144</v>
      </c>
      <c r="H3341">
        <f t="shared" si="210"/>
        <v>28439.445723325269</v>
      </c>
      <c r="I3341" t="b">
        <f t="shared" si="211"/>
        <v>0</v>
      </c>
    </row>
    <row r="3342" spans="1:9">
      <c r="A3342" s="1">
        <v>46211.625694444447</v>
      </c>
      <c r="B3342" s="5">
        <f>_xlfn.XLOOKUP(A3342,Banks!A:A,Banks!H:H,0,-1)</f>
        <v>3794.8807771962802</v>
      </c>
      <c r="C3342">
        <f>_xlfn.XLOOKUP(A3342,Energy!A:A,Energy!H:H,0,-1)</f>
        <v>11654.22265686639</v>
      </c>
      <c r="D3342" s="8">
        <f t="shared" si="208"/>
        <v>15449.10343406267</v>
      </c>
      <c r="E3342">
        <f>_xlfn.XLOOKUP(A3342,Banks!A:A,Banks!I:I,0)</f>
        <v>0</v>
      </c>
      <c r="F3342">
        <f>_xlfn.XLOOKUP(A3342,Energy!A:A,Energy!I:I,0)</f>
        <v>0</v>
      </c>
      <c r="G3342">
        <f t="shared" si="209"/>
        <v>0</v>
      </c>
      <c r="H3342">
        <f t="shared" si="210"/>
        <v>-15449.10343406267</v>
      </c>
      <c r="I3342" t="b">
        <f t="shared" si="211"/>
        <v>0</v>
      </c>
    </row>
    <row r="3343" spans="1:9">
      <c r="A3343" s="1">
        <v>0</v>
      </c>
      <c r="B3343" s="5">
        <f>_xlfn.XLOOKUP(A3343,Banks!A:A,Banks!H:H,0,-1)</f>
        <v>0</v>
      </c>
      <c r="C3343">
        <f>_xlfn.XLOOKUP(A3343,Energy!A:A,Energy!H:H,0,-1)</f>
        <v>0</v>
      </c>
      <c r="D3343">
        <f t="shared" si="208"/>
        <v>0</v>
      </c>
      <c r="E3343">
        <f>_xlfn.XLOOKUP(A3343,Banks!A:A,Banks!I:I,0)</f>
        <v>0</v>
      </c>
      <c r="F3343">
        <f>_xlfn.XLOOKUP(A3343,Energy!A:A,Energy!I:I,0)</f>
        <v>0</v>
      </c>
      <c r="G3343">
        <f t="shared" si="209"/>
        <v>0</v>
      </c>
      <c r="H3343">
        <f t="shared" si="210"/>
        <v>0</v>
      </c>
      <c r="I3343" t="b">
        <f t="shared" si="21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088A-A9E5-4C07-9FF1-A217876669C9}">
  <dimension ref="A1:A3343"/>
  <sheetViews>
    <sheetView workbookViewId="0">
      <selection activeCell="A2" sqref="A2"/>
    </sheetView>
  </sheetViews>
  <sheetFormatPr defaultRowHeight="14.4"/>
  <cols>
    <col min="1" max="1" width="16.6640625" customWidth="1"/>
  </cols>
  <sheetData>
    <row r="1" spans="1:1">
      <c r="A1" t="s">
        <v>17</v>
      </c>
    </row>
    <row r="2" spans="1:1">
      <c r="A2">
        <v>80993.120103940339</v>
      </c>
    </row>
    <row r="3" spans="1:1">
      <c r="A3">
        <v>80441.113798485268</v>
      </c>
    </row>
    <row r="4" spans="1:1">
      <c r="A4">
        <v>79724.372252836751</v>
      </c>
    </row>
    <row r="5" spans="1:1">
      <c r="A5">
        <v>79666.075635465008</v>
      </c>
    </row>
    <row r="6" spans="1:1">
      <c r="A6">
        <v>79546.522837063472</v>
      </c>
    </row>
    <row r="7" spans="1:1">
      <c r="A7">
        <v>79435.307240667913</v>
      </c>
    </row>
    <row r="8" spans="1:1">
      <c r="A8">
        <v>79429.241867443096</v>
      </c>
    </row>
    <row r="9" spans="1:1">
      <c r="A9">
        <v>79348.602043093924</v>
      </c>
    </row>
    <row r="10" spans="1:1">
      <c r="A10">
        <v>79335.909229654222</v>
      </c>
    </row>
    <row r="11" spans="1:1">
      <c r="A11">
        <v>79123.748786782715</v>
      </c>
    </row>
    <row r="12" spans="1:1">
      <c r="A12">
        <v>79093.865927199397</v>
      </c>
    </row>
    <row r="13" spans="1:1">
      <c r="A13">
        <v>79028.836074038991</v>
      </c>
    </row>
    <row r="14" spans="1:1">
      <c r="A14">
        <v>78680.425689230353</v>
      </c>
    </row>
    <row r="15" spans="1:1">
      <c r="A15">
        <v>78621.209667175601</v>
      </c>
    </row>
    <row r="16" spans="1:1">
      <c r="A16">
        <v>78402.310914612492</v>
      </c>
    </row>
    <row r="17" spans="1:1">
      <c r="A17">
        <v>78154.622535816074</v>
      </c>
    </row>
    <row r="18" spans="1:1">
      <c r="A18">
        <v>78085.483190429717</v>
      </c>
    </row>
    <row r="19" spans="1:1">
      <c r="A19">
        <v>78075.949066456757</v>
      </c>
    </row>
    <row r="20" spans="1:1">
      <c r="A20">
        <v>78015.283889503509</v>
      </c>
    </row>
    <row r="21" spans="1:1">
      <c r="A21">
        <v>77945.512892690313</v>
      </c>
    </row>
    <row r="22" spans="1:1">
      <c r="A22">
        <v>77834.648492856591</v>
      </c>
    </row>
    <row r="23" spans="1:1">
      <c r="A23">
        <v>77692.402162375569</v>
      </c>
    </row>
    <row r="24" spans="1:1">
      <c r="A24">
        <v>77566.484503758998</v>
      </c>
    </row>
    <row r="25" spans="1:1">
      <c r="A25">
        <v>77542.887792087407</v>
      </c>
    </row>
    <row r="26" spans="1:1">
      <c r="A26">
        <v>77382.632126740587</v>
      </c>
    </row>
    <row r="27" spans="1:1">
      <c r="A27">
        <v>77368.652127015885</v>
      </c>
    </row>
    <row r="28" spans="1:1">
      <c r="A28">
        <v>77355.531433355514</v>
      </c>
    </row>
    <row r="29" spans="1:1">
      <c r="A29">
        <v>77342.450329684842</v>
      </c>
    </row>
    <row r="30" spans="1:1">
      <c r="A30">
        <v>77293.966102578168</v>
      </c>
    </row>
    <row r="31" spans="1:1">
      <c r="A31">
        <v>77233.011267410839</v>
      </c>
    </row>
    <row r="32" spans="1:1">
      <c r="A32">
        <v>77169.658385744202</v>
      </c>
    </row>
    <row r="33" spans="1:1">
      <c r="A33">
        <v>77122.990259239188</v>
      </c>
    </row>
    <row r="34" spans="1:1">
      <c r="A34">
        <v>77028.523957892437</v>
      </c>
    </row>
    <row r="35" spans="1:1">
      <c r="A35">
        <v>76937.406895710359</v>
      </c>
    </row>
    <row r="36" spans="1:1">
      <c r="A36">
        <v>76913.148572535894</v>
      </c>
    </row>
    <row r="37" spans="1:1">
      <c r="A37">
        <v>74424.693705104</v>
      </c>
    </row>
    <row r="38" spans="1:1">
      <c r="A38">
        <v>73584.769254788305</v>
      </c>
    </row>
    <row r="39" spans="1:1">
      <c r="A39">
        <v>73505.57929662471</v>
      </c>
    </row>
    <row r="40" spans="1:1">
      <c r="A40">
        <v>73226.47777960122</v>
      </c>
    </row>
    <row r="41" spans="1:1">
      <c r="A41">
        <v>72730.107258416261</v>
      </c>
    </row>
    <row r="42" spans="1:1">
      <c r="A42">
        <v>72330.344384407552</v>
      </c>
    </row>
    <row r="43" spans="1:1">
      <c r="A43">
        <v>72197.728348520584</v>
      </c>
    </row>
    <row r="44" spans="1:1">
      <c r="A44">
        <v>71983.634981161435</v>
      </c>
    </row>
    <row r="45" spans="1:1">
      <c r="A45">
        <v>71913.603881633171</v>
      </c>
    </row>
    <row r="46" spans="1:1">
      <c r="A46">
        <v>71860.029328673176</v>
      </c>
    </row>
    <row r="47" spans="1:1">
      <c r="A47">
        <v>71642.471935700771</v>
      </c>
    </row>
    <row r="48" spans="1:1">
      <c r="A48">
        <v>67497.686965302288</v>
      </c>
    </row>
    <row r="49" spans="1:1">
      <c r="A49">
        <v>67409.20813728722</v>
      </c>
    </row>
    <row r="50" spans="1:1">
      <c r="A50">
        <v>67391.352710927007</v>
      </c>
    </row>
    <row r="51" spans="1:1">
      <c r="A51">
        <v>67155.167689968439</v>
      </c>
    </row>
    <row r="52" spans="1:1">
      <c r="A52">
        <v>64528.297736535249</v>
      </c>
    </row>
    <row r="53" spans="1:1">
      <c r="A53">
        <v>64459.20441321571</v>
      </c>
    </row>
    <row r="54" spans="1:1">
      <c r="A54">
        <v>64245.277930173746</v>
      </c>
    </row>
    <row r="55" spans="1:1">
      <c r="A55">
        <v>64051.980854181274</v>
      </c>
    </row>
    <row r="56" spans="1:1">
      <c r="A56">
        <v>63873.226983868277</v>
      </c>
    </row>
    <row r="57" spans="1:1">
      <c r="A57">
        <v>63804.751585557446</v>
      </c>
    </row>
    <row r="58" spans="1:1">
      <c r="A58">
        <v>63795.862606865601</v>
      </c>
    </row>
    <row r="59" spans="1:1">
      <c r="A59">
        <v>63787.678739354793</v>
      </c>
    </row>
    <row r="60" spans="1:1">
      <c r="A60">
        <v>63749.609337809394</v>
      </c>
    </row>
    <row r="61" spans="1:1">
      <c r="A61">
        <v>63744.739216040427</v>
      </c>
    </row>
    <row r="62" spans="1:1">
      <c r="A62">
        <v>63719.278436744833</v>
      </c>
    </row>
    <row r="63" spans="1:1">
      <c r="A63">
        <v>63687.956763676899</v>
      </c>
    </row>
    <row r="64" spans="1:1">
      <c r="A64">
        <v>63686.530556420301</v>
      </c>
    </row>
    <row r="65" spans="1:1">
      <c r="A65">
        <v>63641.586825322171</v>
      </c>
    </row>
    <row r="66" spans="1:1">
      <c r="A66">
        <v>63637.081686585116</v>
      </c>
    </row>
    <row r="67" spans="1:1">
      <c r="A67">
        <v>63624.818524787763</v>
      </c>
    </row>
    <row r="68" spans="1:1">
      <c r="A68">
        <v>63621.692868126309</v>
      </c>
    </row>
    <row r="69" spans="1:1">
      <c r="A69">
        <v>63559.065973290082</v>
      </c>
    </row>
    <row r="70" spans="1:1">
      <c r="A70">
        <v>63542.486622236742</v>
      </c>
    </row>
    <row r="71" spans="1:1">
      <c r="A71">
        <v>63540.002730688313</v>
      </c>
    </row>
    <row r="72" spans="1:1">
      <c r="A72">
        <v>63520.561546625097</v>
      </c>
    </row>
    <row r="73" spans="1:1">
      <c r="A73">
        <v>63494.142367189546</v>
      </c>
    </row>
    <row r="74" spans="1:1">
      <c r="A74">
        <v>63466.738508938026</v>
      </c>
    </row>
    <row r="75" spans="1:1">
      <c r="A75">
        <v>63410.262306368022</v>
      </c>
    </row>
    <row r="76" spans="1:1">
      <c r="A76">
        <v>63401.979745560129</v>
      </c>
    </row>
    <row r="77" spans="1:1">
      <c r="A77">
        <v>63313.621910956324</v>
      </c>
    </row>
    <row r="78" spans="1:1">
      <c r="A78">
        <v>63304.588294736277</v>
      </c>
    </row>
    <row r="79" spans="1:1">
      <c r="A79">
        <v>63273.707454392788</v>
      </c>
    </row>
    <row r="80" spans="1:1">
      <c r="A80">
        <v>63185.638068846696</v>
      </c>
    </row>
    <row r="81" spans="1:1">
      <c r="A81">
        <v>63140.764467753965</v>
      </c>
    </row>
    <row r="82" spans="1:1">
      <c r="A82">
        <v>63120.360118803757</v>
      </c>
    </row>
    <row r="83" spans="1:1">
      <c r="A83">
        <v>63047.833039902856</v>
      </c>
    </row>
    <row r="84" spans="1:1">
      <c r="A84">
        <v>63027.523770050677</v>
      </c>
    </row>
    <row r="85" spans="1:1">
      <c r="A85">
        <v>63014.806057534232</v>
      </c>
    </row>
    <row r="86" spans="1:1">
      <c r="A86">
        <v>62918.935553162271</v>
      </c>
    </row>
    <row r="87" spans="1:1">
      <c r="A87">
        <v>62902.447443027588</v>
      </c>
    </row>
    <row r="88" spans="1:1">
      <c r="A88">
        <v>62804.452506916365</v>
      </c>
    </row>
    <row r="89" spans="1:1">
      <c r="A89">
        <v>62750.563436798024</v>
      </c>
    </row>
    <row r="90" spans="1:1">
      <c r="A90">
        <v>62684.619265369729</v>
      </c>
    </row>
    <row r="91" spans="1:1">
      <c r="A91">
        <v>62676.089345189896</v>
      </c>
    </row>
    <row r="92" spans="1:1">
      <c r="A92">
        <v>62654.651943819481</v>
      </c>
    </row>
    <row r="93" spans="1:1">
      <c r="A93">
        <v>62649.916072646025</v>
      </c>
    </row>
    <row r="94" spans="1:1">
      <c r="A94">
        <v>62616.479662977683</v>
      </c>
    </row>
    <row r="95" spans="1:1">
      <c r="A95">
        <v>62614.235385848231</v>
      </c>
    </row>
    <row r="96" spans="1:1">
      <c r="A96">
        <v>62595.821589171675</v>
      </c>
    </row>
    <row r="97" spans="1:1">
      <c r="A97">
        <v>62592.77190284837</v>
      </c>
    </row>
    <row r="98" spans="1:1">
      <c r="A98">
        <v>62591.037752070566</v>
      </c>
    </row>
    <row r="99" spans="1:1">
      <c r="A99">
        <v>62543.722300809175</v>
      </c>
    </row>
    <row r="100" spans="1:1">
      <c r="A100">
        <v>62504.754108128371</v>
      </c>
    </row>
    <row r="101" spans="1:1">
      <c r="A101">
        <v>62490.796601316411</v>
      </c>
    </row>
    <row r="102" spans="1:1">
      <c r="A102">
        <v>62471.075379816495</v>
      </c>
    </row>
    <row r="103" spans="1:1">
      <c r="A103">
        <v>62468.261573239935</v>
      </c>
    </row>
    <row r="104" spans="1:1">
      <c r="A104">
        <v>62462.7617209686</v>
      </c>
    </row>
    <row r="105" spans="1:1">
      <c r="A105">
        <v>62420.505755234444</v>
      </c>
    </row>
    <row r="106" spans="1:1">
      <c r="A106">
        <v>62416.48898478211</v>
      </c>
    </row>
    <row r="107" spans="1:1">
      <c r="A107">
        <v>62347.400821246185</v>
      </c>
    </row>
    <row r="108" spans="1:1">
      <c r="A108">
        <v>62340.461263361969</v>
      </c>
    </row>
    <row r="109" spans="1:1">
      <c r="A109">
        <v>62322.483460019866</v>
      </c>
    </row>
    <row r="110" spans="1:1">
      <c r="A110">
        <v>62181.953419925165</v>
      </c>
    </row>
    <row r="111" spans="1:1">
      <c r="A111">
        <v>62159.369821323235</v>
      </c>
    </row>
    <row r="112" spans="1:1">
      <c r="A112">
        <v>62134.478979600695</v>
      </c>
    </row>
    <row r="113" spans="1:1">
      <c r="A113">
        <v>59722.718943063941</v>
      </c>
    </row>
    <row r="114" spans="1:1">
      <c r="A114">
        <v>59538.407923400424</v>
      </c>
    </row>
    <row r="115" spans="1:1">
      <c r="A115">
        <v>59403.037801313287</v>
      </c>
    </row>
    <row r="116" spans="1:1">
      <c r="A116">
        <v>59337.858281813649</v>
      </c>
    </row>
    <row r="117" spans="1:1">
      <c r="A117">
        <v>59277.924172390543</v>
      </c>
    </row>
    <row r="118" spans="1:1">
      <c r="A118">
        <v>58171.463344669224</v>
      </c>
    </row>
    <row r="119" spans="1:1">
      <c r="A119">
        <v>57902.762668577387</v>
      </c>
    </row>
    <row r="120" spans="1:1">
      <c r="A120">
        <v>57496.425590482337</v>
      </c>
    </row>
    <row r="121" spans="1:1">
      <c r="A121">
        <v>57391.70119605161</v>
      </c>
    </row>
    <row r="122" spans="1:1">
      <c r="A122">
        <v>57292.560560178317</v>
      </c>
    </row>
    <row r="123" spans="1:1">
      <c r="A123">
        <v>42181.279725664164</v>
      </c>
    </row>
    <row r="124" spans="1:1">
      <c r="A124">
        <v>41970.258448750625</v>
      </c>
    </row>
    <row r="125" spans="1:1">
      <c r="A125">
        <v>41921.962121064404</v>
      </c>
    </row>
    <row r="126" spans="1:1">
      <c r="A126">
        <v>41867.854629116438</v>
      </c>
    </row>
    <row r="127" spans="1:1">
      <c r="A127">
        <v>41748.017316697085</v>
      </c>
    </row>
    <row r="128" spans="1:1">
      <c r="A128">
        <v>41736.125004104106</v>
      </c>
    </row>
    <row r="129" spans="1:1">
      <c r="A129">
        <v>41706.33710003944</v>
      </c>
    </row>
    <row r="130" spans="1:1">
      <c r="A130">
        <v>41539.235500170747</v>
      </c>
    </row>
    <row r="131" spans="1:1">
      <c r="A131">
        <v>41533.498444250581</v>
      </c>
    </row>
    <row r="132" spans="1:1">
      <c r="A132">
        <v>41507.019158480871</v>
      </c>
    </row>
    <row r="133" spans="1:1">
      <c r="A133">
        <v>41501.57615329601</v>
      </c>
    </row>
    <row r="134" spans="1:1">
      <c r="A134">
        <v>41483.67225555404</v>
      </c>
    </row>
    <row r="135" spans="1:1">
      <c r="A135">
        <v>41460.685501710068</v>
      </c>
    </row>
    <row r="136" spans="1:1">
      <c r="A136">
        <v>41447.158915767977</v>
      </c>
    </row>
    <row r="137" spans="1:1">
      <c r="A137">
        <v>41414.64852334281</v>
      </c>
    </row>
    <row r="138" spans="1:1">
      <c r="A138">
        <v>41411.255153783146</v>
      </c>
    </row>
    <row r="139" spans="1:1">
      <c r="A139">
        <v>41329.510826442689</v>
      </c>
    </row>
    <row r="140" spans="1:1">
      <c r="A140">
        <v>41311.343073817909</v>
      </c>
    </row>
    <row r="141" spans="1:1">
      <c r="A141">
        <v>41306.194119368345</v>
      </c>
    </row>
    <row r="142" spans="1:1">
      <c r="A142">
        <v>41259.451509497601</v>
      </c>
    </row>
    <row r="143" spans="1:1">
      <c r="A143">
        <v>41231.268311021071</v>
      </c>
    </row>
    <row r="144" spans="1:1">
      <c r="A144">
        <v>41175.888694784815</v>
      </c>
    </row>
    <row r="145" spans="1:1">
      <c r="A145">
        <v>41166.259113858614</v>
      </c>
    </row>
    <row r="146" spans="1:1">
      <c r="A146">
        <v>41156.863191962708</v>
      </c>
    </row>
    <row r="147" spans="1:1">
      <c r="A147">
        <v>41148.306412099555</v>
      </c>
    </row>
    <row r="148" spans="1:1">
      <c r="A148">
        <v>41140.307537854489</v>
      </c>
    </row>
    <row r="149" spans="1:1">
      <c r="A149">
        <v>41133.393052360399</v>
      </c>
    </row>
    <row r="150" spans="1:1">
      <c r="A150">
        <v>41116.167034548664</v>
      </c>
    </row>
    <row r="151" spans="1:1">
      <c r="A151">
        <v>41108.421490705186</v>
      </c>
    </row>
    <row r="152" spans="1:1">
      <c r="A152">
        <v>41057.476589059333</v>
      </c>
    </row>
    <row r="153" spans="1:1">
      <c r="A153">
        <v>41018.478666631818</v>
      </c>
    </row>
    <row r="154" spans="1:1">
      <c r="A154">
        <v>41009.066152431551</v>
      </c>
    </row>
    <row r="155" spans="1:1">
      <c r="A155">
        <v>41001.226354815131</v>
      </c>
    </row>
    <row r="156" spans="1:1">
      <c r="A156">
        <v>40970.511022178311</v>
      </c>
    </row>
    <row r="157" spans="1:1">
      <c r="A157">
        <v>40958.523700443031</v>
      </c>
    </row>
    <row r="158" spans="1:1">
      <c r="A158">
        <v>40901.6151214782</v>
      </c>
    </row>
    <row r="159" spans="1:1">
      <c r="A159">
        <v>40880.742553660224</v>
      </c>
    </row>
    <row r="160" spans="1:1">
      <c r="A160">
        <v>40841.027837027788</v>
      </c>
    </row>
    <row r="161" spans="1:1">
      <c r="A161">
        <v>40827.289002289428</v>
      </c>
    </row>
    <row r="162" spans="1:1">
      <c r="A162">
        <v>40825.965160664222</v>
      </c>
    </row>
    <row r="163" spans="1:1">
      <c r="A163">
        <v>40797.831620777994</v>
      </c>
    </row>
    <row r="164" spans="1:1">
      <c r="A164">
        <v>40797.305215428823</v>
      </c>
    </row>
    <row r="165" spans="1:1">
      <c r="A165">
        <v>40691.33526661482</v>
      </c>
    </row>
    <row r="166" spans="1:1">
      <c r="A166">
        <v>40671.098507894094</v>
      </c>
    </row>
    <row r="167" spans="1:1">
      <c r="A167">
        <v>40621.963767332934</v>
      </c>
    </row>
    <row r="168" spans="1:1">
      <c r="A168">
        <v>40575.052006738253</v>
      </c>
    </row>
    <row r="169" spans="1:1">
      <c r="A169">
        <v>40570.561687860754</v>
      </c>
    </row>
    <row r="170" spans="1:1">
      <c r="A170">
        <v>40567.48531734624</v>
      </c>
    </row>
    <row r="171" spans="1:1">
      <c r="A171">
        <v>40565.287580654607</v>
      </c>
    </row>
    <row r="172" spans="1:1">
      <c r="A172">
        <v>40549.859660404974</v>
      </c>
    </row>
    <row r="173" spans="1:1">
      <c r="A173">
        <v>40536.598420096852</v>
      </c>
    </row>
    <row r="174" spans="1:1">
      <c r="A174">
        <v>40535.859340187453</v>
      </c>
    </row>
    <row r="175" spans="1:1">
      <c r="A175">
        <v>40535.013888716385</v>
      </c>
    </row>
    <row r="176" spans="1:1">
      <c r="A176">
        <v>40534.094618977302</v>
      </c>
    </row>
    <row r="177" spans="1:1">
      <c r="A177">
        <v>40499.479741458475</v>
      </c>
    </row>
    <row r="178" spans="1:1">
      <c r="A178">
        <v>40486.424232028381</v>
      </c>
    </row>
    <row r="179" spans="1:1">
      <c r="A179">
        <v>40486.424232028381</v>
      </c>
    </row>
    <row r="180" spans="1:1">
      <c r="A180">
        <v>40482.06408088094</v>
      </c>
    </row>
    <row r="181" spans="1:1">
      <c r="A181">
        <v>40478.186629789569</v>
      </c>
    </row>
    <row r="182" spans="1:1">
      <c r="A182">
        <v>40474.292495632042</v>
      </c>
    </row>
    <row r="183" spans="1:1">
      <c r="A183">
        <v>40469.370002678006</v>
      </c>
    </row>
    <row r="184" spans="1:1">
      <c r="A184">
        <v>40466.487409600544</v>
      </c>
    </row>
    <row r="185" spans="1:1">
      <c r="A185">
        <v>40440.411473107859</v>
      </c>
    </row>
    <row r="186" spans="1:1">
      <c r="A186">
        <v>40436.537748754738</v>
      </c>
    </row>
    <row r="187" spans="1:1">
      <c r="A187">
        <v>40433.572304922265</v>
      </c>
    </row>
    <row r="188" spans="1:1">
      <c r="A188">
        <v>40417.548849725303</v>
      </c>
    </row>
    <row r="189" spans="1:1">
      <c r="A189">
        <v>40395.734890464933</v>
      </c>
    </row>
    <row r="190" spans="1:1">
      <c r="A190">
        <v>40393.669283304203</v>
      </c>
    </row>
    <row r="191" spans="1:1">
      <c r="A191">
        <v>40384.217309335763</v>
      </c>
    </row>
    <row r="192" spans="1:1">
      <c r="A192">
        <v>40359.401968366517</v>
      </c>
    </row>
    <row r="193" spans="1:1">
      <c r="A193">
        <v>40356.415264205418</v>
      </c>
    </row>
    <row r="194" spans="1:1">
      <c r="A194">
        <v>40319.612654631834</v>
      </c>
    </row>
    <row r="195" spans="1:1">
      <c r="A195">
        <v>40316.604076466974</v>
      </c>
    </row>
    <row r="196" spans="1:1">
      <c r="A196">
        <v>40311.301052118462</v>
      </c>
    </row>
    <row r="197" spans="1:1">
      <c r="A197">
        <v>40307.147669315513</v>
      </c>
    </row>
    <row r="198" spans="1:1">
      <c r="A198">
        <v>40301.967963084709</v>
      </c>
    </row>
    <row r="199" spans="1:1">
      <c r="A199">
        <v>40296.452631887929</v>
      </c>
    </row>
    <row r="200" spans="1:1">
      <c r="A200">
        <v>40278.382541803796</v>
      </c>
    </row>
    <row r="201" spans="1:1">
      <c r="A201">
        <v>40277.136008114991</v>
      </c>
    </row>
    <row r="202" spans="1:1">
      <c r="A202">
        <v>40270.387578266607</v>
      </c>
    </row>
    <row r="203" spans="1:1">
      <c r="A203">
        <v>40263.132581083439</v>
      </c>
    </row>
    <row r="204" spans="1:1">
      <c r="A204">
        <v>40258.76533418597</v>
      </c>
    </row>
    <row r="205" spans="1:1">
      <c r="A205">
        <v>40256.399060123171</v>
      </c>
    </row>
    <row r="206" spans="1:1">
      <c r="A206">
        <v>40255.692919411827</v>
      </c>
    </row>
    <row r="207" spans="1:1">
      <c r="A207">
        <v>40224.026267454581</v>
      </c>
    </row>
    <row r="208" spans="1:1">
      <c r="A208">
        <v>40223.162795953707</v>
      </c>
    </row>
    <row r="209" spans="1:1">
      <c r="A209">
        <v>40202.387577192843</v>
      </c>
    </row>
    <row r="210" spans="1:1">
      <c r="A210">
        <v>40196.472686736161</v>
      </c>
    </row>
    <row r="211" spans="1:1">
      <c r="A211">
        <v>40195.442895846245</v>
      </c>
    </row>
    <row r="212" spans="1:1">
      <c r="A212">
        <v>40193.60415877607</v>
      </c>
    </row>
    <row r="213" spans="1:1">
      <c r="A213">
        <v>40186.604783586168</v>
      </c>
    </row>
    <row r="214" spans="1:1">
      <c r="A214">
        <v>40183.534114921466</v>
      </c>
    </row>
    <row r="215" spans="1:1">
      <c r="A215">
        <v>40182.151234163517</v>
      </c>
    </row>
    <row r="216" spans="1:1">
      <c r="A216">
        <v>40181.703322955676</v>
      </c>
    </row>
    <row r="217" spans="1:1">
      <c r="A217">
        <v>40172.037207036803</v>
      </c>
    </row>
    <row r="218" spans="1:1">
      <c r="A218">
        <v>40164.305149063373</v>
      </c>
    </row>
    <row r="219" spans="1:1">
      <c r="A219">
        <v>40161.667677526391</v>
      </c>
    </row>
    <row r="220" spans="1:1">
      <c r="A220">
        <v>40161.494525918482</v>
      </c>
    </row>
    <row r="221" spans="1:1">
      <c r="A221">
        <v>40160.075919468596</v>
      </c>
    </row>
    <row r="222" spans="1:1">
      <c r="A222">
        <v>40146.232139378524</v>
      </c>
    </row>
    <row r="223" spans="1:1">
      <c r="A223">
        <v>40145.374095171304</v>
      </c>
    </row>
    <row r="224" spans="1:1">
      <c r="A224">
        <v>40129.398666373745</v>
      </c>
    </row>
    <row r="225" spans="1:1">
      <c r="A225">
        <v>40128.794215038441</v>
      </c>
    </row>
    <row r="226" spans="1:1">
      <c r="A226">
        <v>40108.30189595397</v>
      </c>
    </row>
    <row r="227" spans="1:1">
      <c r="A227">
        <v>40107.215146824041</v>
      </c>
    </row>
    <row r="228" spans="1:1">
      <c r="A228">
        <v>40104.116627959011</v>
      </c>
    </row>
    <row r="229" spans="1:1">
      <c r="A229">
        <v>40077.059066366332</v>
      </c>
    </row>
    <row r="230" spans="1:1">
      <c r="A230">
        <v>40070.411219912654</v>
      </c>
    </row>
    <row r="231" spans="1:1">
      <c r="A231">
        <v>40063.218507690231</v>
      </c>
    </row>
    <row r="232" spans="1:1">
      <c r="A232">
        <v>40058.267408177177</v>
      </c>
    </row>
    <row r="233" spans="1:1">
      <c r="A233">
        <v>40049.30474298849</v>
      </c>
    </row>
    <row r="234" spans="1:1">
      <c r="A234">
        <v>40046.886164232354</v>
      </c>
    </row>
    <row r="235" spans="1:1">
      <c r="A235">
        <v>40039.039308051302</v>
      </c>
    </row>
    <row r="236" spans="1:1">
      <c r="A236">
        <v>40038.872395286831</v>
      </c>
    </row>
    <row r="237" spans="1:1">
      <c r="A237">
        <v>40027.440780397395</v>
      </c>
    </row>
    <row r="238" spans="1:1">
      <c r="A238">
        <v>39990.024240306673</v>
      </c>
    </row>
    <row r="239" spans="1:1">
      <c r="A239">
        <v>39989.165095931749</v>
      </c>
    </row>
    <row r="240" spans="1:1">
      <c r="A240">
        <v>39976.840577476498</v>
      </c>
    </row>
    <row r="241" spans="1:1">
      <c r="A241">
        <v>39973.507942100347</v>
      </c>
    </row>
    <row r="242" spans="1:1">
      <c r="A242">
        <v>39965.854583487351</v>
      </c>
    </row>
    <row r="243" spans="1:1">
      <c r="A243">
        <v>39929.267667862252</v>
      </c>
    </row>
    <row r="244" spans="1:1">
      <c r="A244">
        <v>39866.814581553612</v>
      </c>
    </row>
    <row r="245" spans="1:1">
      <c r="A245">
        <v>39866.463828120257</v>
      </c>
    </row>
    <row r="246" spans="1:1">
      <c r="A246">
        <v>39854.407408653307</v>
      </c>
    </row>
    <row r="247" spans="1:1">
      <c r="A247">
        <v>39843.794644483845</v>
      </c>
    </row>
    <row r="248" spans="1:1">
      <c r="A248">
        <v>39783.124112362842</v>
      </c>
    </row>
    <row r="249" spans="1:1">
      <c r="A249">
        <v>39772.769351356983</v>
      </c>
    </row>
    <row r="250" spans="1:1">
      <c r="A250">
        <v>39684.628302133409</v>
      </c>
    </row>
    <row r="251" spans="1:1">
      <c r="A251">
        <v>39678.366860732574</v>
      </c>
    </row>
    <row r="252" spans="1:1">
      <c r="A252">
        <v>39677.513932991329</v>
      </c>
    </row>
    <row r="253" spans="1:1">
      <c r="A253">
        <v>39676.916103748932</v>
      </c>
    </row>
    <row r="254" spans="1:1">
      <c r="A254">
        <v>39667.581446015669</v>
      </c>
    </row>
    <row r="255" spans="1:1">
      <c r="A255">
        <v>39659.999207999295</v>
      </c>
    </row>
    <row r="256" spans="1:1">
      <c r="A256">
        <v>39647.68968169947</v>
      </c>
    </row>
    <row r="257" spans="1:1">
      <c r="A257">
        <v>39618.401434584091</v>
      </c>
    </row>
    <row r="258" spans="1:1">
      <c r="A258">
        <v>39617.592451027522</v>
      </c>
    </row>
    <row r="259" spans="1:1">
      <c r="A259">
        <v>39611.653785927039</v>
      </c>
    </row>
    <row r="260" spans="1:1">
      <c r="A260">
        <v>39611.252688533117</v>
      </c>
    </row>
    <row r="261" spans="1:1">
      <c r="A261">
        <v>39610.661406460771</v>
      </c>
    </row>
    <row r="262" spans="1:1">
      <c r="A262">
        <v>39605.215418743624</v>
      </c>
    </row>
    <row r="263" spans="1:1">
      <c r="A263">
        <v>39600.631611093217</v>
      </c>
    </row>
    <row r="264" spans="1:1">
      <c r="A264">
        <v>39593.481993794056</v>
      </c>
    </row>
    <row r="265" spans="1:1">
      <c r="A265">
        <v>39592.712948867884</v>
      </c>
    </row>
    <row r="266" spans="1:1">
      <c r="A266">
        <v>39578.46570052905</v>
      </c>
    </row>
    <row r="267" spans="1:1">
      <c r="A267">
        <v>39574.580407806978</v>
      </c>
    </row>
    <row r="268" spans="1:1">
      <c r="A268">
        <v>39565.290933797107</v>
      </c>
    </row>
    <row r="269" spans="1:1">
      <c r="A269">
        <v>39555.666294721079</v>
      </c>
    </row>
    <row r="270" spans="1:1">
      <c r="A270">
        <v>39553.44209211992</v>
      </c>
    </row>
    <row r="271" spans="1:1">
      <c r="A271">
        <v>39546.337296681202</v>
      </c>
    </row>
    <row r="272" spans="1:1">
      <c r="A272">
        <v>39532.481729707746</v>
      </c>
    </row>
    <row r="273" spans="1:1">
      <c r="A273">
        <v>39526.674121078497</v>
      </c>
    </row>
    <row r="274" spans="1:1">
      <c r="A274">
        <v>39520.162313740708</v>
      </c>
    </row>
    <row r="275" spans="1:1">
      <c r="A275">
        <v>39506.512505798906</v>
      </c>
    </row>
    <row r="276" spans="1:1">
      <c r="A276">
        <v>39504.889448407695</v>
      </c>
    </row>
    <row r="277" spans="1:1">
      <c r="A277">
        <v>39499.728065837851</v>
      </c>
    </row>
    <row r="278" spans="1:1">
      <c r="A278">
        <v>39495.587077263393</v>
      </c>
    </row>
    <row r="279" spans="1:1">
      <c r="A279">
        <v>39482.622320794369</v>
      </c>
    </row>
    <row r="280" spans="1:1">
      <c r="A280">
        <v>39477.026341875127</v>
      </c>
    </row>
    <row r="281" spans="1:1">
      <c r="A281">
        <v>39465.539122904825</v>
      </c>
    </row>
    <row r="282" spans="1:1">
      <c r="A282">
        <v>39452.501254155315</v>
      </c>
    </row>
    <row r="283" spans="1:1">
      <c r="A283">
        <v>39443.578906463801</v>
      </c>
    </row>
    <row r="284" spans="1:1">
      <c r="A284">
        <v>39434.277585948555</v>
      </c>
    </row>
    <row r="285" spans="1:1">
      <c r="A285">
        <v>39426.334172547708</v>
      </c>
    </row>
    <row r="286" spans="1:1">
      <c r="A286">
        <v>39424.571077925997</v>
      </c>
    </row>
    <row r="287" spans="1:1">
      <c r="A287">
        <v>39423.475632721136</v>
      </c>
    </row>
    <row r="288" spans="1:1">
      <c r="A288">
        <v>39422.204098574992</v>
      </c>
    </row>
    <row r="289" spans="1:1">
      <c r="A289">
        <v>39422.204098574992</v>
      </c>
    </row>
    <row r="290" spans="1:1">
      <c r="A290">
        <v>39421.394373314462</v>
      </c>
    </row>
    <row r="291" spans="1:1">
      <c r="A291">
        <v>39421.104595960685</v>
      </c>
    </row>
    <row r="292" spans="1:1">
      <c r="A292">
        <v>39420.980475863827</v>
      </c>
    </row>
    <row r="293" spans="1:1">
      <c r="A293">
        <v>39410.743371343888</v>
      </c>
    </row>
    <row r="294" spans="1:1">
      <c r="A294">
        <v>39407.699057537749</v>
      </c>
    </row>
    <row r="295" spans="1:1">
      <c r="A295">
        <v>39406.712796147825</v>
      </c>
    </row>
    <row r="296" spans="1:1">
      <c r="A296">
        <v>39405.906681108609</v>
      </c>
    </row>
    <row r="297" spans="1:1">
      <c r="A297">
        <v>39397.314178742352</v>
      </c>
    </row>
    <row r="298" spans="1:1">
      <c r="A298">
        <v>39395.175720062172</v>
      </c>
    </row>
    <row r="299" spans="1:1">
      <c r="A299">
        <v>39394.473665465543</v>
      </c>
    </row>
    <row r="300" spans="1:1">
      <c r="A300">
        <v>39394.473665465543</v>
      </c>
    </row>
    <row r="301" spans="1:1">
      <c r="A301">
        <v>39393.198073909953</v>
      </c>
    </row>
    <row r="302" spans="1:1">
      <c r="A302">
        <v>39391.92248235437</v>
      </c>
    </row>
    <row r="303" spans="1:1">
      <c r="A303">
        <v>39389.840775759578</v>
      </c>
    </row>
    <row r="304" spans="1:1">
      <c r="A304">
        <v>39386.305472166518</v>
      </c>
    </row>
    <row r="305" spans="1:1">
      <c r="A305">
        <v>39381.248273393336</v>
      </c>
    </row>
    <row r="306" spans="1:1">
      <c r="A306">
        <v>39379.455896964188</v>
      </c>
    </row>
    <row r="307" spans="1:1">
      <c r="A307">
        <v>39361.116641600827</v>
      </c>
    </row>
    <row r="308" spans="1:1">
      <c r="A308">
        <v>39353.185259170481</v>
      </c>
    </row>
    <row r="309" spans="1:1">
      <c r="A309">
        <v>39336.545250138406</v>
      </c>
    </row>
    <row r="310" spans="1:1">
      <c r="A310">
        <v>39316.936713389085</v>
      </c>
    </row>
    <row r="311" spans="1:1">
      <c r="A311">
        <v>39312.992298080295</v>
      </c>
    </row>
    <row r="312" spans="1:1">
      <c r="A312">
        <v>39312.57675834198</v>
      </c>
    </row>
    <row r="313" spans="1:1">
      <c r="A313">
        <v>39305.482270319837</v>
      </c>
    </row>
    <row r="314" spans="1:1">
      <c r="A314">
        <v>39288.48892283436</v>
      </c>
    </row>
    <row r="315" spans="1:1">
      <c r="A315">
        <v>39285.537685849748</v>
      </c>
    </row>
    <row r="316" spans="1:1">
      <c r="A316">
        <v>39279.104950662018</v>
      </c>
    </row>
    <row r="317" spans="1:1">
      <c r="A317">
        <v>39274.237815664717</v>
      </c>
    </row>
    <row r="318" spans="1:1">
      <c r="A318">
        <v>39274.204870199872</v>
      </c>
    </row>
    <row r="319" spans="1:1">
      <c r="A319">
        <v>39267.441273858269</v>
      </c>
    </row>
    <row r="320" spans="1:1">
      <c r="A320">
        <v>39232.520923568067</v>
      </c>
    </row>
    <row r="321" spans="1:1">
      <c r="A321">
        <v>39229.845630157688</v>
      </c>
    </row>
    <row r="322" spans="1:1">
      <c r="A322">
        <v>39228.402711918243</v>
      </c>
    </row>
    <row r="323" spans="1:1">
      <c r="A323">
        <v>39201.490828816372</v>
      </c>
    </row>
    <row r="324" spans="1:1">
      <c r="A324">
        <v>39171.33683922996</v>
      </c>
    </row>
    <row r="325" spans="1:1">
      <c r="A325">
        <v>39161.029411158161</v>
      </c>
    </row>
    <row r="326" spans="1:1">
      <c r="A326">
        <v>39146.892851532844</v>
      </c>
    </row>
    <row r="327" spans="1:1">
      <c r="A327">
        <v>39145.568891606308</v>
      </c>
    </row>
    <row r="328" spans="1:1">
      <c r="A328">
        <v>39140.955902942391</v>
      </c>
    </row>
    <row r="329" spans="1:1">
      <c r="A329">
        <v>39140.941856026162</v>
      </c>
    </row>
    <row r="330" spans="1:1">
      <c r="A330">
        <v>39114.920037611766</v>
      </c>
    </row>
    <row r="331" spans="1:1">
      <c r="A331">
        <v>39096.753885635058</v>
      </c>
    </row>
    <row r="332" spans="1:1">
      <c r="A332">
        <v>39093.346060221491</v>
      </c>
    </row>
    <row r="333" spans="1:1">
      <c r="A333">
        <v>39080.601274459419</v>
      </c>
    </row>
    <row r="334" spans="1:1">
      <c r="A334">
        <v>39034.211806811232</v>
      </c>
    </row>
    <row r="335" spans="1:1">
      <c r="A335">
        <v>39028.950762349552</v>
      </c>
    </row>
    <row r="336" spans="1:1">
      <c r="A336">
        <v>39015.943520660156</v>
      </c>
    </row>
    <row r="337" spans="1:1">
      <c r="A337">
        <v>39014.96649373004</v>
      </c>
    </row>
    <row r="338" spans="1:1">
      <c r="A338">
        <v>39008.6883817341</v>
      </c>
    </row>
    <row r="339" spans="1:1">
      <c r="A339">
        <v>39007.956825779198</v>
      </c>
    </row>
    <row r="340" spans="1:1">
      <c r="A340">
        <v>39006.240600826</v>
      </c>
    </row>
    <row r="341" spans="1:1">
      <c r="A341">
        <v>39004.961082637063</v>
      </c>
    </row>
    <row r="342" spans="1:1">
      <c r="A342">
        <v>39002.936767037645</v>
      </c>
    </row>
    <row r="343" spans="1:1">
      <c r="A343">
        <v>38990.198414301733</v>
      </c>
    </row>
    <row r="344" spans="1:1">
      <c r="A344">
        <v>38984.625523730108</v>
      </c>
    </row>
    <row r="345" spans="1:1">
      <c r="A345">
        <v>38984.46113974935</v>
      </c>
    </row>
    <row r="346" spans="1:1">
      <c r="A346">
        <v>38976.045113537584</v>
      </c>
    </row>
    <row r="347" spans="1:1">
      <c r="A347">
        <v>38975.626734636877</v>
      </c>
    </row>
    <row r="348" spans="1:1">
      <c r="A348">
        <v>38969.000378304561</v>
      </c>
    </row>
    <row r="349" spans="1:1">
      <c r="A349">
        <v>38967.256728137385</v>
      </c>
    </row>
    <row r="350" spans="1:1">
      <c r="A350">
        <v>38964.641252886649</v>
      </c>
    </row>
    <row r="351" spans="1:1">
      <c r="A351">
        <v>38960.282127468723</v>
      </c>
    </row>
    <row r="352" spans="1:1">
      <c r="A352">
        <v>38950.411513291911</v>
      </c>
    </row>
    <row r="353" spans="1:1">
      <c r="A353">
        <v>38943.586966981376</v>
      </c>
    </row>
    <row r="354" spans="1:1">
      <c r="A354">
        <v>38943.295856121047</v>
      </c>
    </row>
    <row r="355" spans="1:1">
      <c r="A355">
        <v>38931.474403942906</v>
      </c>
    </row>
    <row r="356" spans="1:1">
      <c r="A356">
        <v>38921.919395305667</v>
      </c>
    </row>
    <row r="357" spans="1:1">
      <c r="A357">
        <v>38899.273538111069</v>
      </c>
    </row>
    <row r="358" spans="1:1">
      <c r="A358">
        <v>38888.765542182926</v>
      </c>
    </row>
    <row r="359" spans="1:1">
      <c r="A359">
        <v>38882.684838059031</v>
      </c>
    </row>
    <row r="360" spans="1:1">
      <c r="A360">
        <v>38870.268883195822</v>
      </c>
    </row>
    <row r="361" spans="1:1">
      <c r="A361">
        <v>38867.29279512677</v>
      </c>
    </row>
    <row r="362" spans="1:1">
      <c r="A362">
        <v>38864.835749373371</v>
      </c>
    </row>
    <row r="363" spans="1:1">
      <c r="A363">
        <v>38863.860366573972</v>
      </c>
    </row>
    <row r="364" spans="1:1">
      <c r="A364">
        <v>38837.122925644246</v>
      </c>
    </row>
    <row r="365" spans="1:1">
      <c r="A365">
        <v>38832.632363239987</v>
      </c>
    </row>
    <row r="366" spans="1:1">
      <c r="A366">
        <v>38831.452704849871</v>
      </c>
    </row>
    <row r="367" spans="1:1">
      <c r="A367">
        <v>38828.749753095195</v>
      </c>
    </row>
    <row r="368" spans="1:1">
      <c r="A368">
        <v>38828.377350977215</v>
      </c>
    </row>
    <row r="369" spans="1:1">
      <c r="A369">
        <v>38819.972099725484</v>
      </c>
    </row>
    <row r="370" spans="1:1">
      <c r="A370">
        <v>38815.632418537571</v>
      </c>
    </row>
    <row r="371" spans="1:1">
      <c r="A371">
        <v>38805.444740718267</v>
      </c>
    </row>
    <row r="372" spans="1:1">
      <c r="A372">
        <v>38797.313841510681</v>
      </c>
    </row>
    <row r="373" spans="1:1">
      <c r="A373">
        <v>38794.587828095151</v>
      </c>
    </row>
    <row r="374" spans="1:1">
      <c r="A374">
        <v>38789.00264160776</v>
      </c>
    </row>
    <row r="375" spans="1:1">
      <c r="A375">
        <v>38788.293914799513</v>
      </c>
    </row>
    <row r="376" spans="1:1">
      <c r="A376">
        <v>38786.675991516975</v>
      </c>
    </row>
    <row r="377" spans="1:1">
      <c r="A377">
        <v>38777.035994927704</v>
      </c>
    </row>
    <row r="378" spans="1:1">
      <c r="A378">
        <v>38777.000406502884</v>
      </c>
    </row>
    <row r="379" spans="1:1">
      <c r="A379">
        <v>38752.571164518522</v>
      </c>
    </row>
    <row r="380" spans="1:1">
      <c r="A380">
        <v>38752.316366872488</v>
      </c>
    </row>
    <row r="381" spans="1:1">
      <c r="A381">
        <v>38735.262409692703</v>
      </c>
    </row>
    <row r="382" spans="1:1">
      <c r="A382">
        <v>38726.443063282379</v>
      </c>
    </row>
    <row r="383" spans="1:1">
      <c r="A383">
        <v>38725.225457194225</v>
      </c>
    </row>
    <row r="384" spans="1:1">
      <c r="A384">
        <v>38722.291785553316</v>
      </c>
    </row>
    <row r="385" spans="1:1">
      <c r="A385">
        <v>38712.713040203824</v>
      </c>
    </row>
    <row r="386" spans="1:1">
      <c r="A386">
        <v>38687.965573965615</v>
      </c>
    </row>
    <row r="387" spans="1:1">
      <c r="A387">
        <v>38684.369997690264</v>
      </c>
    </row>
    <row r="388" spans="1:1">
      <c r="A388">
        <v>38684.233206833065</v>
      </c>
    </row>
    <row r="389" spans="1:1">
      <c r="A389">
        <v>38682.753083065138</v>
      </c>
    </row>
    <row r="390" spans="1:1">
      <c r="A390">
        <v>38672.063329944409</v>
      </c>
    </row>
    <row r="391" spans="1:1">
      <c r="A391">
        <v>38670.900564320109</v>
      </c>
    </row>
    <row r="392" spans="1:1">
      <c r="A392">
        <v>38668.377070166964</v>
      </c>
    </row>
    <row r="393" spans="1:1">
      <c r="A393">
        <v>38667.965421858491</v>
      </c>
    </row>
    <row r="394" spans="1:1">
      <c r="A394">
        <v>38661.396298044179</v>
      </c>
    </row>
    <row r="395" spans="1:1">
      <c r="A395">
        <v>38659.512215116134</v>
      </c>
    </row>
    <row r="396" spans="1:1">
      <c r="A396">
        <v>38653.639362377915</v>
      </c>
    </row>
    <row r="397" spans="1:1">
      <c r="A397">
        <v>38649.768793479991</v>
      </c>
    </row>
    <row r="398" spans="1:1">
      <c r="A398">
        <v>38629.85681746644</v>
      </c>
    </row>
    <row r="399" spans="1:1">
      <c r="A399">
        <v>38629.597998567275</v>
      </c>
    </row>
    <row r="400" spans="1:1">
      <c r="A400">
        <v>38620.833988733924</v>
      </c>
    </row>
    <row r="401" spans="1:1">
      <c r="A401">
        <v>38603.297026970562</v>
      </c>
    </row>
    <row r="402" spans="1:1">
      <c r="A402">
        <v>38596.098325488238</v>
      </c>
    </row>
    <row r="403" spans="1:1">
      <c r="A403">
        <v>38579.35920673568</v>
      </c>
    </row>
    <row r="404" spans="1:1">
      <c r="A404">
        <v>38574.497289011459</v>
      </c>
    </row>
    <row r="405" spans="1:1">
      <c r="A405">
        <v>38569.377710062268</v>
      </c>
    </row>
    <row r="406" spans="1:1">
      <c r="A406">
        <v>38557.765055240219</v>
      </c>
    </row>
    <row r="407" spans="1:1">
      <c r="A407">
        <v>38551.547800929897</v>
      </c>
    </row>
    <row r="408" spans="1:1">
      <c r="A408">
        <v>38543.74928163163</v>
      </c>
    </row>
    <row r="409" spans="1:1">
      <c r="A409">
        <v>38535.300461742379</v>
      </c>
    </row>
    <row r="410" spans="1:1">
      <c r="A410">
        <v>38533.739910409204</v>
      </c>
    </row>
    <row r="411" spans="1:1">
      <c r="A411">
        <v>38520.650728697663</v>
      </c>
    </row>
    <row r="412" spans="1:1">
      <c r="A412">
        <v>38515.236633496097</v>
      </c>
    </row>
    <row r="413" spans="1:1">
      <c r="A413">
        <v>38514.857856787654</v>
      </c>
    </row>
    <row r="414" spans="1:1">
      <c r="A414">
        <v>38512.326141220874</v>
      </c>
    </row>
    <row r="415" spans="1:1">
      <c r="A415">
        <v>38499.721875958916</v>
      </c>
    </row>
    <row r="416" spans="1:1">
      <c r="A416">
        <v>38497.07009953208</v>
      </c>
    </row>
    <row r="417" spans="1:1">
      <c r="A417">
        <v>38496.789375494147</v>
      </c>
    </row>
    <row r="418" spans="1:1">
      <c r="A418">
        <v>38496.675574430985</v>
      </c>
    </row>
    <row r="419" spans="1:1">
      <c r="A419">
        <v>38475.310637693561</v>
      </c>
    </row>
    <row r="420" spans="1:1">
      <c r="A420">
        <v>38468.542341245658</v>
      </c>
    </row>
    <row r="421" spans="1:1">
      <c r="A421">
        <v>38461.518761278283</v>
      </c>
    </row>
    <row r="422" spans="1:1">
      <c r="A422">
        <v>38458.953802661439</v>
      </c>
    </row>
    <row r="423" spans="1:1">
      <c r="A423">
        <v>38458.953802661439</v>
      </c>
    </row>
    <row r="424" spans="1:1">
      <c r="A424">
        <v>38458.41832779863</v>
      </c>
    </row>
    <row r="425" spans="1:1">
      <c r="A425">
        <v>38454.02842640123</v>
      </c>
    </row>
    <row r="426" spans="1:1">
      <c r="A426">
        <v>38451.86733884873</v>
      </c>
    </row>
    <row r="427" spans="1:1">
      <c r="A427">
        <v>38447.946556595787</v>
      </c>
    </row>
    <row r="428" spans="1:1">
      <c r="A428">
        <v>38436.466648906906</v>
      </c>
    </row>
    <row r="429" spans="1:1">
      <c r="A429">
        <v>38434.650906033487</v>
      </c>
    </row>
    <row r="430" spans="1:1">
      <c r="A430">
        <v>38423.563379003317</v>
      </c>
    </row>
    <row r="431" spans="1:1">
      <c r="A431">
        <v>38418.369830930736</v>
      </c>
    </row>
    <row r="432" spans="1:1">
      <c r="A432">
        <v>38412.671772462149</v>
      </c>
    </row>
    <row r="433" spans="1:1">
      <c r="A433">
        <v>38410.743999824845</v>
      </c>
    </row>
    <row r="434" spans="1:1">
      <c r="A434">
        <v>38410.160146528819</v>
      </c>
    </row>
    <row r="435" spans="1:1">
      <c r="A435">
        <v>38409.814977978611</v>
      </c>
    </row>
    <row r="436" spans="1:1">
      <c r="A436">
        <v>38401.463470292278</v>
      </c>
    </row>
    <row r="437" spans="1:1">
      <c r="A437">
        <v>38390.691016239893</v>
      </c>
    </row>
    <row r="438" spans="1:1">
      <c r="A438">
        <v>38389.139572765816</v>
      </c>
    </row>
    <row r="439" spans="1:1">
      <c r="A439">
        <v>38383.014919564564</v>
      </c>
    </row>
    <row r="440" spans="1:1">
      <c r="A440">
        <v>38353.141539719451</v>
      </c>
    </row>
    <row r="441" spans="1:1">
      <c r="A441">
        <v>38347.089021043626</v>
      </c>
    </row>
    <row r="442" spans="1:1">
      <c r="A442">
        <v>38304.080199664008</v>
      </c>
    </row>
    <row r="443" spans="1:1">
      <c r="A443">
        <v>38294.975978858311</v>
      </c>
    </row>
    <row r="444" spans="1:1">
      <c r="A444">
        <v>38286.730782164464</v>
      </c>
    </row>
    <row r="445" spans="1:1">
      <c r="A445">
        <v>38270.870633287595</v>
      </c>
    </row>
    <row r="446" spans="1:1">
      <c r="A446">
        <v>38264.439465320342</v>
      </c>
    </row>
    <row r="447" spans="1:1">
      <c r="A447">
        <v>38260.49767132142</v>
      </c>
    </row>
    <row r="448" spans="1:1">
      <c r="A448">
        <v>38255.462956853284</v>
      </c>
    </row>
    <row r="449" spans="1:1">
      <c r="A449">
        <v>38251.108133366855</v>
      </c>
    </row>
    <row r="450" spans="1:1">
      <c r="A450">
        <v>38249.733951474387</v>
      </c>
    </row>
    <row r="451" spans="1:1">
      <c r="A451">
        <v>38248.301413286885</v>
      </c>
    </row>
    <row r="452" spans="1:1">
      <c r="A452">
        <v>38240.685524929795</v>
      </c>
    </row>
    <row r="453" spans="1:1">
      <c r="A453">
        <v>38240.127673141775</v>
      </c>
    </row>
    <row r="454" spans="1:1">
      <c r="A454">
        <v>38239.410098193039</v>
      </c>
    </row>
    <row r="455" spans="1:1">
      <c r="A455">
        <v>38238.47260089466</v>
      </c>
    </row>
    <row r="456" spans="1:1">
      <c r="A456">
        <v>38230.997297899783</v>
      </c>
    </row>
    <row r="457" spans="1:1">
      <c r="A457">
        <v>38225.037933241656</v>
      </c>
    </row>
    <row r="458" spans="1:1">
      <c r="A458">
        <v>38224.27818978655</v>
      </c>
    </row>
    <row r="459" spans="1:1">
      <c r="A459">
        <v>38209.668154315383</v>
      </c>
    </row>
    <row r="460" spans="1:1">
      <c r="A460">
        <v>38204.166082609729</v>
      </c>
    </row>
    <row r="461" spans="1:1">
      <c r="A461">
        <v>38203.962973650989</v>
      </c>
    </row>
    <row r="462" spans="1:1">
      <c r="A462">
        <v>38189.781224962135</v>
      </c>
    </row>
    <row r="463" spans="1:1">
      <c r="A463">
        <v>38188.758423376486</v>
      </c>
    </row>
    <row r="464" spans="1:1">
      <c r="A464">
        <v>38165.885118791586</v>
      </c>
    </row>
    <row r="465" spans="1:1">
      <c r="A465">
        <v>38165.648178183576</v>
      </c>
    </row>
    <row r="466" spans="1:1">
      <c r="A466">
        <v>38162.320527649979</v>
      </c>
    </row>
    <row r="467" spans="1:1">
      <c r="A467">
        <v>38153.897657789028</v>
      </c>
    </row>
    <row r="468" spans="1:1">
      <c r="A468">
        <v>38151.01574489542</v>
      </c>
    </row>
    <row r="469" spans="1:1">
      <c r="A469">
        <v>38144.813872351238</v>
      </c>
    </row>
    <row r="470" spans="1:1">
      <c r="A470">
        <v>38134.177696056613</v>
      </c>
    </row>
    <row r="471" spans="1:1">
      <c r="A471">
        <v>38123.209879814131</v>
      </c>
    </row>
    <row r="472" spans="1:1">
      <c r="A472">
        <v>38116.953677263446</v>
      </c>
    </row>
    <row r="473" spans="1:1">
      <c r="A473">
        <v>38113.120521404278</v>
      </c>
    </row>
    <row r="474" spans="1:1">
      <c r="A474">
        <v>38112.936686150097</v>
      </c>
    </row>
    <row r="475" spans="1:1">
      <c r="A475">
        <v>38097.339421146375</v>
      </c>
    </row>
    <row r="476" spans="1:1">
      <c r="A476">
        <v>38090.741515598187</v>
      </c>
    </row>
    <row r="477" spans="1:1">
      <c r="A477">
        <v>38081.638568914837</v>
      </c>
    </row>
    <row r="478" spans="1:1">
      <c r="A478">
        <v>38073.539991820566</v>
      </c>
    </row>
    <row r="479" spans="1:1">
      <c r="A479">
        <v>38071.183703445393</v>
      </c>
    </row>
    <row r="480" spans="1:1">
      <c r="A480">
        <v>38066.263952572685</v>
      </c>
    </row>
    <row r="481" spans="1:1">
      <c r="A481">
        <v>38049.35598573419</v>
      </c>
    </row>
    <row r="482" spans="1:1">
      <c r="A482">
        <v>38038.851888964818</v>
      </c>
    </row>
    <row r="483" spans="1:1">
      <c r="A483">
        <v>38033.394976087387</v>
      </c>
    </row>
    <row r="484" spans="1:1">
      <c r="A484">
        <v>38019.130854066425</v>
      </c>
    </row>
    <row r="485" spans="1:1">
      <c r="A485">
        <v>38012.499511596063</v>
      </c>
    </row>
    <row r="486" spans="1:1">
      <c r="A486">
        <v>37995.093150396715</v>
      </c>
    </row>
    <row r="487" spans="1:1">
      <c r="A487">
        <v>37992.501638950504</v>
      </c>
    </row>
    <row r="488" spans="1:1">
      <c r="A488">
        <v>37978.623665082421</v>
      </c>
    </row>
    <row r="489" spans="1:1">
      <c r="A489">
        <v>37974.051783614595</v>
      </c>
    </row>
    <row r="490" spans="1:1">
      <c r="A490">
        <v>37969.495215644019</v>
      </c>
    </row>
    <row r="491" spans="1:1">
      <c r="A491">
        <v>37958.446503530613</v>
      </c>
    </row>
    <row r="492" spans="1:1">
      <c r="A492">
        <v>37957.495067129697</v>
      </c>
    </row>
    <row r="493" spans="1:1">
      <c r="A493">
        <v>37952.14171182533</v>
      </c>
    </row>
    <row r="494" spans="1:1">
      <c r="A494">
        <v>37950.44967172153</v>
      </c>
    </row>
    <row r="495" spans="1:1">
      <c r="A495">
        <v>37949.165912263976</v>
      </c>
    </row>
    <row r="496" spans="1:1">
      <c r="A496">
        <v>37941.705077066668</v>
      </c>
    </row>
    <row r="497" spans="1:1">
      <c r="A497">
        <v>37938.930061930565</v>
      </c>
    </row>
    <row r="498" spans="1:1">
      <c r="A498">
        <v>37934.636493782149</v>
      </c>
    </row>
    <row r="499" spans="1:1">
      <c r="A499">
        <v>37933.419430618465</v>
      </c>
    </row>
    <row r="500" spans="1:1">
      <c r="A500">
        <v>37929.765136746391</v>
      </c>
    </row>
    <row r="501" spans="1:1">
      <c r="A501">
        <v>37925.85771038229</v>
      </c>
    </row>
    <row r="502" spans="1:1">
      <c r="A502">
        <v>37924.93881125022</v>
      </c>
    </row>
    <row r="503" spans="1:1">
      <c r="A503">
        <v>37923.728113840538</v>
      </c>
    </row>
    <row r="504" spans="1:1">
      <c r="A504">
        <v>37914.998665267682</v>
      </c>
    </row>
    <row r="505" spans="1:1">
      <c r="A505">
        <v>37914.775796447706</v>
      </c>
    </row>
    <row r="506" spans="1:1">
      <c r="A506">
        <v>37914.747889576101</v>
      </c>
    </row>
    <row r="507" spans="1:1">
      <c r="A507">
        <v>37913.446274410882</v>
      </c>
    </row>
    <row r="508" spans="1:1">
      <c r="A508">
        <v>37912.039147109783</v>
      </c>
    </row>
    <row r="509" spans="1:1">
      <c r="A509">
        <v>37911.037331764674</v>
      </c>
    </row>
    <row r="510" spans="1:1">
      <c r="A510">
        <v>37909.011970660416</v>
      </c>
    </row>
    <row r="511" spans="1:1">
      <c r="A511">
        <v>37901.164138589513</v>
      </c>
    </row>
    <row r="512" spans="1:1">
      <c r="A512">
        <v>37900.830617273714</v>
      </c>
    </row>
    <row r="513" spans="1:1">
      <c r="A513">
        <v>37894.387228255306</v>
      </c>
    </row>
    <row r="514" spans="1:1">
      <c r="A514">
        <v>37891.694439659892</v>
      </c>
    </row>
    <row r="515" spans="1:1">
      <c r="A515">
        <v>37886.472240415911</v>
      </c>
    </row>
    <row r="516" spans="1:1">
      <c r="A516">
        <v>37885.595166835228</v>
      </c>
    </row>
    <row r="517" spans="1:1">
      <c r="A517">
        <v>37880.626789970811</v>
      </c>
    </row>
    <row r="518" spans="1:1">
      <c r="A518">
        <v>37879.539617030227</v>
      </c>
    </row>
    <row r="519" spans="1:1">
      <c r="A519">
        <v>37856.883800881493</v>
      </c>
    </row>
    <row r="520" spans="1:1">
      <c r="A520">
        <v>37854.444216119526</v>
      </c>
    </row>
    <row r="521" spans="1:1">
      <c r="A521">
        <v>37852.94917629366</v>
      </c>
    </row>
    <row r="522" spans="1:1">
      <c r="A522">
        <v>37843.98829197992</v>
      </c>
    </row>
    <row r="523" spans="1:1">
      <c r="A523">
        <v>37826.364499248215</v>
      </c>
    </row>
    <row r="524" spans="1:1">
      <c r="A524">
        <v>37824.591166763385</v>
      </c>
    </row>
    <row r="525" spans="1:1">
      <c r="A525">
        <v>37819.418265702436</v>
      </c>
    </row>
    <row r="526" spans="1:1">
      <c r="A526">
        <v>37814.615906045634</v>
      </c>
    </row>
    <row r="527" spans="1:1">
      <c r="A527">
        <v>37813.509252828801</v>
      </c>
    </row>
    <row r="528" spans="1:1">
      <c r="A528">
        <v>37799.99116364053</v>
      </c>
    </row>
    <row r="529" spans="1:1">
      <c r="A529">
        <v>37796.277451897724</v>
      </c>
    </row>
    <row r="530" spans="1:1">
      <c r="A530">
        <v>37780.494843835186</v>
      </c>
    </row>
    <row r="531" spans="1:1">
      <c r="A531">
        <v>37759.633352381432</v>
      </c>
    </row>
    <row r="532" spans="1:1">
      <c r="A532">
        <v>37758.164464082955</v>
      </c>
    </row>
    <row r="533" spans="1:1">
      <c r="A533">
        <v>37750.921091549761</v>
      </c>
    </row>
    <row r="534" spans="1:1">
      <c r="A534">
        <v>37749.696585964855</v>
      </c>
    </row>
    <row r="535" spans="1:1">
      <c r="A535">
        <v>37749.561582261682</v>
      </c>
    </row>
    <row r="536" spans="1:1">
      <c r="A536">
        <v>37732.406213308379</v>
      </c>
    </row>
    <row r="537" spans="1:1">
      <c r="A537">
        <v>37730.402589202437</v>
      </c>
    </row>
    <row r="538" spans="1:1">
      <c r="A538">
        <v>37725.229883195374</v>
      </c>
    </row>
    <row r="539" spans="1:1">
      <c r="A539">
        <v>37724.516802663704</v>
      </c>
    </row>
    <row r="540" spans="1:1">
      <c r="A540">
        <v>37721.854997367162</v>
      </c>
    </row>
    <row r="541" spans="1:1">
      <c r="A541">
        <v>37695.672043277125</v>
      </c>
    </row>
    <row r="542" spans="1:1">
      <c r="A542">
        <v>37663.638711511296</v>
      </c>
    </row>
    <row r="543" spans="1:1">
      <c r="A543">
        <v>37662.72548964258</v>
      </c>
    </row>
    <row r="544" spans="1:1">
      <c r="A544">
        <v>37659.961950762656</v>
      </c>
    </row>
    <row r="545" spans="1:1">
      <c r="A545">
        <v>37651.369899467929</v>
      </c>
    </row>
    <row r="546" spans="1:1">
      <c r="A546">
        <v>37640.926252226447</v>
      </c>
    </row>
    <row r="547" spans="1:1">
      <c r="A547">
        <v>37634.18579687849</v>
      </c>
    </row>
    <row r="548" spans="1:1">
      <c r="A548">
        <v>37634.18579687849</v>
      </c>
    </row>
    <row r="549" spans="1:1">
      <c r="A549">
        <v>37632.851773986033</v>
      </c>
    </row>
    <row r="550" spans="1:1">
      <c r="A550">
        <v>37624.259722691313</v>
      </c>
    </row>
    <row r="551" spans="1:1">
      <c r="A551">
        <v>37624.259722691313</v>
      </c>
    </row>
    <row r="552" spans="1:1">
      <c r="A552">
        <v>37609.371560957828</v>
      </c>
    </row>
    <row r="553" spans="1:1">
      <c r="A553">
        <v>37608.409642994331</v>
      </c>
    </row>
    <row r="554" spans="1:1">
      <c r="A554">
        <v>37608.409642994331</v>
      </c>
    </row>
    <row r="555" spans="1:1">
      <c r="A555">
        <v>37598.483568807154</v>
      </c>
    </row>
    <row r="556" spans="1:1">
      <c r="A556">
        <v>37591.225540404892</v>
      </c>
    </row>
    <row r="557" spans="1:1">
      <c r="A557">
        <v>37582.647054378787</v>
      </c>
    </row>
    <row r="558" spans="1:1">
      <c r="A558">
        <v>37574.98634892772</v>
      </c>
    </row>
    <row r="559" spans="1:1">
      <c r="A559">
        <v>37573.36652484622</v>
      </c>
    </row>
    <row r="560" spans="1:1">
      <c r="A560">
        <v>37518.628688336437</v>
      </c>
    </row>
    <row r="561" spans="1:1">
      <c r="A561">
        <v>37410.378483132285</v>
      </c>
    </row>
    <row r="562" spans="1:1">
      <c r="A562">
        <v>37376.419708855174</v>
      </c>
    </row>
    <row r="563" spans="1:1">
      <c r="A563">
        <v>37266.819196810859</v>
      </c>
    </row>
    <row r="564" spans="1:1">
      <c r="A564">
        <v>37134.338699453961</v>
      </c>
    </row>
    <row r="565" spans="1:1">
      <c r="A565">
        <v>36989.606715240632</v>
      </c>
    </row>
    <row r="566" spans="1:1">
      <c r="A566">
        <v>36973.570703620244</v>
      </c>
    </row>
    <row r="567" spans="1:1">
      <c r="A567">
        <v>36957.088699073771</v>
      </c>
    </row>
    <row r="568" spans="1:1">
      <c r="A568">
        <v>36949.341650300841</v>
      </c>
    </row>
    <row r="569" spans="1:1">
      <c r="A569">
        <v>36923.803414403679</v>
      </c>
    </row>
    <row r="570" spans="1:1">
      <c r="A570">
        <v>36921.839111034526</v>
      </c>
    </row>
    <row r="571" spans="1:1">
      <c r="A571">
        <v>36910.792322377951</v>
      </c>
    </row>
    <row r="572" spans="1:1">
      <c r="A572">
        <v>36903.867966340033</v>
      </c>
    </row>
    <row r="573" spans="1:1">
      <c r="A573">
        <v>36886.391077093715</v>
      </c>
    </row>
    <row r="574" spans="1:1">
      <c r="A574">
        <v>36856.471644267534</v>
      </c>
    </row>
    <row r="575" spans="1:1">
      <c r="A575">
        <v>36848.518543547456</v>
      </c>
    </row>
    <row r="576" spans="1:1">
      <c r="A576">
        <v>36827.630361193085</v>
      </c>
    </row>
    <row r="577" spans="1:1">
      <c r="A577">
        <v>36811.83369166105</v>
      </c>
    </row>
    <row r="578" spans="1:1">
      <c r="A578">
        <v>36794.507212408469</v>
      </c>
    </row>
    <row r="579" spans="1:1">
      <c r="A579">
        <v>36770.794709326234</v>
      </c>
    </row>
    <row r="580" spans="1:1">
      <c r="A580">
        <v>36765.479629118257</v>
      </c>
    </row>
    <row r="581" spans="1:1">
      <c r="A581">
        <v>36765.37139673729</v>
      </c>
    </row>
    <row r="582" spans="1:1">
      <c r="A582">
        <v>36764.44368306495</v>
      </c>
    </row>
    <row r="583" spans="1:1">
      <c r="A583">
        <v>36757.421797198382</v>
      </c>
    </row>
    <row r="584" spans="1:1">
      <c r="A584">
        <v>36757.421797198382</v>
      </c>
    </row>
    <row r="585" spans="1:1">
      <c r="A585">
        <v>36757.421797198382</v>
      </c>
    </row>
    <row r="586" spans="1:1">
      <c r="A586">
        <v>36742.929134370177</v>
      </c>
    </row>
    <row r="587" spans="1:1">
      <c r="A587">
        <v>36734.824085210785</v>
      </c>
    </row>
    <row r="588" spans="1:1">
      <c r="A588">
        <v>36734.824085210785</v>
      </c>
    </row>
    <row r="589" spans="1:1">
      <c r="A589">
        <v>36734.824085210785</v>
      </c>
    </row>
    <row r="590" spans="1:1">
      <c r="A590">
        <v>36732.526742581416</v>
      </c>
    </row>
    <row r="591" spans="1:1">
      <c r="A591">
        <v>36731.644245395233</v>
      </c>
    </row>
    <row r="592" spans="1:1">
      <c r="A592">
        <v>36727.259079448486</v>
      </c>
    </row>
    <row r="593" spans="1:1">
      <c r="A593">
        <v>36725.038136703733</v>
      </c>
    </row>
    <row r="594" spans="1:1">
      <c r="A594">
        <v>36722.758806301827</v>
      </c>
    </row>
    <row r="595" spans="1:1">
      <c r="A595">
        <v>36715.406213038783</v>
      </c>
    </row>
    <row r="596" spans="1:1">
      <c r="A596">
        <v>36713.816293130993</v>
      </c>
    </row>
    <row r="597" spans="1:1">
      <c r="A597">
        <v>36712.85041486386</v>
      </c>
    </row>
    <row r="598" spans="1:1">
      <c r="A598">
        <v>36706.522561447506</v>
      </c>
    </row>
    <row r="599" spans="1:1">
      <c r="A599">
        <v>36686.30567511655</v>
      </c>
    </row>
    <row r="600" spans="1:1">
      <c r="A600">
        <v>36684.91135030234</v>
      </c>
    </row>
    <row r="601" spans="1:1">
      <c r="A601">
        <v>36672.55656499273</v>
      </c>
    </row>
    <row r="602" spans="1:1">
      <c r="A602">
        <v>36672.55656499273</v>
      </c>
    </row>
    <row r="603" spans="1:1">
      <c r="A603">
        <v>36672.47837552859</v>
      </c>
    </row>
    <row r="604" spans="1:1">
      <c r="A604">
        <v>36672.47837552859</v>
      </c>
    </row>
    <row r="605" spans="1:1">
      <c r="A605">
        <v>36672.47837552859</v>
      </c>
    </row>
    <row r="606" spans="1:1">
      <c r="A606">
        <v>36672.47837552859</v>
      </c>
    </row>
    <row r="607" spans="1:1">
      <c r="A607">
        <v>36659.575479452142</v>
      </c>
    </row>
    <row r="608" spans="1:1">
      <c r="A608">
        <v>36659.394107565691</v>
      </c>
    </row>
    <row r="609" spans="1:1">
      <c r="A609">
        <v>36659.394107565691</v>
      </c>
    </row>
    <row r="610" spans="1:1">
      <c r="A610">
        <v>36635.988407113684</v>
      </c>
    </row>
    <row r="611" spans="1:1">
      <c r="A611">
        <v>36635.988407113684</v>
      </c>
    </row>
    <row r="612" spans="1:1">
      <c r="A612">
        <v>36635.988407113684</v>
      </c>
    </row>
    <row r="613" spans="1:1">
      <c r="A613">
        <v>36632.964964627354</v>
      </c>
    </row>
    <row r="614" spans="1:1">
      <c r="A614">
        <v>36613.729528404692</v>
      </c>
    </row>
    <row r="615" spans="1:1">
      <c r="A615">
        <v>36613.282062851125</v>
      </c>
    </row>
    <row r="616" spans="1:1">
      <c r="A616">
        <v>36608.746651871894</v>
      </c>
    </row>
    <row r="617" spans="1:1">
      <c r="A617">
        <v>36608.746651871894</v>
      </c>
    </row>
    <row r="618" spans="1:1">
      <c r="A618">
        <v>36604.460650120345</v>
      </c>
    </row>
    <row r="619" spans="1:1">
      <c r="A619">
        <v>36604.34640628723</v>
      </c>
    </row>
    <row r="620" spans="1:1">
      <c r="A620">
        <v>36577.492800618165</v>
      </c>
    </row>
    <row r="621" spans="1:1">
      <c r="A621">
        <v>36565.927684685943</v>
      </c>
    </row>
    <row r="622" spans="1:1">
      <c r="A622">
        <v>36565.927684685943</v>
      </c>
    </row>
    <row r="623" spans="1:1">
      <c r="A623">
        <v>36564.019157705807</v>
      </c>
    </row>
    <row r="624" spans="1:1">
      <c r="A624">
        <v>36541.842158287815</v>
      </c>
    </row>
    <row r="625" spans="1:1">
      <c r="A625">
        <v>36535.719206438043</v>
      </c>
    </row>
    <row r="626" spans="1:1">
      <c r="A626">
        <v>36528.237162372941</v>
      </c>
    </row>
    <row r="627" spans="1:1">
      <c r="A627">
        <v>36500.350002745094</v>
      </c>
    </row>
    <row r="628" spans="1:1">
      <c r="A628">
        <v>36492.455167040069</v>
      </c>
    </row>
    <row r="629" spans="1:1">
      <c r="A629">
        <v>36481.067547679166</v>
      </c>
    </row>
    <row r="630" spans="1:1">
      <c r="A630">
        <v>36473.848016266595</v>
      </c>
    </row>
    <row r="631" spans="1:1">
      <c r="A631">
        <v>36473.848016266595</v>
      </c>
    </row>
    <row r="632" spans="1:1">
      <c r="A632">
        <v>36461.332668788862</v>
      </c>
    </row>
    <row r="633" spans="1:1">
      <c r="A633">
        <v>36460.684124989886</v>
      </c>
    </row>
    <row r="634" spans="1:1">
      <c r="A634">
        <v>36454.996908642359</v>
      </c>
    </row>
    <row r="635" spans="1:1">
      <c r="A635">
        <v>36451.316225717004</v>
      </c>
    </row>
    <row r="636" spans="1:1">
      <c r="A636">
        <v>36439.621898947174</v>
      </c>
    </row>
    <row r="637" spans="1:1">
      <c r="A637">
        <v>36432.867098440009</v>
      </c>
    </row>
    <row r="638" spans="1:1">
      <c r="A638">
        <v>36431.235773471322</v>
      </c>
    </row>
    <row r="639" spans="1:1">
      <c r="A639">
        <v>36429.09078592583</v>
      </c>
    </row>
    <row r="640" spans="1:1">
      <c r="A640">
        <v>36421.56490375485</v>
      </c>
    </row>
    <row r="641" spans="1:1">
      <c r="A641">
        <v>36420.619438963404</v>
      </c>
    </row>
    <row r="642" spans="1:1">
      <c r="A642">
        <v>36404.100776863183</v>
      </c>
    </row>
    <row r="643" spans="1:1">
      <c r="A643">
        <v>36403.13031997779</v>
      </c>
    </row>
    <row r="644" spans="1:1">
      <c r="A644">
        <v>36396.770640346636</v>
      </c>
    </row>
    <row r="645" spans="1:1">
      <c r="A645">
        <v>36396.770640346636</v>
      </c>
    </row>
    <row r="646" spans="1:1">
      <c r="A646">
        <v>36386.173153126118</v>
      </c>
    </row>
    <row r="647" spans="1:1">
      <c r="A647">
        <v>36384.379454155707</v>
      </c>
    </row>
    <row r="648" spans="1:1">
      <c r="A648">
        <v>36371.710168440775</v>
      </c>
    </row>
    <row r="649" spans="1:1">
      <c r="A649">
        <v>36368.536886053043</v>
      </c>
    </row>
    <row r="650" spans="1:1">
      <c r="A650">
        <v>36354.312008029214</v>
      </c>
    </row>
    <row r="651" spans="1:1">
      <c r="A651">
        <v>36351.122393193029</v>
      </c>
    </row>
    <row r="652" spans="1:1">
      <c r="A652">
        <v>36350.770109841003</v>
      </c>
    </row>
    <row r="653" spans="1:1">
      <c r="A653">
        <v>36346.041396591834</v>
      </c>
    </row>
    <row r="654" spans="1:1">
      <c r="A654">
        <v>36342.713363481962</v>
      </c>
    </row>
    <row r="655" spans="1:1">
      <c r="A655">
        <v>36335.804381764356</v>
      </c>
    </row>
    <row r="656" spans="1:1">
      <c r="A656">
        <v>36333.981398099335</v>
      </c>
    </row>
    <row r="657" spans="1:1">
      <c r="A657">
        <v>36332.310937868351</v>
      </c>
    </row>
    <row r="658" spans="1:1">
      <c r="A658">
        <v>36332.267523025825</v>
      </c>
    </row>
    <row r="659" spans="1:1">
      <c r="A659">
        <v>36326.320073884366</v>
      </c>
    </row>
    <row r="660" spans="1:1">
      <c r="A660">
        <v>36323.779655712278</v>
      </c>
    </row>
    <row r="661" spans="1:1">
      <c r="A661">
        <v>36317.885815297908</v>
      </c>
    </row>
    <row r="662" spans="1:1">
      <c r="A662">
        <v>36304.523239195281</v>
      </c>
    </row>
    <row r="663" spans="1:1">
      <c r="A663">
        <v>36291.408465891422</v>
      </c>
    </row>
    <row r="664" spans="1:1">
      <c r="A664">
        <v>36290.914465838825</v>
      </c>
    </row>
    <row r="665" spans="1:1">
      <c r="A665">
        <v>36287.246208502176</v>
      </c>
    </row>
    <row r="666" spans="1:1">
      <c r="A666">
        <v>36272.808293944021</v>
      </c>
    </row>
    <row r="667" spans="1:1">
      <c r="A667">
        <v>36245.128569731198</v>
      </c>
    </row>
    <row r="668" spans="1:1">
      <c r="A668">
        <v>36183.554328057551</v>
      </c>
    </row>
    <row r="669" spans="1:1">
      <c r="A669">
        <v>36172.597103846798</v>
      </c>
    </row>
    <row r="670" spans="1:1">
      <c r="A670">
        <v>36133.621145674901</v>
      </c>
    </row>
    <row r="671" spans="1:1">
      <c r="A671">
        <v>36111.733783221782</v>
      </c>
    </row>
    <row r="672" spans="1:1">
      <c r="A672">
        <v>36109.176023152148</v>
      </c>
    </row>
    <row r="673" spans="1:1">
      <c r="A673">
        <v>36092.739951865988</v>
      </c>
    </row>
    <row r="674" spans="1:1">
      <c r="A674">
        <v>36084.190332338854</v>
      </c>
    </row>
    <row r="675" spans="1:1">
      <c r="A675">
        <v>36081.109281073135</v>
      </c>
    </row>
    <row r="676" spans="1:1">
      <c r="A676">
        <v>36066.803828529817</v>
      </c>
    </row>
    <row r="677" spans="1:1">
      <c r="A677">
        <v>36049.735529368416</v>
      </c>
    </row>
    <row r="678" spans="1:1">
      <c r="A678">
        <v>36041.472792524437</v>
      </c>
    </row>
    <row r="679" spans="1:1">
      <c r="A679">
        <v>36021.564237713923</v>
      </c>
    </row>
    <row r="680" spans="1:1">
      <c r="A680">
        <v>36012.626341673116</v>
      </c>
    </row>
    <row r="681" spans="1:1">
      <c r="A681">
        <v>36008.524094933215</v>
      </c>
    </row>
    <row r="682" spans="1:1">
      <c r="A682">
        <v>36003.333840831256</v>
      </c>
    </row>
    <row r="683" spans="1:1">
      <c r="A683">
        <v>36000.545191202807</v>
      </c>
    </row>
    <row r="684" spans="1:1">
      <c r="A684">
        <v>35983.244664948477</v>
      </c>
    </row>
    <row r="685" spans="1:1">
      <c r="A685">
        <v>35950.889984298323</v>
      </c>
    </row>
    <row r="686" spans="1:1">
      <c r="A686">
        <v>35924.445832162259</v>
      </c>
    </row>
    <row r="687" spans="1:1">
      <c r="A687">
        <v>35923.898710012065</v>
      </c>
    </row>
    <row r="688" spans="1:1">
      <c r="A688">
        <v>35917.337947223416</v>
      </c>
    </row>
    <row r="689" spans="1:1">
      <c r="A689">
        <v>35897.622911675644</v>
      </c>
    </row>
    <row r="690" spans="1:1">
      <c r="A690">
        <v>35896.99686765996</v>
      </c>
    </row>
    <row r="691" spans="1:1">
      <c r="A691">
        <v>35861.050034031097</v>
      </c>
    </row>
    <row r="692" spans="1:1">
      <c r="A692">
        <v>35845.739362386739</v>
      </c>
    </row>
    <row r="693" spans="1:1">
      <c r="A693">
        <v>35839.036912067728</v>
      </c>
    </row>
    <row r="694" spans="1:1">
      <c r="A694">
        <v>35829.854096485105</v>
      </c>
    </row>
    <row r="695" spans="1:1">
      <c r="A695">
        <v>35827.862746889943</v>
      </c>
    </row>
    <row r="696" spans="1:1">
      <c r="A696">
        <v>35816.957754081603</v>
      </c>
    </row>
    <row r="697" spans="1:1">
      <c r="A697">
        <v>35807.343401707796</v>
      </c>
    </row>
    <row r="698" spans="1:1">
      <c r="A698">
        <v>35805.98689587805</v>
      </c>
    </row>
    <row r="699" spans="1:1">
      <c r="A699">
        <v>35801.951696653661</v>
      </c>
    </row>
    <row r="700" spans="1:1">
      <c r="A700">
        <v>35788.601027760356</v>
      </c>
    </row>
    <row r="701" spans="1:1">
      <c r="A701">
        <v>35787.946046504709</v>
      </c>
    </row>
    <row r="702" spans="1:1">
      <c r="A702">
        <v>35781.11538495175</v>
      </c>
    </row>
    <row r="703" spans="1:1">
      <c r="A703">
        <v>35775.371941567122</v>
      </c>
    </row>
    <row r="704" spans="1:1">
      <c r="A704">
        <v>35769.807949200163</v>
      </c>
    </row>
    <row r="705" spans="1:1">
      <c r="A705">
        <v>35750.214727693063</v>
      </c>
    </row>
    <row r="706" spans="1:1">
      <c r="A706">
        <v>35727.500323219196</v>
      </c>
    </row>
    <row r="707" spans="1:1">
      <c r="A707">
        <v>35674.692264591889</v>
      </c>
    </row>
    <row r="708" spans="1:1">
      <c r="A708">
        <v>35672.685666463294</v>
      </c>
    </row>
    <row r="709" spans="1:1">
      <c r="A709">
        <v>35672.307914290432</v>
      </c>
    </row>
    <row r="710" spans="1:1">
      <c r="A710">
        <v>35667.732552430411</v>
      </c>
    </row>
    <row r="711" spans="1:1">
      <c r="A711">
        <v>35661.761615621923</v>
      </c>
    </row>
    <row r="712" spans="1:1">
      <c r="A712">
        <v>35641.000151649794</v>
      </c>
    </row>
    <row r="713" spans="1:1">
      <c r="A713">
        <v>35626.152336959276</v>
      </c>
    </row>
    <row r="714" spans="1:1">
      <c r="A714">
        <v>35612.853843546749</v>
      </c>
    </row>
    <row r="715" spans="1:1">
      <c r="A715">
        <v>35611.623994462236</v>
      </c>
    </row>
    <row r="716" spans="1:1">
      <c r="A716">
        <v>35608.313217392912</v>
      </c>
    </row>
    <row r="717" spans="1:1">
      <c r="A717">
        <v>35605.544399314989</v>
      </c>
    </row>
    <row r="718" spans="1:1">
      <c r="A718">
        <v>35603.20829121663</v>
      </c>
    </row>
    <row r="719" spans="1:1">
      <c r="A719">
        <v>35600.850293819283</v>
      </c>
    </row>
    <row r="720" spans="1:1">
      <c r="A720">
        <v>35599.631796228961</v>
      </c>
    </row>
    <row r="721" spans="1:1">
      <c r="A721">
        <v>35599.631796228961</v>
      </c>
    </row>
    <row r="722" spans="1:1">
      <c r="A722">
        <v>35580.064503092683</v>
      </c>
    </row>
    <row r="723" spans="1:1">
      <c r="A723">
        <v>35567.538196637295</v>
      </c>
    </row>
    <row r="724" spans="1:1">
      <c r="A724">
        <v>35555.836434154124</v>
      </c>
    </row>
    <row r="725" spans="1:1">
      <c r="A725">
        <v>35553.52036666403</v>
      </c>
    </row>
    <row r="726" spans="1:1">
      <c r="A726">
        <v>35553.022754717007</v>
      </c>
    </row>
    <row r="727" spans="1:1">
      <c r="A727">
        <v>35539.18164194985</v>
      </c>
    </row>
    <row r="728" spans="1:1">
      <c r="A728">
        <v>35538.813683559652</v>
      </c>
    </row>
    <row r="729" spans="1:1">
      <c r="A729">
        <v>35533.746496074666</v>
      </c>
    </row>
    <row r="730" spans="1:1">
      <c r="A730">
        <v>35532.026198605003</v>
      </c>
    </row>
    <row r="731" spans="1:1">
      <c r="A731">
        <v>35529.718166770312</v>
      </c>
    </row>
    <row r="732" spans="1:1">
      <c r="A732">
        <v>35523.378643213269</v>
      </c>
    </row>
    <row r="733" spans="1:1">
      <c r="A733">
        <v>35517.67355487858</v>
      </c>
    </row>
    <row r="734" spans="1:1">
      <c r="A734">
        <v>35511.733888029354</v>
      </c>
    </row>
    <row r="735" spans="1:1">
      <c r="A735">
        <v>35495.420594831339</v>
      </c>
    </row>
    <row r="736" spans="1:1">
      <c r="A736">
        <v>35494.768130898025</v>
      </c>
    </row>
    <row r="737" spans="1:1">
      <c r="A737">
        <v>35474.81290264304</v>
      </c>
    </row>
    <row r="738" spans="1:1">
      <c r="A738">
        <v>35472.666932947926</v>
      </c>
    </row>
    <row r="739" spans="1:1">
      <c r="A739">
        <v>35460.483197966329</v>
      </c>
    </row>
    <row r="740" spans="1:1">
      <c r="A740">
        <v>35459.158852235378</v>
      </c>
    </row>
    <row r="741" spans="1:1">
      <c r="A741">
        <v>35452.098694677028</v>
      </c>
    </row>
    <row r="742" spans="1:1">
      <c r="A742">
        <v>35447.446700855719</v>
      </c>
    </row>
    <row r="743" spans="1:1">
      <c r="A743">
        <v>35445.523909804317</v>
      </c>
    </row>
    <row r="744" spans="1:1">
      <c r="A744">
        <v>35435.423226630344</v>
      </c>
    </row>
    <row r="745" spans="1:1">
      <c r="A745">
        <v>35415.025464148239</v>
      </c>
    </row>
    <row r="746" spans="1:1">
      <c r="A746">
        <v>35397.122241975747</v>
      </c>
    </row>
    <row r="747" spans="1:1">
      <c r="A747">
        <v>35389.422293833457</v>
      </c>
    </row>
    <row r="748" spans="1:1">
      <c r="A748">
        <v>35370.415282978771</v>
      </c>
    </row>
    <row r="749" spans="1:1">
      <c r="A749">
        <v>35359.116321140093</v>
      </c>
    </row>
    <row r="750" spans="1:1">
      <c r="A750">
        <v>35305.680311040342</v>
      </c>
    </row>
    <row r="751" spans="1:1">
      <c r="A751">
        <v>35289.708245004433</v>
      </c>
    </row>
    <row r="752" spans="1:1">
      <c r="A752">
        <v>35265.303880001316</v>
      </c>
    </row>
    <row r="753" spans="1:1">
      <c r="A753">
        <v>35255.104568425195</v>
      </c>
    </row>
    <row r="754" spans="1:1">
      <c r="A754">
        <v>35244.377891802527</v>
      </c>
    </row>
    <row r="755" spans="1:1">
      <c r="A755">
        <v>35223.405396161943</v>
      </c>
    </row>
    <row r="756" spans="1:1">
      <c r="A756">
        <v>35210.965806630222</v>
      </c>
    </row>
    <row r="757" spans="1:1">
      <c r="A757">
        <v>35202.607721624998</v>
      </c>
    </row>
    <row r="758" spans="1:1">
      <c r="A758">
        <v>35192.888318755897</v>
      </c>
    </row>
    <row r="759" spans="1:1">
      <c r="A759">
        <v>35182.742613491682</v>
      </c>
    </row>
    <row r="760" spans="1:1">
      <c r="A760">
        <v>35131.074432848858</v>
      </c>
    </row>
    <row r="761" spans="1:1">
      <c r="A761">
        <v>35127.474770701534</v>
      </c>
    </row>
    <row r="762" spans="1:1">
      <c r="A762">
        <v>35102.205954643017</v>
      </c>
    </row>
    <row r="763" spans="1:1">
      <c r="A763">
        <v>35098.032619140526</v>
      </c>
    </row>
    <row r="764" spans="1:1">
      <c r="A764">
        <v>35081.259680306954</v>
      </c>
    </row>
    <row r="765" spans="1:1">
      <c r="A765">
        <v>35079.927114349317</v>
      </c>
    </row>
    <row r="766" spans="1:1">
      <c r="A766">
        <v>35079.602270499752</v>
      </c>
    </row>
    <row r="767" spans="1:1">
      <c r="A767">
        <v>35033.433586369414</v>
      </c>
    </row>
    <row r="768" spans="1:1">
      <c r="A768">
        <v>35032.217036072369</v>
      </c>
    </row>
    <row r="769" spans="1:1">
      <c r="A769">
        <v>35024.5200527665</v>
      </c>
    </row>
    <row r="770" spans="1:1">
      <c r="A770">
        <v>34996.712107880565</v>
      </c>
    </row>
    <row r="771" spans="1:1">
      <c r="A771">
        <v>34969.112991183654</v>
      </c>
    </row>
    <row r="772" spans="1:1">
      <c r="A772">
        <v>34962.220285082076</v>
      </c>
    </row>
    <row r="773" spans="1:1">
      <c r="A773">
        <v>34957.72993814962</v>
      </c>
    </row>
    <row r="774" spans="1:1">
      <c r="A774">
        <v>34930.452917457093</v>
      </c>
    </row>
    <row r="775" spans="1:1">
      <c r="A775">
        <v>34909.69501602307</v>
      </c>
    </row>
    <row r="776" spans="1:1">
      <c r="A776">
        <v>34901.835610792441</v>
      </c>
    </row>
    <row r="777" spans="1:1">
      <c r="A777">
        <v>34898.259329875094</v>
      </c>
    </row>
    <row r="778" spans="1:1">
      <c r="A778">
        <v>34884.917398986043</v>
      </c>
    </row>
    <row r="779" spans="1:1">
      <c r="A779">
        <v>34870.946511511451</v>
      </c>
    </row>
    <row r="780" spans="1:1">
      <c r="A780">
        <v>34865.624601210024</v>
      </c>
    </row>
    <row r="781" spans="1:1">
      <c r="A781">
        <v>34846.939018116034</v>
      </c>
    </row>
    <row r="782" spans="1:1">
      <c r="A782">
        <v>34825.775670392803</v>
      </c>
    </row>
    <row r="783" spans="1:1">
      <c r="A783">
        <v>34825.26345925725</v>
      </c>
    </row>
    <row r="784" spans="1:1">
      <c r="A784">
        <v>34821.159733151108</v>
      </c>
    </row>
    <row r="785" spans="1:1">
      <c r="A785">
        <v>34814.737955278855</v>
      </c>
    </row>
    <row r="786" spans="1:1">
      <c r="A786">
        <v>34812.852647594795</v>
      </c>
    </row>
    <row r="787" spans="1:1">
      <c r="A787">
        <v>34806.717094955929</v>
      </c>
    </row>
    <row r="788" spans="1:1">
      <c r="A788">
        <v>34800.85324264317</v>
      </c>
    </row>
    <row r="789" spans="1:1">
      <c r="A789">
        <v>34798.838067195902</v>
      </c>
    </row>
    <row r="790" spans="1:1">
      <c r="A790">
        <v>34798.838067195902</v>
      </c>
    </row>
    <row r="791" spans="1:1">
      <c r="A791">
        <v>34782.245077307962</v>
      </c>
    </row>
    <row r="792" spans="1:1">
      <c r="A792">
        <v>34778.096829835973</v>
      </c>
    </row>
    <row r="793" spans="1:1">
      <c r="A793">
        <v>34773.948582363992</v>
      </c>
    </row>
    <row r="794" spans="1:1">
      <c r="A794">
        <v>34773.948582363992</v>
      </c>
    </row>
    <row r="795" spans="1:1">
      <c r="A795">
        <v>34771.49661202047</v>
      </c>
    </row>
    <row r="796" spans="1:1">
      <c r="A796">
        <v>34769.800334892017</v>
      </c>
    </row>
    <row r="797" spans="1:1">
      <c r="A797">
        <v>34769.800334892017</v>
      </c>
    </row>
    <row r="798" spans="1:1">
      <c r="A798">
        <v>34753.39223570234</v>
      </c>
    </row>
    <row r="799" spans="1:1">
      <c r="A799">
        <v>34746.607127188552</v>
      </c>
    </row>
    <row r="800" spans="1:1">
      <c r="A800">
        <v>34746.059366366222</v>
      </c>
    </row>
    <row r="801" spans="1:1">
      <c r="A801">
        <v>34736.614355116122</v>
      </c>
    </row>
    <row r="802" spans="1:1">
      <c r="A802">
        <v>34736.614355116122</v>
      </c>
    </row>
    <row r="803" spans="1:1">
      <c r="A803">
        <v>34736.614355116122</v>
      </c>
    </row>
    <row r="804" spans="1:1">
      <c r="A804">
        <v>34728.317860172152</v>
      </c>
    </row>
    <row r="805" spans="1:1">
      <c r="A805">
        <v>34728.317860172152</v>
      </c>
    </row>
    <row r="806" spans="1:1">
      <c r="A806">
        <v>34728.317860172152</v>
      </c>
    </row>
    <row r="807" spans="1:1">
      <c r="A807">
        <v>34728.317860172152</v>
      </c>
    </row>
    <row r="808" spans="1:1">
      <c r="A808">
        <v>34727.362892795143</v>
      </c>
    </row>
    <row r="809" spans="1:1">
      <c r="A809">
        <v>34716.704036347903</v>
      </c>
    </row>
    <row r="810" spans="1:1">
      <c r="A810">
        <v>34713.421147412664</v>
      </c>
    </row>
    <row r="811" spans="1:1">
      <c r="A811">
        <v>34713.421147412664</v>
      </c>
    </row>
    <row r="812" spans="1:1">
      <c r="A812">
        <v>34713.421147412664</v>
      </c>
    </row>
    <row r="813" spans="1:1">
      <c r="A813">
        <v>34710.97209455241</v>
      </c>
    </row>
    <row r="814" spans="1:1">
      <c r="A814">
        <v>34710.969177069113</v>
      </c>
    </row>
    <row r="815" spans="1:1">
      <c r="A815">
        <v>34710.969177069113</v>
      </c>
    </row>
    <row r="816" spans="1:1">
      <c r="A816">
        <v>34710.969177069113</v>
      </c>
    </row>
    <row r="817" spans="1:1">
      <c r="A817">
        <v>34692.448933383217</v>
      </c>
    </row>
    <row r="818" spans="1:1">
      <c r="A818">
        <v>34657.041959933325</v>
      </c>
    </row>
    <row r="819" spans="1:1">
      <c r="A819">
        <v>34595.455981001178</v>
      </c>
    </row>
    <row r="820" spans="1:1">
      <c r="A820">
        <v>34579.179048357437</v>
      </c>
    </row>
    <row r="821" spans="1:1">
      <c r="A821">
        <v>34579.179048357437</v>
      </c>
    </row>
    <row r="822" spans="1:1">
      <c r="A822">
        <v>34579.179048357437</v>
      </c>
    </row>
    <row r="823" spans="1:1">
      <c r="A823">
        <v>34579.179048357437</v>
      </c>
    </row>
    <row r="824" spans="1:1">
      <c r="A824">
        <v>34579.179048357437</v>
      </c>
    </row>
    <row r="825" spans="1:1">
      <c r="A825">
        <v>34579.179048357437</v>
      </c>
    </row>
    <row r="826" spans="1:1">
      <c r="A826">
        <v>34554.125677427292</v>
      </c>
    </row>
    <row r="827" spans="1:1">
      <c r="A827">
        <v>34552.988439238448</v>
      </c>
    </row>
    <row r="828" spans="1:1">
      <c r="A828">
        <v>34552.174474370622</v>
      </c>
    </row>
    <row r="829" spans="1:1">
      <c r="A829">
        <v>34443.204059171454</v>
      </c>
    </row>
    <row r="830" spans="1:1">
      <c r="A830">
        <v>34382.908872660963</v>
      </c>
    </row>
    <row r="831" spans="1:1">
      <c r="A831">
        <v>34268.691679825657</v>
      </c>
    </row>
    <row r="832" spans="1:1">
      <c r="A832">
        <v>34258.334117881575</v>
      </c>
    </row>
    <row r="833" spans="1:1">
      <c r="A833">
        <v>34253.450903485478</v>
      </c>
    </row>
    <row r="834" spans="1:1">
      <c r="A834">
        <v>34253.450903485478</v>
      </c>
    </row>
    <row r="835" spans="1:1">
      <c r="A835">
        <v>34203.288831940074</v>
      </c>
    </row>
    <row r="836" spans="1:1">
      <c r="A836">
        <v>34200.741739400575</v>
      </c>
    </row>
    <row r="837" spans="1:1">
      <c r="A837">
        <v>34175.279043476665</v>
      </c>
    </row>
    <row r="838" spans="1:1">
      <c r="A838">
        <v>34173.631826726145</v>
      </c>
    </row>
    <row r="839" spans="1:1">
      <c r="A839">
        <v>34173.631826726145</v>
      </c>
    </row>
    <row r="840" spans="1:1">
      <c r="A840">
        <v>34152.593180183248</v>
      </c>
    </row>
    <row r="841" spans="1:1">
      <c r="A841">
        <v>34137.511231312499</v>
      </c>
    </row>
    <row r="842" spans="1:1">
      <c r="A842">
        <v>34117.134490996352</v>
      </c>
    </row>
    <row r="843" spans="1:1">
      <c r="A843">
        <v>34093.268416531922</v>
      </c>
    </row>
    <row r="844" spans="1:1">
      <c r="A844">
        <v>34054.305195640976</v>
      </c>
    </row>
    <row r="845" spans="1:1">
      <c r="A845">
        <v>33989.978951315919</v>
      </c>
    </row>
    <row r="846" spans="1:1">
      <c r="A846">
        <v>33961.841447051491</v>
      </c>
    </row>
    <row r="847" spans="1:1">
      <c r="A847">
        <v>33935.748372743597</v>
      </c>
    </row>
    <row r="848" spans="1:1">
      <c r="A848">
        <v>33928.801618629361</v>
      </c>
    </row>
    <row r="849" spans="1:1">
      <c r="A849">
        <v>33920.774325833867</v>
      </c>
    </row>
    <row r="850" spans="1:1">
      <c r="A850">
        <v>33910.120501684214</v>
      </c>
    </row>
    <row r="851" spans="1:1">
      <c r="A851">
        <v>33881.758923743095</v>
      </c>
    </row>
    <row r="852" spans="1:1">
      <c r="A852">
        <v>33879.522689489313</v>
      </c>
    </row>
    <row r="853" spans="1:1">
      <c r="A853">
        <v>33864.003343177414</v>
      </c>
    </row>
    <row r="854" spans="1:1">
      <c r="A854">
        <v>33852.729333522431</v>
      </c>
    </row>
    <row r="855" spans="1:1">
      <c r="A855">
        <v>33838.760995089557</v>
      </c>
    </row>
    <row r="856" spans="1:1">
      <c r="A856">
        <v>33816.409865111935</v>
      </c>
    </row>
    <row r="857" spans="1:1">
      <c r="A857">
        <v>33814.387702413216</v>
      </c>
    </row>
    <row r="858" spans="1:1">
      <c r="A858">
        <v>33789.460734852561</v>
      </c>
    </row>
    <row r="859" spans="1:1">
      <c r="A859">
        <v>33785.657148423241</v>
      </c>
    </row>
    <row r="860" spans="1:1">
      <c r="A860">
        <v>33783.573870349239</v>
      </c>
    </row>
    <row r="861" spans="1:1">
      <c r="A861">
        <v>33754.655565262488</v>
      </c>
    </row>
    <row r="862" spans="1:1">
      <c r="A862">
        <v>33744.415922677377</v>
      </c>
    </row>
    <row r="863" spans="1:1">
      <c r="A863">
        <v>33741.180302670378</v>
      </c>
    </row>
    <row r="864" spans="1:1">
      <c r="A864">
        <v>33738.363804380075</v>
      </c>
    </row>
    <row r="865" spans="1:1">
      <c r="A865">
        <v>33721.162770000708</v>
      </c>
    </row>
    <row r="866" spans="1:1">
      <c r="A866">
        <v>33710.450774707133</v>
      </c>
    </row>
    <row r="867" spans="1:1">
      <c r="A867">
        <v>33710.450774707133</v>
      </c>
    </row>
    <row r="868" spans="1:1">
      <c r="A868">
        <v>33705.572515904314</v>
      </c>
    </row>
    <row r="869" spans="1:1">
      <c r="A869">
        <v>33655.009083457728</v>
      </c>
    </row>
    <row r="870" spans="1:1">
      <c r="A870">
        <v>33645.934316946492</v>
      </c>
    </row>
    <row r="871" spans="1:1">
      <c r="A871">
        <v>33642.379770581974</v>
      </c>
    </row>
    <row r="872" spans="1:1">
      <c r="A872">
        <v>33635.962625464534</v>
      </c>
    </row>
    <row r="873" spans="1:1">
      <c r="A873">
        <v>33630.597619830587</v>
      </c>
    </row>
    <row r="874" spans="1:1">
      <c r="A874">
        <v>33622.880197086655</v>
      </c>
    </row>
    <row r="875" spans="1:1">
      <c r="A875">
        <v>33622.880197086655</v>
      </c>
    </row>
    <row r="876" spans="1:1">
      <c r="A876">
        <v>33621.420175232408</v>
      </c>
    </row>
    <row r="877" spans="1:1">
      <c r="A877">
        <v>33609.031469545698</v>
      </c>
    </row>
    <row r="878" spans="1:1">
      <c r="A878">
        <v>33602.285902441065</v>
      </c>
    </row>
    <row r="879" spans="1:1">
      <c r="A879">
        <v>33602.255408670084</v>
      </c>
    </row>
    <row r="880" spans="1:1">
      <c r="A880">
        <v>33595.210777849978</v>
      </c>
    </row>
    <row r="881" spans="1:1">
      <c r="A881">
        <v>33577.4439200708</v>
      </c>
    </row>
    <row r="882" spans="1:1">
      <c r="A882">
        <v>33551.040709161258</v>
      </c>
    </row>
    <row r="883" spans="1:1">
      <c r="A883">
        <v>33548.879292601159</v>
      </c>
    </row>
    <row r="884" spans="1:1">
      <c r="A884">
        <v>33543.760475674666</v>
      </c>
    </row>
    <row r="885" spans="1:1">
      <c r="A885">
        <v>33536.979312662792</v>
      </c>
    </row>
    <row r="886" spans="1:1">
      <c r="A886">
        <v>33533.537949290549</v>
      </c>
    </row>
    <row r="887" spans="1:1">
      <c r="A887">
        <v>33525.051693113222</v>
      </c>
    </row>
    <row r="888" spans="1:1">
      <c r="A888">
        <v>33511.261224518945</v>
      </c>
    </row>
    <row r="889" spans="1:1">
      <c r="A889">
        <v>33508.920778418265</v>
      </c>
    </row>
    <row r="890" spans="1:1">
      <c r="A890">
        <v>33492.048173810057</v>
      </c>
    </row>
    <row r="891" spans="1:1">
      <c r="A891">
        <v>33483.124138660685</v>
      </c>
    </row>
    <row r="892" spans="1:1">
      <c r="A892">
        <v>33467.300244282837</v>
      </c>
    </row>
    <row r="893" spans="1:1">
      <c r="A893">
        <v>33446.672619942015</v>
      </c>
    </row>
    <row r="894" spans="1:1">
      <c r="A894">
        <v>33444.348339985016</v>
      </c>
    </row>
    <row r="895" spans="1:1">
      <c r="A895">
        <v>33432.872387836105</v>
      </c>
    </row>
    <row r="896" spans="1:1">
      <c r="A896">
        <v>33431.580773472073</v>
      </c>
    </row>
    <row r="897" spans="1:1">
      <c r="A897">
        <v>33431.003219796847</v>
      </c>
    </row>
    <row r="898" spans="1:1">
      <c r="A898">
        <v>33424.517211872873</v>
      </c>
    </row>
    <row r="899" spans="1:1">
      <c r="A899">
        <v>33421.067913090541</v>
      </c>
    </row>
    <row r="900" spans="1:1">
      <c r="A900">
        <v>33421.024747601346</v>
      </c>
    </row>
    <row r="901" spans="1:1">
      <c r="A901">
        <v>33419.201610402706</v>
      </c>
    </row>
    <row r="902" spans="1:1">
      <c r="A902">
        <v>33401.433550579219</v>
      </c>
    </row>
    <row r="903" spans="1:1">
      <c r="A903">
        <v>33398.862439837329</v>
      </c>
    </row>
    <row r="904" spans="1:1">
      <c r="A904">
        <v>33397.166551082533</v>
      </c>
    </row>
    <row r="905" spans="1:1">
      <c r="A905">
        <v>33396.379404098254</v>
      </c>
    </row>
    <row r="906" spans="1:1">
      <c r="A906">
        <v>33388.460199413952</v>
      </c>
    </row>
    <row r="907" spans="1:1">
      <c r="A907">
        <v>33383.856181602547</v>
      </c>
    </row>
    <row r="908" spans="1:1">
      <c r="A908">
        <v>33382.121119621464</v>
      </c>
    </row>
    <row r="909" spans="1:1">
      <c r="A909">
        <v>33381.885614312509</v>
      </c>
    </row>
    <row r="910" spans="1:1">
      <c r="A910">
        <v>33370.087635343792</v>
      </c>
    </row>
    <row r="911" spans="1:1">
      <c r="A911">
        <v>33369.4708280618</v>
      </c>
    </row>
    <row r="912" spans="1:1">
      <c r="A912">
        <v>33362.189963588658</v>
      </c>
    </row>
    <row r="913" spans="1:1">
      <c r="A913">
        <v>33360.68719552007</v>
      </c>
    </row>
    <row r="914" spans="1:1">
      <c r="A914">
        <v>33359.806637746391</v>
      </c>
    </row>
    <row r="915" spans="1:1">
      <c r="A915">
        <v>33353.355899892689</v>
      </c>
    </row>
    <row r="916" spans="1:1">
      <c r="A916">
        <v>33348.602962298159</v>
      </c>
    </row>
    <row r="917" spans="1:1">
      <c r="A917">
        <v>33342.48962997309</v>
      </c>
    </row>
    <row r="918" spans="1:1">
      <c r="A918">
        <v>33323.086378506647</v>
      </c>
    </row>
    <row r="919" spans="1:1">
      <c r="A919">
        <v>33319.186220465439</v>
      </c>
    </row>
    <row r="920" spans="1:1">
      <c r="A920">
        <v>33317.563091469856</v>
      </c>
    </row>
    <row r="921" spans="1:1">
      <c r="A921">
        <v>33315.308255177319</v>
      </c>
    </row>
    <row r="922" spans="1:1">
      <c r="A922">
        <v>33311.15304421469</v>
      </c>
    </row>
    <row r="923" spans="1:1">
      <c r="A923">
        <v>33309.43271862658</v>
      </c>
    </row>
    <row r="924" spans="1:1">
      <c r="A924">
        <v>33308.325025087543</v>
      </c>
    </row>
    <row r="925" spans="1:1">
      <c r="A925">
        <v>33304.561143970321</v>
      </c>
    </row>
    <row r="926" spans="1:1">
      <c r="A926">
        <v>33301.380060934862</v>
      </c>
    </row>
    <row r="927" spans="1:1">
      <c r="A927">
        <v>33300.76731234305</v>
      </c>
    </row>
    <row r="928" spans="1:1">
      <c r="A928">
        <v>33299.094715956824</v>
      </c>
    </row>
    <row r="929" spans="1:1">
      <c r="A929">
        <v>33291.607538173208</v>
      </c>
    </row>
    <row r="930" spans="1:1">
      <c r="A930">
        <v>33282.949390980226</v>
      </c>
    </row>
    <row r="931" spans="1:1">
      <c r="A931">
        <v>33277.318565184018</v>
      </c>
    </row>
    <row r="932" spans="1:1">
      <c r="A932">
        <v>33274.233222167284</v>
      </c>
    </row>
    <row r="933" spans="1:1">
      <c r="A933">
        <v>33273.963531707283</v>
      </c>
    </row>
    <row r="934" spans="1:1">
      <c r="A934">
        <v>33272.934300647488</v>
      </c>
    </row>
    <row r="935" spans="1:1">
      <c r="A935">
        <v>33267.543104010074</v>
      </c>
    </row>
    <row r="936" spans="1:1">
      <c r="A936">
        <v>33263.218186915299</v>
      </c>
    </row>
    <row r="937" spans="1:1">
      <c r="A937">
        <v>33248.168436458269</v>
      </c>
    </row>
    <row r="938" spans="1:1">
      <c r="A938">
        <v>33247.754614052334</v>
      </c>
    </row>
    <row r="939" spans="1:1">
      <c r="A939">
        <v>33244.499448613518</v>
      </c>
    </row>
    <row r="940" spans="1:1">
      <c r="A940">
        <v>33240.155317662007</v>
      </c>
    </row>
    <row r="941" spans="1:1">
      <c r="A941">
        <v>33232.804283747915</v>
      </c>
    </row>
    <row r="942" spans="1:1">
      <c r="A942">
        <v>33227.21093587183</v>
      </c>
    </row>
    <row r="943" spans="1:1">
      <c r="A943">
        <v>33227.103185323591</v>
      </c>
    </row>
    <row r="944" spans="1:1">
      <c r="A944">
        <v>33220.900147546396</v>
      </c>
    </row>
    <row r="945" spans="1:1">
      <c r="A945">
        <v>33220.195765321587</v>
      </c>
    </row>
    <row r="946" spans="1:1">
      <c r="A946">
        <v>33214.2726791319</v>
      </c>
    </row>
    <row r="947" spans="1:1">
      <c r="A947">
        <v>33213.282789151657</v>
      </c>
    </row>
    <row r="948" spans="1:1">
      <c r="A948">
        <v>33212.481425756014</v>
      </c>
    </row>
    <row r="949" spans="1:1">
      <c r="A949">
        <v>33205.811225824829</v>
      </c>
    </row>
    <row r="950" spans="1:1">
      <c r="A950">
        <v>33201.477072118119</v>
      </c>
    </row>
    <row r="951" spans="1:1">
      <c r="A951">
        <v>33182.687509067458</v>
      </c>
    </row>
    <row r="952" spans="1:1">
      <c r="A952">
        <v>33177.75240405256</v>
      </c>
    </row>
    <row r="953" spans="1:1">
      <c r="A953">
        <v>33176.187080077099</v>
      </c>
    </row>
    <row r="954" spans="1:1">
      <c r="A954">
        <v>33174.78040229193</v>
      </c>
    </row>
    <row r="955" spans="1:1">
      <c r="A955">
        <v>33165.619822288529</v>
      </c>
    </row>
    <row r="956" spans="1:1">
      <c r="A956">
        <v>33163.589899500461</v>
      </c>
    </row>
    <row r="957" spans="1:1">
      <c r="A957">
        <v>33159.932786735269</v>
      </c>
    </row>
    <row r="958" spans="1:1">
      <c r="A958">
        <v>33159.807715900053</v>
      </c>
    </row>
    <row r="959" spans="1:1">
      <c r="A959">
        <v>33156.354554434314</v>
      </c>
    </row>
    <row r="960" spans="1:1">
      <c r="A960">
        <v>33156.319718594488</v>
      </c>
    </row>
    <row r="961" spans="1:1">
      <c r="A961">
        <v>33155.451963692554</v>
      </c>
    </row>
    <row r="962" spans="1:1">
      <c r="A962">
        <v>33154.762554891604</v>
      </c>
    </row>
    <row r="963" spans="1:1">
      <c r="A963">
        <v>33154.450426828633</v>
      </c>
    </row>
    <row r="964" spans="1:1">
      <c r="A964">
        <v>33154.416717412576</v>
      </c>
    </row>
    <row r="965" spans="1:1">
      <c r="A965">
        <v>33149.104589809111</v>
      </c>
    </row>
    <row r="966" spans="1:1">
      <c r="A966">
        <v>33147.278315049974</v>
      </c>
    </row>
    <row r="967" spans="1:1">
      <c r="A967">
        <v>33147.068490548889</v>
      </c>
    </row>
    <row r="968" spans="1:1">
      <c r="A968">
        <v>33137.817744335895</v>
      </c>
    </row>
    <row r="969" spans="1:1">
      <c r="A969">
        <v>33133.767988998727</v>
      </c>
    </row>
    <row r="970" spans="1:1">
      <c r="A970">
        <v>33123.817788547596</v>
      </c>
    </row>
    <row r="971" spans="1:1">
      <c r="A971">
        <v>33118.945190919701</v>
      </c>
    </row>
    <row r="972" spans="1:1">
      <c r="A972">
        <v>33115.458922764738</v>
      </c>
    </row>
    <row r="973" spans="1:1">
      <c r="A973">
        <v>33114.742100425647</v>
      </c>
    </row>
    <row r="974" spans="1:1">
      <c r="A974">
        <v>33113.097486746134</v>
      </c>
    </row>
    <row r="975" spans="1:1">
      <c r="A975">
        <v>33112.094178708874</v>
      </c>
    </row>
    <row r="976" spans="1:1">
      <c r="A976">
        <v>33106.74923960444</v>
      </c>
    </row>
    <row r="977" spans="1:1">
      <c r="A977">
        <v>33105.872914272106</v>
      </c>
    </row>
    <row r="978" spans="1:1">
      <c r="A978">
        <v>33103.788939350918</v>
      </c>
    </row>
    <row r="979" spans="1:1">
      <c r="A979">
        <v>33100.182674489537</v>
      </c>
    </row>
    <row r="980" spans="1:1">
      <c r="A980">
        <v>33098.739185939354</v>
      </c>
    </row>
    <row r="981" spans="1:1">
      <c r="A981">
        <v>33098.019440723816</v>
      </c>
    </row>
    <row r="982" spans="1:1">
      <c r="A982">
        <v>33093.81886442149</v>
      </c>
    </row>
    <row r="983" spans="1:1">
      <c r="A983">
        <v>33092.053422472163</v>
      </c>
    </row>
    <row r="984" spans="1:1">
      <c r="A984">
        <v>33090.436432511822</v>
      </c>
    </row>
    <row r="985" spans="1:1">
      <c r="A985">
        <v>33089.589083232095</v>
      </c>
    </row>
    <row r="986" spans="1:1">
      <c r="A986">
        <v>33088.298488265813</v>
      </c>
    </row>
    <row r="987" spans="1:1">
      <c r="A987">
        <v>33086.462230584002</v>
      </c>
    </row>
    <row r="988" spans="1:1">
      <c r="A988">
        <v>33084.81453935332</v>
      </c>
    </row>
    <row r="989" spans="1:1">
      <c r="A989">
        <v>33080.286793147985</v>
      </c>
    </row>
    <row r="990" spans="1:1">
      <c r="A990">
        <v>33065.150750794339</v>
      </c>
    </row>
    <row r="991" spans="1:1">
      <c r="A991">
        <v>33064.668725486175</v>
      </c>
    </row>
    <row r="992" spans="1:1">
      <c r="A992">
        <v>33061.927262573015</v>
      </c>
    </row>
    <row r="993" spans="1:1">
      <c r="A993">
        <v>33060.513079067576</v>
      </c>
    </row>
    <row r="994" spans="1:1">
      <c r="A994">
        <v>33056.241280400558</v>
      </c>
    </row>
    <row r="995" spans="1:1">
      <c r="A995">
        <v>33056.203165115359</v>
      </c>
    </row>
    <row r="996" spans="1:1">
      <c r="A996">
        <v>33055.772464765461</v>
      </c>
    </row>
    <row r="997" spans="1:1">
      <c r="A997">
        <v>33055.365644833641</v>
      </c>
    </row>
    <row r="998" spans="1:1">
      <c r="A998">
        <v>33054.355163266242</v>
      </c>
    </row>
    <row r="999" spans="1:1">
      <c r="A999">
        <v>33050.68501450574</v>
      </c>
    </row>
    <row r="1000" spans="1:1">
      <c r="A1000">
        <v>33047.085796814194</v>
      </c>
    </row>
    <row r="1001" spans="1:1">
      <c r="A1001">
        <v>33045.710738624766</v>
      </c>
    </row>
    <row r="1002" spans="1:1">
      <c r="A1002">
        <v>33042.737372238618</v>
      </c>
    </row>
    <row r="1003" spans="1:1">
      <c r="A1003">
        <v>33042.724187337088</v>
      </c>
    </row>
    <row r="1004" spans="1:1">
      <c r="A1004">
        <v>33042.322124952771</v>
      </c>
    </row>
    <row r="1005" spans="1:1">
      <c r="A1005">
        <v>33039.700607677223</v>
      </c>
    </row>
    <row r="1006" spans="1:1">
      <c r="A1006">
        <v>33033.046299697358</v>
      </c>
    </row>
    <row r="1007" spans="1:1">
      <c r="A1007">
        <v>33029.453459465447</v>
      </c>
    </row>
    <row r="1008" spans="1:1">
      <c r="A1008">
        <v>33027.33575255733</v>
      </c>
    </row>
    <row r="1009" spans="1:1">
      <c r="A1009">
        <v>33021.639687122879</v>
      </c>
    </row>
    <row r="1010" spans="1:1">
      <c r="A1010">
        <v>33019.208007279274</v>
      </c>
    </row>
    <row r="1011" spans="1:1">
      <c r="A1011">
        <v>33017.925657755331</v>
      </c>
    </row>
    <row r="1012" spans="1:1">
      <c r="A1012">
        <v>33017.001160135274</v>
      </c>
    </row>
    <row r="1013" spans="1:1">
      <c r="A1013">
        <v>33015.230233042501</v>
      </c>
    </row>
    <row r="1014" spans="1:1">
      <c r="A1014">
        <v>33014.040849004494</v>
      </c>
    </row>
    <row r="1015" spans="1:1">
      <c r="A1015">
        <v>33014.040849004494</v>
      </c>
    </row>
    <row r="1016" spans="1:1">
      <c r="A1016">
        <v>33013.310486830953</v>
      </c>
    </row>
    <row r="1017" spans="1:1">
      <c r="A1017">
        <v>33011.47192469256</v>
      </c>
    </row>
    <row r="1018" spans="1:1">
      <c r="A1018">
        <v>33007.947185490608</v>
      </c>
    </row>
    <row r="1019" spans="1:1">
      <c r="A1019">
        <v>33007.790954732365</v>
      </c>
    </row>
    <row r="1020" spans="1:1">
      <c r="A1020">
        <v>33006.852944696744</v>
      </c>
    </row>
    <row r="1021" spans="1:1">
      <c r="A1021">
        <v>33006.578798561983</v>
      </c>
    </row>
    <row r="1022" spans="1:1">
      <c r="A1022">
        <v>33004.867570345916</v>
      </c>
    </row>
    <row r="1023" spans="1:1">
      <c r="A1023">
        <v>32999.892448674909</v>
      </c>
    </row>
    <row r="1024" spans="1:1">
      <c r="A1024">
        <v>32999.361639748342</v>
      </c>
    </row>
    <row r="1025" spans="1:1">
      <c r="A1025">
        <v>32997.575319938485</v>
      </c>
    </row>
    <row r="1026" spans="1:1">
      <c r="A1026">
        <v>32997.295060269222</v>
      </c>
    </row>
    <row r="1027" spans="1:1">
      <c r="A1027">
        <v>32996.760781087629</v>
      </c>
    </row>
    <row r="1028" spans="1:1">
      <c r="A1028">
        <v>32996.314151426806</v>
      </c>
    </row>
    <row r="1029" spans="1:1">
      <c r="A1029">
        <v>32994.946114571983</v>
      </c>
    </row>
    <row r="1030" spans="1:1">
      <c r="A1030">
        <v>32994.404814055786</v>
      </c>
    </row>
    <row r="1031" spans="1:1">
      <c r="A1031">
        <v>32993.528887951696</v>
      </c>
    </row>
    <row r="1032" spans="1:1">
      <c r="A1032">
        <v>32993.029755866351</v>
      </c>
    </row>
    <row r="1033" spans="1:1">
      <c r="A1033">
        <v>32990.533658999884</v>
      </c>
    </row>
    <row r="1034" spans="1:1">
      <c r="A1034">
        <v>32989.909607288144</v>
      </c>
    </row>
    <row r="1035" spans="1:1">
      <c r="A1035">
        <v>32989.622815074756</v>
      </c>
    </row>
    <row r="1036" spans="1:1">
      <c r="A1036">
        <v>32988.913717027332</v>
      </c>
    </row>
    <row r="1037" spans="1:1">
      <c r="A1037">
        <v>32988.299800088353</v>
      </c>
    </row>
    <row r="1038" spans="1:1">
      <c r="A1038">
        <v>32987.098282339182</v>
      </c>
    </row>
    <row r="1039" spans="1:1">
      <c r="A1039">
        <v>32986.746497065025</v>
      </c>
    </row>
    <row r="1040" spans="1:1">
      <c r="A1040">
        <v>32983.568989408377</v>
      </c>
    </row>
    <row r="1041" spans="1:1">
      <c r="A1041">
        <v>32981.690635457708</v>
      </c>
    </row>
    <row r="1042" spans="1:1">
      <c r="A1042">
        <v>32981.459204676612</v>
      </c>
    </row>
    <row r="1043" spans="1:1">
      <c r="A1043">
        <v>32980.155122186996</v>
      </c>
    </row>
    <row r="1044" spans="1:1">
      <c r="A1044">
        <v>32979.462720764364</v>
      </c>
    </row>
    <row r="1045" spans="1:1">
      <c r="A1045">
        <v>32974.081851729607</v>
      </c>
    </row>
    <row r="1046" spans="1:1">
      <c r="A1046">
        <v>32972.701220708346</v>
      </c>
    </row>
    <row r="1047" spans="1:1">
      <c r="A1047">
        <v>32971.224884993586</v>
      </c>
    </row>
    <row r="1048" spans="1:1">
      <c r="A1048">
        <v>32970.223215034923</v>
      </c>
    </row>
    <row r="1049" spans="1:1">
      <c r="A1049">
        <v>32969.482462307467</v>
      </c>
    </row>
    <row r="1050" spans="1:1">
      <c r="A1050">
        <v>32968.126165038775</v>
      </c>
    </row>
    <row r="1051" spans="1:1">
      <c r="A1051">
        <v>32966.866608420431</v>
      </c>
    </row>
    <row r="1052" spans="1:1">
      <c r="A1052">
        <v>32963.715833277929</v>
      </c>
    </row>
    <row r="1053" spans="1:1">
      <c r="A1053">
        <v>32963.510994114426</v>
      </c>
    </row>
    <row r="1054" spans="1:1">
      <c r="A1054">
        <v>32961.754015593047</v>
      </c>
    </row>
    <row r="1055" spans="1:1">
      <c r="A1055">
        <v>32959.400537800553</v>
      </c>
    </row>
    <row r="1056" spans="1:1">
      <c r="A1056">
        <v>32958.028068288135</v>
      </c>
    </row>
    <row r="1057" spans="1:1">
      <c r="A1057">
        <v>32955.148407167624</v>
      </c>
    </row>
    <row r="1058" spans="1:1">
      <c r="A1058">
        <v>32950.319788741006</v>
      </c>
    </row>
    <row r="1059" spans="1:1">
      <c r="A1059">
        <v>32949.07199206217</v>
      </c>
    </row>
    <row r="1060" spans="1:1">
      <c r="A1060">
        <v>32948.371342889004</v>
      </c>
    </row>
    <row r="1061" spans="1:1">
      <c r="A1061">
        <v>32942.32817539628</v>
      </c>
    </row>
    <row r="1062" spans="1:1">
      <c r="A1062">
        <v>32940.488902942583</v>
      </c>
    </row>
    <row r="1063" spans="1:1">
      <c r="A1063">
        <v>32938.502102870494</v>
      </c>
    </row>
    <row r="1064" spans="1:1">
      <c r="A1064">
        <v>32938.472863752409</v>
      </c>
    </row>
    <row r="1065" spans="1:1">
      <c r="A1065">
        <v>32936.757877721328</v>
      </c>
    </row>
    <row r="1066" spans="1:1">
      <c r="A1066">
        <v>32936.6375039142</v>
      </c>
    </row>
    <row r="1067" spans="1:1">
      <c r="A1067">
        <v>32933.727501673246</v>
      </c>
    </row>
    <row r="1068" spans="1:1">
      <c r="A1068">
        <v>32928.709067783369</v>
      </c>
    </row>
    <row r="1069" spans="1:1">
      <c r="A1069">
        <v>32917.876770864561</v>
      </c>
    </row>
    <row r="1070" spans="1:1">
      <c r="A1070">
        <v>32910.353115895014</v>
      </c>
    </row>
    <row r="1071" spans="1:1">
      <c r="A1071">
        <v>32907.476521339391</v>
      </c>
    </row>
    <row r="1072" spans="1:1">
      <c r="A1072">
        <v>32899.216516779132</v>
      </c>
    </row>
    <row r="1073" spans="1:1">
      <c r="A1073">
        <v>32898.920581641083</v>
      </c>
    </row>
    <row r="1074" spans="1:1">
      <c r="A1074">
        <v>32897.996056983611</v>
      </c>
    </row>
    <row r="1075" spans="1:1">
      <c r="A1075">
        <v>32891.208422880911</v>
      </c>
    </row>
    <row r="1076" spans="1:1">
      <c r="A1076">
        <v>32890.870516350922</v>
      </c>
    </row>
    <row r="1077" spans="1:1">
      <c r="A1077">
        <v>32884.910400332694</v>
      </c>
    </row>
    <row r="1078" spans="1:1">
      <c r="A1078">
        <v>32883.037194721772</v>
      </c>
    </row>
    <row r="1079" spans="1:1">
      <c r="A1079">
        <v>32881.018704536007</v>
      </c>
    </row>
    <row r="1080" spans="1:1">
      <c r="A1080">
        <v>32872.673001924675</v>
      </c>
    </row>
    <row r="1081" spans="1:1">
      <c r="A1081">
        <v>32865.29825983008</v>
      </c>
    </row>
    <row r="1082" spans="1:1">
      <c r="A1082">
        <v>32862.614161843027</v>
      </c>
    </row>
    <row r="1083" spans="1:1">
      <c r="A1083">
        <v>32862.142239665816</v>
      </c>
    </row>
    <row r="1084" spans="1:1">
      <c r="A1084">
        <v>32858.648338804109</v>
      </c>
    </row>
    <row r="1085" spans="1:1">
      <c r="A1085">
        <v>32849.27124938093</v>
      </c>
    </row>
    <row r="1086" spans="1:1">
      <c r="A1086">
        <v>32846.129784887096</v>
      </c>
    </row>
    <row r="1087" spans="1:1">
      <c r="A1087">
        <v>32846.129784887096</v>
      </c>
    </row>
    <row r="1088" spans="1:1">
      <c r="A1088">
        <v>32837.928112152877</v>
      </c>
    </row>
    <row r="1089" spans="1:1">
      <c r="A1089">
        <v>32835.827746612711</v>
      </c>
    </row>
    <row r="1090" spans="1:1">
      <c r="A1090">
        <v>32835.469833231946</v>
      </c>
    </row>
    <row r="1091" spans="1:1">
      <c r="A1091">
        <v>32827.932270460864</v>
      </c>
    </row>
    <row r="1092" spans="1:1">
      <c r="A1092">
        <v>32823.759419155191</v>
      </c>
    </row>
    <row r="1093" spans="1:1">
      <c r="A1093">
        <v>32809.734756034617</v>
      </c>
    </row>
    <row r="1094" spans="1:1">
      <c r="A1094">
        <v>32808.358969470544</v>
      </c>
    </row>
    <row r="1095" spans="1:1">
      <c r="A1095">
        <v>32804.228533677895</v>
      </c>
    </row>
    <row r="1096" spans="1:1">
      <c r="A1096">
        <v>32801.389053423271</v>
      </c>
    </row>
    <row r="1097" spans="1:1">
      <c r="A1097">
        <v>32793.043350811939</v>
      </c>
    </row>
    <row r="1098" spans="1:1">
      <c r="A1098">
        <v>32792.005153722239</v>
      </c>
    </row>
    <row r="1099" spans="1:1">
      <c r="A1099">
        <v>32788.870499506273</v>
      </c>
    </row>
    <row r="1100" spans="1:1">
      <c r="A1100">
        <v>32787.132368964507</v>
      </c>
    </row>
    <row r="1101" spans="1:1">
      <c r="A1101">
        <v>32784.432090247661</v>
      </c>
    </row>
    <row r="1102" spans="1:1">
      <c r="A1102">
        <v>32783.506121097409</v>
      </c>
    </row>
    <row r="1103" spans="1:1">
      <c r="A1103">
        <v>32780.352058742406</v>
      </c>
    </row>
    <row r="1104" spans="1:1">
      <c r="A1104">
        <v>32779.277795701761</v>
      </c>
    </row>
    <row r="1105" spans="1:1">
      <c r="A1105">
        <v>32777.819620824353</v>
      </c>
    </row>
    <row r="1106" spans="1:1">
      <c r="A1106">
        <v>32776.940580491304</v>
      </c>
    </row>
    <row r="1107" spans="1:1">
      <c r="A1107">
        <v>32776.845892962279</v>
      </c>
    </row>
    <row r="1108" spans="1:1">
      <c r="A1108">
        <v>32776.37431135017</v>
      </c>
    </row>
    <row r="1109" spans="1:1">
      <c r="A1109">
        <v>32775.400442085062</v>
      </c>
    </row>
    <row r="1110" spans="1:1">
      <c r="A1110">
        <v>32773.91268820854</v>
      </c>
    </row>
    <row r="1111" spans="1:1">
      <c r="A1111">
        <v>32768.672928503438</v>
      </c>
    </row>
    <row r="1112" spans="1:1">
      <c r="A1112">
        <v>32747.210476547167</v>
      </c>
    </row>
    <row r="1113" spans="1:1">
      <c r="A1113">
        <v>32745.481694694729</v>
      </c>
    </row>
    <row r="1114" spans="1:1">
      <c r="A1114">
        <v>32730.771790447405</v>
      </c>
    </row>
    <row r="1115" spans="1:1">
      <c r="A1115">
        <v>32726.065122009473</v>
      </c>
    </row>
    <row r="1116" spans="1:1">
      <c r="A1116">
        <v>32722.468459160325</v>
      </c>
    </row>
    <row r="1117" spans="1:1">
      <c r="A1117">
        <v>32710.555679097484</v>
      </c>
    </row>
    <row r="1118" spans="1:1">
      <c r="A1118">
        <v>32703.150495089001</v>
      </c>
    </row>
    <row r="1119" spans="1:1">
      <c r="A1119">
        <v>32700.787765980625</v>
      </c>
    </row>
    <row r="1120" spans="1:1">
      <c r="A1120">
        <v>32651.679543580223</v>
      </c>
    </row>
    <row r="1121" spans="1:1">
      <c r="A1121">
        <v>32649.267577849692</v>
      </c>
    </row>
    <row r="1122" spans="1:1">
      <c r="A1122">
        <v>32647.317884351221</v>
      </c>
    </row>
    <row r="1123" spans="1:1">
      <c r="A1123">
        <v>32623.985995743642</v>
      </c>
    </row>
    <row r="1124" spans="1:1">
      <c r="A1124">
        <v>32623.016415860857</v>
      </c>
    </row>
    <row r="1125" spans="1:1">
      <c r="A1125">
        <v>32621.248086249092</v>
      </c>
    </row>
    <row r="1126" spans="1:1">
      <c r="A1126">
        <v>32620.12826891759</v>
      </c>
    </row>
    <row r="1127" spans="1:1">
      <c r="A1127">
        <v>32616.033295297137</v>
      </c>
    </row>
    <row r="1128" spans="1:1">
      <c r="A1128">
        <v>32613.382395148328</v>
      </c>
    </row>
    <row r="1129" spans="1:1">
      <c r="A1129">
        <v>32598.992989447528</v>
      </c>
    </row>
    <row r="1130" spans="1:1">
      <c r="A1130">
        <v>32598.575493887834</v>
      </c>
    </row>
    <row r="1131" spans="1:1">
      <c r="A1131">
        <v>32595.687346944571</v>
      </c>
    </row>
    <row r="1132" spans="1:1">
      <c r="A1132">
        <v>32593.273693590163</v>
      </c>
    </row>
    <row r="1133" spans="1:1">
      <c r="A1133">
        <v>32573.293911781773</v>
      </c>
    </row>
    <row r="1134" spans="1:1">
      <c r="A1134">
        <v>32571.849838310132</v>
      </c>
    </row>
    <row r="1135" spans="1:1">
      <c r="A1135">
        <v>32563.659891069216</v>
      </c>
    </row>
    <row r="1136" spans="1:1">
      <c r="A1136">
        <v>32558.724257315727</v>
      </c>
    </row>
    <row r="1137" spans="1:1">
      <c r="A1137">
        <v>32556.43952371108</v>
      </c>
    </row>
    <row r="1138" spans="1:1">
      <c r="A1138">
        <v>32554.025870356687</v>
      </c>
    </row>
    <row r="1139" spans="1:1">
      <c r="A1139">
        <v>32543.551189511083</v>
      </c>
    </row>
    <row r="1140" spans="1:1">
      <c r="A1140">
        <v>32542.107116039464</v>
      </c>
    </row>
    <row r="1141" spans="1:1">
      <c r="A1141">
        <v>32520.442222320267</v>
      </c>
    </row>
    <row r="1142" spans="1:1">
      <c r="A1142">
        <v>32515.855954050607</v>
      </c>
    </row>
    <row r="1143" spans="1:1">
      <c r="A1143">
        <v>32505.984686543638</v>
      </c>
    </row>
    <row r="1144" spans="1:1">
      <c r="A1144">
        <v>32504.099766002004</v>
      </c>
    </row>
    <row r="1145" spans="1:1">
      <c r="A1145">
        <v>32483.310052388239</v>
      </c>
    </row>
    <row r="1146" spans="1:1">
      <c r="A1146">
        <v>32475.456507708099</v>
      </c>
    </row>
    <row r="1147" spans="1:1">
      <c r="A1147">
        <v>32450.084289104205</v>
      </c>
    </row>
    <row r="1148" spans="1:1">
      <c r="A1148">
        <v>32437.375946337241</v>
      </c>
    </row>
    <row r="1149" spans="1:1">
      <c r="A1149">
        <v>32421.41465559612</v>
      </c>
    </row>
    <row r="1150" spans="1:1">
      <c r="A1150">
        <v>32419.391930006022</v>
      </c>
    </row>
    <row r="1151" spans="1:1">
      <c r="A1151">
        <v>32415.6835997575</v>
      </c>
    </row>
    <row r="1152" spans="1:1">
      <c r="A1152">
        <v>32391.368856865549</v>
      </c>
    </row>
    <row r="1153" spans="1:1">
      <c r="A1153">
        <v>32377.969151668105</v>
      </c>
    </row>
    <row r="1154" spans="1:1">
      <c r="A1154">
        <v>32377.605386290939</v>
      </c>
    </row>
    <row r="1155" spans="1:1">
      <c r="A1155">
        <v>32369.016550261225</v>
      </c>
    </row>
    <row r="1156" spans="1:1">
      <c r="A1156">
        <v>32364.70733567296</v>
      </c>
    </row>
    <row r="1157" spans="1:1">
      <c r="A1157">
        <v>32362.666911254179</v>
      </c>
    </row>
    <row r="1158" spans="1:1">
      <c r="A1158">
        <v>32358.016349071782</v>
      </c>
    </row>
    <row r="1159" spans="1:1">
      <c r="A1159">
        <v>32354.712405731421</v>
      </c>
    </row>
    <row r="1160" spans="1:1">
      <c r="A1160">
        <v>32350.366285513082</v>
      </c>
    </row>
    <row r="1161" spans="1:1">
      <c r="A1161">
        <v>32348.398029450273</v>
      </c>
    </row>
    <row r="1162" spans="1:1">
      <c r="A1162">
        <v>32338.178689097636</v>
      </c>
    </row>
    <row r="1163" spans="1:1">
      <c r="A1163">
        <v>32331.377966987955</v>
      </c>
    </row>
    <row r="1164" spans="1:1">
      <c r="A1164">
        <v>32328.541201261425</v>
      </c>
    </row>
    <row r="1165" spans="1:1">
      <c r="A1165">
        <v>32302.884898298544</v>
      </c>
    </row>
    <row r="1166" spans="1:1">
      <c r="A1166">
        <v>32289.957695942554</v>
      </c>
    </row>
    <row r="1167" spans="1:1">
      <c r="A1167">
        <v>32287.852127444345</v>
      </c>
    </row>
    <row r="1168" spans="1:1">
      <c r="A1168">
        <v>32268.207045886826</v>
      </c>
    </row>
    <row r="1169" spans="1:1">
      <c r="A1169">
        <v>32249.827622057441</v>
      </c>
    </row>
    <row r="1170" spans="1:1">
      <c r="A1170">
        <v>32241.707551049487</v>
      </c>
    </row>
    <row r="1171" spans="1:1">
      <c r="A1171">
        <v>32235.693653024813</v>
      </c>
    </row>
    <row r="1172" spans="1:1">
      <c r="A1172">
        <v>32233.004826291195</v>
      </c>
    </row>
    <row r="1173" spans="1:1">
      <c r="A1173">
        <v>32215.911449813553</v>
      </c>
    </row>
    <row r="1174" spans="1:1">
      <c r="A1174">
        <v>32209.691995356006</v>
      </c>
    </row>
    <row r="1175" spans="1:1">
      <c r="A1175">
        <v>32197.66876079858</v>
      </c>
    </row>
    <row r="1176" spans="1:1">
      <c r="A1176">
        <v>32183.668779225845</v>
      </c>
    </row>
    <row r="1177" spans="1:1">
      <c r="A1177">
        <v>32179.232220867718</v>
      </c>
    </row>
    <row r="1178" spans="1:1">
      <c r="A1178">
        <v>32177.833236346974</v>
      </c>
    </row>
    <row r="1179" spans="1:1">
      <c r="A1179">
        <v>32175.136268893497</v>
      </c>
    </row>
    <row r="1180" spans="1:1">
      <c r="A1180">
        <v>32129.018688540058</v>
      </c>
    </row>
    <row r="1181" spans="1:1">
      <c r="A1181">
        <v>32122.14994017026</v>
      </c>
    </row>
    <row r="1182" spans="1:1">
      <c r="A1182">
        <v>32102.239248236965</v>
      </c>
    </row>
    <row r="1183" spans="1:1">
      <c r="A1183">
        <v>32101.783919888905</v>
      </c>
    </row>
    <row r="1184" spans="1:1">
      <c r="A1184">
        <v>32101.735112889859</v>
      </c>
    </row>
    <row r="1185" spans="1:1">
      <c r="A1185">
        <v>32100.41578090113</v>
      </c>
    </row>
    <row r="1186" spans="1:1">
      <c r="A1186">
        <v>32094.800514819439</v>
      </c>
    </row>
    <row r="1187" spans="1:1">
      <c r="A1187">
        <v>32086.843488419807</v>
      </c>
    </row>
    <row r="1188" spans="1:1">
      <c r="A1188">
        <v>32086.272686991455</v>
      </c>
    </row>
    <row r="1189" spans="1:1">
      <c r="A1189">
        <v>32066.807594760467</v>
      </c>
    </row>
    <row r="1190" spans="1:1">
      <c r="A1190">
        <v>32061.663325571208</v>
      </c>
    </row>
    <row r="1191" spans="1:1">
      <c r="A1191">
        <v>32049.861925769135</v>
      </c>
    </row>
    <row r="1192" spans="1:1">
      <c r="A1192">
        <v>32043.611188116651</v>
      </c>
    </row>
    <row r="1193" spans="1:1">
      <c r="A1193">
        <v>32043.312960625553</v>
      </c>
    </row>
    <row r="1194" spans="1:1">
      <c r="A1194">
        <v>32032.791871432382</v>
      </c>
    </row>
    <row r="1195" spans="1:1">
      <c r="A1195">
        <v>32032.460676671129</v>
      </c>
    </row>
    <row r="1196" spans="1:1">
      <c r="A1196">
        <v>32030.506820202791</v>
      </c>
    </row>
    <row r="1197" spans="1:1">
      <c r="A1197">
        <v>32020.446974982162</v>
      </c>
    </row>
    <row r="1198" spans="1:1">
      <c r="A1198">
        <v>32020.446974982162</v>
      </c>
    </row>
    <row r="1199" spans="1:1">
      <c r="A1199">
        <v>32019.693941145215</v>
      </c>
    </row>
    <row r="1200" spans="1:1">
      <c r="A1200">
        <v>32014.832048821681</v>
      </c>
    </row>
    <row r="1201" spans="1:1">
      <c r="A1201">
        <v>32012.643741038326</v>
      </c>
    </row>
    <row r="1202" spans="1:1">
      <c r="A1202">
        <v>32011.457903181632</v>
      </c>
    </row>
    <row r="1203" spans="1:1">
      <c r="A1203">
        <v>32006.30422099369</v>
      </c>
    </row>
    <row r="1204" spans="1:1">
      <c r="A1204">
        <v>31986.258673289918</v>
      </c>
    </row>
    <row r="1205" spans="1:1">
      <c r="A1205">
        <v>31985.660694880378</v>
      </c>
    </row>
    <row r="1206" spans="1:1">
      <c r="A1206">
        <v>31983.881158332468</v>
      </c>
    </row>
    <row r="1207" spans="1:1">
      <c r="A1207">
        <v>31980.108360419388</v>
      </c>
    </row>
    <row r="1208" spans="1:1">
      <c r="A1208">
        <v>31978.620613735889</v>
      </c>
    </row>
    <row r="1209" spans="1:1">
      <c r="A1209">
        <v>31977.53151932541</v>
      </c>
    </row>
    <row r="1210" spans="1:1">
      <c r="A1210">
        <v>31971.347819507384</v>
      </c>
    </row>
    <row r="1211" spans="1:1">
      <c r="A1211">
        <v>31969.295481361816</v>
      </c>
    </row>
    <row r="1212" spans="1:1">
      <c r="A1212">
        <v>31962.158099137905</v>
      </c>
    </row>
    <row r="1213" spans="1:1">
      <c r="A1213">
        <v>31959.571696714709</v>
      </c>
    </row>
    <row r="1214" spans="1:1">
      <c r="A1214">
        <v>31957.393507893776</v>
      </c>
    </row>
    <row r="1215" spans="1:1">
      <c r="A1215">
        <v>31956.536271862336</v>
      </c>
    </row>
    <row r="1216" spans="1:1">
      <c r="A1216">
        <v>31936.059539643029</v>
      </c>
    </row>
    <row r="1217" spans="1:1">
      <c r="A1217">
        <v>31935.860213506505</v>
      </c>
    </row>
    <row r="1218" spans="1:1">
      <c r="A1218">
        <v>31935.829510191354</v>
      </c>
    </row>
    <row r="1219" spans="1:1">
      <c r="A1219">
        <v>31921.473862672363</v>
      </c>
    </row>
    <row r="1220" spans="1:1">
      <c r="A1220">
        <v>31920.565438019908</v>
      </c>
    </row>
    <row r="1221" spans="1:1">
      <c r="A1221">
        <v>31913.835803118327</v>
      </c>
    </row>
    <row r="1222" spans="1:1">
      <c r="A1222">
        <v>31899.050800011151</v>
      </c>
    </row>
    <row r="1223" spans="1:1">
      <c r="A1223">
        <v>31896.075306644136</v>
      </c>
    </row>
    <row r="1224" spans="1:1">
      <c r="A1224">
        <v>31895.676654371109</v>
      </c>
    </row>
    <row r="1225" spans="1:1">
      <c r="A1225">
        <v>31887.839268680535</v>
      </c>
    </row>
    <row r="1226" spans="1:1">
      <c r="A1226">
        <v>31887.687819020859</v>
      </c>
    </row>
    <row r="1227" spans="1:1">
      <c r="A1227">
        <v>31883.575354766544</v>
      </c>
    </row>
    <row r="1228" spans="1:1">
      <c r="A1228">
        <v>31882.977376356997</v>
      </c>
    </row>
    <row r="1229" spans="1:1">
      <c r="A1229">
        <v>31881.489629673488</v>
      </c>
    </row>
    <row r="1230" spans="1:1">
      <c r="A1230">
        <v>31874.591453464374</v>
      </c>
    </row>
    <row r="1231" spans="1:1">
      <c r="A1231">
        <v>31872.630875518716</v>
      </c>
    </row>
    <row r="1232" spans="1:1">
      <c r="A1232">
        <v>31872.630875518716</v>
      </c>
    </row>
    <row r="1233" spans="1:1">
      <c r="A1233">
        <v>31871.370608236313</v>
      </c>
    </row>
    <row r="1234" spans="1:1">
      <c r="A1234">
        <v>31867.428489644262</v>
      </c>
    </row>
    <row r="1235" spans="1:1">
      <c r="A1235">
        <v>31867.428489644262</v>
      </c>
    </row>
    <row r="1236" spans="1:1">
      <c r="A1236">
        <v>31861.550944378367</v>
      </c>
    </row>
    <row r="1237" spans="1:1">
      <c r="A1237">
        <v>31859.664545421823</v>
      </c>
    </row>
    <row r="1238" spans="1:1">
      <c r="A1238">
        <v>31858.376124874838</v>
      </c>
    </row>
    <row r="1239" spans="1:1">
      <c r="A1239">
        <v>31852.026485867777</v>
      </c>
    </row>
    <row r="1240" spans="1:1">
      <c r="A1240">
        <v>31850.67738526683</v>
      </c>
    </row>
    <row r="1241" spans="1:1">
      <c r="A1241">
        <v>31847.535969681787</v>
      </c>
    </row>
    <row r="1242" spans="1:1">
      <c r="A1242">
        <v>31847.535969681787</v>
      </c>
    </row>
    <row r="1243" spans="1:1">
      <c r="A1243">
        <v>31847.535969681787</v>
      </c>
    </row>
    <row r="1244" spans="1:1">
      <c r="A1244">
        <v>31847.535969681787</v>
      </c>
    </row>
    <row r="1245" spans="1:1">
      <c r="A1245">
        <v>31847.287177872175</v>
      </c>
    </row>
    <row r="1246" spans="1:1">
      <c r="A1246">
        <v>31847.168312811125</v>
      </c>
    </row>
    <row r="1247" spans="1:1">
      <c r="A1247">
        <v>31842.380742494064</v>
      </c>
    </row>
    <row r="1248" spans="1:1">
      <c r="A1248">
        <v>31840.61562840065</v>
      </c>
    </row>
    <row r="1249" spans="1:1">
      <c r="A1249">
        <v>31837.143520865542</v>
      </c>
    </row>
    <row r="1250" spans="1:1">
      <c r="A1250">
        <v>31835.673341991918</v>
      </c>
    </row>
    <row r="1251" spans="1:1">
      <c r="A1251">
        <v>31835.656487811335</v>
      </c>
    </row>
    <row r="1252" spans="1:1">
      <c r="A1252">
        <v>31835.656487811335</v>
      </c>
    </row>
    <row r="1253" spans="1:1">
      <c r="A1253">
        <v>31835.656487811335</v>
      </c>
    </row>
    <row r="1254" spans="1:1">
      <c r="A1254">
        <v>31835.487770569453</v>
      </c>
    </row>
    <row r="1255" spans="1:1">
      <c r="A1255">
        <v>31833.735795571549</v>
      </c>
    </row>
    <row r="1256" spans="1:1">
      <c r="A1256">
        <v>31833.735795571549</v>
      </c>
    </row>
    <row r="1257" spans="1:1">
      <c r="A1257">
        <v>31833.41149404215</v>
      </c>
    </row>
    <row r="1258" spans="1:1">
      <c r="A1258">
        <v>31833.41149404215</v>
      </c>
    </row>
    <row r="1259" spans="1:1">
      <c r="A1259">
        <v>31832.977568846625</v>
      </c>
    </row>
    <row r="1260" spans="1:1">
      <c r="A1260">
        <v>31823.453110336028</v>
      </c>
    </row>
    <row r="1261" spans="1:1">
      <c r="A1261">
        <v>31819.559934431447</v>
      </c>
    </row>
    <row r="1262" spans="1:1">
      <c r="A1262">
        <v>31817.067596195997</v>
      </c>
    </row>
    <row r="1263" spans="1:1">
      <c r="A1263">
        <v>31817.067596195997</v>
      </c>
    </row>
    <row r="1264" spans="1:1">
      <c r="A1264">
        <v>31815.458837714887</v>
      </c>
    </row>
    <row r="1265" spans="1:1">
      <c r="A1265">
        <v>31812.589968012104</v>
      </c>
    </row>
    <row r="1266" spans="1:1">
      <c r="A1266">
        <v>31812.466669981157</v>
      </c>
    </row>
    <row r="1267" spans="1:1">
      <c r="A1267">
        <v>31812.048615028598</v>
      </c>
    </row>
    <row r="1268" spans="1:1">
      <c r="A1268">
        <v>31810.953158458426</v>
      </c>
    </row>
    <row r="1269" spans="1:1">
      <c r="A1269">
        <v>31810.75383232192</v>
      </c>
    </row>
    <row r="1270" spans="1:1">
      <c r="A1270">
        <v>31810.688522331373</v>
      </c>
    </row>
    <row r="1271" spans="1:1">
      <c r="A1271">
        <v>31810.688522331373</v>
      </c>
    </row>
    <row r="1272" spans="1:1">
      <c r="A1272">
        <v>31810.688522331373</v>
      </c>
    </row>
    <row r="1273" spans="1:1">
      <c r="A1273">
        <v>31810.007322600391</v>
      </c>
    </row>
    <row r="1274" spans="1:1">
      <c r="A1274">
        <v>31807.770176479375</v>
      </c>
    </row>
    <row r="1275" spans="1:1">
      <c r="A1275">
        <v>31805.891939998368</v>
      </c>
    </row>
    <row r="1276" spans="1:1">
      <c r="A1276">
        <v>31805.574723520022</v>
      </c>
    </row>
    <row r="1277" spans="1:1">
      <c r="A1277">
        <v>31802.010652693836</v>
      </c>
    </row>
    <row r="1278" spans="1:1">
      <c r="A1278">
        <v>31802.010652693836</v>
      </c>
    </row>
    <row r="1279" spans="1:1">
      <c r="A1279">
        <v>31798.866711461964</v>
      </c>
    </row>
    <row r="1280" spans="1:1">
      <c r="A1280">
        <v>31796.566807624295</v>
      </c>
    </row>
    <row r="1281" spans="1:1">
      <c r="A1281">
        <v>31789.609662242008</v>
      </c>
    </row>
    <row r="1282" spans="1:1">
      <c r="A1282">
        <v>31789.609662242008</v>
      </c>
    </row>
    <row r="1283" spans="1:1">
      <c r="A1283">
        <v>31783.35958864159</v>
      </c>
    </row>
    <row r="1284" spans="1:1">
      <c r="A1284">
        <v>31781.290688516208</v>
      </c>
    </row>
    <row r="1285" spans="1:1">
      <c r="A1285">
        <v>31780.692710106654</v>
      </c>
    </row>
    <row r="1286" spans="1:1">
      <c r="A1286">
        <v>31778.173488492481</v>
      </c>
    </row>
    <row r="1287" spans="1:1">
      <c r="A1287">
        <v>31777.916542876152</v>
      </c>
    </row>
    <row r="1288" spans="1:1">
      <c r="A1288">
        <v>31776.915746856892</v>
      </c>
    </row>
    <row r="1289" spans="1:1">
      <c r="A1289">
        <v>31776.809997089222</v>
      </c>
    </row>
    <row r="1290" spans="1:1">
      <c r="A1290">
        <v>31776.628122329166</v>
      </c>
    </row>
    <row r="1291" spans="1:1">
      <c r="A1291">
        <v>31770.519737000497</v>
      </c>
    </row>
    <row r="1292" spans="1:1">
      <c r="A1292">
        <v>31770.010660626322</v>
      </c>
    </row>
    <row r="1293" spans="1:1">
      <c r="A1293">
        <v>31768.591410502093</v>
      </c>
    </row>
    <row r="1294" spans="1:1">
      <c r="A1294">
        <v>31767.828752560279</v>
      </c>
    </row>
    <row r="1295" spans="1:1">
      <c r="A1295">
        <v>31767.828752560279</v>
      </c>
    </row>
    <row r="1296" spans="1:1">
      <c r="A1296">
        <v>31767.828752560279</v>
      </c>
    </row>
    <row r="1297" spans="1:1">
      <c r="A1297">
        <v>31766.207747204415</v>
      </c>
    </row>
    <row r="1298" spans="1:1">
      <c r="A1298">
        <v>31763.230046490266</v>
      </c>
    </row>
    <row r="1299" spans="1:1">
      <c r="A1299">
        <v>31751.820841019962</v>
      </c>
    </row>
    <row r="1300" spans="1:1">
      <c r="A1300">
        <v>31747.15634633405</v>
      </c>
    </row>
    <row r="1301" spans="1:1">
      <c r="A1301">
        <v>31746.766326250425</v>
      </c>
    </row>
    <row r="1302" spans="1:1">
      <c r="A1302">
        <v>31742.73154966081</v>
      </c>
    </row>
    <row r="1303" spans="1:1">
      <c r="A1303">
        <v>31741.705107790349</v>
      </c>
    </row>
    <row r="1304" spans="1:1">
      <c r="A1304">
        <v>31738.928940559861</v>
      </c>
    </row>
    <row r="1305" spans="1:1">
      <c r="A1305">
        <v>31736.858474552391</v>
      </c>
    </row>
    <row r="1306" spans="1:1">
      <c r="A1306">
        <v>31736.858474552391</v>
      </c>
    </row>
    <row r="1307" spans="1:1">
      <c r="A1307">
        <v>31733.469069826748</v>
      </c>
    </row>
    <row r="1308" spans="1:1">
      <c r="A1308">
        <v>31731.781997006743</v>
      </c>
    </row>
    <row r="1309" spans="1:1">
      <c r="A1309">
        <v>31725.631684136206</v>
      </c>
    </row>
    <row r="1310" spans="1:1">
      <c r="A1310">
        <v>31723.462832674508</v>
      </c>
    </row>
    <row r="1311" spans="1:1">
      <c r="A1311">
        <v>31723.462832674508</v>
      </c>
    </row>
    <row r="1312" spans="1:1">
      <c r="A1312">
        <v>31723.254169178748</v>
      </c>
    </row>
    <row r="1313" spans="1:1">
      <c r="A1313">
        <v>31718.57795535745</v>
      </c>
    </row>
    <row r="1314" spans="1:1">
      <c r="A1314">
        <v>31718.57795535745</v>
      </c>
    </row>
    <row r="1315" spans="1:1">
      <c r="A1315">
        <v>31717.794298445646</v>
      </c>
    </row>
    <row r="1316" spans="1:1">
      <c r="A1316">
        <v>31715.917577837579</v>
      </c>
    </row>
    <row r="1317" spans="1:1">
      <c r="A1317">
        <v>31715.036874387682</v>
      </c>
    </row>
    <row r="1318" spans="1:1">
      <c r="A1318">
        <v>31713.99720891604</v>
      </c>
    </row>
    <row r="1319" spans="1:1">
      <c r="A1319">
        <v>31713.99720891604</v>
      </c>
    </row>
    <row r="1320" spans="1:1">
      <c r="A1320">
        <v>31713.99720891604</v>
      </c>
    </row>
    <row r="1321" spans="1:1">
      <c r="A1321">
        <v>31707.871187662018</v>
      </c>
    </row>
    <row r="1322" spans="1:1">
      <c r="A1322">
        <v>31705.692998841081</v>
      </c>
    </row>
    <row r="1323" spans="1:1">
      <c r="A1323">
        <v>31705.252212483065</v>
      </c>
    </row>
    <row r="1324" spans="1:1">
      <c r="A1324">
        <v>31702.134480799687</v>
      </c>
    </row>
    <row r="1325" spans="1:1">
      <c r="A1325">
        <v>31700.140664380095</v>
      </c>
    </row>
    <row r="1326" spans="1:1">
      <c r="A1326">
        <v>31697.656287014001</v>
      </c>
    </row>
    <row r="1327" spans="1:1">
      <c r="A1327">
        <v>31694.952481722241</v>
      </c>
    </row>
    <row r="1328" spans="1:1">
      <c r="A1328">
        <v>31694.903467722444</v>
      </c>
    </row>
    <row r="1329" spans="1:1">
      <c r="A1329">
        <v>31691.797764007861</v>
      </c>
    </row>
    <row r="1330" spans="1:1">
      <c r="A1330">
        <v>31689.619575186905</v>
      </c>
    </row>
    <row r="1331" spans="1:1">
      <c r="A1331">
        <v>31685.796417395155</v>
      </c>
    </row>
    <row r="1332" spans="1:1">
      <c r="A1332">
        <v>31684.757682863368</v>
      </c>
    </row>
    <row r="1333" spans="1:1">
      <c r="A1333">
        <v>31675.631876625823</v>
      </c>
    </row>
    <row r="1334" spans="1:1">
      <c r="A1334">
        <v>31670.570658165736</v>
      </c>
    </row>
    <row r="1335" spans="1:1">
      <c r="A1335">
        <v>31669.846990890452</v>
      </c>
    </row>
    <row r="1336" spans="1:1">
      <c r="A1336">
        <v>31669.846990890452</v>
      </c>
    </row>
    <row r="1337" spans="1:1">
      <c r="A1337">
        <v>31669.846990890452</v>
      </c>
    </row>
    <row r="1338" spans="1:1">
      <c r="A1338">
        <v>31669.846990890452</v>
      </c>
    </row>
    <row r="1339" spans="1:1">
      <c r="A1339">
        <v>31662.932598611722</v>
      </c>
    </row>
    <row r="1340" spans="1:1">
      <c r="A1340">
        <v>31654.404770783702</v>
      </c>
    </row>
    <row r="1341" spans="1:1">
      <c r="A1341">
        <v>31653.806792374158</v>
      </c>
    </row>
    <row r="1342" spans="1:1">
      <c r="A1342">
        <v>31652.319045690656</v>
      </c>
    </row>
    <row r="1343" spans="1:1">
      <c r="A1343">
        <v>31647.076847960816</v>
      </c>
    </row>
    <row r="1344" spans="1:1">
      <c r="A1344">
        <v>31645.403365261955</v>
      </c>
    </row>
    <row r="1345" spans="1:1">
      <c r="A1345">
        <v>31626.32902295349</v>
      </c>
    </row>
    <row r="1346" spans="1:1">
      <c r="A1346">
        <v>31623.912351300325</v>
      </c>
    </row>
    <row r="1347" spans="1:1">
      <c r="A1347">
        <v>31619.439205302966</v>
      </c>
    </row>
    <row r="1348" spans="1:1">
      <c r="A1348">
        <v>31612.245120424188</v>
      </c>
    </row>
    <row r="1349" spans="1:1">
      <c r="A1349">
        <v>31599.025440580717</v>
      </c>
    </row>
    <row r="1350" spans="1:1">
      <c r="A1350">
        <v>31597.020280277418</v>
      </c>
    </row>
    <row r="1351" spans="1:1">
      <c r="A1351">
        <v>31586.502744774669</v>
      </c>
    </row>
    <row r="1352" spans="1:1">
      <c r="A1352">
        <v>31569.772242989227</v>
      </c>
    </row>
    <row r="1353" spans="1:1">
      <c r="A1353">
        <v>31561.454043140744</v>
      </c>
    </row>
    <row r="1354" spans="1:1">
      <c r="A1354">
        <v>31557.303507218392</v>
      </c>
    </row>
    <row r="1355" spans="1:1">
      <c r="A1355">
        <v>31554.079952714739</v>
      </c>
    </row>
    <row r="1356" spans="1:1">
      <c r="A1356">
        <v>31547.920885867519</v>
      </c>
    </row>
    <row r="1357" spans="1:1">
      <c r="A1357">
        <v>31536.404933523194</v>
      </c>
    </row>
    <row r="1358" spans="1:1">
      <c r="A1358">
        <v>31528.519554266488</v>
      </c>
    </row>
    <row r="1359" spans="1:1">
      <c r="A1359">
        <v>31519.332636803272</v>
      </c>
    </row>
    <row r="1360" spans="1:1">
      <c r="A1360">
        <v>31511.981367441083</v>
      </c>
    </row>
    <row r="1361" spans="1:1">
      <c r="A1361">
        <v>31509.024350570089</v>
      </c>
    </row>
    <row r="1362" spans="1:1">
      <c r="A1362">
        <v>31505.949884812399</v>
      </c>
    </row>
    <row r="1363" spans="1:1">
      <c r="A1363">
        <v>31484.086879028382</v>
      </c>
    </row>
    <row r="1364" spans="1:1">
      <c r="A1364">
        <v>31470.598111735137</v>
      </c>
    </row>
    <row r="1365" spans="1:1">
      <c r="A1365">
        <v>31467.441237451982</v>
      </c>
    </row>
    <row r="1366" spans="1:1">
      <c r="A1366">
        <v>31419.255654509194</v>
      </c>
    </row>
    <row r="1367" spans="1:1">
      <c r="A1367">
        <v>31406.870391445613</v>
      </c>
    </row>
    <row r="1368" spans="1:1">
      <c r="A1368">
        <v>31403.455932101628</v>
      </c>
    </row>
    <row r="1369" spans="1:1">
      <c r="A1369">
        <v>31402.181027458493</v>
      </c>
    </row>
    <row r="1370" spans="1:1">
      <c r="A1370">
        <v>31385.639891728577</v>
      </c>
    </row>
    <row r="1371" spans="1:1">
      <c r="A1371">
        <v>31378.469242772586</v>
      </c>
    </row>
    <row r="1372" spans="1:1">
      <c r="A1372">
        <v>31375.97162591065</v>
      </c>
    </row>
    <row r="1373" spans="1:1">
      <c r="A1373">
        <v>31362.93646700825</v>
      </c>
    </row>
    <row r="1374" spans="1:1">
      <c r="A1374">
        <v>31348.159873204495</v>
      </c>
    </row>
    <row r="1375" spans="1:1">
      <c r="A1375">
        <v>31345.700223370106</v>
      </c>
    </row>
    <row r="1376" spans="1:1">
      <c r="A1376">
        <v>31241.553486103876</v>
      </c>
    </row>
    <row r="1377" spans="1:1">
      <c r="A1377">
        <v>31234.835996867376</v>
      </c>
    </row>
    <row r="1378" spans="1:1">
      <c r="A1378">
        <v>31223.306309781587</v>
      </c>
    </row>
    <row r="1379" spans="1:1">
      <c r="A1379">
        <v>31221.89797267806</v>
      </c>
    </row>
    <row r="1380" spans="1:1">
      <c r="A1380">
        <v>31206.170660866042</v>
      </c>
    </row>
    <row r="1381" spans="1:1">
      <c r="A1381">
        <v>31191.508318642205</v>
      </c>
    </row>
    <row r="1382" spans="1:1">
      <c r="A1382">
        <v>31187.466544685951</v>
      </c>
    </row>
    <row r="1383" spans="1:1">
      <c r="A1383">
        <v>31139.642313096927</v>
      </c>
    </row>
    <row r="1384" spans="1:1">
      <c r="A1384">
        <v>31109.2122774585</v>
      </c>
    </row>
    <row r="1385" spans="1:1">
      <c r="A1385">
        <v>31095.904674607806</v>
      </c>
    </row>
    <row r="1386" spans="1:1">
      <c r="A1386">
        <v>31008.223221690318</v>
      </c>
    </row>
    <row r="1387" spans="1:1">
      <c r="A1387">
        <v>30970.098525067504</v>
      </c>
    </row>
    <row r="1388" spans="1:1">
      <c r="A1388">
        <v>30949.086671127887</v>
      </c>
    </row>
    <row r="1389" spans="1:1">
      <c r="A1389">
        <v>30945.650868071269</v>
      </c>
    </row>
    <row r="1390" spans="1:1">
      <c r="A1390">
        <v>30938.475391602646</v>
      </c>
    </row>
    <row r="1391" spans="1:1">
      <c r="A1391">
        <v>30922.941821956949</v>
      </c>
    </row>
    <row r="1392" spans="1:1">
      <c r="A1392">
        <v>30919.293926220973</v>
      </c>
    </row>
    <row r="1393" spans="1:1">
      <c r="A1393">
        <v>30917.999012118264</v>
      </c>
    </row>
    <row r="1394" spans="1:1">
      <c r="A1394">
        <v>30909.748546579311</v>
      </c>
    </row>
    <row r="1395" spans="1:1">
      <c r="A1395">
        <v>30904.719410764897</v>
      </c>
    </row>
    <row r="1396" spans="1:1">
      <c r="A1396">
        <v>30902.526002292085</v>
      </c>
    </row>
    <row r="1397" spans="1:1">
      <c r="A1397">
        <v>30900.040194583809</v>
      </c>
    </row>
    <row r="1398" spans="1:1">
      <c r="A1398">
        <v>30895.923893846473</v>
      </c>
    </row>
    <row r="1399" spans="1:1">
      <c r="A1399">
        <v>30895.077873324597</v>
      </c>
    </row>
    <row r="1400" spans="1:1">
      <c r="A1400">
        <v>30894.040703294464</v>
      </c>
    </row>
    <row r="1401" spans="1:1">
      <c r="A1401">
        <v>30891.780075024013</v>
      </c>
    </row>
    <row r="1402" spans="1:1">
      <c r="A1402">
        <v>30888.807784238612</v>
      </c>
    </row>
    <row r="1403" spans="1:1">
      <c r="A1403">
        <v>30885.245186376022</v>
      </c>
    </row>
    <row r="1404" spans="1:1">
      <c r="A1404">
        <v>30884.733653879957</v>
      </c>
    </row>
    <row r="1405" spans="1:1">
      <c r="A1405">
        <v>30882.099241113629</v>
      </c>
    </row>
    <row r="1406" spans="1:1">
      <c r="A1406">
        <v>30874.363796084857</v>
      </c>
    </row>
    <row r="1407" spans="1:1">
      <c r="A1407">
        <v>30873.935101550385</v>
      </c>
    </row>
    <row r="1408" spans="1:1">
      <c r="A1408">
        <v>30871.025117411307</v>
      </c>
    </row>
    <row r="1409" spans="1:1">
      <c r="A1409">
        <v>30866.701615749582</v>
      </c>
    </row>
    <row r="1410" spans="1:1">
      <c r="A1410">
        <v>30860.622099662432</v>
      </c>
    </row>
    <row r="1411" spans="1:1">
      <c r="A1411">
        <v>30858.034114696486</v>
      </c>
    </row>
    <row r="1412" spans="1:1">
      <c r="A1412">
        <v>30854.344290157263</v>
      </c>
    </row>
    <row r="1413" spans="1:1">
      <c r="A1413">
        <v>30839.316222263114</v>
      </c>
    </row>
    <row r="1414" spans="1:1">
      <c r="A1414">
        <v>30833.205026725136</v>
      </c>
    </row>
    <row r="1415" spans="1:1">
      <c r="A1415">
        <v>30831.718881332432</v>
      </c>
    </row>
    <row r="1416" spans="1:1">
      <c r="A1416">
        <v>30827.16043179487</v>
      </c>
    </row>
    <row r="1417" spans="1:1">
      <c r="A1417">
        <v>30826.15860558108</v>
      </c>
    </row>
    <row r="1418" spans="1:1">
      <c r="A1418">
        <v>30816.139893651634</v>
      </c>
    </row>
    <row r="1419" spans="1:1">
      <c r="A1419">
        <v>30807.991632934347</v>
      </c>
    </row>
    <row r="1420" spans="1:1">
      <c r="A1420">
        <v>30801.987052058183</v>
      </c>
    </row>
    <row r="1421" spans="1:1">
      <c r="A1421">
        <v>30794.834016252324</v>
      </c>
    </row>
    <row r="1422" spans="1:1">
      <c r="A1422">
        <v>30771.834120198844</v>
      </c>
    </row>
    <row r="1423" spans="1:1">
      <c r="A1423">
        <v>30770.582307002034</v>
      </c>
    </row>
    <row r="1424" spans="1:1">
      <c r="A1424">
        <v>30770.261147567668</v>
      </c>
    </row>
    <row r="1425" spans="1:1">
      <c r="A1425">
        <v>30764.611266496817</v>
      </c>
    </row>
    <row r="1426" spans="1:1">
      <c r="A1426">
        <v>30756.463005779508</v>
      </c>
    </row>
    <row r="1427" spans="1:1">
      <c r="A1427">
        <v>30755.82700050679</v>
      </c>
    </row>
    <row r="1428" spans="1:1">
      <c r="A1428">
        <v>30753.312432599574</v>
      </c>
    </row>
    <row r="1429" spans="1:1">
      <c r="A1429">
        <v>30750.235341495754</v>
      </c>
    </row>
    <row r="1430" spans="1:1">
      <c r="A1430">
        <v>30748.593514705983</v>
      </c>
    </row>
    <row r="1431" spans="1:1">
      <c r="A1431">
        <v>30739.782178525464</v>
      </c>
    </row>
    <row r="1432" spans="1:1">
      <c r="A1432">
        <v>30737.745113346133</v>
      </c>
    </row>
    <row r="1433" spans="1:1">
      <c r="A1433">
        <v>30735.323742347362</v>
      </c>
    </row>
    <row r="1434" spans="1:1">
      <c r="A1434">
        <v>30734.221902774123</v>
      </c>
    </row>
    <row r="1435" spans="1:1">
      <c r="A1435">
        <v>30726.24025602399</v>
      </c>
    </row>
    <row r="1436" spans="1:1">
      <c r="A1436">
        <v>30724.40037242349</v>
      </c>
    </row>
    <row r="1437" spans="1:1">
      <c r="A1437">
        <v>30723.652271058058</v>
      </c>
    </row>
    <row r="1438" spans="1:1">
      <c r="A1438">
        <v>30709.091577005711</v>
      </c>
    </row>
    <row r="1439" spans="1:1">
      <c r="A1439">
        <v>30706.820280100204</v>
      </c>
    </row>
    <row r="1440" spans="1:1">
      <c r="A1440">
        <v>30702.897313445355</v>
      </c>
    </row>
    <row r="1441" spans="1:1">
      <c r="A1441">
        <v>30698.024763181777</v>
      </c>
    </row>
    <row r="1442" spans="1:1">
      <c r="A1442">
        <v>30697.887957480641</v>
      </c>
    </row>
    <row r="1443" spans="1:1">
      <c r="A1443">
        <v>30697.337037694007</v>
      </c>
    </row>
    <row r="1444" spans="1:1">
      <c r="A1444">
        <v>30696.772949984974</v>
      </c>
    </row>
    <row r="1445" spans="1:1">
      <c r="A1445">
        <v>30695.499253761009</v>
      </c>
    </row>
    <row r="1446" spans="1:1">
      <c r="A1446">
        <v>30693.813827121969</v>
      </c>
    </row>
    <row r="1447" spans="1:1">
      <c r="A1447">
        <v>30693.616063208992</v>
      </c>
    </row>
    <row r="1448" spans="1:1">
      <c r="A1448">
        <v>30689.940178787227</v>
      </c>
    </row>
    <row r="1449" spans="1:1">
      <c r="A1449">
        <v>30687.70263158399</v>
      </c>
    </row>
    <row r="1450" spans="1:1">
      <c r="A1450">
        <v>30686.767405977942</v>
      </c>
    </row>
    <row r="1451" spans="1:1">
      <c r="A1451">
        <v>30668.600433331187</v>
      </c>
    </row>
    <row r="1452" spans="1:1">
      <c r="A1452">
        <v>30668.481325650508</v>
      </c>
    </row>
    <row r="1453" spans="1:1">
      <c r="A1453">
        <v>30662.510594560103</v>
      </c>
    </row>
    <row r="1454" spans="1:1">
      <c r="A1454">
        <v>30656.378042255234</v>
      </c>
    </row>
    <row r="1455" spans="1:1">
      <c r="A1455">
        <v>30650.266846717255</v>
      </c>
    </row>
    <row r="1456" spans="1:1">
      <c r="A1456">
        <v>30650.258914458449</v>
      </c>
    </row>
    <row r="1457" spans="1:1">
      <c r="A1457">
        <v>30646.743636145231</v>
      </c>
    </row>
    <row r="1458" spans="1:1">
      <c r="A1458">
        <v>30644.312733539762</v>
      </c>
    </row>
    <row r="1459" spans="1:1">
      <c r="A1459">
        <v>30637.065639080804</v>
      </c>
    </row>
    <row r="1460" spans="1:1">
      <c r="A1460">
        <v>30632.036503266405</v>
      </c>
    </row>
    <row r="1461" spans="1:1">
      <c r="A1461">
        <v>30631.416067424776</v>
      </c>
    </row>
    <row r="1462" spans="1:1">
      <c r="A1462">
        <v>30624.813958979164</v>
      </c>
    </row>
    <row r="1463" spans="1:1">
      <c r="A1463">
        <v>30621.740465100425</v>
      </c>
    </row>
    <row r="1464" spans="1:1">
      <c r="A1464">
        <v>30620.726418440754</v>
      </c>
    </row>
    <row r="1465" spans="1:1">
      <c r="A1465">
        <v>30617.43000508807</v>
      </c>
    </row>
    <row r="1466" spans="1:1">
      <c r="A1466">
        <v>30606.912707221505</v>
      </c>
    </row>
    <row r="1467" spans="1:1">
      <c r="A1467">
        <v>30606.732532336016</v>
      </c>
    </row>
    <row r="1468" spans="1:1">
      <c r="A1468">
        <v>30603.531945412164</v>
      </c>
    </row>
    <row r="1469" spans="1:1">
      <c r="A1469">
        <v>30600.784713856166</v>
      </c>
    </row>
    <row r="1470" spans="1:1">
      <c r="A1470">
        <v>30582.433812544208</v>
      </c>
    </row>
    <row r="1471" spans="1:1">
      <c r="A1471">
        <v>30579.090987801967</v>
      </c>
    </row>
    <row r="1472" spans="1:1">
      <c r="A1472">
        <v>30577.900063530957</v>
      </c>
    </row>
    <row r="1473" spans="1:1">
      <c r="A1473">
        <v>30576.607571024735</v>
      </c>
    </row>
    <row r="1474" spans="1:1">
      <c r="A1474">
        <v>30574.947656267803</v>
      </c>
    </row>
    <row r="1475" spans="1:1">
      <c r="A1475">
        <v>30572.249983437046</v>
      </c>
    </row>
    <row r="1476" spans="1:1">
      <c r="A1476">
        <v>30571.92158905396</v>
      </c>
    </row>
    <row r="1477" spans="1:1">
      <c r="A1477">
        <v>30570.479985787384</v>
      </c>
    </row>
    <row r="1478" spans="1:1">
      <c r="A1478">
        <v>30569.637243317127</v>
      </c>
    </row>
    <row r="1479" spans="1:1">
      <c r="A1479">
        <v>30566.909630454975</v>
      </c>
    </row>
    <row r="1480" spans="1:1">
      <c r="A1480">
        <v>30560.885929640328</v>
      </c>
    </row>
    <row r="1481" spans="1:1">
      <c r="A1481">
        <v>30560.284563161309</v>
      </c>
    </row>
    <row r="1482" spans="1:1">
      <c r="A1482">
        <v>30557.331657425686</v>
      </c>
    </row>
    <row r="1483" spans="1:1">
      <c r="A1483">
        <v>30553.867594383977</v>
      </c>
    </row>
    <row r="1484" spans="1:1">
      <c r="A1484">
        <v>30551.037656596374</v>
      </c>
    </row>
    <row r="1485" spans="1:1">
      <c r="A1485">
        <v>30548.966881911125</v>
      </c>
    </row>
    <row r="1486" spans="1:1">
      <c r="A1486">
        <v>30542.381843948217</v>
      </c>
    </row>
    <row r="1487" spans="1:1">
      <c r="A1487">
        <v>30541.940477306242</v>
      </c>
    </row>
    <row r="1488" spans="1:1">
      <c r="A1488">
        <v>30537.253790893188</v>
      </c>
    </row>
    <row r="1489" spans="1:1">
      <c r="A1489">
        <v>30534.626210141461</v>
      </c>
    </row>
    <row r="1490" spans="1:1">
      <c r="A1490">
        <v>30528.844490517418</v>
      </c>
    </row>
    <row r="1491" spans="1:1">
      <c r="A1491">
        <v>30523.993591172009</v>
      </c>
    </row>
    <row r="1492" spans="1:1">
      <c r="A1492">
        <v>30520.727785549905</v>
      </c>
    </row>
    <row r="1493" spans="1:1">
      <c r="A1493">
        <v>30518.952810614981</v>
      </c>
    </row>
    <row r="1494" spans="1:1">
      <c r="A1494">
        <v>30516.609279430133</v>
      </c>
    </row>
    <row r="1495" spans="1:1">
      <c r="A1495">
        <v>30516.439807151819</v>
      </c>
    </row>
    <row r="1496" spans="1:1">
      <c r="A1496">
        <v>30508.756878151315</v>
      </c>
    </row>
    <row r="1497" spans="1:1">
      <c r="A1497">
        <v>30504.741679111728</v>
      </c>
    </row>
    <row r="1498" spans="1:1">
      <c r="A1498">
        <v>30502.431833618764</v>
      </c>
    </row>
    <row r="1499" spans="1:1">
      <c r="A1499">
        <v>30502.174073078495</v>
      </c>
    </row>
    <row r="1500" spans="1:1">
      <c r="A1500">
        <v>30501.344621173179</v>
      </c>
    </row>
    <row r="1501" spans="1:1">
      <c r="A1501">
        <v>30501.098671529388</v>
      </c>
    </row>
    <row r="1502" spans="1:1">
      <c r="A1502">
        <v>30494.654901942336</v>
      </c>
    </row>
    <row r="1503" spans="1:1">
      <c r="A1503">
        <v>30493.333044351828</v>
      </c>
    </row>
    <row r="1504" spans="1:1">
      <c r="A1504">
        <v>30492.742349277629</v>
      </c>
    </row>
    <row r="1505" spans="1:1">
      <c r="A1505">
        <v>30487.873004615663</v>
      </c>
    </row>
    <row r="1506" spans="1:1">
      <c r="A1506">
        <v>30486.371754855099</v>
      </c>
    </row>
    <row r="1507" spans="1:1">
      <c r="A1507">
        <v>30468.915940402894</v>
      </c>
    </row>
    <row r="1508" spans="1:1">
      <c r="A1508">
        <v>30465.651209239179</v>
      </c>
    </row>
    <row r="1509" spans="1:1">
      <c r="A1509">
        <v>30464.442822996349</v>
      </c>
    </row>
    <row r="1510" spans="1:1">
      <c r="A1510">
        <v>30464.222139675352</v>
      </c>
    </row>
    <row r="1511" spans="1:1">
      <c r="A1511">
        <v>30455.620243997197</v>
      </c>
    </row>
    <row r="1512" spans="1:1">
      <c r="A1512">
        <v>30454.562560704224</v>
      </c>
    </row>
    <row r="1513" spans="1:1">
      <c r="A1513">
        <v>30430.213337367873</v>
      </c>
    </row>
    <row r="1514" spans="1:1">
      <c r="A1514">
        <v>30429.497609585746</v>
      </c>
    </row>
    <row r="1515" spans="1:1">
      <c r="A1515">
        <v>30425.641027588594</v>
      </c>
    </row>
    <row r="1516" spans="1:1">
      <c r="A1516">
        <v>30423.602465910117</v>
      </c>
    </row>
    <row r="1517" spans="1:1">
      <c r="A1517">
        <v>30421.849137055353</v>
      </c>
    </row>
    <row r="1518" spans="1:1">
      <c r="A1518">
        <v>30417.781232937843</v>
      </c>
    </row>
    <row r="1519" spans="1:1">
      <c r="A1519">
        <v>30417.560549616854</v>
      </c>
    </row>
    <row r="1520" spans="1:1">
      <c r="A1520">
        <v>30411.999513313807</v>
      </c>
    </row>
    <row r="1521" spans="1:1">
      <c r="A1521">
        <v>30411.831378031373</v>
      </c>
    </row>
    <row r="1522" spans="1:1">
      <c r="A1522">
        <v>30409.119929720819</v>
      </c>
    </row>
    <row r="1523" spans="1:1">
      <c r="A1523">
        <v>30408.157429077091</v>
      </c>
    </row>
    <row r="1524" spans="1:1">
      <c r="A1524">
        <v>30405.834806753679</v>
      </c>
    </row>
    <row r="1525" spans="1:1">
      <c r="A1525">
        <v>30403.026589220928</v>
      </c>
    </row>
    <row r="1526" spans="1:1">
      <c r="A1526">
        <v>30402.155972439596</v>
      </c>
    </row>
    <row r="1527" spans="1:1">
      <c r="A1527">
        <v>30401.420280701281</v>
      </c>
    </row>
    <row r="1528" spans="1:1">
      <c r="A1528">
        <v>30400.805670939266</v>
      </c>
    </row>
    <row r="1529" spans="1:1">
      <c r="A1529">
        <v>30396.056605800637</v>
      </c>
    </row>
    <row r="1530" spans="1:1">
      <c r="A1530">
        <v>30388.680050429302</v>
      </c>
    </row>
    <row r="1531" spans="1:1">
      <c r="A1531">
        <v>30388.668718284553</v>
      </c>
    </row>
    <row r="1532" spans="1:1">
      <c r="A1532">
        <v>30381.641664471204</v>
      </c>
    </row>
    <row r="1533" spans="1:1">
      <c r="A1533">
        <v>30379.318426038473</v>
      </c>
    </row>
    <row r="1534" spans="1:1">
      <c r="A1534">
        <v>30379.318426038473</v>
      </c>
    </row>
    <row r="1535" spans="1:1">
      <c r="A1535">
        <v>30378.967952173291</v>
      </c>
    </row>
    <row r="1536" spans="1:1">
      <c r="A1536">
        <v>30378.495719208808</v>
      </c>
    </row>
    <row r="1537" spans="1:1">
      <c r="A1537">
        <v>30375.330750305078</v>
      </c>
    </row>
    <row r="1538" spans="1:1">
      <c r="A1538">
        <v>30375.00810871756</v>
      </c>
    </row>
    <row r="1539" spans="1:1">
      <c r="A1539">
        <v>30370.05595513661</v>
      </c>
    </row>
    <row r="1540" spans="1:1">
      <c r="A1540">
        <v>30365.33792325532</v>
      </c>
    </row>
    <row r="1541" spans="1:1">
      <c r="A1541">
        <v>30364.346514236247</v>
      </c>
    </row>
    <row r="1542" spans="1:1">
      <c r="A1542">
        <v>30356.828086347108</v>
      </c>
    </row>
    <row r="1543" spans="1:1">
      <c r="A1543">
        <v>30355.825269495057</v>
      </c>
    </row>
    <row r="1544" spans="1:1">
      <c r="A1544">
        <v>30346.540376065474</v>
      </c>
    </row>
    <row r="1545" spans="1:1">
      <c r="A1545">
        <v>30346.311016142281</v>
      </c>
    </row>
    <row r="1546" spans="1:1">
      <c r="A1546">
        <v>30343.841019484684</v>
      </c>
    </row>
    <row r="1547" spans="1:1">
      <c r="A1547">
        <v>30337.443697949209</v>
      </c>
    </row>
    <row r="1548" spans="1:1">
      <c r="A1548">
        <v>30335.491143122039</v>
      </c>
    </row>
    <row r="1549" spans="1:1">
      <c r="A1549">
        <v>30333.555232111001</v>
      </c>
    </row>
    <row r="1550" spans="1:1">
      <c r="A1550">
        <v>30327.839833222795</v>
      </c>
    </row>
    <row r="1551" spans="1:1">
      <c r="A1551">
        <v>30326.45326487326</v>
      </c>
    </row>
    <row r="1552" spans="1:1">
      <c r="A1552">
        <v>30323.159103076825</v>
      </c>
    </row>
    <row r="1553" spans="1:1">
      <c r="A1553">
        <v>30316.616882858983</v>
      </c>
    </row>
    <row r="1554" spans="1:1">
      <c r="A1554">
        <v>30307.344328599982</v>
      </c>
    </row>
    <row r="1555" spans="1:1">
      <c r="A1555">
        <v>30304.442021321513</v>
      </c>
    </row>
    <row r="1556" spans="1:1">
      <c r="A1556">
        <v>30302.447505405347</v>
      </c>
    </row>
    <row r="1557" spans="1:1">
      <c r="A1557">
        <v>30300.770722958099</v>
      </c>
    </row>
    <row r="1558" spans="1:1">
      <c r="A1558">
        <v>30299.498970882381</v>
      </c>
    </row>
    <row r="1559" spans="1:1">
      <c r="A1559">
        <v>30295.586539064399</v>
      </c>
    </row>
    <row r="1560" spans="1:1">
      <c r="A1560">
        <v>30290.47106764534</v>
      </c>
    </row>
    <row r="1561" spans="1:1">
      <c r="A1561">
        <v>30282.401389303755</v>
      </c>
    </row>
    <row r="1562" spans="1:1">
      <c r="A1562">
        <v>30265.982168335329</v>
      </c>
    </row>
    <row r="1563" spans="1:1">
      <c r="A1563">
        <v>30261.031974090663</v>
      </c>
    </row>
    <row r="1564" spans="1:1">
      <c r="A1564">
        <v>30259.964015682057</v>
      </c>
    </row>
    <row r="1565" spans="1:1">
      <c r="A1565">
        <v>30253.196863413879</v>
      </c>
    </row>
    <row r="1566" spans="1:1">
      <c r="A1566">
        <v>30252.559223580323</v>
      </c>
    </row>
    <row r="1567" spans="1:1">
      <c r="A1567">
        <v>30248.124996549959</v>
      </c>
    </row>
    <row r="1568" spans="1:1">
      <c r="A1568">
        <v>30246.003891045075</v>
      </c>
    </row>
    <row r="1569" spans="1:1">
      <c r="A1569">
        <v>30242.641174196942</v>
      </c>
    </row>
    <row r="1570" spans="1:1">
      <c r="A1570">
        <v>30236.81491172433</v>
      </c>
    </row>
    <row r="1571" spans="1:1">
      <c r="A1571">
        <v>30229.8760984357</v>
      </c>
    </row>
    <row r="1572" spans="1:1">
      <c r="A1572">
        <v>30225.37232067802</v>
      </c>
    </row>
    <row r="1573" spans="1:1">
      <c r="A1573">
        <v>30220.585844492012</v>
      </c>
    </row>
    <row r="1574" spans="1:1">
      <c r="A1574">
        <v>30219.809905482671</v>
      </c>
    </row>
    <row r="1575" spans="1:1">
      <c r="A1575">
        <v>30207.088827329015</v>
      </c>
    </row>
    <row r="1576" spans="1:1">
      <c r="A1576">
        <v>30201.922111188731</v>
      </c>
    </row>
    <row r="1577" spans="1:1">
      <c r="A1577">
        <v>30192.205949776981</v>
      </c>
    </row>
    <row r="1578" spans="1:1">
      <c r="A1578">
        <v>30189.758791856097</v>
      </c>
    </row>
    <row r="1579" spans="1:1">
      <c r="A1579">
        <v>30188.908815647053</v>
      </c>
    </row>
    <row r="1580" spans="1:1">
      <c r="A1580">
        <v>30187.804309605464</v>
      </c>
    </row>
    <row r="1581" spans="1:1">
      <c r="A1581">
        <v>30176.565204729799</v>
      </c>
    </row>
    <row r="1582" spans="1:1">
      <c r="A1582">
        <v>30175.090294243735</v>
      </c>
    </row>
    <row r="1583" spans="1:1">
      <c r="A1583">
        <v>30171.79846230564</v>
      </c>
    </row>
    <row r="1584" spans="1:1">
      <c r="A1584">
        <v>30170.892336664903</v>
      </c>
    </row>
    <row r="1585" spans="1:1">
      <c r="A1585">
        <v>30170.486733656599</v>
      </c>
    </row>
    <row r="1586" spans="1:1">
      <c r="A1586">
        <v>30167.13271285814</v>
      </c>
    </row>
    <row r="1587" spans="1:1">
      <c r="A1587">
        <v>30164.248374953266</v>
      </c>
    </row>
    <row r="1588" spans="1:1">
      <c r="A1588">
        <v>30164.248374953266</v>
      </c>
    </row>
    <row r="1589" spans="1:1">
      <c r="A1589">
        <v>30161.977352331032</v>
      </c>
    </row>
    <row r="1590" spans="1:1">
      <c r="A1590">
        <v>30161.977352331032</v>
      </c>
    </row>
    <row r="1591" spans="1:1">
      <c r="A1591">
        <v>30161.360469969026</v>
      </c>
    </row>
    <row r="1592" spans="1:1">
      <c r="A1592">
        <v>30155.524978402402</v>
      </c>
    </row>
    <row r="1593" spans="1:1">
      <c r="A1593">
        <v>30154.944991683846</v>
      </c>
    </row>
    <row r="1594" spans="1:1">
      <c r="A1594">
        <v>30152.767055908131</v>
      </c>
    </row>
    <row r="1595" spans="1:1">
      <c r="A1595">
        <v>30150.064006602952</v>
      </c>
    </row>
    <row r="1596" spans="1:1">
      <c r="A1596">
        <v>30149.778214203463</v>
      </c>
    </row>
    <row r="1597" spans="1:1">
      <c r="A1597">
        <v>30146.655392553643</v>
      </c>
    </row>
    <row r="1598" spans="1:1">
      <c r="A1598">
        <v>30138.014820535798</v>
      </c>
    </row>
    <row r="1599" spans="1:1">
      <c r="A1599">
        <v>30129.58808522491</v>
      </c>
    </row>
    <row r="1600" spans="1:1">
      <c r="A1600">
        <v>30128.634736740074</v>
      </c>
    </row>
    <row r="1601" spans="1:1">
      <c r="A1601">
        <v>30121.749540117733</v>
      </c>
    </row>
    <row r="1602" spans="1:1">
      <c r="A1602">
        <v>30119.947682363927</v>
      </c>
    </row>
    <row r="1603" spans="1:1">
      <c r="A1603">
        <v>30119.076150030942</v>
      </c>
    </row>
    <row r="1604" spans="1:1">
      <c r="A1604">
        <v>30118.44251098016</v>
      </c>
    </row>
    <row r="1605" spans="1:1">
      <c r="A1605">
        <v>30115.187354478338</v>
      </c>
    </row>
    <row r="1606" spans="1:1">
      <c r="A1606">
        <v>30114.207419745711</v>
      </c>
    </row>
    <row r="1607" spans="1:1">
      <c r="A1607">
        <v>30106.73418961955</v>
      </c>
    </row>
    <row r="1608" spans="1:1">
      <c r="A1608">
        <v>30105.291406900928</v>
      </c>
    </row>
    <row r="1609" spans="1:1">
      <c r="A1609">
        <v>30103.466613654131</v>
      </c>
    </row>
    <row r="1610" spans="1:1">
      <c r="A1610">
        <v>30098.549438120121</v>
      </c>
    </row>
    <row r="1611" spans="1:1">
      <c r="A1611">
        <v>30093.130302816211</v>
      </c>
    </row>
    <row r="1612" spans="1:1">
      <c r="A1612">
        <v>30089.163373149444</v>
      </c>
    </row>
    <row r="1613" spans="1:1">
      <c r="A1613">
        <v>30088.692680081986</v>
      </c>
    </row>
    <row r="1614" spans="1:1">
      <c r="A1614">
        <v>30088.374428798488</v>
      </c>
    </row>
    <row r="1615" spans="1:1">
      <c r="A1615">
        <v>30087.974101833075</v>
      </c>
    </row>
    <row r="1616" spans="1:1">
      <c r="A1616">
        <v>30086.979837859326</v>
      </c>
    </row>
    <row r="1617" spans="1:1">
      <c r="A1617">
        <v>30086.032842943077</v>
      </c>
    </row>
    <row r="1618" spans="1:1">
      <c r="A1618">
        <v>30084.073132182726</v>
      </c>
    </row>
    <row r="1619" spans="1:1">
      <c r="A1619">
        <v>30079.398933707493</v>
      </c>
    </row>
    <row r="1620" spans="1:1">
      <c r="A1620">
        <v>30076.590533613409</v>
      </c>
    </row>
    <row r="1621" spans="1:1">
      <c r="A1621">
        <v>30075.037790716575</v>
      </c>
    </row>
    <row r="1622" spans="1:1">
      <c r="A1622">
        <v>30073.077480871714</v>
      </c>
    </row>
    <row r="1623" spans="1:1">
      <c r="A1623">
        <v>30072.681357072914</v>
      </c>
    </row>
    <row r="1624" spans="1:1">
      <c r="A1624">
        <v>30066.867945719714</v>
      </c>
    </row>
    <row r="1625" spans="1:1">
      <c r="A1625">
        <v>30066.750421921406</v>
      </c>
    </row>
    <row r="1626" spans="1:1">
      <c r="A1626">
        <v>30066.750421921406</v>
      </c>
    </row>
    <row r="1627" spans="1:1">
      <c r="A1627">
        <v>30064.250771844712</v>
      </c>
    </row>
    <row r="1628" spans="1:1">
      <c r="A1628">
        <v>30064.078763841404</v>
      </c>
    </row>
    <row r="1629" spans="1:1">
      <c r="A1629">
        <v>30062.676968242507</v>
      </c>
    </row>
    <row r="1630" spans="1:1">
      <c r="A1630">
        <v>30057.152891456113</v>
      </c>
    </row>
    <row r="1631" spans="1:1">
      <c r="A1631">
        <v>30056.6623342292</v>
      </c>
    </row>
    <row r="1632" spans="1:1">
      <c r="A1632">
        <v>30055.92410079512</v>
      </c>
    </row>
    <row r="1633" spans="1:1">
      <c r="A1633">
        <v>30055.495543550132</v>
      </c>
    </row>
    <row r="1634" spans="1:1">
      <c r="A1634">
        <v>30052.628226832439</v>
      </c>
    </row>
    <row r="1635" spans="1:1">
      <c r="A1635">
        <v>30052.510703034139</v>
      </c>
    </row>
    <row r="1636" spans="1:1">
      <c r="A1636">
        <v>30051.221176383206</v>
      </c>
    </row>
    <row r="1637" spans="1:1">
      <c r="A1637">
        <v>30051.106427373597</v>
      </c>
    </row>
    <row r="1638" spans="1:1">
      <c r="A1638">
        <v>30048.268168317532</v>
      </c>
    </row>
    <row r="1639" spans="1:1">
      <c r="A1639">
        <v>30048.268168317532</v>
      </c>
    </row>
    <row r="1640" spans="1:1">
      <c r="A1640">
        <v>30045.420224540088</v>
      </c>
    </row>
    <row r="1641" spans="1:1">
      <c r="A1641">
        <v>30043.966871701785</v>
      </c>
    </row>
    <row r="1642" spans="1:1">
      <c r="A1642">
        <v>30043.494256514219</v>
      </c>
    </row>
    <row r="1643" spans="1:1">
      <c r="A1643">
        <v>30041.453248984853</v>
      </c>
    </row>
    <row r="1644" spans="1:1">
      <c r="A1644">
        <v>30037.70419903491</v>
      </c>
    </row>
    <row r="1645" spans="1:1">
      <c r="A1645">
        <v>30036.950248726418</v>
      </c>
    </row>
    <row r="1646" spans="1:1">
      <c r="A1646">
        <v>30036.817631308582</v>
      </c>
    </row>
    <row r="1647" spans="1:1">
      <c r="A1647">
        <v>30035.223782799178</v>
      </c>
    </row>
    <row r="1648" spans="1:1">
      <c r="A1648">
        <v>30034.870612144899</v>
      </c>
    </row>
    <row r="1649" spans="1:1">
      <c r="A1649">
        <v>30034.747728445596</v>
      </c>
    </row>
    <row r="1650" spans="1:1">
      <c r="A1650">
        <v>30029.231480269096</v>
      </c>
    </row>
    <row r="1651" spans="1:1">
      <c r="A1651">
        <v>30026.738502572782</v>
      </c>
    </row>
    <row r="1652" spans="1:1">
      <c r="A1652">
        <v>30022.788239615184</v>
      </c>
    </row>
    <row r="1653" spans="1:1">
      <c r="A1653">
        <v>30021.812261891613</v>
      </c>
    </row>
    <row r="1654" spans="1:1">
      <c r="A1654">
        <v>30019.593093498122</v>
      </c>
    </row>
    <row r="1655" spans="1:1">
      <c r="A1655">
        <v>30019.290709458928</v>
      </c>
    </row>
    <row r="1656" spans="1:1">
      <c r="A1656">
        <v>30018.114858203444</v>
      </c>
    </row>
    <row r="1657" spans="1:1">
      <c r="A1657">
        <v>30017.283572816501</v>
      </c>
    </row>
    <row r="1658" spans="1:1">
      <c r="A1658">
        <v>30016.882390307412</v>
      </c>
    </row>
    <row r="1659" spans="1:1">
      <c r="A1659">
        <v>30016.145088111596</v>
      </c>
    </row>
    <row r="1660" spans="1:1">
      <c r="A1660">
        <v>30014.912620215535</v>
      </c>
    </row>
    <row r="1661" spans="1:1">
      <c r="A1661">
        <v>30014.461668102049</v>
      </c>
    </row>
    <row r="1662" spans="1:1">
      <c r="A1662">
        <v>30013.680152319488</v>
      </c>
    </row>
    <row r="1663" spans="1:1">
      <c r="A1663">
        <v>30013.048760235131</v>
      </c>
    </row>
    <row r="1664" spans="1:1">
      <c r="A1664">
        <v>30010.968032241984</v>
      </c>
    </row>
    <row r="1665" spans="1:1">
      <c r="A1665">
        <v>30009.418293361443</v>
      </c>
    </row>
    <row r="1666" spans="1:1">
      <c r="A1666">
        <v>30009.122562736226</v>
      </c>
    </row>
    <row r="1667" spans="1:1">
      <c r="A1667">
        <v>30006.534743244811</v>
      </c>
    </row>
    <row r="1668" spans="1:1">
      <c r="A1668">
        <v>30003.701156354826</v>
      </c>
    </row>
    <row r="1669" spans="1:1">
      <c r="A1669">
        <v>30003.609503603002</v>
      </c>
    </row>
    <row r="1670" spans="1:1">
      <c r="A1670">
        <v>30003.054317898015</v>
      </c>
    </row>
    <row r="1671" spans="1:1">
      <c r="A1671">
        <v>30002.10003736084</v>
      </c>
    </row>
    <row r="1672" spans="1:1">
      <c r="A1672">
        <v>30000.867569464812</v>
      </c>
    </row>
    <row r="1673" spans="1:1">
      <c r="A1673">
        <v>29999.266450470855</v>
      </c>
    </row>
    <row r="1674" spans="1:1">
      <c r="A1674">
        <v>29999.020683072245</v>
      </c>
    </row>
    <row r="1675" spans="1:1">
      <c r="A1675">
        <v>29998.526892740414</v>
      </c>
    </row>
    <row r="1676" spans="1:1">
      <c r="A1676">
        <v>29993.535549867534</v>
      </c>
    </row>
    <row r="1677" spans="1:1">
      <c r="A1677">
        <v>29992.366808794784</v>
      </c>
    </row>
    <row r="1678" spans="1:1">
      <c r="A1678">
        <v>29991.535379327008</v>
      </c>
    </row>
    <row r="1679" spans="1:1">
      <c r="A1679">
        <v>29990.661613285352</v>
      </c>
    </row>
    <row r="1680" spans="1:1">
      <c r="A1680">
        <v>29990.661613285352</v>
      </c>
    </row>
    <row r="1681" spans="1:1">
      <c r="A1681">
        <v>29988.054986610125</v>
      </c>
    </row>
    <row r="1682" spans="1:1">
      <c r="A1682">
        <v>29985.098516020815</v>
      </c>
    </row>
    <row r="1683" spans="1:1">
      <c r="A1683">
        <v>29985.098516020815</v>
      </c>
    </row>
    <row r="1684" spans="1:1">
      <c r="A1684">
        <v>29984.309394413311</v>
      </c>
    </row>
    <row r="1685" spans="1:1">
      <c r="A1685">
        <v>29982.264929130819</v>
      </c>
    </row>
    <row r="1686" spans="1:1">
      <c r="A1686">
        <v>29981.032461234761</v>
      </c>
    </row>
    <row r="1687" spans="1:1">
      <c r="A1687">
        <v>29979.554225940108</v>
      </c>
    </row>
    <row r="1688" spans="1:1">
      <c r="A1688">
        <v>29977.953106946141</v>
      </c>
    </row>
    <row r="1689" spans="1:1">
      <c r="A1689">
        <v>29975.899376899375</v>
      </c>
    </row>
    <row r="1690" spans="1:1">
      <c r="A1690">
        <v>29975.223148827085</v>
      </c>
    </row>
    <row r="1691" spans="1:1">
      <c r="A1691">
        <v>29972.209302376908</v>
      </c>
    </row>
    <row r="1692" spans="1:1">
      <c r="A1692">
        <v>29970.402011723472</v>
      </c>
    </row>
    <row r="1693" spans="1:1">
      <c r="A1693">
        <v>29969.139906922872</v>
      </c>
    </row>
    <row r="1694" spans="1:1">
      <c r="A1694">
        <v>29967.822305211721</v>
      </c>
    </row>
    <row r="1695" spans="1:1">
      <c r="A1695">
        <v>29965.100553213353</v>
      </c>
    </row>
    <row r="1696" spans="1:1">
      <c r="A1696">
        <v>29964.726250702068</v>
      </c>
    </row>
    <row r="1697" spans="1:1">
      <c r="A1697">
        <v>29962.135179642893</v>
      </c>
    </row>
    <row r="1698" spans="1:1">
      <c r="A1698">
        <v>29957.997154324985</v>
      </c>
    </row>
    <row r="1699" spans="1:1">
      <c r="A1699">
        <v>29956.478743466807</v>
      </c>
    </row>
    <row r="1700" spans="1:1">
      <c r="A1700">
        <v>29944.982997138071</v>
      </c>
    </row>
    <row r="1701" spans="1:1">
      <c r="A1701">
        <v>29944.982997138071</v>
      </c>
    </row>
    <row r="1702" spans="1:1">
      <c r="A1702">
        <v>29940.245575312794</v>
      </c>
    </row>
    <row r="1703" spans="1:1">
      <c r="A1703">
        <v>29933.610831625141</v>
      </c>
    </row>
    <row r="1704" spans="1:1">
      <c r="A1704">
        <v>29930.668873418355</v>
      </c>
    </row>
    <row r="1705" spans="1:1">
      <c r="A1705">
        <v>29929.047960089796</v>
      </c>
    </row>
    <row r="1706" spans="1:1">
      <c r="A1706">
        <v>29921.38715877293</v>
      </c>
    </row>
    <row r="1707" spans="1:1">
      <c r="A1707">
        <v>29915.101187445009</v>
      </c>
    </row>
    <row r="1708" spans="1:1">
      <c r="A1708">
        <v>29912.506322782083</v>
      </c>
    </row>
    <row r="1709" spans="1:1">
      <c r="A1709">
        <v>29911.225210665343</v>
      </c>
    </row>
    <row r="1710" spans="1:1">
      <c r="A1710">
        <v>29907.955955466357</v>
      </c>
    </row>
    <row r="1711" spans="1:1">
      <c r="A1711">
        <v>29902.715351266641</v>
      </c>
    </row>
    <row r="1712" spans="1:1">
      <c r="A1712">
        <v>29891.692900422928</v>
      </c>
    </row>
    <row r="1713" spans="1:1">
      <c r="A1713">
        <v>29884.063692814401</v>
      </c>
    </row>
    <row r="1714" spans="1:1">
      <c r="A1714">
        <v>29883.199609713116</v>
      </c>
    </row>
    <row r="1715" spans="1:1">
      <c r="A1715">
        <v>29880.236826688986</v>
      </c>
    </row>
    <row r="1716" spans="1:1">
      <c r="A1716">
        <v>29878.804932998191</v>
      </c>
    </row>
    <row r="1717" spans="1:1">
      <c r="A1717">
        <v>29876.617219046155</v>
      </c>
    </row>
    <row r="1718" spans="1:1">
      <c r="A1718">
        <v>29864.996136457859</v>
      </c>
    </row>
    <row r="1719" spans="1:1">
      <c r="A1719">
        <v>29861.600147408284</v>
      </c>
    </row>
    <row r="1720" spans="1:1">
      <c r="A1720">
        <v>29857.593976582044</v>
      </c>
    </row>
    <row r="1721" spans="1:1">
      <c r="A1721">
        <v>29856.915328668067</v>
      </c>
    </row>
    <row r="1722" spans="1:1">
      <c r="A1722">
        <v>29856.024937553993</v>
      </c>
    </row>
    <row r="1723" spans="1:1">
      <c r="A1723">
        <v>29838.052183843396</v>
      </c>
    </row>
    <row r="1724" spans="1:1">
      <c r="A1724">
        <v>29837.761924879229</v>
      </c>
    </row>
    <row r="1725" spans="1:1">
      <c r="A1725">
        <v>29831.995664448808</v>
      </c>
    </row>
    <row r="1726" spans="1:1">
      <c r="A1726">
        <v>29829.0142392052</v>
      </c>
    </row>
    <row r="1727" spans="1:1">
      <c r="A1727">
        <v>29826.319799336023</v>
      </c>
    </row>
    <row r="1728" spans="1:1">
      <c r="A1728">
        <v>29824.002286345385</v>
      </c>
    </row>
    <row r="1729" spans="1:1">
      <c r="A1729">
        <v>29823.293339830598</v>
      </c>
    </row>
    <row r="1730" spans="1:1">
      <c r="A1730">
        <v>29823.207713799544</v>
      </c>
    </row>
    <row r="1731" spans="1:1">
      <c r="A1731">
        <v>29818.89878005454</v>
      </c>
    </row>
    <row r="1732" spans="1:1">
      <c r="A1732">
        <v>29817.357524181607</v>
      </c>
    </row>
    <row r="1733" spans="1:1">
      <c r="A1733">
        <v>29808.49388703132</v>
      </c>
    </row>
    <row r="1734" spans="1:1">
      <c r="A1734">
        <v>29806.958722794923</v>
      </c>
    </row>
    <row r="1735" spans="1:1">
      <c r="A1735">
        <v>29800.591070979634</v>
      </c>
    </row>
    <row r="1736" spans="1:1">
      <c r="A1736">
        <v>29799.164858337379</v>
      </c>
    </row>
    <row r="1737" spans="1:1">
      <c r="A1737">
        <v>29796.138398831969</v>
      </c>
    </row>
    <row r="1738" spans="1:1">
      <c r="A1738">
        <v>29793.24950664704</v>
      </c>
    </row>
    <row r="1739" spans="1:1">
      <c r="A1739">
        <v>29788.354503033563</v>
      </c>
    </row>
    <row r="1740" spans="1:1">
      <c r="A1740">
        <v>29781.08929585501</v>
      </c>
    </row>
    <row r="1741" spans="1:1">
      <c r="A1741">
        <v>29775.90715373664</v>
      </c>
    </row>
    <row r="1742" spans="1:1">
      <c r="A1742">
        <v>29774.696106298219</v>
      </c>
    </row>
    <row r="1743" spans="1:1">
      <c r="A1743">
        <v>29769.381191072105</v>
      </c>
    </row>
    <row r="1744" spans="1:1">
      <c r="A1744">
        <v>29768.195875491012</v>
      </c>
    </row>
    <row r="1745" spans="1:1">
      <c r="A1745">
        <v>29755.919786990686</v>
      </c>
    </row>
    <row r="1746" spans="1:1">
      <c r="A1746">
        <v>29749.940931127159</v>
      </c>
    </row>
    <row r="1747" spans="1:1">
      <c r="A1747">
        <v>29741.526369808744</v>
      </c>
    </row>
    <row r="1748" spans="1:1">
      <c r="A1748">
        <v>29715.2553713628</v>
      </c>
    </row>
    <row r="1749" spans="1:1">
      <c r="A1749">
        <v>29714.564819897096</v>
      </c>
    </row>
    <row r="1750" spans="1:1">
      <c r="A1750">
        <v>29708.010825382895</v>
      </c>
    </row>
    <row r="1751" spans="1:1">
      <c r="A1751">
        <v>29705.763696829192</v>
      </c>
    </row>
    <row r="1752" spans="1:1">
      <c r="A1752">
        <v>29695.170268013091</v>
      </c>
    </row>
    <row r="1753" spans="1:1">
      <c r="A1753">
        <v>29691.569803548504</v>
      </c>
    </row>
    <row r="1754" spans="1:1">
      <c r="A1754">
        <v>29690.237888491185</v>
      </c>
    </row>
    <row r="1755" spans="1:1">
      <c r="A1755">
        <v>29685.223826193818</v>
      </c>
    </row>
    <row r="1756" spans="1:1">
      <c r="A1756">
        <v>29682.219553214381</v>
      </c>
    </row>
    <row r="1757" spans="1:1">
      <c r="A1757">
        <v>29678.273802702668</v>
      </c>
    </row>
    <row r="1758" spans="1:1">
      <c r="A1758">
        <v>29675.767491293926</v>
      </c>
    </row>
    <row r="1759" spans="1:1">
      <c r="A1759">
        <v>29669.864202253139</v>
      </c>
    </row>
    <row r="1760" spans="1:1">
      <c r="A1760">
        <v>29667.837106081235</v>
      </c>
    </row>
    <row r="1761" spans="1:1">
      <c r="A1761">
        <v>29667.087471827268</v>
      </c>
    </row>
    <row r="1762" spans="1:1">
      <c r="A1762">
        <v>29665.509037102129</v>
      </c>
    </row>
    <row r="1763" spans="1:1">
      <c r="A1763">
        <v>29664.569557975337</v>
      </c>
    </row>
    <row r="1764" spans="1:1">
      <c r="A1764">
        <v>29663.545850024137</v>
      </c>
    </row>
    <row r="1765" spans="1:1">
      <c r="A1765">
        <v>29655.048722855059</v>
      </c>
    </row>
    <row r="1766" spans="1:1">
      <c r="A1766">
        <v>29650.818183668434</v>
      </c>
    </row>
    <row r="1767" spans="1:1">
      <c r="A1767">
        <v>29647.291953777214</v>
      </c>
    </row>
    <row r="1768" spans="1:1">
      <c r="A1768">
        <v>29646.130648696097</v>
      </c>
    </row>
    <row r="1769" spans="1:1">
      <c r="A1769">
        <v>29644.597898019976</v>
      </c>
    </row>
    <row r="1770" spans="1:1">
      <c r="A1770">
        <v>29643.666355447876</v>
      </c>
    </row>
    <row r="1771" spans="1:1">
      <c r="A1771">
        <v>29640.480032612984</v>
      </c>
    </row>
    <row r="1772" spans="1:1">
      <c r="A1772">
        <v>29640.480032612984</v>
      </c>
    </row>
    <row r="1773" spans="1:1">
      <c r="A1773">
        <v>29634.457260372863</v>
      </c>
    </row>
    <row r="1774" spans="1:1">
      <c r="A1774">
        <v>29627.214838223845</v>
      </c>
    </row>
    <row r="1775" spans="1:1">
      <c r="A1775">
        <v>29623.7713185721</v>
      </c>
    </row>
    <row r="1776" spans="1:1">
      <c r="A1776">
        <v>29621.085526365263</v>
      </c>
    </row>
    <row r="1777" spans="1:1">
      <c r="A1777">
        <v>29616.412541143065</v>
      </c>
    </row>
    <row r="1778" spans="1:1">
      <c r="A1778">
        <v>29616.403736373853</v>
      </c>
    </row>
    <row r="1779" spans="1:1">
      <c r="A1779">
        <v>29616.399120220696</v>
      </c>
    </row>
    <row r="1780" spans="1:1">
      <c r="A1780">
        <v>29612.029639017459</v>
      </c>
    </row>
    <row r="1781" spans="1:1">
      <c r="A1781">
        <v>29611.014247872139</v>
      </c>
    </row>
    <row r="1782" spans="1:1">
      <c r="A1782">
        <v>29609.946383671326</v>
      </c>
    </row>
    <row r="1783" spans="1:1">
      <c r="A1783">
        <v>29609.107562362693</v>
      </c>
    </row>
    <row r="1784" spans="1:1">
      <c r="A1784">
        <v>29606.958285874778</v>
      </c>
    </row>
    <row r="1785" spans="1:1">
      <c r="A1785">
        <v>29605.762061145739</v>
      </c>
    </row>
    <row r="1786" spans="1:1">
      <c r="A1786">
        <v>29603.610825272699</v>
      </c>
    </row>
    <row r="1787" spans="1:1">
      <c r="A1787">
        <v>29596.750254259015</v>
      </c>
    </row>
    <row r="1788" spans="1:1">
      <c r="A1788">
        <v>29592.354627668166</v>
      </c>
    </row>
    <row r="1789" spans="1:1">
      <c r="A1789">
        <v>29591.695053683823</v>
      </c>
    </row>
    <row r="1790" spans="1:1">
      <c r="A1790">
        <v>29590.461250308548</v>
      </c>
    </row>
    <row r="1791" spans="1:1">
      <c r="A1791">
        <v>29590.206023285111</v>
      </c>
    </row>
    <row r="1792" spans="1:1">
      <c r="A1792">
        <v>29587.809868861237</v>
      </c>
    </row>
    <row r="1793" spans="1:1">
      <c r="A1793">
        <v>29587.544725060539</v>
      </c>
    </row>
    <row r="1794" spans="1:1">
      <c r="A1794">
        <v>29582.59376871257</v>
      </c>
    </row>
    <row r="1795" spans="1:1">
      <c r="A1795">
        <v>29581.8589342747</v>
      </c>
    </row>
    <row r="1796" spans="1:1">
      <c r="A1796">
        <v>29577.077111759572</v>
      </c>
    </row>
    <row r="1797" spans="1:1">
      <c r="A1797">
        <v>29573.769229780119</v>
      </c>
    </row>
    <row r="1798" spans="1:1">
      <c r="A1798">
        <v>29570.66720348144</v>
      </c>
    </row>
    <row r="1799" spans="1:1">
      <c r="A1799">
        <v>29565.805654033815</v>
      </c>
    </row>
    <row r="1800" spans="1:1">
      <c r="A1800">
        <v>29565.328556930814</v>
      </c>
    </row>
    <row r="1801" spans="1:1">
      <c r="A1801">
        <v>29559.548399519059</v>
      </c>
    </row>
    <row r="1802" spans="1:1">
      <c r="A1802">
        <v>29559.389992791796</v>
      </c>
    </row>
    <row r="1803" spans="1:1">
      <c r="A1803">
        <v>29556.006025650524</v>
      </c>
    </row>
    <row r="1804" spans="1:1">
      <c r="A1804">
        <v>29554.780421822252</v>
      </c>
    </row>
    <row r="1805" spans="1:1">
      <c r="A1805">
        <v>29551.714259700715</v>
      </c>
    </row>
    <row r="1806" spans="1:1">
      <c r="A1806">
        <v>29550.52237500135</v>
      </c>
    </row>
    <row r="1807" spans="1:1">
      <c r="A1807">
        <v>29545.634834607481</v>
      </c>
    </row>
    <row r="1808" spans="1:1">
      <c r="A1808">
        <v>29543.880119882393</v>
      </c>
    </row>
    <row r="1809" spans="1:1">
      <c r="A1809">
        <v>29535.969701145674</v>
      </c>
    </row>
    <row r="1810" spans="1:1">
      <c r="A1810">
        <v>29531.325721407069</v>
      </c>
    </row>
    <row r="1811" spans="1:1">
      <c r="A1811">
        <v>29527.608709238644</v>
      </c>
    </row>
    <row r="1812" spans="1:1">
      <c r="A1812">
        <v>29520.611441312143</v>
      </c>
    </row>
    <row r="1813" spans="1:1">
      <c r="A1813">
        <v>29520.253881843048</v>
      </c>
    </row>
    <row r="1814" spans="1:1">
      <c r="A1814">
        <v>29518.570469169434</v>
      </c>
    </row>
    <row r="1815" spans="1:1">
      <c r="A1815">
        <v>29515.053875005418</v>
      </c>
    </row>
    <row r="1816" spans="1:1">
      <c r="A1816">
        <v>29514.732982627993</v>
      </c>
    </row>
    <row r="1817" spans="1:1">
      <c r="A1817">
        <v>29508.736566400068</v>
      </c>
    </row>
    <row r="1818" spans="1:1">
      <c r="A1818">
        <v>29505.075593826681</v>
      </c>
    </row>
    <row r="1819" spans="1:1">
      <c r="A1819">
        <v>29505.075593826681</v>
      </c>
    </row>
    <row r="1820" spans="1:1">
      <c r="A1820">
        <v>29503.367015184282</v>
      </c>
    </row>
    <row r="1821" spans="1:1">
      <c r="A1821">
        <v>29500.97263925126</v>
      </c>
    </row>
    <row r="1822" spans="1:1">
      <c r="A1822">
        <v>29497.74086253592</v>
      </c>
    </row>
    <row r="1823" spans="1:1">
      <c r="A1823">
        <v>29493.822802821451</v>
      </c>
    </row>
    <row r="1824" spans="1:1">
      <c r="A1824">
        <v>29489.641408630625</v>
      </c>
    </row>
    <row r="1825" spans="1:1">
      <c r="A1825">
        <v>29485.536114838396</v>
      </c>
    </row>
    <row r="1826" spans="1:1">
      <c r="A1826">
        <v>29484.391169664654</v>
      </c>
    </row>
    <row r="1827" spans="1:1">
      <c r="A1827">
        <v>29480.745410067771</v>
      </c>
    </row>
    <row r="1828" spans="1:1">
      <c r="A1828">
        <v>29480.339901974789</v>
      </c>
    </row>
    <row r="1829" spans="1:1">
      <c r="A1829">
        <v>29479.717444482929</v>
      </c>
    </row>
    <row r="1830" spans="1:1">
      <c r="A1830">
        <v>29479.052357961471</v>
      </c>
    </row>
    <row r="1831" spans="1:1">
      <c r="A1831">
        <v>29473.379268823432</v>
      </c>
    </row>
    <row r="1832" spans="1:1">
      <c r="A1832">
        <v>29471.191101868942</v>
      </c>
    </row>
    <row r="1833" spans="1:1">
      <c r="A1833">
        <v>29460.442786631858</v>
      </c>
    </row>
    <row r="1834" spans="1:1">
      <c r="A1834">
        <v>29457.165785536214</v>
      </c>
    </row>
    <row r="1835" spans="1:1">
      <c r="A1835">
        <v>29454.530198881159</v>
      </c>
    </row>
    <row r="1836" spans="1:1">
      <c r="A1836">
        <v>29453.491101773066</v>
      </c>
    </row>
    <row r="1837" spans="1:1">
      <c r="A1837">
        <v>29442.073077358891</v>
      </c>
    </row>
    <row r="1838" spans="1:1">
      <c r="A1838">
        <v>29440.597367485512</v>
      </c>
    </row>
    <row r="1839" spans="1:1">
      <c r="A1839">
        <v>29429.807836870932</v>
      </c>
    </row>
    <row r="1840" spans="1:1">
      <c r="A1840">
        <v>29427.225611600617</v>
      </c>
    </row>
    <row r="1841" spans="1:1">
      <c r="A1841">
        <v>29421.032000636435</v>
      </c>
    </row>
    <row r="1842" spans="1:1">
      <c r="A1842">
        <v>29418.773516582689</v>
      </c>
    </row>
    <row r="1843" spans="1:1">
      <c r="A1843">
        <v>29396.1812099038</v>
      </c>
    </row>
    <row r="1844" spans="1:1">
      <c r="A1844">
        <v>29392.429467949984</v>
      </c>
    </row>
    <row r="1845" spans="1:1">
      <c r="A1845">
        <v>29386.17069484746</v>
      </c>
    </row>
    <row r="1846" spans="1:1">
      <c r="A1846">
        <v>29383.041308296219</v>
      </c>
    </row>
    <row r="1847" spans="1:1">
      <c r="A1847">
        <v>29382.418952893651</v>
      </c>
    </row>
    <row r="1848" spans="1:1">
      <c r="A1848">
        <v>29379.697682962749</v>
      </c>
    </row>
    <row r="1849" spans="1:1">
      <c r="A1849">
        <v>29376.60227123951</v>
      </c>
    </row>
    <row r="1850" spans="1:1">
      <c r="A1850">
        <v>29376.363538167039</v>
      </c>
    </row>
    <row r="1851" spans="1:1">
      <c r="A1851">
        <v>29375.525508698891</v>
      </c>
    </row>
    <row r="1852" spans="1:1">
      <c r="A1852">
        <v>29369.938031855458</v>
      </c>
    </row>
    <row r="1853" spans="1:1">
      <c r="A1853">
        <v>29368.656695883503</v>
      </c>
    </row>
    <row r="1854" spans="1:1">
      <c r="A1854">
        <v>29359.444068024823</v>
      </c>
    </row>
    <row r="1855" spans="1:1">
      <c r="A1855">
        <v>29357.401470022043</v>
      </c>
    </row>
    <row r="1856" spans="1:1">
      <c r="A1856">
        <v>29349.794849602968</v>
      </c>
    </row>
    <row r="1857" spans="1:1">
      <c r="A1857">
        <v>29349.244010098511</v>
      </c>
    </row>
    <row r="1858" spans="1:1">
      <c r="A1858">
        <v>29347.881803029079</v>
      </c>
    </row>
    <row r="1859" spans="1:1">
      <c r="A1859">
        <v>29339.826519266451</v>
      </c>
    </row>
    <row r="1860" spans="1:1">
      <c r="A1860">
        <v>29339.364745202816</v>
      </c>
    </row>
    <row r="1861" spans="1:1">
      <c r="A1861">
        <v>29337.760412390417</v>
      </c>
    </row>
    <row r="1862" spans="1:1">
      <c r="A1862">
        <v>29336.103933127655</v>
      </c>
    </row>
    <row r="1863" spans="1:1">
      <c r="A1863">
        <v>29332.584863185675</v>
      </c>
    </row>
    <row r="1864" spans="1:1">
      <c r="A1864">
        <v>29318.646947774527</v>
      </c>
    </row>
    <row r="1865" spans="1:1">
      <c r="A1865">
        <v>29318.163182789871</v>
      </c>
    </row>
    <row r="1866" spans="1:1">
      <c r="A1866">
        <v>29310.630925168694</v>
      </c>
    </row>
    <row r="1867" spans="1:1">
      <c r="A1867">
        <v>29310.478281291638</v>
      </c>
    </row>
    <row r="1868" spans="1:1">
      <c r="A1868">
        <v>29296.619173807907</v>
      </c>
    </row>
    <row r="1869" spans="1:1">
      <c r="A1869">
        <v>29290.046145622655</v>
      </c>
    </row>
    <row r="1870" spans="1:1">
      <c r="A1870">
        <v>29287.275776531158</v>
      </c>
    </row>
    <row r="1871" spans="1:1">
      <c r="A1871">
        <v>29277.476148147845</v>
      </c>
    </row>
    <row r="1872" spans="1:1">
      <c r="A1872">
        <v>29272.095458158459</v>
      </c>
    </row>
    <row r="1873" spans="1:1">
      <c r="A1873">
        <v>29271.185727273529</v>
      </c>
    </row>
    <row r="1874" spans="1:1">
      <c r="A1874">
        <v>29265.505665973069</v>
      </c>
    </row>
    <row r="1875" spans="1:1">
      <c r="A1875">
        <v>29264.15520753069</v>
      </c>
    </row>
    <row r="1876" spans="1:1">
      <c r="A1876">
        <v>29262.130754864265</v>
      </c>
    </row>
    <row r="1877" spans="1:1">
      <c r="A1877">
        <v>29261.929108455442</v>
      </c>
    </row>
    <row r="1878" spans="1:1">
      <c r="A1878">
        <v>29260.100065647686</v>
      </c>
    </row>
    <row r="1879" spans="1:1">
      <c r="A1879">
        <v>29256.003852036964</v>
      </c>
    </row>
    <row r="1880" spans="1:1">
      <c r="A1880">
        <v>29246.981953178172</v>
      </c>
    </row>
    <row r="1881" spans="1:1">
      <c r="A1881">
        <v>29242.966586333459</v>
      </c>
    </row>
    <row r="1882" spans="1:1">
      <c r="A1882">
        <v>29241.585591134441</v>
      </c>
    </row>
    <row r="1883" spans="1:1">
      <c r="A1883">
        <v>29238.378154304708</v>
      </c>
    </row>
    <row r="1884" spans="1:1">
      <c r="A1884">
        <v>29235.361829863672</v>
      </c>
    </row>
    <row r="1885" spans="1:1">
      <c r="A1885">
        <v>29234.50253154098</v>
      </c>
    </row>
    <row r="1886" spans="1:1">
      <c r="A1886">
        <v>29233.278625146013</v>
      </c>
    </row>
    <row r="1887" spans="1:1">
      <c r="A1887">
        <v>29229.407871174175</v>
      </c>
    </row>
    <row r="1888" spans="1:1">
      <c r="A1888">
        <v>29225.432738362833</v>
      </c>
    </row>
    <row r="1889" spans="1:1">
      <c r="A1889">
        <v>29218.727825166523</v>
      </c>
    </row>
    <row r="1890" spans="1:1">
      <c r="A1890">
        <v>29218.546583640389</v>
      </c>
    </row>
    <row r="1891" spans="1:1">
      <c r="A1891">
        <v>29213.348980876443</v>
      </c>
    </row>
    <row r="1892" spans="1:1">
      <c r="A1892">
        <v>29210.805244744173</v>
      </c>
    </row>
    <row r="1893" spans="1:1">
      <c r="A1893">
        <v>29208.646482601096</v>
      </c>
    </row>
    <row r="1894" spans="1:1">
      <c r="A1894">
        <v>29207.784460745905</v>
      </c>
    </row>
    <row r="1895" spans="1:1">
      <c r="A1895">
        <v>29206.928007656654</v>
      </c>
    </row>
    <row r="1896" spans="1:1">
      <c r="A1896">
        <v>29206.839970747998</v>
      </c>
    </row>
    <row r="1897" spans="1:1">
      <c r="A1897">
        <v>29203.379645940826</v>
      </c>
    </row>
    <row r="1898" spans="1:1">
      <c r="A1898">
        <v>29200.280095689996</v>
      </c>
    </row>
    <row r="1899" spans="1:1">
      <c r="A1899">
        <v>29198.278584296393</v>
      </c>
    </row>
    <row r="1900" spans="1:1">
      <c r="A1900">
        <v>29189.520325451827</v>
      </c>
    </row>
    <row r="1901" spans="1:1">
      <c r="A1901">
        <v>29187.366215814185</v>
      </c>
    </row>
    <row r="1902" spans="1:1">
      <c r="A1902">
        <v>29182.975399363117</v>
      </c>
    </row>
    <row r="1903" spans="1:1">
      <c r="A1903">
        <v>29181.235962201736</v>
      </c>
    </row>
    <row r="1904" spans="1:1">
      <c r="A1904">
        <v>29180.248104150087</v>
      </c>
    </row>
    <row r="1905" spans="1:1">
      <c r="A1905">
        <v>29171.692579318282</v>
      </c>
    </row>
    <row r="1906" spans="1:1">
      <c r="A1906">
        <v>29166.057994583469</v>
      </c>
    </row>
    <row r="1907" spans="1:1">
      <c r="A1907">
        <v>29161.983547133648</v>
      </c>
    </row>
    <row r="1908" spans="1:1">
      <c r="A1908">
        <v>29152.571658097797</v>
      </c>
    </row>
    <row r="1909" spans="1:1">
      <c r="A1909">
        <v>29148.95664918008</v>
      </c>
    </row>
    <row r="1910" spans="1:1">
      <c r="A1910">
        <v>29145.717998435644</v>
      </c>
    </row>
    <row r="1911" spans="1:1">
      <c r="A1911">
        <v>29145.583054901937</v>
      </c>
    </row>
    <row r="1912" spans="1:1">
      <c r="A1912">
        <v>29144.444038244044</v>
      </c>
    </row>
    <row r="1913" spans="1:1">
      <c r="A1913">
        <v>29143.616680628391</v>
      </c>
    </row>
    <row r="1914" spans="1:1">
      <c r="A1914">
        <v>29138.802320384144</v>
      </c>
    </row>
    <row r="1915" spans="1:1">
      <c r="A1915">
        <v>29135.716374129828</v>
      </c>
    </row>
    <row r="1916" spans="1:1">
      <c r="A1916">
        <v>29135.089614640838</v>
      </c>
    </row>
    <row r="1917" spans="1:1">
      <c r="A1917">
        <v>29134.537219847422</v>
      </c>
    </row>
    <row r="1918" spans="1:1">
      <c r="A1918">
        <v>29130.477978891337</v>
      </c>
    </row>
    <row r="1919" spans="1:1">
      <c r="A1919">
        <v>29130.477978891337</v>
      </c>
    </row>
    <row r="1920" spans="1:1">
      <c r="A1920">
        <v>29127.804612087471</v>
      </c>
    </row>
    <row r="1921" spans="1:1">
      <c r="A1921">
        <v>29124.562780170723</v>
      </c>
    </row>
    <row r="1922" spans="1:1">
      <c r="A1922">
        <v>29123.446918463495</v>
      </c>
    </row>
    <row r="1923" spans="1:1">
      <c r="A1923">
        <v>29116.479907556535</v>
      </c>
    </row>
    <row r="1924" spans="1:1">
      <c r="A1924">
        <v>29114.012350282799</v>
      </c>
    </row>
    <row r="1925" spans="1:1">
      <c r="A1925">
        <v>29112.829755240491</v>
      </c>
    </row>
    <row r="1926" spans="1:1">
      <c r="A1926">
        <v>29110.213834772268</v>
      </c>
    </row>
    <row r="1927" spans="1:1">
      <c r="A1927">
        <v>29109.171542894361</v>
      </c>
    </row>
    <row r="1928" spans="1:1">
      <c r="A1928">
        <v>29105.860628472074</v>
      </c>
    </row>
    <row r="1929" spans="1:1">
      <c r="A1929">
        <v>29105.508879713059</v>
      </c>
    </row>
    <row r="1930" spans="1:1">
      <c r="A1930">
        <v>29102.647391946201</v>
      </c>
    </row>
    <row r="1931" spans="1:1">
      <c r="A1931">
        <v>29102.606759552029</v>
      </c>
    </row>
    <row r="1932" spans="1:1">
      <c r="A1932">
        <v>29099.417643022316</v>
      </c>
    </row>
    <row r="1933" spans="1:1">
      <c r="A1933">
        <v>29089.104548469099</v>
      </c>
    </row>
    <row r="1934" spans="1:1">
      <c r="A1934">
        <v>29088.700744575657</v>
      </c>
    </row>
    <row r="1935" spans="1:1">
      <c r="A1935">
        <v>29085.572277915904</v>
      </c>
    </row>
    <row r="1936" spans="1:1">
      <c r="A1936">
        <v>29082.134935297265</v>
      </c>
    </row>
    <row r="1937" spans="1:1">
      <c r="A1937">
        <v>29081.239923061046</v>
      </c>
    </row>
    <row r="1938" spans="1:1">
      <c r="A1938">
        <v>29079.106364923191</v>
      </c>
    </row>
    <row r="1939" spans="1:1">
      <c r="A1939">
        <v>29078.500644620715</v>
      </c>
    </row>
    <row r="1940" spans="1:1">
      <c r="A1940">
        <v>29074.138374758506</v>
      </c>
    </row>
    <row r="1941" spans="1:1">
      <c r="A1941">
        <v>29068.909753297718</v>
      </c>
    </row>
    <row r="1942" spans="1:1">
      <c r="A1942">
        <v>29068.521176550748</v>
      </c>
    </row>
    <row r="1943" spans="1:1">
      <c r="A1943">
        <v>29058.775951884971</v>
      </c>
    </row>
    <row r="1944" spans="1:1">
      <c r="A1944">
        <v>29058.435224781351</v>
      </c>
    </row>
    <row r="1945" spans="1:1">
      <c r="A1945">
        <v>29051.823598901523</v>
      </c>
    </row>
    <row r="1946" spans="1:1">
      <c r="A1946">
        <v>29051.195780933442</v>
      </c>
    </row>
    <row r="1947" spans="1:1">
      <c r="A1947">
        <v>29046.353883980191</v>
      </c>
    </row>
    <row r="1948" spans="1:1">
      <c r="A1948">
        <v>29042.559877743071</v>
      </c>
    </row>
    <row r="1949" spans="1:1">
      <c r="A1949">
        <v>29040.183081611191</v>
      </c>
    </row>
    <row r="1950" spans="1:1">
      <c r="A1950">
        <v>29037.377844119983</v>
      </c>
    </row>
    <row r="1951" spans="1:1">
      <c r="A1951">
        <v>29035.600229697717</v>
      </c>
    </row>
    <row r="1952" spans="1:1">
      <c r="A1952">
        <v>29034.433946657613</v>
      </c>
    </row>
    <row r="1953" spans="1:1">
      <c r="A1953">
        <v>29023.215683034879</v>
      </c>
    </row>
    <row r="1954" spans="1:1">
      <c r="A1954">
        <v>29021.617232141922</v>
      </c>
    </row>
    <row r="1955" spans="1:1">
      <c r="A1955">
        <v>29017.762684536086</v>
      </c>
    </row>
    <row r="1956" spans="1:1">
      <c r="A1956">
        <v>29014.563341265777</v>
      </c>
    </row>
    <row r="1957" spans="1:1">
      <c r="A1957">
        <v>29014.310680198367</v>
      </c>
    </row>
    <row r="1958" spans="1:1">
      <c r="A1958">
        <v>29013.285195801385</v>
      </c>
    </row>
    <row r="1959" spans="1:1">
      <c r="A1959">
        <v>29012.638902688956</v>
      </c>
    </row>
    <row r="1960" spans="1:1">
      <c r="A1960">
        <v>29009.364987021716</v>
      </c>
    </row>
    <row r="1961" spans="1:1">
      <c r="A1961">
        <v>29002.856538582666</v>
      </c>
    </row>
    <row r="1962" spans="1:1">
      <c r="A1962">
        <v>28993.115433636493</v>
      </c>
    </row>
    <row r="1963" spans="1:1">
      <c r="A1963">
        <v>28989.458131625794</v>
      </c>
    </row>
    <row r="1964" spans="1:1">
      <c r="A1964">
        <v>28988.053239486388</v>
      </c>
    </row>
    <row r="1965" spans="1:1">
      <c r="A1965">
        <v>28987.849494001814</v>
      </c>
    </row>
    <row r="1966" spans="1:1">
      <c r="A1966">
        <v>28973.497098640666</v>
      </c>
    </row>
    <row r="1967" spans="1:1">
      <c r="A1967">
        <v>28966.445578422892</v>
      </c>
    </row>
    <row r="1968" spans="1:1">
      <c r="A1968">
        <v>28964.082024456271</v>
      </c>
    </row>
    <row r="1969" spans="1:1">
      <c r="A1969">
        <v>28961.402328641081</v>
      </c>
    </row>
    <row r="1970" spans="1:1">
      <c r="A1970">
        <v>28959.587460810115</v>
      </c>
    </row>
    <row r="1971" spans="1:1">
      <c r="A1971">
        <v>28951.329406404824</v>
      </c>
    </row>
    <row r="1972" spans="1:1">
      <c r="A1972">
        <v>28950.682656433448</v>
      </c>
    </row>
    <row r="1973" spans="1:1">
      <c r="A1973">
        <v>28947.910752699572</v>
      </c>
    </row>
    <row r="1974" spans="1:1">
      <c r="A1974">
        <v>28944.775378742666</v>
      </c>
    </row>
    <row r="1975" spans="1:1">
      <c r="A1975">
        <v>28944.379430883371</v>
      </c>
    </row>
    <row r="1976" spans="1:1">
      <c r="A1976">
        <v>28942.504982652514</v>
      </c>
    </row>
    <row r="1977" spans="1:1">
      <c r="A1977">
        <v>28941.730083996663</v>
      </c>
    </row>
    <row r="1978" spans="1:1">
      <c r="A1978">
        <v>28940.772124459705</v>
      </c>
    </row>
    <row r="1979" spans="1:1">
      <c r="A1979">
        <v>28922.56408462386</v>
      </c>
    </row>
    <row r="1980" spans="1:1">
      <c r="A1980">
        <v>28920.601020528942</v>
      </c>
    </row>
    <row r="1981" spans="1:1">
      <c r="A1981">
        <v>28909.804439365271</v>
      </c>
    </row>
    <row r="1982" spans="1:1">
      <c r="A1982">
        <v>28905.024187444964</v>
      </c>
    </row>
    <row r="1983" spans="1:1">
      <c r="A1983">
        <v>28899.603899725982</v>
      </c>
    </row>
    <row r="1984" spans="1:1">
      <c r="A1984">
        <v>28898.265544224443</v>
      </c>
    </row>
    <row r="1985" spans="1:1">
      <c r="A1985">
        <v>28895.379157512747</v>
      </c>
    </row>
    <row r="1986" spans="1:1">
      <c r="A1986">
        <v>28893.725951094166</v>
      </c>
    </row>
    <row r="1987" spans="1:1">
      <c r="A1987">
        <v>28891.693791336089</v>
      </c>
    </row>
    <row r="1988" spans="1:1">
      <c r="A1988">
        <v>28890.359568588523</v>
      </c>
    </row>
    <row r="1989" spans="1:1">
      <c r="A1989">
        <v>28883.530218121407</v>
      </c>
    </row>
    <row r="1990" spans="1:1">
      <c r="A1990">
        <v>28882.1287369971</v>
      </c>
    </row>
    <row r="1991" spans="1:1">
      <c r="A1991">
        <v>28875.822445856571</v>
      </c>
    </row>
    <row r="1992" spans="1:1">
      <c r="A1992">
        <v>28865.985233111154</v>
      </c>
    </row>
    <row r="1993" spans="1:1">
      <c r="A1993">
        <v>28865.985233111154</v>
      </c>
    </row>
    <row r="1994" spans="1:1">
      <c r="A1994">
        <v>28860.715800533937</v>
      </c>
    </row>
    <row r="1995" spans="1:1">
      <c r="A1995">
        <v>28858.095529418653</v>
      </c>
    </row>
    <row r="1996" spans="1:1">
      <c r="A1996">
        <v>28848.338443988272</v>
      </c>
    </row>
    <row r="1997" spans="1:1">
      <c r="A1997">
        <v>28842.302406014784</v>
      </c>
    </row>
    <row r="1998" spans="1:1">
      <c r="A1998">
        <v>28841.030785185754</v>
      </c>
    </row>
    <row r="1999" spans="1:1">
      <c r="A1999">
        <v>28840.152348715503</v>
      </c>
    </row>
    <row r="2000" spans="1:1">
      <c r="A2000">
        <v>28836.23276919101</v>
      </c>
    </row>
    <row r="2001" spans="1:1">
      <c r="A2001">
        <v>28836.158989763971</v>
      </c>
    </row>
    <row r="2002" spans="1:1">
      <c r="A2002">
        <v>28830.480059808309</v>
      </c>
    </row>
    <row r="2003" spans="1:1">
      <c r="A2003">
        <v>28826.061753114493</v>
      </c>
    </row>
    <row r="2004" spans="1:1">
      <c r="A2004">
        <v>28825.514320136583</v>
      </c>
    </row>
    <row r="2005" spans="1:1">
      <c r="A2005">
        <v>28821.378451701108</v>
      </c>
    </row>
    <row r="2006" spans="1:1">
      <c r="A2006">
        <v>28821.129501440071</v>
      </c>
    </row>
    <row r="2007" spans="1:1">
      <c r="A2007">
        <v>28819.407839781707</v>
      </c>
    </row>
    <row r="2008" spans="1:1">
      <c r="A2008">
        <v>28816.751818973491</v>
      </c>
    </row>
    <row r="2009" spans="1:1">
      <c r="A2009">
        <v>28816.510809614494</v>
      </c>
    </row>
    <row r="2010" spans="1:1">
      <c r="A2010">
        <v>28813.393464851026</v>
      </c>
    </row>
    <row r="2011" spans="1:1">
      <c r="A2011">
        <v>28812.202084553297</v>
      </c>
    </row>
    <row r="2012" spans="1:1">
      <c r="A2012">
        <v>28810.376996643667</v>
      </c>
    </row>
    <row r="2013" spans="1:1">
      <c r="A2013">
        <v>28809.306970582205</v>
      </c>
    </row>
    <row r="2014" spans="1:1">
      <c r="A2014">
        <v>28804.046293873474</v>
      </c>
    </row>
    <row r="2015" spans="1:1">
      <c r="A2015">
        <v>28796.235509767292</v>
      </c>
    </row>
    <row r="2016" spans="1:1">
      <c r="A2016">
        <v>28793.035388020537</v>
      </c>
    </row>
    <row r="2017" spans="1:1">
      <c r="A2017">
        <v>28788.883396532656</v>
      </c>
    </row>
    <row r="2018" spans="1:1">
      <c r="A2018">
        <v>28782.229483199877</v>
      </c>
    </row>
    <row r="2019" spans="1:1">
      <c r="A2019">
        <v>28777.577585588773</v>
      </c>
    </row>
    <row r="2020" spans="1:1">
      <c r="A2020">
        <v>28776.475226554721</v>
      </c>
    </row>
    <row r="2021" spans="1:1">
      <c r="A2021">
        <v>28771.921792841833</v>
      </c>
    </row>
    <row r="2022" spans="1:1">
      <c r="A2022">
        <v>28754.14014321598</v>
      </c>
    </row>
    <row r="2023" spans="1:1">
      <c r="A2023">
        <v>28741.790013134625</v>
      </c>
    </row>
    <row r="2024" spans="1:1">
      <c r="A2024">
        <v>28740.307170547148</v>
      </c>
    </row>
    <row r="2025" spans="1:1">
      <c r="A2025">
        <v>28739.568757170287</v>
      </c>
    </row>
    <row r="2026" spans="1:1">
      <c r="A2026">
        <v>28722.84431716632</v>
      </c>
    </row>
    <row r="2027" spans="1:1">
      <c r="A2027">
        <v>28713.657597189034</v>
      </c>
    </row>
    <row r="2028" spans="1:1">
      <c r="A2028">
        <v>28711.412506347173</v>
      </c>
    </row>
    <row r="2029" spans="1:1">
      <c r="A2029">
        <v>28709.791337375616</v>
      </c>
    </row>
    <row r="2030" spans="1:1">
      <c r="A2030">
        <v>28709.650985432509</v>
      </c>
    </row>
    <row r="2031" spans="1:1">
      <c r="A2031">
        <v>28705.310881742262</v>
      </c>
    </row>
    <row r="2032" spans="1:1">
      <c r="A2032">
        <v>28691.746242622161</v>
      </c>
    </row>
    <row r="2033" spans="1:1">
      <c r="A2033">
        <v>28689.968489336519</v>
      </c>
    </row>
    <row r="2034" spans="1:1">
      <c r="A2034">
        <v>28677.837284817506</v>
      </c>
    </row>
    <row r="2035" spans="1:1">
      <c r="A2035">
        <v>28662.345857624969</v>
      </c>
    </row>
    <row r="2036" spans="1:1">
      <c r="A2036">
        <v>28659.528170095575</v>
      </c>
    </row>
    <row r="2037" spans="1:1">
      <c r="A2037">
        <v>28658.000503853898</v>
      </c>
    </row>
    <row r="2038" spans="1:1">
      <c r="A2038">
        <v>28657.662191935367</v>
      </c>
    </row>
    <row r="2039" spans="1:1">
      <c r="A2039">
        <v>28655.610768525963</v>
      </c>
    </row>
    <row r="2040" spans="1:1">
      <c r="A2040">
        <v>28642.59656683982</v>
      </c>
    </row>
    <row r="2041" spans="1:1">
      <c r="A2041">
        <v>28642.59656683982</v>
      </c>
    </row>
    <row r="2042" spans="1:1">
      <c r="A2042">
        <v>28641.622562343986</v>
      </c>
    </row>
    <row r="2043" spans="1:1">
      <c r="A2043">
        <v>28641.622562343986</v>
      </c>
    </row>
    <row r="2044" spans="1:1">
      <c r="A2044">
        <v>28641.080116707184</v>
      </c>
    </row>
    <row r="2045" spans="1:1">
      <c r="A2045">
        <v>28637.319569984145</v>
      </c>
    </row>
    <row r="2046" spans="1:1">
      <c r="A2046">
        <v>28628.688490129265</v>
      </c>
    </row>
    <row r="2047" spans="1:1">
      <c r="A2047">
        <v>28621.578494381494</v>
      </c>
    </row>
    <row r="2048" spans="1:1">
      <c r="A2048">
        <v>28620.427926422726</v>
      </c>
    </row>
    <row r="2049" spans="1:1">
      <c r="A2049">
        <v>28618.040584502614</v>
      </c>
    </row>
    <row r="2050" spans="1:1">
      <c r="A2050">
        <v>28611.204132766674</v>
      </c>
    </row>
    <row r="2051" spans="1:1">
      <c r="A2051">
        <v>28608.612675994533</v>
      </c>
    </row>
    <row r="2052" spans="1:1">
      <c r="A2052">
        <v>28608.374002149845</v>
      </c>
    </row>
    <row r="2053" spans="1:1">
      <c r="A2053">
        <v>28608.374002149845</v>
      </c>
    </row>
    <row r="2054" spans="1:1">
      <c r="A2054">
        <v>28596.615529995164</v>
      </c>
    </row>
    <row r="2055" spans="1:1">
      <c r="A2055">
        <v>28594.407942797145</v>
      </c>
    </row>
    <row r="2056" spans="1:1">
      <c r="A2056">
        <v>28589.07159947847</v>
      </c>
    </row>
    <row r="2057" spans="1:1">
      <c r="A2057">
        <v>28584.777573092248</v>
      </c>
    </row>
    <row r="2058" spans="1:1">
      <c r="A2058">
        <v>28571.365221571687</v>
      </c>
    </row>
    <row r="2059" spans="1:1">
      <c r="A2059">
        <v>28558.781336167791</v>
      </c>
    </row>
    <row r="2060" spans="1:1">
      <c r="A2060">
        <v>28553.779040121641</v>
      </c>
    </row>
    <row r="2061" spans="1:1">
      <c r="A2061">
        <v>28539.564846724472</v>
      </c>
    </row>
    <row r="2062" spans="1:1">
      <c r="A2062">
        <v>28536.964611858726</v>
      </c>
    </row>
    <row r="2063" spans="1:1">
      <c r="A2063">
        <v>28533.200583444202</v>
      </c>
    </row>
    <row r="2064" spans="1:1">
      <c r="A2064">
        <v>28523.903354110069</v>
      </c>
    </row>
    <row r="2065" spans="1:1">
      <c r="A2065">
        <v>28516.509854783806</v>
      </c>
    </row>
    <row r="2066" spans="1:1">
      <c r="A2066">
        <v>28515.982197928493</v>
      </c>
    </row>
    <row r="2067" spans="1:1">
      <c r="A2067">
        <v>28506.601465297568</v>
      </c>
    </row>
    <row r="2068" spans="1:1">
      <c r="A2068">
        <v>28496.971492052682</v>
      </c>
    </row>
    <row r="2069" spans="1:1">
      <c r="A2069">
        <v>28495.922333134244</v>
      </c>
    </row>
    <row r="2070" spans="1:1">
      <c r="A2070">
        <v>28492.167369691848</v>
      </c>
    </row>
    <row r="2071" spans="1:1">
      <c r="A2071">
        <v>28491.233624656248</v>
      </c>
    </row>
    <row r="2072" spans="1:1">
      <c r="A2072">
        <v>28470.350645382805</v>
      </c>
    </row>
    <row r="2073" spans="1:1">
      <c r="A2073">
        <v>28465.546523022</v>
      </c>
    </row>
    <row r="2074" spans="1:1">
      <c r="A2074">
        <v>28461.594432948761</v>
      </c>
    </row>
    <row r="2075" spans="1:1">
      <c r="A2075">
        <v>28449.337720259904</v>
      </c>
    </row>
    <row r="2076" spans="1:1">
      <c r="A2076">
        <v>28445.809986605524</v>
      </c>
    </row>
    <row r="2077" spans="1:1">
      <c r="A2077">
        <v>28439.445723325269</v>
      </c>
    </row>
    <row r="2078" spans="1:1">
      <c r="A2078">
        <v>28425.55340321593</v>
      </c>
    </row>
    <row r="2079" spans="1:1">
      <c r="A2079">
        <v>28409.580895213985</v>
      </c>
    </row>
    <row r="2080" spans="1:1">
      <c r="A2080">
        <v>28369.909648695771</v>
      </c>
    </row>
    <row r="2081" spans="1:1">
      <c r="A2081">
        <v>28347.25100412577</v>
      </c>
    </row>
    <row r="2082" spans="1:1">
      <c r="A2082">
        <v>28332.318590070121</v>
      </c>
    </row>
    <row r="2083" spans="1:1">
      <c r="A2083">
        <v>28322.313997977824</v>
      </c>
    </row>
    <row r="2084" spans="1:1">
      <c r="A2084">
        <v>28187.922271477182</v>
      </c>
    </row>
    <row r="2085" spans="1:1">
      <c r="A2085">
        <v>28186.684003845556</v>
      </c>
    </row>
    <row r="2086" spans="1:1">
      <c r="A2086">
        <v>28179.601519906784</v>
      </c>
    </row>
    <row r="2087" spans="1:1">
      <c r="A2087">
        <v>28169.349528609499</v>
      </c>
    </row>
    <row r="2088" spans="1:1">
      <c r="A2088">
        <v>28124.874159730451</v>
      </c>
    </row>
    <row r="2089" spans="1:1">
      <c r="A2089">
        <v>28112.78937974554</v>
      </c>
    </row>
    <row r="2090" spans="1:1">
      <c r="A2090">
        <v>28099.615280294685</v>
      </c>
    </row>
    <row r="2091" spans="1:1">
      <c r="A2091">
        <v>28092.285397150968</v>
      </c>
    </row>
    <row r="2092" spans="1:1">
      <c r="A2092">
        <v>28076.328936239457</v>
      </c>
    </row>
    <row r="2093" spans="1:1">
      <c r="A2093">
        <v>28040.603844730667</v>
      </c>
    </row>
    <row r="2094" spans="1:1">
      <c r="A2094">
        <v>28013.511142976622</v>
      </c>
    </row>
    <row r="2095" spans="1:1">
      <c r="A2095">
        <v>27941.488885768871</v>
      </c>
    </row>
    <row r="2096" spans="1:1">
      <c r="A2096">
        <v>27934.553326073561</v>
      </c>
    </row>
    <row r="2097" spans="1:1">
      <c r="A2097">
        <v>27906.413331287273</v>
      </c>
    </row>
    <row r="2098" spans="1:1">
      <c r="A2098">
        <v>27895.208872151343</v>
      </c>
    </row>
    <row r="2099" spans="1:1">
      <c r="A2099">
        <v>27887.961454415268</v>
      </c>
    </row>
    <row r="2100" spans="1:1">
      <c r="A2100">
        <v>27869.264806180021</v>
      </c>
    </row>
    <row r="2101" spans="1:1">
      <c r="A2101">
        <v>27859.458387773037</v>
      </c>
    </row>
    <row r="2102" spans="1:1">
      <c r="A2102">
        <v>27843.014770925081</v>
      </c>
    </row>
    <row r="2103" spans="1:1">
      <c r="A2103">
        <v>27839.003630698106</v>
      </c>
    </row>
    <row r="2104" spans="1:1">
      <c r="A2104">
        <v>27797.401422371207</v>
      </c>
    </row>
    <row r="2105" spans="1:1">
      <c r="A2105">
        <v>27794.422904075764</v>
      </c>
    </row>
    <row r="2106" spans="1:1">
      <c r="A2106">
        <v>27776.23993626238</v>
      </c>
    </row>
    <row r="2107" spans="1:1">
      <c r="A2107">
        <v>27762.368816871756</v>
      </c>
    </row>
    <row r="2108" spans="1:1">
      <c r="A2108">
        <v>27740.895472722175</v>
      </c>
    </row>
    <row r="2109" spans="1:1">
      <c r="A2109">
        <v>27702.88434892728</v>
      </c>
    </row>
    <row r="2110" spans="1:1">
      <c r="A2110">
        <v>27675.453968186808</v>
      </c>
    </row>
    <row r="2111" spans="1:1">
      <c r="A2111">
        <v>27673.142114955044</v>
      </c>
    </row>
    <row r="2112" spans="1:1">
      <c r="A2112">
        <v>27667.851743427836</v>
      </c>
    </row>
    <row r="2113" spans="1:1">
      <c r="A2113">
        <v>27656.249528286826</v>
      </c>
    </row>
    <row r="2114" spans="1:1">
      <c r="A2114">
        <v>27616.281358283075</v>
      </c>
    </row>
    <row r="2115" spans="1:1">
      <c r="A2115">
        <v>27597.162816347412</v>
      </c>
    </row>
    <row r="2116" spans="1:1">
      <c r="A2116">
        <v>27593.474684006149</v>
      </c>
    </row>
    <row r="2117" spans="1:1">
      <c r="A2117">
        <v>27582.936889933895</v>
      </c>
    </row>
    <row r="2118" spans="1:1">
      <c r="A2118">
        <v>27530.345032702538</v>
      </c>
    </row>
    <row r="2119" spans="1:1">
      <c r="A2119">
        <v>27517.140578375609</v>
      </c>
    </row>
    <row r="2120" spans="1:1">
      <c r="A2120">
        <v>27516.516862294106</v>
      </c>
    </row>
    <row r="2121" spans="1:1">
      <c r="A2121">
        <v>27241.638049192348</v>
      </c>
    </row>
    <row r="2122" spans="1:1">
      <c r="A2122">
        <v>27237.214262228343</v>
      </c>
    </row>
    <row r="2123" spans="1:1">
      <c r="A2123">
        <v>27233.996440633746</v>
      </c>
    </row>
    <row r="2124" spans="1:1">
      <c r="A2124">
        <v>27218.713223516537</v>
      </c>
    </row>
    <row r="2125" spans="1:1">
      <c r="A2125">
        <v>27180.578726744068</v>
      </c>
    </row>
    <row r="2126" spans="1:1">
      <c r="A2126">
        <v>27180.578726744068</v>
      </c>
    </row>
    <row r="2127" spans="1:1">
      <c r="A2127">
        <v>27180.505180723529</v>
      </c>
    </row>
    <row r="2128" spans="1:1">
      <c r="A2128">
        <v>27141.119056101525</v>
      </c>
    </row>
    <row r="2129" spans="1:1">
      <c r="A2129">
        <v>27096.802884992652</v>
      </c>
    </row>
    <row r="2130" spans="1:1">
      <c r="A2130">
        <v>27093.488527059839</v>
      </c>
    </row>
    <row r="2131" spans="1:1">
      <c r="A2131">
        <v>27077.189990271549</v>
      </c>
    </row>
    <row r="2132" spans="1:1">
      <c r="A2132">
        <v>27075.242678002069</v>
      </c>
    </row>
    <row r="2133" spans="1:1">
      <c r="A2133">
        <v>27065.520244088519</v>
      </c>
    </row>
    <row r="2134" spans="1:1">
      <c r="A2134">
        <v>27063.674182870483</v>
      </c>
    </row>
    <row r="2135" spans="1:1">
      <c r="A2135">
        <v>27060.139590180373</v>
      </c>
    </row>
    <row r="2136" spans="1:1">
      <c r="A2136">
        <v>27053.850497905489</v>
      </c>
    </row>
    <row r="2137" spans="1:1">
      <c r="A2137">
        <v>27052.105687738891</v>
      </c>
    </row>
    <row r="2138" spans="1:1">
      <c r="A2138">
        <v>27044.12403011469</v>
      </c>
    </row>
    <row r="2139" spans="1:1">
      <c r="A2139">
        <v>27044.12403011469</v>
      </c>
    </row>
    <row r="2140" spans="1:1">
      <c r="A2140">
        <v>27036.942111768032</v>
      </c>
    </row>
    <row r="2141" spans="1:1">
      <c r="A2141">
        <v>27036.942111768032</v>
      </c>
    </row>
    <row r="2142" spans="1:1">
      <c r="A2142">
        <v>27032.454283931671</v>
      </c>
    </row>
    <row r="2143" spans="1:1">
      <c r="A2143">
        <v>27031.825015908158</v>
      </c>
    </row>
    <row r="2144" spans="1:1">
      <c r="A2144">
        <v>27030.511005539458</v>
      </c>
    </row>
    <row r="2145" spans="1:1">
      <c r="A2145">
        <v>27021.658894650842</v>
      </c>
    </row>
    <row r="2146" spans="1:1">
      <c r="A2146">
        <v>27020.784537748641</v>
      </c>
    </row>
    <row r="2147" spans="1:1">
      <c r="A2147">
        <v>27020.784537748641</v>
      </c>
    </row>
    <row r="2148" spans="1:1">
      <c r="A2148">
        <v>27011.627378446341</v>
      </c>
    </row>
    <row r="2149" spans="1:1">
      <c r="A2149">
        <v>27009.114791565618</v>
      </c>
    </row>
    <row r="2150" spans="1:1">
      <c r="A2150">
        <v>27007.171513173427</v>
      </c>
    </row>
    <row r="2151" spans="1:1">
      <c r="A2151">
        <v>26997.445045382607</v>
      </c>
    </row>
    <row r="2152" spans="1:1">
      <c r="A2152">
        <v>26983.832020807386</v>
      </c>
    </row>
    <row r="2153" spans="1:1">
      <c r="A2153">
        <v>26976.618139897273</v>
      </c>
    </row>
    <row r="2154" spans="1:1">
      <c r="A2154">
        <v>26974.105553016554</v>
      </c>
    </row>
    <row r="2155" spans="1:1">
      <c r="A2155">
        <v>26972.162274624356</v>
      </c>
    </row>
    <row r="2156" spans="1:1">
      <c r="A2156">
        <v>26972.162274624356</v>
      </c>
    </row>
    <row r="2157" spans="1:1">
      <c r="A2157">
        <v>26968.248151841119</v>
      </c>
    </row>
    <row r="2158" spans="1:1">
      <c r="A2158">
        <v>26962.435806833546</v>
      </c>
    </row>
    <row r="2159" spans="1:1">
      <c r="A2159">
        <v>26962.435806833546</v>
      </c>
    </row>
    <row r="2160" spans="1:1">
      <c r="A2160">
        <v>26950.766060650516</v>
      </c>
    </row>
    <row r="2161" spans="1:1">
      <c r="A2161">
        <v>26948.822782258325</v>
      </c>
    </row>
    <row r="2162" spans="1:1">
      <c r="A2162">
        <v>26931.366117083337</v>
      </c>
    </row>
    <row r="2163" spans="1:1">
      <c r="A2163">
        <v>26925.483289892272</v>
      </c>
    </row>
    <row r="2164" spans="1:1">
      <c r="A2164">
        <v>26925.483289892272</v>
      </c>
    </row>
    <row r="2165" spans="1:1">
      <c r="A2165">
        <v>26921.500976149637</v>
      </c>
    </row>
    <row r="2166" spans="1:1">
      <c r="A2166">
        <v>26919.679323160457</v>
      </c>
    </row>
    <row r="2167" spans="1:1">
      <c r="A2167">
        <v>26890.474051343212</v>
      </c>
    </row>
    <row r="2168" spans="1:1">
      <c r="A2168">
        <v>26889.862313539739</v>
      </c>
    </row>
    <row r="2169" spans="1:1">
      <c r="A2169">
        <v>26878.8043051602</v>
      </c>
    </row>
    <row r="2170" spans="1:1">
      <c r="A2170">
        <v>26874.753800458158</v>
      </c>
    </row>
    <row r="2171" spans="1:1">
      <c r="A2171">
        <v>26866.48872569398</v>
      </c>
    </row>
    <row r="2172" spans="1:1">
      <c r="A2172">
        <v>26861.245353546132</v>
      </c>
    </row>
    <row r="2173" spans="1:1">
      <c r="A2173">
        <v>26858.987172937828</v>
      </c>
    </row>
    <row r="2174" spans="1:1">
      <c r="A2174">
        <v>26843.115137848265</v>
      </c>
    </row>
    <row r="2175" spans="1:1">
      <c r="A2175">
        <v>26831.428343925385</v>
      </c>
    </row>
    <row r="2176" spans="1:1">
      <c r="A2176">
        <v>26827.100146666682</v>
      </c>
    </row>
    <row r="2177" spans="1:1">
      <c r="A2177">
        <v>26820.14156654492</v>
      </c>
    </row>
    <row r="2178" spans="1:1">
      <c r="A2178">
        <v>26613.535303323239</v>
      </c>
    </row>
    <row r="2179" spans="1:1">
      <c r="A2179">
        <v>26592.978230499433</v>
      </c>
    </row>
    <row r="2180" spans="1:1">
      <c r="A2180">
        <v>26578.793332255951</v>
      </c>
    </row>
    <row r="2181" spans="1:1">
      <c r="A2181">
        <v>26574.747004495344</v>
      </c>
    </row>
    <row r="2182" spans="1:1">
      <c r="A2182">
        <v>26569.476586221503</v>
      </c>
    </row>
    <row r="2183" spans="1:1">
      <c r="A2183">
        <v>26567.562635016831</v>
      </c>
    </row>
    <row r="2184" spans="1:1">
      <c r="A2184">
        <v>26567.344209665582</v>
      </c>
    </row>
    <row r="2185" spans="1:1">
      <c r="A2185">
        <v>26558.245888982376</v>
      </c>
    </row>
    <row r="2186" spans="1:1">
      <c r="A2186">
        <v>26556.113512426469</v>
      </c>
    </row>
    <row r="2187" spans="1:1">
      <c r="A2187">
        <v>26548.055441542954</v>
      </c>
    </row>
    <row r="2188" spans="1:1">
      <c r="A2188">
        <v>26545.721931954635</v>
      </c>
    </row>
    <row r="2189" spans="1:1">
      <c r="A2189">
        <v>26533.652117948226</v>
      </c>
    </row>
    <row r="2190" spans="1:1">
      <c r="A2190">
        <v>26526.244079068329</v>
      </c>
    </row>
    <row r="2191" spans="1:1">
      <c r="A2191">
        <v>26518.811943650988</v>
      </c>
    </row>
    <row r="2192" spans="1:1">
      <c r="A2192">
        <v>26511.19072346999</v>
      </c>
    </row>
    <row r="2193" spans="1:1">
      <c r="A2193">
        <v>26507.581246411879</v>
      </c>
    </row>
    <row r="2194" spans="1:1">
      <c r="A2194">
        <v>26499.96002623087</v>
      </c>
    </row>
    <row r="2195" spans="1:1">
      <c r="A2195">
        <v>26496.350549172748</v>
      </c>
    </row>
    <row r="2196" spans="1:1">
      <c r="A2196">
        <v>26487.671786873219</v>
      </c>
    </row>
    <row r="2197" spans="1:1">
      <c r="A2197">
        <v>26479.631008308534</v>
      </c>
    </row>
    <row r="2198" spans="1:1">
      <c r="A2198">
        <v>26474.580828282262</v>
      </c>
    </row>
    <row r="2199" spans="1:1">
      <c r="A2199">
        <v>26462.658457455385</v>
      </c>
    </row>
    <row r="2200" spans="1:1">
      <c r="A2200">
        <v>26446.568459596074</v>
      </c>
    </row>
    <row r="2201" spans="1:1">
      <c r="A2201">
        <v>26413.555631941672</v>
      </c>
    </row>
    <row r="2202" spans="1:1">
      <c r="A2202">
        <v>26413.555631941672</v>
      </c>
    </row>
    <row r="2203" spans="1:1">
      <c r="A2203">
        <v>26408.838480848113</v>
      </c>
    </row>
    <row r="2204" spans="1:1">
      <c r="A2204">
        <v>26408.838480848113</v>
      </c>
    </row>
    <row r="2205" spans="1:1">
      <c r="A2205">
        <v>26406.504971259783</v>
      </c>
    </row>
    <row r="2206" spans="1:1">
      <c r="A2206">
        <v>26371.597190939581</v>
      </c>
    </row>
    <row r="2207" spans="1:1">
      <c r="A2207">
        <v>26362.475693493805</v>
      </c>
    </row>
    <row r="2208" spans="1:1">
      <c r="A2208">
        <v>26317.823989271903</v>
      </c>
    </row>
    <row r="2209" spans="1:1">
      <c r="A2209">
        <v>26310.683784564277</v>
      </c>
    </row>
    <row r="2210" spans="1:1">
      <c r="A2210">
        <v>26277.086024414944</v>
      </c>
    </row>
    <row r="2211" spans="1:1">
      <c r="A2211">
        <v>26277.086024414944</v>
      </c>
    </row>
    <row r="2212" spans="1:1">
      <c r="A2212">
        <v>26252.194826278763</v>
      </c>
    </row>
    <row r="2213" spans="1:1">
      <c r="A2213">
        <v>26240.964129039636</v>
      </c>
    </row>
    <row r="2214" spans="1:1">
      <c r="A2214">
        <v>26228.803573882695</v>
      </c>
    </row>
    <row r="2215" spans="1:1">
      <c r="A2215">
        <v>26218.502734561414</v>
      </c>
    </row>
    <row r="2216" spans="1:1">
      <c r="A2216">
        <v>26196.041340083171</v>
      </c>
    </row>
    <row r="2217" spans="1:1">
      <c r="A2217">
        <v>26173.579945604935</v>
      </c>
    </row>
    <row r="2218" spans="1:1">
      <c r="A2218">
        <v>25556.180866179759</v>
      </c>
    </row>
    <row r="2219" spans="1:1">
      <c r="A2219">
        <v>25544.484788686586</v>
      </c>
    </row>
    <row r="2220" spans="1:1">
      <c r="A2220">
        <v>25501.764959565902</v>
      </c>
    </row>
    <row r="2221" spans="1:1">
      <c r="A2221">
        <v>25496.679010979056</v>
      </c>
    </row>
    <row r="2222" spans="1:1">
      <c r="A2222">
        <v>25491.085002285723</v>
      </c>
    </row>
    <row r="2223" spans="1:1">
      <c r="A2223">
        <v>25485.490993592393</v>
      </c>
    </row>
    <row r="2224" spans="1:1">
      <c r="A2224">
        <v>25469.217027618881</v>
      </c>
    </row>
    <row r="2225" spans="1:1">
      <c r="A2225">
        <v>25459.045130445211</v>
      </c>
    </row>
    <row r="2226" spans="1:1">
      <c r="A2226">
        <v>25450.704388663678</v>
      </c>
    </row>
    <row r="2227" spans="1:1">
      <c r="A2227">
        <v>25437.481457090104</v>
      </c>
    </row>
    <row r="2228" spans="1:1">
      <c r="A2228">
        <v>25398.728240065378</v>
      </c>
    </row>
    <row r="2229" spans="1:1">
      <c r="A2229">
        <v>25398.728240065378</v>
      </c>
    </row>
    <row r="2230" spans="1:1">
      <c r="A2230">
        <v>25366.688368224874</v>
      </c>
    </row>
    <row r="2231" spans="1:1">
      <c r="A2231">
        <v>25241.035919844748</v>
      </c>
    </row>
    <row r="2232" spans="1:1">
      <c r="A2232">
        <v>25203.700906401646</v>
      </c>
    </row>
    <row r="2233" spans="1:1">
      <c r="A2233">
        <v>25188.379149506847</v>
      </c>
    </row>
    <row r="2234" spans="1:1">
      <c r="A2234">
        <v>25173.05739261206</v>
      </c>
    </row>
    <row r="2235" spans="1:1">
      <c r="A2235">
        <v>25148.252407960281</v>
      </c>
    </row>
    <row r="2236" spans="1:1">
      <c r="A2236">
        <v>25106.942694559904</v>
      </c>
    </row>
    <row r="2237" spans="1:1">
      <c r="A2237">
        <v>25092.494805786388</v>
      </c>
    </row>
    <row r="2238" spans="1:1">
      <c r="A2238">
        <v>25080.049352342245</v>
      </c>
    </row>
    <row r="2239" spans="1:1">
      <c r="A2239">
        <v>25059.796187785287</v>
      </c>
    </row>
    <row r="2240" spans="1:1">
      <c r="A2240">
        <v>25050.05448748402</v>
      </c>
    </row>
    <row r="2241" spans="1:1">
      <c r="A2241">
        <v>25024.947075962406</v>
      </c>
    </row>
    <row r="2242" spans="1:1">
      <c r="A2242">
        <v>25023.497411652905</v>
      </c>
    </row>
    <row r="2243" spans="1:1">
      <c r="A2243">
        <v>25022.244084252728</v>
      </c>
    </row>
    <row r="2244" spans="1:1">
      <c r="A2244">
        <v>24977.931059322444</v>
      </c>
    </row>
    <row r="2245" spans="1:1">
      <c r="A2245">
        <v>24975.67314177152</v>
      </c>
    </row>
    <row r="2246" spans="1:1">
      <c r="A2246">
        <v>24957.59357250436</v>
      </c>
    </row>
    <row r="2247" spans="1:1">
      <c r="A2247">
        <v>24956.736417699318</v>
      </c>
    </row>
    <row r="2248" spans="1:1">
      <c r="A2248">
        <v>24956.708512907135</v>
      </c>
    </row>
    <row r="2249" spans="1:1">
      <c r="A2249">
        <v>24953.663673194467</v>
      </c>
    </row>
    <row r="2250" spans="1:1">
      <c r="A2250">
        <v>24951.710603120577</v>
      </c>
    </row>
    <row r="2251" spans="1:1">
      <c r="A2251">
        <v>24948.403782721998</v>
      </c>
    </row>
    <row r="2252" spans="1:1">
      <c r="A2252">
        <v>24948.338291488471</v>
      </c>
    </row>
    <row r="2253" spans="1:1">
      <c r="A2253">
        <v>24945.808895456539</v>
      </c>
    </row>
    <row r="2254" spans="1:1">
      <c r="A2254">
        <v>24937.424730208528</v>
      </c>
    </row>
    <row r="2255" spans="1:1">
      <c r="A2255">
        <v>24935.48835375594</v>
      </c>
    </row>
    <row r="2256" spans="1:1">
      <c r="A2256">
        <v>24919.684571970403</v>
      </c>
    </row>
    <row r="2257" spans="1:1">
      <c r="A2257">
        <v>24917.171565651555</v>
      </c>
    </row>
    <row r="2258" spans="1:1">
      <c r="A2258">
        <v>24911.671778992168</v>
      </c>
    </row>
    <row r="2259" spans="1:1">
      <c r="A2259">
        <v>24911.20427400665</v>
      </c>
    </row>
    <row r="2260" spans="1:1">
      <c r="A2260">
        <v>24911.166797446145</v>
      </c>
    </row>
    <row r="2261" spans="1:1">
      <c r="A2261">
        <v>24902.740471067591</v>
      </c>
    </row>
    <row r="2262" spans="1:1">
      <c r="A2262">
        <v>24901.040215167683</v>
      </c>
    </row>
    <row r="2263" spans="1:1">
      <c r="A2263">
        <v>24895.816104196318</v>
      </c>
    </row>
    <row r="2264" spans="1:1">
      <c r="A2264">
        <v>24889.890635783362</v>
      </c>
    </row>
    <row r="2265" spans="1:1">
      <c r="A2265">
        <v>24889.890635783362</v>
      </c>
    </row>
    <row r="2266" spans="1:1">
      <c r="A2266">
        <v>24885.049401785651</v>
      </c>
    </row>
    <row r="2267" spans="1:1">
      <c r="A2267">
        <v>24880.907679137094</v>
      </c>
    </row>
    <row r="2268" spans="1:1">
      <c r="A2268">
        <v>24870.13480870795</v>
      </c>
    </row>
    <row r="2269" spans="1:1">
      <c r="A2269">
        <v>24868.987989704998</v>
      </c>
    </row>
    <row r="2270" spans="1:1">
      <c r="A2270">
        <v>24868.987989704998</v>
      </c>
    </row>
    <row r="2271" spans="1:1">
      <c r="A2271">
        <v>24868.987989704998</v>
      </c>
    </row>
    <row r="2272" spans="1:1">
      <c r="A2272">
        <v>24864.796237228678</v>
      </c>
    </row>
    <row r="2273" spans="1:1">
      <c r="A2273">
        <v>24864.767977398275</v>
      </c>
    </row>
    <row r="2274" spans="1:1">
      <c r="A2274">
        <v>24864.767977398275</v>
      </c>
    </row>
    <row r="2275" spans="1:1">
      <c r="A2275">
        <v>24861.73313182572</v>
      </c>
    </row>
    <row r="2276" spans="1:1">
      <c r="A2276">
        <v>24859.732946089443</v>
      </c>
    </row>
    <row r="2277" spans="1:1">
      <c r="A2277">
        <v>24859.72123845914</v>
      </c>
    </row>
    <row r="2278" spans="1:1">
      <c r="A2278">
        <v>24853.993852340009</v>
      </c>
    </row>
    <row r="2279" spans="1:1">
      <c r="A2279">
        <v>24844.722806984373</v>
      </c>
    </row>
    <row r="2280" spans="1:1">
      <c r="A2280">
        <v>24843.581536720321</v>
      </c>
    </row>
    <row r="2281" spans="1:1">
      <c r="A2281">
        <v>24843.581536720321</v>
      </c>
    </row>
    <row r="2282" spans="1:1">
      <c r="A2282">
        <v>24838.534797781147</v>
      </c>
    </row>
    <row r="2283" spans="1:1">
      <c r="A2283">
        <v>24838.415358664453</v>
      </c>
    </row>
    <row r="2284" spans="1:1">
      <c r="A2284">
        <v>24836.924534088452</v>
      </c>
    </row>
    <row r="2285" spans="1:1">
      <c r="A2285">
        <v>24834.842476561767</v>
      </c>
    </row>
    <row r="2286" spans="1:1">
      <c r="A2286">
        <v>24834.416490393251</v>
      </c>
    </row>
    <row r="2287" spans="1:1">
      <c r="A2287">
        <v>24831.224943032888</v>
      </c>
    </row>
    <row r="2288" spans="1:1">
      <c r="A2288">
        <v>24831.089618036134</v>
      </c>
    </row>
    <row r="2289" spans="1:1">
      <c r="A2289">
        <v>24827.86783014996</v>
      </c>
    </row>
    <row r="2290" spans="1:1">
      <c r="A2290">
        <v>24819.4986358633</v>
      </c>
    </row>
    <row r="2291" spans="1:1">
      <c r="A2291">
        <v>24818.952546187393</v>
      </c>
    </row>
    <row r="2292" spans="1:1">
      <c r="A2292">
        <v>24817.848099563838</v>
      </c>
    </row>
    <row r="2293" spans="1:1">
      <c r="A2293">
        <v>24817.653397134509</v>
      </c>
    </row>
    <row r="2294" spans="1:1">
      <c r="A2294">
        <v>24815.738093410488</v>
      </c>
    </row>
    <row r="2295" spans="1:1">
      <c r="A2295">
        <v>24812.784410097476</v>
      </c>
    </row>
    <row r="2296" spans="1:1">
      <c r="A2296">
        <v>24811.082265735353</v>
      </c>
    </row>
    <row r="2297" spans="1:1">
      <c r="A2297">
        <v>24810.925619823942</v>
      </c>
    </row>
    <row r="2298" spans="1:1">
      <c r="A2298">
        <v>24808.74564798893</v>
      </c>
    </row>
    <row r="2299" spans="1:1">
      <c r="A2299">
        <v>24799.355958565797</v>
      </c>
    </row>
    <row r="2300" spans="1:1">
      <c r="A2300">
        <v>24792.641732799941</v>
      </c>
    </row>
    <row r="2301" spans="1:1">
      <c r="A2301">
        <v>24792.641732799941</v>
      </c>
    </row>
    <row r="2302" spans="1:1">
      <c r="A2302">
        <v>24788.846870140082</v>
      </c>
    </row>
    <row r="2303" spans="1:1">
      <c r="A2303">
        <v>24786.684227532554</v>
      </c>
    </row>
    <row r="2304" spans="1:1">
      <c r="A2304">
        <v>24786.376631045285</v>
      </c>
    </row>
    <row r="2305" spans="1:1">
      <c r="A2305">
        <v>24781.834538746643</v>
      </c>
    </row>
    <row r="2306" spans="1:1">
      <c r="A2306">
        <v>24781.834538746643</v>
      </c>
    </row>
    <row r="2307" spans="1:1">
      <c r="A2307">
        <v>24781.435598019034</v>
      </c>
    </row>
    <row r="2308" spans="1:1">
      <c r="A2308">
        <v>24775.708177510718</v>
      </c>
    </row>
    <row r="2309" spans="1:1">
      <c r="A2309">
        <v>24775.47521820791</v>
      </c>
    </row>
    <row r="2310" spans="1:1">
      <c r="A2310">
        <v>24775.47521820791</v>
      </c>
    </row>
    <row r="2311" spans="1:1">
      <c r="A2311">
        <v>24772.499055502423</v>
      </c>
    </row>
    <row r="2312" spans="1:1">
      <c r="A2312">
        <v>24771.811798492312</v>
      </c>
    </row>
    <row r="2313" spans="1:1">
      <c r="A2313">
        <v>24768.191122319964</v>
      </c>
    </row>
    <row r="2314" spans="1:1">
      <c r="A2314">
        <v>24764.881997868928</v>
      </c>
    </row>
    <row r="2315" spans="1:1">
      <c r="A2315">
        <v>24763.530414443878</v>
      </c>
    </row>
    <row r="2316" spans="1:1">
      <c r="A2316">
        <v>24758.888734234286</v>
      </c>
    </row>
    <row r="2317" spans="1:1">
      <c r="A2317">
        <v>24756.94196999928</v>
      </c>
    </row>
    <row r="2318" spans="1:1">
      <c r="A2318">
        <v>24754.735567698808</v>
      </c>
    </row>
    <row r="2319" spans="1:1">
      <c r="A2319">
        <v>24754.435929297426</v>
      </c>
    </row>
    <row r="2320" spans="1:1">
      <c r="A2320">
        <v>24753.670586972574</v>
      </c>
    </row>
    <row r="2321" spans="1:1">
      <c r="A2321">
        <v>24745.68483193119</v>
      </c>
    </row>
    <row r="2322" spans="1:1">
      <c r="A2322">
        <v>24743.27724988692</v>
      </c>
    </row>
    <row r="2323" spans="1:1">
      <c r="A2323">
        <v>24732.496755955191</v>
      </c>
    </row>
    <row r="2324" spans="1:1">
      <c r="A2324">
        <v>24732.496755955191</v>
      </c>
    </row>
    <row r="2325" spans="1:1">
      <c r="A2325">
        <v>24727.933798562648</v>
      </c>
    </row>
    <row r="2326" spans="1:1">
      <c r="A2326">
        <v>24724.22191335115</v>
      </c>
    </row>
    <row r="2327" spans="1:1">
      <c r="A2327">
        <v>24721.096681145958</v>
      </c>
    </row>
    <row r="2328" spans="1:1">
      <c r="A2328">
        <v>24707.834211912235</v>
      </c>
    </row>
    <row r="2329" spans="1:1">
      <c r="A2329">
        <v>24704.079236053622</v>
      </c>
    </row>
    <row r="2330" spans="1:1">
      <c r="A2330">
        <v>24637.120023029507</v>
      </c>
    </row>
    <row r="2331" spans="1:1">
      <c r="A2331">
        <v>24568.08363235529</v>
      </c>
    </row>
    <row r="2332" spans="1:1">
      <c r="A2332">
        <v>24541.202364775105</v>
      </c>
    </row>
    <row r="2333" spans="1:1">
      <c r="A2333">
        <v>24497.690604617092</v>
      </c>
    </row>
    <row r="2334" spans="1:1">
      <c r="A2334">
        <v>24482.580997911871</v>
      </c>
    </row>
    <row r="2335" spans="1:1">
      <c r="A2335">
        <v>24477.578310977591</v>
      </c>
    </row>
    <row r="2336" spans="1:1">
      <c r="A2336">
        <v>24460.753190217154</v>
      </c>
    </row>
    <row r="2337" spans="1:1">
      <c r="A2337">
        <v>24452.735669383088</v>
      </c>
    </row>
    <row r="2338" spans="1:1">
      <c r="A2338">
        <v>24440.640896577654</v>
      </c>
    </row>
    <row r="2339" spans="1:1">
      <c r="A2339">
        <v>24431.976193939838</v>
      </c>
    </row>
    <row r="2340" spans="1:1">
      <c r="A2340">
        <v>24429.434205586149</v>
      </c>
    </row>
    <row r="2341" spans="1:1">
      <c r="A2341">
        <v>24429.434205586149</v>
      </c>
    </row>
    <row r="2342" spans="1:1">
      <c r="A2342">
        <v>24421.632803090339</v>
      </c>
    </row>
    <row r="2343" spans="1:1">
      <c r="A2343">
        <v>24403.602799094078</v>
      </c>
    </row>
    <row r="2344" spans="1:1">
      <c r="A2344">
        <v>24400.641691639772</v>
      </c>
    </row>
    <row r="2345" spans="1:1">
      <c r="A2345">
        <v>24400.641691639772</v>
      </c>
    </row>
    <row r="2346" spans="1:1">
      <c r="A2346">
        <v>24387.072989599914</v>
      </c>
    </row>
    <row r="2347" spans="1:1">
      <c r="A2347">
        <v>24386.406573686669</v>
      </c>
    </row>
    <row r="2348" spans="1:1">
      <c r="A2348">
        <v>24371.849177693402</v>
      </c>
    </row>
    <row r="2349" spans="1:1">
      <c r="A2349">
        <v>24351.408975957311</v>
      </c>
    </row>
    <row r="2350" spans="1:1">
      <c r="A2350">
        <v>24346.848402320931</v>
      </c>
    </row>
    <row r="2351" spans="1:1">
      <c r="A2351">
        <v>24325.295059558921</v>
      </c>
    </row>
    <row r="2352" spans="1:1">
      <c r="A2352">
        <v>24320.920393123255</v>
      </c>
    </row>
    <row r="2353" spans="1:1">
      <c r="A2353">
        <v>24314.722589941728</v>
      </c>
    </row>
    <row r="2354" spans="1:1">
      <c r="A2354">
        <v>24313.505589386121</v>
      </c>
    </row>
    <row r="2355" spans="1:1">
      <c r="A2355">
        <v>24303.44944256638</v>
      </c>
    </row>
    <row r="2356" spans="1:1">
      <c r="A2356">
        <v>24300.33062431958</v>
      </c>
    </row>
    <row r="2357" spans="1:1">
      <c r="A2357">
        <v>24271.622168411217</v>
      </c>
    </row>
    <row r="2358" spans="1:1">
      <c r="A2358">
        <v>24219.574867148476</v>
      </c>
    </row>
    <row r="2359" spans="1:1">
      <c r="A2359">
        <v>24199.882802498523</v>
      </c>
    </row>
    <row r="2360" spans="1:1">
      <c r="A2360">
        <v>24184.032498727363</v>
      </c>
    </row>
    <row r="2361" spans="1:1">
      <c r="A2361">
        <v>24169.294133049749</v>
      </c>
    </row>
    <row r="2362" spans="1:1">
      <c r="A2362">
        <v>24163.685759462933</v>
      </c>
    </row>
    <row r="2363" spans="1:1">
      <c r="A2363">
        <v>24160.545943982579</v>
      </c>
    </row>
    <row r="2364" spans="1:1">
      <c r="A2364">
        <v>24108.957252131298</v>
      </c>
    </row>
    <row r="2365" spans="1:1">
      <c r="A2365">
        <v>24088.844958491809</v>
      </c>
    </row>
    <row r="2366" spans="1:1">
      <c r="A2366">
        <v>24043.592297802959</v>
      </c>
    </row>
    <row r="2367" spans="1:1">
      <c r="A2367">
        <v>24023.48000416347</v>
      </c>
    </row>
    <row r="2368" spans="1:1">
      <c r="A2368">
        <v>23972.925812322705</v>
      </c>
    </row>
    <row r="2369" spans="1:1">
      <c r="A2369">
        <v>23809.701481071352</v>
      </c>
    </row>
    <row r="2370" spans="1:1">
      <c r="A2370">
        <v>23683.65831340896</v>
      </c>
    </row>
    <row r="2371" spans="1:1">
      <c r="A2371">
        <v>23626.176725480094</v>
      </c>
    </row>
    <row r="2372" spans="1:1">
      <c r="A2372">
        <v>23597.435931515654</v>
      </c>
    </row>
    <row r="2373" spans="1:1">
      <c r="A2373">
        <v>23581.946538144024</v>
      </c>
    </row>
    <row r="2374" spans="1:1">
      <c r="A2374">
        <v>23569.660623052972</v>
      </c>
    </row>
    <row r="2375" spans="1:1">
      <c r="A2375">
        <v>23569.660623052972</v>
      </c>
    </row>
    <row r="2376" spans="1:1">
      <c r="A2376">
        <v>23493.051838579013</v>
      </c>
    </row>
    <row r="2377" spans="1:1">
      <c r="A2377">
        <v>23474.267384548901</v>
      </c>
    </row>
    <row r="2378" spans="1:1">
      <c r="A2378">
        <v>23460.145854235445</v>
      </c>
    </row>
    <row r="2379" spans="1:1">
      <c r="A2379">
        <v>23456.764159124345</v>
      </c>
    </row>
    <row r="2380" spans="1:1">
      <c r="A2380">
        <v>23450.150811799365</v>
      </c>
    </row>
    <row r="2381" spans="1:1">
      <c r="A2381">
        <v>23446.098441750622</v>
      </c>
    </row>
    <row r="2382" spans="1:1">
      <c r="A2382">
        <v>23445.775457253225</v>
      </c>
    </row>
    <row r="2383" spans="1:1">
      <c r="A2383">
        <v>23445.526590584479</v>
      </c>
    </row>
    <row r="2384" spans="1:1">
      <c r="A2384">
        <v>23440.007533706063</v>
      </c>
    </row>
    <row r="2385" spans="1:1">
      <c r="A2385">
        <v>23420.8381666688</v>
      </c>
    </row>
    <row r="2386" spans="1:1">
      <c r="A2386">
        <v>23410.172449295089</v>
      </c>
    </row>
    <row r="2387" spans="1:1">
      <c r="A2387">
        <v>23404.155659079137</v>
      </c>
    </row>
    <row r="2388" spans="1:1">
      <c r="A2388">
        <v>23398.984292640966</v>
      </c>
    </row>
    <row r="2389" spans="1:1">
      <c r="A2389">
        <v>23373.92347234214</v>
      </c>
    </row>
    <row r="2390" spans="1:1">
      <c r="A2390">
        <v>23368.155548794974</v>
      </c>
    </row>
    <row r="2391" spans="1:1">
      <c r="A2391">
        <v>23353.78515181275</v>
      </c>
    </row>
    <row r="2392" spans="1:1">
      <c r="A2392">
        <v>23348.839393766866</v>
      </c>
    </row>
    <row r="2393" spans="1:1">
      <c r="A2393">
        <v>23344.941521929377</v>
      </c>
    </row>
    <row r="2394" spans="1:1">
      <c r="A2394">
        <v>23342.123967763993</v>
      </c>
    </row>
    <row r="2395" spans="1:1">
      <c r="A2395">
        <v>23339.414754830534</v>
      </c>
    </row>
    <row r="2396" spans="1:1">
      <c r="A2396">
        <v>23330.021276101372</v>
      </c>
    </row>
    <row r="2397" spans="1:1">
      <c r="A2397">
        <v>23294.79937194255</v>
      </c>
    </row>
    <row r="2398" spans="1:1">
      <c r="A2398">
        <v>23292.38504077035</v>
      </c>
    </row>
    <row r="2399" spans="1:1">
      <c r="A2399">
        <v>23269.708548388535</v>
      </c>
    </row>
    <row r="2400" spans="1:1">
      <c r="A2400">
        <v>23268.332737455417</v>
      </c>
    </row>
    <row r="2401" spans="1:1">
      <c r="A2401">
        <v>23254.026783667294</v>
      </c>
    </row>
    <row r="2402" spans="1:1">
      <c r="A2402">
        <v>23217.383611760459</v>
      </c>
    </row>
    <row r="2403" spans="1:1">
      <c r="A2403">
        <v>23217.135345904411</v>
      </c>
    </row>
    <row r="2404" spans="1:1">
      <c r="A2404">
        <v>23193.5994889918</v>
      </c>
    </row>
    <row r="2405" spans="1:1">
      <c r="A2405">
        <v>23135.56739355778</v>
      </c>
    </row>
    <row r="2406" spans="1:1">
      <c r="A2406">
        <v>23098.294826675348</v>
      </c>
    </row>
    <row r="2407" spans="1:1">
      <c r="A2407">
        <v>23070.092349286439</v>
      </c>
    </row>
    <row r="2408" spans="1:1">
      <c r="A2408">
        <v>23046.456907540964</v>
      </c>
    </row>
    <row r="2409" spans="1:1">
      <c r="A2409">
        <v>23035.226875137814</v>
      </c>
    </row>
    <row r="2410" spans="1:1">
      <c r="A2410">
        <v>23016.322528026845</v>
      </c>
    </row>
    <row r="2411" spans="1:1">
      <c r="A2411">
        <v>23005.93291763723</v>
      </c>
    </row>
    <row r="2412" spans="1:1">
      <c r="A2412">
        <v>22994.523864014365</v>
      </c>
    </row>
    <row r="2413" spans="1:1">
      <c r="A2413">
        <v>22990.427159412364</v>
      </c>
    </row>
    <row r="2414" spans="1:1">
      <c r="A2414">
        <v>22964.875017539791</v>
      </c>
    </row>
    <row r="2415" spans="1:1">
      <c r="A2415">
        <v>22959.01650805735</v>
      </c>
    </row>
    <row r="2416" spans="1:1">
      <c r="A2416">
        <v>22951.277969066854</v>
      </c>
    </row>
    <row r="2417" spans="1:1">
      <c r="A2417">
        <v>22947.18691742179</v>
      </c>
    </row>
    <row r="2418" spans="1:1">
      <c r="A2418">
        <v>22946.35002442613</v>
      </c>
    </row>
    <row r="2419" spans="1:1">
      <c r="A2419">
        <v>22946.258766602892</v>
      </c>
    </row>
    <row r="2420" spans="1:1">
      <c r="A2420">
        <v>22940.001718930685</v>
      </c>
    </row>
    <row r="2421" spans="1:1">
      <c r="A2421">
        <v>22934.632704000498</v>
      </c>
    </row>
    <row r="2422" spans="1:1">
      <c r="A2422">
        <v>22933.765652097027</v>
      </c>
    </row>
    <row r="2423" spans="1:1">
      <c r="A2423">
        <v>22931.037169049323</v>
      </c>
    </row>
    <row r="2424" spans="1:1">
      <c r="A2424">
        <v>22926.976276312078</v>
      </c>
    </row>
    <row r="2425" spans="1:1">
      <c r="A2425">
        <v>22924.54962992431</v>
      </c>
    </row>
    <row r="2426" spans="1:1">
      <c r="A2426">
        <v>22921.955449964131</v>
      </c>
    </row>
    <row r="2427" spans="1:1">
      <c r="A2427">
        <v>22920.401747827942</v>
      </c>
    </row>
    <row r="2428" spans="1:1">
      <c r="A2428">
        <v>22920.123236858468</v>
      </c>
    </row>
    <row r="2429" spans="1:1">
      <c r="A2429">
        <v>22918.918154506271</v>
      </c>
    </row>
    <row r="2430" spans="1:1">
      <c r="A2430">
        <v>22917.120387030682</v>
      </c>
    </row>
    <row r="2431" spans="1:1">
      <c r="A2431">
        <v>22917.120387030682</v>
      </c>
    </row>
    <row r="2432" spans="1:1">
      <c r="A2432">
        <v>22909.696638235298</v>
      </c>
    </row>
    <row r="2433" spans="1:1">
      <c r="A2433">
        <v>22908.62253127186</v>
      </c>
    </row>
    <row r="2434" spans="1:1">
      <c r="A2434">
        <v>22897.187943844554</v>
      </c>
    </row>
    <row r="2435" spans="1:1">
      <c r="A2435">
        <v>22890.503659582351</v>
      </c>
    </row>
    <row r="2436" spans="1:1">
      <c r="A2436">
        <v>22886.668060662116</v>
      </c>
    </row>
    <row r="2437" spans="1:1">
      <c r="A2437">
        <v>22884.659158017676</v>
      </c>
    </row>
    <row r="2438" spans="1:1">
      <c r="A2438">
        <v>22881.257592961912</v>
      </c>
    </row>
    <row r="2439" spans="1:1">
      <c r="A2439">
        <v>22877.482180252286</v>
      </c>
    </row>
    <row r="2440" spans="1:1">
      <c r="A2440">
        <v>22865.259497018735</v>
      </c>
    </row>
    <row r="2441" spans="1:1">
      <c r="A2441">
        <v>22864.893417766722</v>
      </c>
    </row>
    <row r="2442" spans="1:1">
      <c r="A2442">
        <v>22863.829291948059</v>
      </c>
    </row>
    <row r="2443" spans="1:1">
      <c r="A2443">
        <v>22860.860573832739</v>
      </c>
    </row>
    <row r="2444" spans="1:1">
      <c r="A2444">
        <v>22838.914982218997</v>
      </c>
    </row>
    <row r="2445" spans="1:1">
      <c r="A2445">
        <v>22835.519700318611</v>
      </c>
    </row>
    <row r="2446" spans="1:1">
      <c r="A2446">
        <v>22831.968966886012</v>
      </c>
    </row>
    <row r="2447" spans="1:1">
      <c r="A2447">
        <v>22827.926968303334</v>
      </c>
    </row>
    <row r="2448" spans="1:1">
      <c r="A2448">
        <v>22819.91361601164</v>
      </c>
    </row>
    <row r="2449" spans="1:1">
      <c r="A2449">
        <v>22819.499543641668</v>
      </c>
    </row>
    <row r="2450" spans="1:1">
      <c r="A2450">
        <v>22819.499543641668</v>
      </c>
    </row>
    <row r="2451" spans="1:1">
      <c r="A2451">
        <v>22815.375144447389</v>
      </c>
    </row>
    <row r="2452" spans="1:1">
      <c r="A2452">
        <v>22813.808754071255</v>
      </c>
    </row>
    <row r="2453" spans="1:1">
      <c r="A2453">
        <v>22799.271373644857</v>
      </c>
    </row>
    <row r="2454" spans="1:1">
      <c r="A2454">
        <v>22795.07391308749</v>
      </c>
    </row>
    <row r="2455" spans="1:1">
      <c r="A2455">
        <v>22784.949275326646</v>
      </c>
    </row>
    <row r="2456" spans="1:1">
      <c r="A2456">
        <v>22778.702760109205</v>
      </c>
    </row>
    <row r="2457" spans="1:1">
      <c r="A2457">
        <v>22777.361489065799</v>
      </c>
    </row>
    <row r="2458" spans="1:1">
      <c r="A2458">
        <v>22777.105227046275</v>
      </c>
    </row>
    <row r="2459" spans="1:1">
      <c r="A2459">
        <v>22773.446028426435</v>
      </c>
    </row>
    <row r="2460" spans="1:1">
      <c r="A2460">
        <v>22770.531217799096</v>
      </c>
    </row>
    <row r="2461" spans="1:1">
      <c r="A2461">
        <v>22767.418352989243</v>
      </c>
    </row>
    <row r="2462" spans="1:1">
      <c r="A2462">
        <v>22749.861576578536</v>
      </c>
    </row>
    <row r="2463" spans="1:1">
      <c r="A2463">
        <v>22742.499143728357</v>
      </c>
    </row>
    <row r="2464" spans="1:1">
      <c r="A2464">
        <v>22738.522607756604</v>
      </c>
    </row>
    <row r="2465" spans="1:1">
      <c r="A2465">
        <v>22735.112009788507</v>
      </c>
    </row>
    <row r="2466" spans="1:1">
      <c r="A2466">
        <v>22723.615853179472</v>
      </c>
    </row>
    <row r="2467" spans="1:1">
      <c r="A2467">
        <v>22723.184433237031</v>
      </c>
    </row>
    <row r="2468" spans="1:1">
      <c r="A2468">
        <v>22720.05872508113</v>
      </c>
    </row>
    <row r="2469" spans="1:1">
      <c r="A2469">
        <v>22708.726399305277</v>
      </c>
    </row>
    <row r="2470" spans="1:1">
      <c r="A2470">
        <v>22694.445742444055</v>
      </c>
    </row>
    <row r="2471" spans="1:1">
      <c r="A2471">
        <v>22693.936530853607</v>
      </c>
    </row>
    <row r="2472" spans="1:1">
      <c r="A2472">
        <v>22691.761766168616</v>
      </c>
    </row>
    <row r="2473" spans="1:1">
      <c r="A2473">
        <v>22676.230312518925</v>
      </c>
    </row>
    <row r="2474" spans="1:1">
      <c r="A2474">
        <v>22667.166620847831</v>
      </c>
    </row>
    <row r="2475" spans="1:1">
      <c r="A2475">
        <v>22665.862634947094</v>
      </c>
    </row>
    <row r="2476" spans="1:1">
      <c r="A2476">
        <v>22659.754409229201</v>
      </c>
    </row>
    <row r="2477" spans="1:1">
      <c r="A2477">
        <v>22645.759757464075</v>
      </c>
    </row>
    <row r="2478" spans="1:1">
      <c r="A2478">
        <v>22638.262655090875</v>
      </c>
    </row>
    <row r="2479" spans="1:1">
      <c r="A2479">
        <v>22615.088906615776</v>
      </c>
    </row>
    <row r="2480" spans="1:1">
      <c r="A2480">
        <v>22610.669001568007</v>
      </c>
    </row>
    <row r="2481" spans="1:1">
      <c r="A2481">
        <v>22605.023533113505</v>
      </c>
    </row>
    <row r="2482" spans="1:1">
      <c r="A2482">
        <v>22576.884794644735</v>
      </c>
    </row>
    <row r="2483" spans="1:1">
      <c r="A2483">
        <v>22533.704221505828</v>
      </c>
    </row>
    <row r="2484" spans="1:1">
      <c r="A2484">
        <v>22530.708558106759</v>
      </c>
    </row>
    <row r="2485" spans="1:1">
      <c r="A2485">
        <v>22510.708639590222</v>
      </c>
    </row>
    <row r="2486" spans="1:1">
      <c r="A2486">
        <v>22506.402702779837</v>
      </c>
    </row>
    <row r="2487" spans="1:1">
      <c r="A2487">
        <v>22505.426288784831</v>
      </c>
    </row>
    <row r="2488" spans="1:1">
      <c r="A2488">
        <v>22503.072214462278</v>
      </c>
    </row>
    <row r="2489" spans="1:1">
      <c r="A2489">
        <v>22480.433959916678</v>
      </c>
    </row>
    <row r="2490" spans="1:1">
      <c r="A2490">
        <v>22430.297736897406</v>
      </c>
    </row>
    <row r="2491" spans="1:1">
      <c r="A2491">
        <v>22413.883853027444</v>
      </c>
    </row>
    <row r="2492" spans="1:1">
      <c r="A2492">
        <v>22393.051430605447</v>
      </c>
    </row>
    <row r="2493" spans="1:1">
      <c r="A2493">
        <v>22362.258201965116</v>
      </c>
    </row>
    <row r="2494" spans="1:1">
      <c r="A2494">
        <v>22351.036956406853</v>
      </c>
    </row>
    <row r="2495" spans="1:1">
      <c r="A2495">
        <v>22341.391469065966</v>
      </c>
    </row>
    <row r="2496" spans="1:1">
      <c r="A2496">
        <v>22283.709483057319</v>
      </c>
    </row>
    <row r="2497" spans="1:1">
      <c r="A2497">
        <v>22276.754318684754</v>
      </c>
    </row>
    <row r="2498" spans="1:1">
      <c r="A2498">
        <v>22211.359899341383</v>
      </c>
    </row>
    <row r="2499" spans="1:1">
      <c r="A2499">
        <v>22185.831922145859</v>
      </c>
    </row>
    <row r="2500" spans="1:1">
      <c r="A2500">
        <v>22179.503110586051</v>
      </c>
    </row>
    <row r="2501" spans="1:1">
      <c r="A2501">
        <v>22128.088428630959</v>
      </c>
    </row>
    <row r="2502" spans="1:1">
      <c r="A2502">
        <v>22114.096807146525</v>
      </c>
    </row>
    <row r="2503" spans="1:1">
      <c r="A2503">
        <v>22052.004602326007</v>
      </c>
    </row>
    <row r="2504" spans="1:1">
      <c r="A2504">
        <v>22022.693528598873</v>
      </c>
    </row>
    <row r="2505" spans="1:1">
      <c r="A2505">
        <v>22020.186444338513</v>
      </c>
    </row>
    <row r="2506" spans="1:1">
      <c r="A2506">
        <v>21997.506437184209</v>
      </c>
    </row>
    <row r="2507" spans="1:1">
      <c r="A2507">
        <v>21988.298114102738</v>
      </c>
    </row>
    <row r="2508" spans="1:1">
      <c r="A2508">
        <v>21984.596270427897</v>
      </c>
    </row>
    <row r="2509" spans="1:1">
      <c r="A2509">
        <v>21959.938999475668</v>
      </c>
    </row>
    <row r="2510" spans="1:1">
      <c r="A2510">
        <v>21943.991927996511</v>
      </c>
    </row>
    <row r="2511" spans="1:1">
      <c r="A2511">
        <v>21918.081114914097</v>
      </c>
    </row>
    <row r="2512" spans="1:1">
      <c r="A2512">
        <v>21897.895249954454</v>
      </c>
    </row>
    <row r="2513" spans="1:1">
      <c r="A2513">
        <v>21896.964799906127</v>
      </c>
    </row>
    <row r="2514" spans="1:1">
      <c r="A2514">
        <v>21896.745129459774</v>
      </c>
    </row>
    <row r="2515" spans="1:1">
      <c r="A2515">
        <v>21875.447855312254</v>
      </c>
    </row>
    <row r="2516" spans="1:1">
      <c r="A2516">
        <v>21831.315499002387</v>
      </c>
    </row>
    <row r="2517" spans="1:1">
      <c r="A2517">
        <v>21809.866526559748</v>
      </c>
    </row>
    <row r="2518" spans="1:1">
      <c r="A2518">
        <v>21805.197813848135</v>
      </c>
    </row>
    <row r="2519" spans="1:1">
      <c r="A2519">
        <v>21785.011356125247</v>
      </c>
    </row>
    <row r="2520" spans="1:1">
      <c r="A2520">
        <v>21769.293287988097</v>
      </c>
    </row>
    <row r="2521" spans="1:1">
      <c r="A2521">
        <v>21759.993018238863</v>
      </c>
    </row>
    <row r="2522" spans="1:1">
      <c r="A2522">
        <v>21736.589289416836</v>
      </c>
    </row>
    <row r="2523" spans="1:1">
      <c r="A2523">
        <v>21723.804281164728</v>
      </c>
    </row>
    <row r="2524" spans="1:1">
      <c r="A2524">
        <v>21694.311069950476</v>
      </c>
    </row>
    <row r="2525" spans="1:1">
      <c r="A2525">
        <v>21694.311069950476</v>
      </c>
    </row>
    <row r="2526" spans="1:1">
      <c r="A2526">
        <v>21665.819878438164</v>
      </c>
    </row>
    <row r="2527" spans="1:1">
      <c r="A2527">
        <v>21649.738640674655</v>
      </c>
    </row>
    <row r="2528" spans="1:1">
      <c r="A2528">
        <v>21643.077795764228</v>
      </c>
    </row>
    <row r="2529" spans="1:1">
      <c r="A2529">
        <v>21639.528063607686</v>
      </c>
    </row>
    <row r="2530" spans="1:1">
      <c r="A2530">
        <v>21624.300547942832</v>
      </c>
    </row>
    <row r="2531" spans="1:1">
      <c r="A2531">
        <v>21621.560851170369</v>
      </c>
    </row>
    <row r="2532" spans="1:1">
      <c r="A2532">
        <v>21619.463460915787</v>
      </c>
    </row>
    <row r="2533" spans="1:1">
      <c r="A2533">
        <v>21608.715459375526</v>
      </c>
    </row>
    <row r="2534" spans="1:1">
      <c r="A2534">
        <v>21602.132143402006</v>
      </c>
    </row>
    <row r="2535" spans="1:1">
      <c r="A2535">
        <v>21600.056848642245</v>
      </c>
    </row>
    <row r="2536" spans="1:1">
      <c r="A2536">
        <v>21562.037127975287</v>
      </c>
    </row>
    <row r="2537" spans="1:1">
      <c r="A2537">
        <v>21554.261734389089</v>
      </c>
    </row>
    <row r="2538" spans="1:1">
      <c r="A2538">
        <v>21550.263050038346</v>
      </c>
    </row>
    <row r="2539" spans="1:1">
      <c r="A2539">
        <v>21530.011244738133</v>
      </c>
    </row>
    <row r="2540" spans="1:1">
      <c r="A2540">
        <v>21525.903111680549</v>
      </c>
    </row>
    <row r="2541" spans="1:1">
      <c r="A2541">
        <v>21525.847189544587</v>
      </c>
    </row>
    <row r="2542" spans="1:1">
      <c r="A2542">
        <v>21512.711142018772</v>
      </c>
    </row>
    <row r="2543" spans="1:1">
      <c r="A2543">
        <v>21505.164813746684</v>
      </c>
    </row>
    <row r="2544" spans="1:1">
      <c r="A2544">
        <v>21476.647746810584</v>
      </c>
    </row>
    <row r="2545" spans="1:1">
      <c r="A2545">
        <v>21471.145267279826</v>
      </c>
    </row>
    <row r="2546" spans="1:1">
      <c r="A2546">
        <v>21467.362571762264</v>
      </c>
    </row>
    <row r="2547" spans="1:1">
      <c r="A2547">
        <v>21452.66274664503</v>
      </c>
    </row>
    <row r="2548" spans="1:1">
      <c r="A2548">
        <v>21450.938395314886</v>
      </c>
    </row>
    <row r="2549" spans="1:1">
      <c r="A2549">
        <v>21449.365338285988</v>
      </c>
    </row>
    <row r="2550" spans="1:1">
      <c r="A2550">
        <v>21446.417500386942</v>
      </c>
    </row>
    <row r="2551" spans="1:1">
      <c r="A2551">
        <v>21433.556418724162</v>
      </c>
    </row>
    <row r="2552" spans="1:1">
      <c r="A2552">
        <v>21424.049049454086</v>
      </c>
    </row>
    <row r="2553" spans="1:1">
      <c r="A2553">
        <v>21418.304833467988</v>
      </c>
    </row>
    <row r="2554" spans="1:1">
      <c r="A2554">
        <v>21413.979807788131</v>
      </c>
    </row>
    <row r="2555" spans="1:1">
      <c r="A2555">
        <v>21406.98534105983</v>
      </c>
    </row>
    <row r="2556" spans="1:1">
      <c r="A2556">
        <v>21404.896714991559</v>
      </c>
    </row>
    <row r="2557" spans="1:1">
      <c r="A2557">
        <v>21404.822828219905</v>
      </c>
    </row>
    <row r="2558" spans="1:1">
      <c r="A2558">
        <v>21396.679705068796</v>
      </c>
    </row>
    <row r="2559" spans="1:1">
      <c r="A2559">
        <v>21390.388035797117</v>
      </c>
    </row>
    <row r="2560" spans="1:1">
      <c r="A2560">
        <v>21388.029653709098</v>
      </c>
    </row>
    <row r="2561" spans="1:1">
      <c r="A2561">
        <v>21381.035186980786</v>
      </c>
    </row>
    <row r="2562" spans="1:1">
      <c r="A2562">
        <v>21378.365745932329</v>
      </c>
    </row>
    <row r="2563" spans="1:1">
      <c r="A2563">
        <v>21375.398626485214</v>
      </c>
    </row>
    <row r="2564" spans="1:1">
      <c r="A2564">
        <v>21356.74061753312</v>
      </c>
    </row>
    <row r="2565" spans="1:1">
      <c r="A2565">
        <v>21354.578104693195</v>
      </c>
    </row>
    <row r="2566" spans="1:1">
      <c r="A2566">
        <v>21350.568083008475</v>
      </c>
    </row>
    <row r="2567" spans="1:1">
      <c r="A2567">
        <v>21335.385488071912</v>
      </c>
    </row>
    <row r="2568" spans="1:1">
      <c r="A2568">
        <v>21328.056618963135</v>
      </c>
    </row>
    <row r="2569" spans="1:1">
      <c r="A2569">
        <v>21328.056618963135</v>
      </c>
    </row>
    <row r="2570" spans="1:1">
      <c r="A2570">
        <v>21322.139065091647</v>
      </c>
    </row>
    <row r="2571" spans="1:1">
      <c r="A2571">
        <v>21305.292445935753</v>
      </c>
    </row>
    <row r="2572" spans="1:1">
      <c r="A2572">
        <v>21287.126731201286</v>
      </c>
    </row>
    <row r="2573" spans="1:1">
      <c r="A2573">
        <v>21280.838332937172</v>
      </c>
    </row>
    <row r="2574" spans="1:1">
      <c r="A2574">
        <v>21274.29807273054</v>
      </c>
    </row>
    <row r="2575" spans="1:1">
      <c r="A2575">
        <v>21259.546361530938</v>
      </c>
    </row>
    <row r="2576" spans="1:1">
      <c r="A2576">
        <v>21215.826387058969</v>
      </c>
    </row>
    <row r="2577" spans="1:1">
      <c r="A2577">
        <v>21200.969929113337</v>
      </c>
    </row>
    <row r="2578" spans="1:1">
      <c r="A2578">
        <v>21072.048847409555</v>
      </c>
    </row>
    <row r="2579" spans="1:1">
      <c r="A2579">
        <v>21042.25896042792</v>
      </c>
    </row>
    <row r="2580" spans="1:1">
      <c r="A2580">
        <v>20988.663981420505</v>
      </c>
    </row>
    <row r="2581" spans="1:1">
      <c r="A2581">
        <v>20945.44182773761</v>
      </c>
    </row>
    <row r="2582" spans="1:1">
      <c r="A2582">
        <v>20904.828734718478</v>
      </c>
    </row>
    <row r="2583" spans="1:1">
      <c r="A2583">
        <v>20890.592562487916</v>
      </c>
    </row>
    <row r="2584" spans="1:1">
      <c r="A2584">
        <v>20889.111263985749</v>
      </c>
    </row>
    <row r="2585" spans="1:1">
      <c r="A2585">
        <v>20862.16861145023</v>
      </c>
    </row>
    <row r="2586" spans="1:1">
      <c r="A2586">
        <v>20857.345063223365</v>
      </c>
    </row>
    <row r="2587" spans="1:1">
      <c r="A2587">
        <v>20825.366713055861</v>
      </c>
    </row>
    <row r="2588" spans="1:1">
      <c r="A2588">
        <v>20809.530132431322</v>
      </c>
    </row>
    <row r="2589" spans="1:1">
      <c r="A2589">
        <v>20786.822973330767</v>
      </c>
    </row>
    <row r="2590" spans="1:1">
      <c r="A2590">
        <v>20674.102210402871</v>
      </c>
    </row>
    <row r="2591" spans="1:1">
      <c r="A2591">
        <v>20671.627214488217</v>
      </c>
    </row>
    <row r="2592" spans="1:1">
      <c r="A2592">
        <v>20474.874010310479</v>
      </c>
    </row>
    <row r="2593" spans="1:1">
      <c r="A2593">
        <v>20474.754900418673</v>
      </c>
    </row>
    <row r="2594" spans="1:1">
      <c r="A2594">
        <v>20462.357520551421</v>
      </c>
    </row>
    <row r="2595" spans="1:1">
      <c r="A2595">
        <v>20458.357733153483</v>
      </c>
    </row>
    <row r="2596" spans="1:1">
      <c r="A2596">
        <v>20453.372252497655</v>
      </c>
    </row>
    <row r="2597" spans="1:1">
      <c r="A2597">
        <v>20446.842782703119</v>
      </c>
    </row>
    <row r="2598" spans="1:1">
      <c r="A2598">
        <v>20440.332317697346</v>
      </c>
    </row>
    <row r="2599" spans="1:1">
      <c r="A2599">
        <v>20438.797830952997</v>
      </c>
    </row>
    <row r="2600" spans="1:1">
      <c r="A2600">
        <v>20429.757683550601</v>
      </c>
    </row>
    <row r="2601" spans="1:1">
      <c r="A2601">
        <v>20429.757683550601</v>
      </c>
    </row>
    <row r="2602" spans="1:1">
      <c r="A2602">
        <v>20424.862956803285</v>
      </c>
    </row>
    <row r="2603" spans="1:1">
      <c r="A2603">
        <v>20419.302671521047</v>
      </c>
    </row>
    <row r="2604" spans="1:1">
      <c r="A2604">
        <v>20410.982962002214</v>
      </c>
    </row>
    <row r="2605" spans="1:1">
      <c r="A2605">
        <v>20407.722978302139</v>
      </c>
    </row>
    <row r="2606" spans="1:1">
      <c r="A2606">
        <v>20403.677813949966</v>
      </c>
    </row>
    <row r="2607" spans="1:1">
      <c r="A2607">
        <v>20360.138192150676</v>
      </c>
    </row>
    <row r="2608" spans="1:1">
      <c r="A2608">
        <v>20337.318306250105</v>
      </c>
    </row>
    <row r="2609" spans="1:1">
      <c r="A2609">
        <v>20325.128038060619</v>
      </c>
    </row>
    <row r="2610" spans="1:1">
      <c r="A2610">
        <v>20307.04718663789</v>
      </c>
    </row>
    <row r="2611" spans="1:1">
      <c r="A2611">
        <v>20273.809141595375</v>
      </c>
    </row>
    <row r="2612" spans="1:1">
      <c r="A2612">
        <v>20267.514961199598</v>
      </c>
    </row>
    <row r="2613" spans="1:1">
      <c r="A2613">
        <v>20263.398258543566</v>
      </c>
    </row>
    <row r="2614" spans="1:1">
      <c r="A2614">
        <v>20260.226033736588</v>
      </c>
    </row>
    <row r="2615" spans="1:1">
      <c r="A2615">
        <v>20253.873699397747</v>
      </c>
    </row>
    <row r="2616" spans="1:1">
      <c r="A2616">
        <v>20236.201570671186</v>
      </c>
    </row>
    <row r="2617" spans="1:1">
      <c r="A2617">
        <v>20235.528510244123</v>
      </c>
    </row>
    <row r="2618" spans="1:1">
      <c r="A2618">
        <v>20227.693573494187</v>
      </c>
    </row>
    <row r="2619" spans="1:1">
      <c r="A2619">
        <v>20225.748559143874</v>
      </c>
    </row>
    <row r="2620" spans="1:1">
      <c r="A2620">
        <v>20214.498503042327</v>
      </c>
    </row>
    <row r="2621" spans="1:1">
      <c r="A2621">
        <v>20207.595765256567</v>
      </c>
    </row>
    <row r="2622" spans="1:1">
      <c r="A2622">
        <v>20196.23828846488</v>
      </c>
    </row>
    <row r="2623" spans="1:1">
      <c r="A2623">
        <v>20192.993586491502</v>
      </c>
    </row>
    <row r="2624" spans="1:1">
      <c r="A2624">
        <v>20188.253995395731</v>
      </c>
    </row>
    <row r="2625" spans="1:1">
      <c r="A2625">
        <v>20183.784173457501</v>
      </c>
    </row>
    <row r="2626" spans="1:1">
      <c r="A2626">
        <v>20178.163753228913</v>
      </c>
    </row>
    <row r="2627" spans="1:1">
      <c r="A2627">
        <v>20175.245403502024</v>
      </c>
    </row>
    <row r="2628" spans="1:1">
      <c r="A2628">
        <v>20174.120126612397</v>
      </c>
    </row>
    <row r="2629" spans="1:1">
      <c r="A2629">
        <v>20172.374106895702</v>
      </c>
    </row>
    <row r="2630" spans="1:1">
      <c r="A2630">
        <v>20165.543868192442</v>
      </c>
    </row>
    <row r="2631" spans="1:1">
      <c r="A2631">
        <v>20155.818796440879</v>
      </c>
    </row>
    <row r="2632" spans="1:1">
      <c r="A2632">
        <v>20145.004486308098</v>
      </c>
    </row>
    <row r="2633" spans="1:1">
      <c r="A2633">
        <v>20130.094575097559</v>
      </c>
    </row>
    <row r="2634" spans="1:1">
      <c r="A2634">
        <v>20125.172380343254</v>
      </c>
    </row>
    <row r="2635" spans="1:1">
      <c r="A2635">
        <v>20124.944456395784</v>
      </c>
    </row>
    <row r="2636" spans="1:1">
      <c r="A2636">
        <v>20120.636220283784</v>
      </c>
    </row>
    <row r="2637" spans="1:1">
      <c r="A2637">
        <v>20112.589445944664</v>
      </c>
    </row>
    <row r="2638" spans="1:1">
      <c r="A2638">
        <v>20112.589445944664</v>
      </c>
    </row>
    <row r="2639" spans="1:1">
      <c r="A2639">
        <v>20110.114642896668</v>
      </c>
    </row>
    <row r="2640" spans="1:1">
      <c r="A2640">
        <v>20109.630167716379</v>
      </c>
    </row>
    <row r="2641" spans="1:1">
      <c r="A2641">
        <v>20087.195634140553</v>
      </c>
    </row>
    <row r="2642" spans="1:1">
      <c r="A2642">
        <v>20073.569897846577</v>
      </c>
    </row>
    <row r="2643" spans="1:1">
      <c r="A2643">
        <v>20072.708143794014</v>
      </c>
    </row>
    <row r="2644" spans="1:1">
      <c r="A2644">
        <v>20068.03132412336</v>
      </c>
    </row>
    <row r="2645" spans="1:1">
      <c r="A2645">
        <v>20065.11252478902</v>
      </c>
    </row>
    <row r="2646" spans="1:1">
      <c r="A2646">
        <v>20060.471207226721</v>
      </c>
    </row>
    <row r="2647" spans="1:1">
      <c r="A2647">
        <v>20053.332619556291</v>
      </c>
    </row>
    <row r="2648" spans="1:1">
      <c r="A2648">
        <v>20034.836555094138</v>
      </c>
    </row>
    <row r="2649" spans="1:1">
      <c r="A2649">
        <v>20033.81688531478</v>
      </c>
    </row>
    <row r="2650" spans="1:1">
      <c r="A2650">
        <v>20031.610139745892</v>
      </c>
    </row>
    <row r="2651" spans="1:1">
      <c r="A2651">
        <v>20021.298629525078</v>
      </c>
    </row>
    <row r="2652" spans="1:1">
      <c r="A2652">
        <v>20015.039501630239</v>
      </c>
    </row>
    <row r="2653" spans="1:1">
      <c r="A2653">
        <v>19993.967232852625</v>
      </c>
    </row>
    <row r="2654" spans="1:1">
      <c r="A2654">
        <v>19987.020442945679</v>
      </c>
    </row>
    <row r="2655" spans="1:1">
      <c r="A2655">
        <v>19974.847254149237</v>
      </c>
    </row>
    <row r="2656" spans="1:1">
      <c r="A2656">
        <v>19969.670449444337</v>
      </c>
    </row>
    <row r="2657" spans="1:1">
      <c r="A2657">
        <v>19966.145571395427</v>
      </c>
    </row>
    <row r="2658" spans="1:1">
      <c r="A2658">
        <v>19959.727020355993</v>
      </c>
    </row>
    <row r="2659" spans="1:1">
      <c r="A2659">
        <v>19956.630514644028</v>
      </c>
    </row>
    <row r="2660" spans="1:1">
      <c r="A2660">
        <v>19943.111884787191</v>
      </c>
    </row>
    <row r="2661" spans="1:1">
      <c r="A2661">
        <v>19940.808977060238</v>
      </c>
    </row>
    <row r="2662" spans="1:1">
      <c r="A2662">
        <v>19937.070612443535</v>
      </c>
    </row>
    <row r="2663" spans="1:1">
      <c r="A2663">
        <v>19935.837339601239</v>
      </c>
    </row>
    <row r="2664" spans="1:1">
      <c r="A2664">
        <v>19931.50814127404</v>
      </c>
    </row>
    <row r="2665" spans="1:1">
      <c r="A2665">
        <v>19923.895220822313</v>
      </c>
    </row>
    <row r="2666" spans="1:1">
      <c r="A2666">
        <v>19920.20301843006</v>
      </c>
    </row>
    <row r="2667" spans="1:1">
      <c r="A2667">
        <v>19907.719815141307</v>
      </c>
    </row>
    <row r="2668" spans="1:1">
      <c r="A2668">
        <v>19903.359367193989</v>
      </c>
    </row>
    <row r="2669" spans="1:1">
      <c r="A2669">
        <v>19901.278239287589</v>
      </c>
    </row>
    <row r="2670" spans="1:1">
      <c r="A2670">
        <v>19891.105129179945</v>
      </c>
    </row>
    <row r="2671" spans="1:1">
      <c r="A2671">
        <v>19891.105129179945</v>
      </c>
    </row>
    <row r="2672" spans="1:1">
      <c r="A2672">
        <v>19888.537754069916</v>
      </c>
    </row>
    <row r="2673" spans="1:1">
      <c r="A2673">
        <v>19879.440980842992</v>
      </c>
    </row>
    <row r="2674" spans="1:1">
      <c r="A2674">
        <v>19874.072737790771</v>
      </c>
    </row>
    <row r="2675" spans="1:1">
      <c r="A2675">
        <v>19868.556075393164</v>
      </c>
    </row>
    <row r="2676" spans="1:1">
      <c r="A2676">
        <v>19844.723858806003</v>
      </c>
    </row>
    <row r="2677" spans="1:1">
      <c r="A2677">
        <v>19830.066315992757</v>
      </c>
    </row>
    <row r="2678" spans="1:1">
      <c r="A2678">
        <v>19827.933460732493</v>
      </c>
    </row>
    <row r="2679" spans="1:1">
      <c r="A2679">
        <v>19818.333545261044</v>
      </c>
    </row>
    <row r="2680" spans="1:1">
      <c r="A2680">
        <v>19812.285640995367</v>
      </c>
    </row>
    <row r="2681" spans="1:1">
      <c r="A2681">
        <v>19793.757489348536</v>
      </c>
    </row>
    <row r="2682" spans="1:1">
      <c r="A2682">
        <v>19788.411801702416</v>
      </c>
    </row>
    <row r="2683" spans="1:1">
      <c r="A2683">
        <v>19782.523211622</v>
      </c>
    </row>
    <row r="2684" spans="1:1">
      <c r="A2684">
        <v>19766.504954651879</v>
      </c>
    </row>
    <row r="2685" spans="1:1">
      <c r="A2685">
        <v>19755.926750891605</v>
      </c>
    </row>
    <row r="2686" spans="1:1">
      <c r="A2686">
        <v>19755.514355336571</v>
      </c>
    </row>
    <row r="2687" spans="1:1">
      <c r="A2687">
        <v>19752.883616008461</v>
      </c>
    </row>
    <row r="2688" spans="1:1">
      <c r="A2688">
        <v>19740.614822819109</v>
      </c>
    </row>
    <row r="2689" spans="1:1">
      <c r="A2689">
        <v>19737.73829509459</v>
      </c>
    </row>
    <row r="2690" spans="1:1">
      <c r="A2690">
        <v>19737.73829509459</v>
      </c>
    </row>
    <row r="2691" spans="1:1">
      <c r="A2691">
        <v>19723.672783581682</v>
      </c>
    </row>
    <row r="2692" spans="1:1">
      <c r="A2692">
        <v>19706.136214012946</v>
      </c>
    </row>
    <row r="2693" spans="1:1">
      <c r="A2693">
        <v>19703.045833431192</v>
      </c>
    </row>
    <row r="2694" spans="1:1">
      <c r="A2694">
        <v>19669.744002936088</v>
      </c>
    </row>
    <row r="2695" spans="1:1">
      <c r="A2695">
        <v>19660.43740489121</v>
      </c>
    </row>
    <row r="2696" spans="1:1">
      <c r="A2696">
        <v>19653.496789585115</v>
      </c>
    </row>
    <row r="2697" spans="1:1">
      <c r="A2697">
        <v>19650.447438790798</v>
      </c>
    </row>
    <row r="2698" spans="1:1">
      <c r="A2698">
        <v>19648.000610398674</v>
      </c>
    </row>
    <row r="2699" spans="1:1">
      <c r="A2699">
        <v>19645.855663729693</v>
      </c>
    </row>
    <row r="2700" spans="1:1">
      <c r="A2700">
        <v>19641.94727132664</v>
      </c>
    </row>
    <row r="2701" spans="1:1">
      <c r="A2701">
        <v>19636.172512197401</v>
      </c>
    </row>
    <row r="2702" spans="1:1">
      <c r="A2702">
        <v>19626.234322377924</v>
      </c>
    </row>
    <row r="2703" spans="1:1">
      <c r="A2703">
        <v>19615.760877565641</v>
      </c>
    </row>
    <row r="2704" spans="1:1">
      <c r="A2704">
        <v>19602.365097826798</v>
      </c>
    </row>
    <row r="2705" spans="1:1">
      <c r="A2705">
        <v>19595.749198292702</v>
      </c>
    </row>
    <row r="2706" spans="1:1">
      <c r="A2706">
        <v>19586.55378578712</v>
      </c>
    </row>
    <row r="2707" spans="1:1">
      <c r="A2707">
        <v>19569.363851672118</v>
      </c>
    </row>
    <row r="2708" spans="1:1">
      <c r="A2708">
        <v>19564.686517053327</v>
      </c>
    </row>
    <row r="2709" spans="1:1">
      <c r="A2709">
        <v>19564.686517053327</v>
      </c>
    </row>
    <row r="2710" spans="1:1">
      <c r="A2710">
        <v>19563.321430817225</v>
      </c>
    </row>
    <row r="2711" spans="1:1">
      <c r="A2711">
        <v>19549.03783277945</v>
      </c>
    </row>
    <row r="2712" spans="1:1">
      <c r="A2712">
        <v>19549.03783277945</v>
      </c>
    </row>
    <row r="2713" spans="1:1">
      <c r="A2713">
        <v>19546.105422886205</v>
      </c>
    </row>
    <row r="2714" spans="1:1">
      <c r="A2714">
        <v>19534.375783313277</v>
      </c>
    </row>
    <row r="2715" spans="1:1">
      <c r="A2715">
        <v>19530.006098967951</v>
      </c>
    </row>
    <row r="2716" spans="1:1">
      <c r="A2716">
        <v>19528.224777270621</v>
      </c>
    </row>
    <row r="2717" spans="1:1">
      <c r="A2717">
        <v>19527.008985298147</v>
      </c>
    </row>
    <row r="2718" spans="1:1">
      <c r="A2718">
        <v>19524.076575404928</v>
      </c>
    </row>
    <row r="2719" spans="1:1">
      <c r="A2719">
        <v>19523.933482276832</v>
      </c>
    </row>
    <row r="2720" spans="1:1">
      <c r="A2720">
        <v>19522.574597176295</v>
      </c>
    </row>
    <row r="2721" spans="1:1">
      <c r="A2721">
        <v>19516.638230825774</v>
      </c>
    </row>
    <row r="2722" spans="1:1">
      <c r="A2722">
        <v>19513.562727804445</v>
      </c>
    </row>
    <row r="2723" spans="1:1">
      <c r="A2723">
        <v>19512.203842703908</v>
      </c>
    </row>
    <row r="2724" spans="1:1">
      <c r="A2724">
        <v>19510.630317911215</v>
      </c>
    </row>
    <row r="2725" spans="1:1">
      <c r="A2725">
        <v>19495.609118968663</v>
      </c>
    </row>
    <row r="2726" spans="1:1">
      <c r="A2726">
        <v>19491.462333759129</v>
      </c>
    </row>
    <row r="2727" spans="1:1">
      <c r="A2727">
        <v>19487.236101019</v>
      </c>
    </row>
    <row r="2728" spans="1:1">
      <c r="A2728">
        <v>19487.236101019</v>
      </c>
    </row>
    <row r="2729" spans="1:1">
      <c r="A2729">
        <v>19487.236101019</v>
      </c>
    </row>
    <row r="2730" spans="1:1">
      <c r="A2730">
        <v>19484.368579454247</v>
      </c>
    </row>
    <row r="2731" spans="1:1">
      <c r="A2731">
        <v>19475.155212936217</v>
      </c>
    </row>
    <row r="2732" spans="1:1">
      <c r="A2732">
        <v>19473.653234707588</v>
      </c>
    </row>
    <row r="2733" spans="1:1">
      <c r="A2733">
        <v>19449.836222741476</v>
      </c>
    </row>
    <row r="2734" spans="1:1">
      <c r="A2734">
        <v>19443.565746800356</v>
      </c>
    </row>
    <row r="2735" spans="1:1">
      <c r="A2735">
        <v>19439.379237825531</v>
      </c>
    </row>
    <row r="2736" spans="1:1">
      <c r="A2736">
        <v>19439.091247808479</v>
      </c>
    </row>
    <row r="2737" spans="1:1">
      <c r="A2737">
        <v>19428.099346111187</v>
      </c>
    </row>
    <row r="2738" spans="1:1">
      <c r="A2738">
        <v>19426.161756874182</v>
      </c>
    </row>
    <row r="2739" spans="1:1">
      <c r="A2739">
        <v>19423.086800882142</v>
      </c>
    </row>
    <row r="2740" spans="1:1">
      <c r="A2740">
        <v>19413.153790066379</v>
      </c>
    </row>
    <row r="2741" spans="1:1">
      <c r="A2741">
        <v>19402.34529193737</v>
      </c>
    </row>
    <row r="2742" spans="1:1">
      <c r="A2742">
        <v>19400.017161899654</v>
      </c>
    </row>
    <row r="2743" spans="1:1">
      <c r="A2743">
        <v>19382.428177595426</v>
      </c>
    </row>
    <row r="2744" spans="1:1">
      <c r="A2744">
        <v>19376.527244943398</v>
      </c>
    </row>
    <row r="2745" spans="1:1">
      <c r="A2745">
        <v>19332.753967087912</v>
      </c>
    </row>
    <row r="2746" spans="1:1">
      <c r="A2746">
        <v>19330.531266533006</v>
      </c>
    </row>
    <row r="2747" spans="1:1">
      <c r="A2747">
        <v>19324.415434670977</v>
      </c>
    </row>
    <row r="2748" spans="1:1">
      <c r="A2748">
        <v>19317.877277929631</v>
      </c>
    </row>
    <row r="2749" spans="1:1">
      <c r="A2749">
        <v>19314.677485549768</v>
      </c>
    </row>
    <row r="2750" spans="1:1">
      <c r="A2750">
        <v>19311.596651296815</v>
      </c>
    </row>
    <row r="2751" spans="1:1">
      <c r="A2751">
        <v>19309.130679229784</v>
      </c>
    </row>
    <row r="2752" spans="1:1">
      <c r="A2752">
        <v>19307.622446351696</v>
      </c>
    </row>
    <row r="2753" spans="1:1">
      <c r="A2753">
        <v>19307.29891156311</v>
      </c>
    </row>
    <row r="2754" spans="1:1">
      <c r="A2754">
        <v>19293.332368408217</v>
      </c>
    </row>
    <row r="2755" spans="1:1">
      <c r="A2755">
        <v>19267.289579270815</v>
      </c>
    </row>
    <row r="2756" spans="1:1">
      <c r="A2756">
        <v>19267.05911207477</v>
      </c>
    </row>
    <row r="2757" spans="1:1">
      <c r="A2757">
        <v>19265.131941357016</v>
      </c>
    </row>
    <row r="2758" spans="1:1">
      <c r="A2758">
        <v>19252.165357555259</v>
      </c>
    </row>
    <row r="2759" spans="1:1">
      <c r="A2759">
        <v>19250.495065854509</v>
      </c>
    </row>
    <row r="2760" spans="1:1">
      <c r="A2760">
        <v>19250.428406628052</v>
      </c>
    </row>
    <row r="2761" spans="1:1">
      <c r="A2761">
        <v>19247.40770861051</v>
      </c>
    </row>
    <row r="2762" spans="1:1">
      <c r="A2762">
        <v>19247.163994365095</v>
      </c>
    </row>
    <row r="2763" spans="1:1">
      <c r="A2763">
        <v>19243.078592238944</v>
      </c>
    </row>
    <row r="2764" spans="1:1">
      <c r="A2764">
        <v>19239.632769732307</v>
      </c>
    </row>
    <row r="2765" spans="1:1">
      <c r="A2765">
        <v>19231.560450618323</v>
      </c>
    </row>
    <row r="2766" spans="1:1">
      <c r="A2766">
        <v>19227.196051658164</v>
      </c>
    </row>
    <row r="2767" spans="1:1">
      <c r="A2767">
        <v>19224.968435760402</v>
      </c>
    </row>
    <row r="2768" spans="1:1">
      <c r="A2768">
        <v>19220.428289387746</v>
      </c>
    </row>
    <row r="2769" spans="1:1">
      <c r="A2769">
        <v>19220.428289387746</v>
      </c>
    </row>
    <row r="2770" spans="1:1">
      <c r="A2770">
        <v>19220.403191674679</v>
      </c>
    </row>
    <row r="2771" spans="1:1">
      <c r="A2771">
        <v>19216.490351642275</v>
      </c>
    </row>
    <row r="2772" spans="1:1">
      <c r="A2772">
        <v>19216.310167827571</v>
      </c>
    </row>
    <row r="2773" spans="1:1">
      <c r="A2773">
        <v>19206.247171756084</v>
      </c>
    </row>
    <row r="2774" spans="1:1">
      <c r="A2774">
        <v>19203.300187051413</v>
      </c>
    </row>
    <row r="2775" spans="1:1">
      <c r="A2775">
        <v>19198.752963144485</v>
      </c>
    </row>
    <row r="2776" spans="1:1">
      <c r="A2776">
        <v>19193.01201890755</v>
      </c>
    </row>
    <row r="2777" spans="1:1">
      <c r="A2777">
        <v>19186.646918262573</v>
      </c>
    </row>
    <row r="2778" spans="1:1">
      <c r="A2778">
        <v>19186.518913557873</v>
      </c>
    </row>
    <row r="2779" spans="1:1">
      <c r="A2779">
        <v>19184.962422225588</v>
      </c>
    </row>
    <row r="2780" spans="1:1">
      <c r="A2780">
        <v>19183.668339691882</v>
      </c>
    </row>
    <row r="2781" spans="1:1">
      <c r="A2781">
        <v>19170.749669537916</v>
      </c>
    </row>
    <row r="2782" spans="1:1">
      <c r="A2782">
        <v>19164.868384413126</v>
      </c>
    </row>
    <row r="2783" spans="1:1">
      <c r="A2783">
        <v>19161.928349933838</v>
      </c>
    </row>
    <row r="2784" spans="1:1">
      <c r="A2784">
        <v>19152.720632363587</v>
      </c>
    </row>
    <row r="2785" spans="1:1">
      <c r="A2785">
        <v>19146.901003772458</v>
      </c>
    </row>
    <row r="2786" spans="1:1">
      <c r="A2786">
        <v>19144.317905906675</v>
      </c>
    </row>
    <row r="2787" spans="1:1">
      <c r="A2787">
        <v>19143.490585842304</v>
      </c>
    </row>
    <row r="2788" spans="1:1">
      <c r="A2788">
        <v>19135.379656622223</v>
      </c>
    </row>
    <row r="2789" spans="1:1">
      <c r="A2789">
        <v>19124.302242613241</v>
      </c>
    </row>
    <row r="2790" spans="1:1">
      <c r="A2790">
        <v>19113.246417183964</v>
      </c>
    </row>
    <row r="2791" spans="1:1">
      <c r="A2791">
        <v>19112.162684333998</v>
      </c>
    </row>
    <row r="2792" spans="1:1">
      <c r="A2792">
        <v>19112.152049023745</v>
      </c>
    </row>
    <row r="2793" spans="1:1">
      <c r="A2793">
        <v>19110.59235620833</v>
      </c>
    </row>
    <row r="2794" spans="1:1">
      <c r="A2794">
        <v>19109.06039764062</v>
      </c>
    </row>
    <row r="2795" spans="1:1">
      <c r="A2795">
        <v>19106.725132619031</v>
      </c>
    </row>
    <row r="2796" spans="1:1">
      <c r="A2796">
        <v>19105.173985492416</v>
      </c>
    </row>
    <row r="2797" spans="1:1">
      <c r="A2797">
        <v>19096.475937945746</v>
      </c>
    </row>
    <row r="2798" spans="1:1">
      <c r="A2798">
        <v>19096.219053292669</v>
      </c>
    </row>
    <row r="2799" spans="1:1">
      <c r="A2799">
        <v>19092.794576423817</v>
      </c>
    </row>
    <row r="2800" spans="1:1">
      <c r="A2800">
        <v>19090.928665319298</v>
      </c>
    </row>
    <row r="2801" spans="1:1">
      <c r="A2801">
        <v>19090.200465751273</v>
      </c>
    </row>
    <row r="2802" spans="1:1">
      <c r="A2802">
        <v>19075.301722844946</v>
      </c>
    </row>
    <row r="2803" spans="1:1">
      <c r="A2803">
        <v>19071.489965118228</v>
      </c>
    </row>
    <row r="2804" spans="1:1">
      <c r="A2804">
        <v>19068.482252095739</v>
      </c>
    </row>
    <row r="2805" spans="1:1">
      <c r="A2805">
        <v>19062.531087204428</v>
      </c>
    </row>
    <row r="2806" spans="1:1">
      <c r="A2806">
        <v>19061.154584042561</v>
      </c>
    </row>
    <row r="2807" spans="1:1">
      <c r="A2807">
        <v>19059.757144149553</v>
      </c>
    </row>
    <row r="2808" spans="1:1">
      <c r="A2808">
        <v>19053.056494360739</v>
      </c>
    </row>
    <row r="2809" spans="1:1">
      <c r="A2809">
        <v>19051.87894825347</v>
      </c>
    </row>
    <row r="2810" spans="1:1">
      <c r="A2810">
        <v>19051.663405400861</v>
      </c>
    </row>
    <row r="2811" spans="1:1">
      <c r="A2811">
        <v>19050.87066059545</v>
      </c>
    </row>
    <row r="2812" spans="1:1">
      <c r="A2812">
        <v>19048.881114912048</v>
      </c>
    </row>
    <row r="2813" spans="1:1">
      <c r="A2813">
        <v>19038.884618040771</v>
      </c>
    </row>
    <row r="2814" spans="1:1">
      <c r="A2814">
        <v>19036.883544961202</v>
      </c>
    </row>
    <row r="2815" spans="1:1">
      <c r="A2815">
        <v>19034.399567451903</v>
      </c>
    </row>
    <row r="2816" spans="1:1">
      <c r="A2816">
        <v>19033.638855743004</v>
      </c>
    </row>
    <row r="2817" spans="1:1">
      <c r="A2817">
        <v>19032.901187979696</v>
      </c>
    </row>
    <row r="2818" spans="1:1">
      <c r="A2818">
        <v>19032.184466086972</v>
      </c>
    </row>
    <row r="2819" spans="1:1">
      <c r="A2819">
        <v>19030.959471653452</v>
      </c>
    </row>
    <row r="2820" spans="1:1">
      <c r="A2820">
        <v>19025.955947426381</v>
      </c>
    </row>
    <row r="2821" spans="1:1">
      <c r="A2821">
        <v>19017.436629647815</v>
      </c>
    </row>
    <row r="2822" spans="1:1">
      <c r="A2822">
        <v>19015.978502736936</v>
      </c>
    </row>
    <row r="2823" spans="1:1">
      <c r="A2823">
        <v>19009.592582723584</v>
      </c>
    </row>
    <row r="2824" spans="1:1">
      <c r="A2824">
        <v>19009.48399217306</v>
      </c>
    </row>
    <row r="2825" spans="1:1">
      <c r="A2825">
        <v>19008.237323598813</v>
      </c>
    </row>
    <row r="2826" spans="1:1">
      <c r="A2826">
        <v>19007.375754763343</v>
      </c>
    </row>
    <row r="2827" spans="1:1">
      <c r="A2827">
        <v>19005.224312500264</v>
      </c>
    </row>
    <row r="2828" spans="1:1">
      <c r="A2828">
        <v>19002.922121309864</v>
      </c>
    </row>
    <row r="2829" spans="1:1">
      <c r="A2829">
        <v>18993.222830626808</v>
      </c>
    </row>
    <row r="2830" spans="1:1">
      <c r="A2830">
        <v>18992.754965322598</v>
      </c>
    </row>
    <row r="2831" spans="1:1">
      <c r="A2831">
        <v>18992.375707349674</v>
      </c>
    </row>
    <row r="2832" spans="1:1">
      <c r="A2832">
        <v>18986.435426000768</v>
      </c>
    </row>
    <row r="2833" spans="1:1">
      <c r="A2833">
        <v>18982.29429221063</v>
      </c>
    </row>
    <row r="2834" spans="1:1">
      <c r="A2834">
        <v>18981.370543260819</v>
      </c>
    </row>
    <row r="2835" spans="1:1">
      <c r="A2835">
        <v>18981.28995517777</v>
      </c>
    </row>
    <row r="2836" spans="1:1">
      <c r="A2836">
        <v>18980.285618144924</v>
      </c>
    </row>
    <row r="2837" spans="1:1">
      <c r="A2837">
        <v>18974.022617401468</v>
      </c>
    </row>
    <row r="2838" spans="1:1">
      <c r="A2838">
        <v>18973.548776039665</v>
      </c>
    </row>
    <row r="2839" spans="1:1">
      <c r="A2839">
        <v>18973.255258914949</v>
      </c>
    </row>
    <row r="2840" spans="1:1">
      <c r="A2840">
        <v>18973.020665216107</v>
      </c>
    </row>
    <row r="2841" spans="1:1">
      <c r="A2841">
        <v>18972.544439006808</v>
      </c>
    </row>
    <row r="2842" spans="1:1">
      <c r="A2842">
        <v>18969.487821229217</v>
      </c>
    </row>
    <row r="2843" spans="1:1">
      <c r="A2843">
        <v>18968.018045812511</v>
      </c>
    </row>
    <row r="2844" spans="1:1">
      <c r="A2844">
        <v>18967.167343888475</v>
      </c>
    </row>
    <row r="2845" spans="1:1">
      <c r="A2845">
        <v>18966.518416809678</v>
      </c>
    </row>
    <row r="2846" spans="1:1">
      <c r="A2846">
        <v>18965.112679860515</v>
      </c>
    </row>
    <row r="2847" spans="1:1">
      <c r="A2847">
        <v>18963.860815665183</v>
      </c>
    </row>
    <row r="2848" spans="1:1">
      <c r="A2848">
        <v>18963.738008555621</v>
      </c>
    </row>
    <row r="2849" spans="1:1">
      <c r="A2849">
        <v>18959.424630911471</v>
      </c>
    </row>
    <row r="2850" spans="1:1">
      <c r="A2850">
        <v>18957.918501584711</v>
      </c>
    </row>
    <row r="2851" spans="1:1">
      <c r="A2851">
        <v>18957.721282366656</v>
      </c>
    </row>
    <row r="2852" spans="1:1">
      <c r="A2852">
        <v>18956.768563605874</v>
      </c>
    </row>
    <row r="2853" spans="1:1">
      <c r="A2853">
        <v>18955.053406664869</v>
      </c>
    </row>
    <row r="2854" spans="1:1">
      <c r="A2854">
        <v>18951.532117694485</v>
      </c>
    </row>
    <row r="2855" spans="1:1">
      <c r="A2855">
        <v>18951.036058533457</v>
      </c>
    </row>
    <row r="2856" spans="1:1">
      <c r="A2856">
        <v>18950.325238625319</v>
      </c>
    </row>
    <row r="2857" spans="1:1">
      <c r="A2857">
        <v>18950.031721500607</v>
      </c>
    </row>
    <row r="2858" spans="1:1">
      <c r="A2858">
        <v>18949.772374517208</v>
      </c>
    </row>
    <row r="2859" spans="1:1">
      <c r="A2859">
        <v>18946.66330044797</v>
      </c>
    </row>
    <row r="2860" spans="1:1">
      <c r="A2860">
        <v>18944.78884491606</v>
      </c>
    </row>
    <row r="2861" spans="1:1">
      <c r="A2861">
        <v>18943.279597251101</v>
      </c>
    </row>
    <row r="2862" spans="1:1">
      <c r="A2862">
        <v>18939.472419728838</v>
      </c>
    </row>
    <row r="2863" spans="1:1">
      <c r="A2863">
        <v>18936.314051605583</v>
      </c>
    </row>
    <row r="2864" spans="1:1">
      <c r="A2864">
        <v>18936.21093888818</v>
      </c>
    </row>
    <row r="2865" spans="1:1">
      <c r="A2865">
        <v>18935.703603554117</v>
      </c>
    </row>
    <row r="2866" spans="1:1">
      <c r="A2866">
        <v>18932.735128880395</v>
      </c>
    </row>
    <row r="2867" spans="1:1">
      <c r="A2867">
        <v>18930.588247298845</v>
      </c>
    </row>
    <row r="2868" spans="1:1">
      <c r="A2868">
        <v>18930.446441500299</v>
      </c>
    </row>
    <row r="2869" spans="1:1">
      <c r="A2869">
        <v>18926.562428886362</v>
      </c>
    </row>
    <row r="2870" spans="1:1">
      <c r="A2870">
        <v>18924.243486874224</v>
      </c>
    </row>
    <row r="2871" spans="1:1">
      <c r="A2871">
        <v>18919.769772189302</v>
      </c>
    </row>
    <row r="2872" spans="1:1">
      <c r="A2872">
        <v>18918.652639888278</v>
      </c>
    </row>
    <row r="2873" spans="1:1">
      <c r="A2873">
        <v>18918.213637891415</v>
      </c>
    </row>
    <row r="2874" spans="1:1">
      <c r="A2874">
        <v>18915.815715610199</v>
      </c>
    </row>
    <row r="2875" spans="1:1">
      <c r="A2875">
        <v>18914.918932597251</v>
      </c>
    </row>
    <row r="2876" spans="1:1">
      <c r="A2876">
        <v>18914.817373052763</v>
      </c>
    </row>
    <row r="2877" spans="1:1">
      <c r="A2877">
        <v>18912.891883202807</v>
      </c>
    </row>
    <row r="2878" spans="1:1">
      <c r="A2878">
        <v>18912.891883202807</v>
      </c>
    </row>
    <row r="2879" spans="1:1">
      <c r="A2879">
        <v>18912.550707876526</v>
      </c>
    </row>
    <row r="2880" spans="1:1">
      <c r="A2880">
        <v>18912.082008319187</v>
      </c>
    </row>
    <row r="2881" spans="1:1">
      <c r="A2881">
        <v>18911.731023055727</v>
      </c>
    </row>
    <row r="2882" spans="1:1">
      <c r="A2882">
        <v>18910.337934095842</v>
      </c>
    </row>
    <row r="2883" spans="1:1">
      <c r="A2883">
        <v>18909.16540496143</v>
      </c>
    </row>
    <row r="2884" spans="1:1">
      <c r="A2884">
        <v>18908.348301028152</v>
      </c>
    </row>
    <row r="2885" spans="1:1">
      <c r="A2885">
        <v>18908.098231770233</v>
      </c>
    </row>
    <row r="2886" spans="1:1">
      <c r="A2886">
        <v>18906.554735002246</v>
      </c>
    </row>
    <row r="2887" spans="1:1">
      <c r="A2887">
        <v>18903.467741466251</v>
      </c>
    </row>
    <row r="2888" spans="1:1">
      <c r="A2888">
        <v>18901.91938587902</v>
      </c>
    </row>
    <row r="2889" spans="1:1">
      <c r="A2889">
        <v>18901.282455481494</v>
      </c>
    </row>
    <row r="2890" spans="1:1">
      <c r="A2890">
        <v>18899.088208529221</v>
      </c>
    </row>
    <row r="2891" spans="1:1">
      <c r="A2891">
        <v>18897.99253410778</v>
      </c>
    </row>
    <row r="2892" spans="1:1">
      <c r="A2892">
        <v>18897.265107350078</v>
      </c>
    </row>
    <row r="2893" spans="1:1">
      <c r="A2893">
        <v>18897.004568045009</v>
      </c>
    </row>
    <row r="2894" spans="1:1">
      <c r="A2894">
        <v>18895.356400786492</v>
      </c>
    </row>
    <row r="2895" spans="1:1">
      <c r="A2895">
        <v>18889.011012097068</v>
      </c>
    </row>
    <row r="2896" spans="1:1">
      <c r="A2896">
        <v>18887.636129289192</v>
      </c>
    </row>
    <row r="2897" spans="1:1">
      <c r="A2897">
        <v>18886.989415534179</v>
      </c>
    </row>
    <row r="2898" spans="1:1">
      <c r="A2898">
        <v>18885.445918766185</v>
      </c>
    </row>
    <row r="2899" spans="1:1">
      <c r="A2899">
        <v>18882.458395273447</v>
      </c>
    </row>
    <row r="2900" spans="1:1">
      <c r="A2900">
        <v>18882.068211394519</v>
      </c>
    </row>
    <row r="2901" spans="1:1">
      <c r="A2901">
        <v>18878.625217939174</v>
      </c>
    </row>
    <row r="2902" spans="1:1">
      <c r="A2902">
        <v>18878.378161722583</v>
      </c>
    </row>
    <row r="2903" spans="1:1">
      <c r="A2903">
        <v>18874.641441390231</v>
      </c>
    </row>
    <row r="2904" spans="1:1">
      <c r="A2904">
        <v>18873.541965006763</v>
      </c>
    </row>
    <row r="2905" spans="1:1">
      <c r="A2905">
        <v>18872.670771357862</v>
      </c>
    </row>
    <row r="2906" spans="1:1">
      <c r="A2906">
        <v>18872.588426975453</v>
      </c>
    </row>
    <row r="2907" spans="1:1">
      <c r="A2907">
        <v>18871.804517112163</v>
      </c>
    </row>
    <row r="2908" spans="1:1">
      <c r="A2908">
        <v>18871.026793454526</v>
      </c>
    </row>
    <row r="2909" spans="1:1">
      <c r="A2909">
        <v>18867.391103503902</v>
      </c>
    </row>
    <row r="2910" spans="1:1">
      <c r="A2910">
        <v>18867.260115896723</v>
      </c>
    </row>
    <row r="2911" spans="1:1">
      <c r="A2911">
        <v>18866.831161644059</v>
      </c>
    </row>
    <row r="2912" spans="1:1">
      <c r="A2912">
        <v>18866.444060758484</v>
      </c>
    </row>
    <row r="2913" spans="1:1">
      <c r="A2913">
        <v>18865.762809814631</v>
      </c>
    </row>
    <row r="2914" spans="1:1">
      <c r="A2914">
        <v>18864.983816285152</v>
      </c>
    </row>
    <row r="2915" spans="1:1">
      <c r="A2915">
        <v>18864.253617841059</v>
      </c>
    </row>
    <row r="2916" spans="1:1">
      <c r="A2916">
        <v>18860.837194102489</v>
      </c>
    </row>
    <row r="2917" spans="1:1">
      <c r="A2917">
        <v>18858.878271804566</v>
      </c>
    </row>
    <row r="2918" spans="1:1">
      <c r="A2918">
        <v>18849.798917863129</v>
      </c>
    </row>
    <row r="2919" spans="1:1">
      <c r="A2919">
        <v>18844.343420877827</v>
      </c>
    </row>
    <row r="2920" spans="1:1">
      <c r="A2920">
        <v>18838.481839590415</v>
      </c>
    </row>
    <row r="2921" spans="1:1">
      <c r="A2921">
        <v>18832.112474252041</v>
      </c>
    </row>
    <row r="2922" spans="1:1">
      <c r="A2922">
        <v>18821.972679947223</v>
      </c>
    </row>
    <row r="2923" spans="1:1">
      <c r="A2923">
        <v>18812.504536655229</v>
      </c>
    </row>
    <row r="2924" spans="1:1">
      <c r="A2924">
        <v>18807.154656758124</v>
      </c>
    </row>
    <row r="2925" spans="1:1">
      <c r="A2925">
        <v>18807.118437436031</v>
      </c>
    </row>
    <row r="2926" spans="1:1">
      <c r="A2926">
        <v>18799.871605756049</v>
      </c>
    </row>
    <row r="2927" spans="1:1">
      <c r="A2927">
        <v>18797.411364827385</v>
      </c>
    </row>
    <row r="2928" spans="1:1">
      <c r="A2928">
        <v>18794.152768986398</v>
      </c>
    </row>
    <row r="2929" spans="1:1">
      <c r="A2929">
        <v>18781.935064731711</v>
      </c>
    </row>
    <row r="2930" spans="1:1">
      <c r="A2930">
        <v>18780.683215084824</v>
      </c>
    </row>
    <row r="2931" spans="1:1">
      <c r="A2931">
        <v>18778.504242943287</v>
      </c>
    </row>
    <row r="2932" spans="1:1">
      <c r="A2932">
        <v>18775.430358272428</v>
      </c>
    </row>
    <row r="2933" spans="1:1">
      <c r="A2933">
        <v>18767.554795774406</v>
      </c>
    </row>
    <row r="2934" spans="1:1">
      <c r="A2934">
        <v>18747.390304904755</v>
      </c>
    </row>
    <row r="2935" spans="1:1">
      <c r="A2935">
        <v>18743.18266973873</v>
      </c>
    </row>
    <row r="2936" spans="1:1">
      <c r="A2936">
        <v>18739.151760747438</v>
      </c>
    </row>
    <row r="2937" spans="1:1">
      <c r="A2937">
        <v>18730.778742797764</v>
      </c>
    </row>
    <row r="2938" spans="1:1">
      <c r="A2938">
        <v>18721.009720736503</v>
      </c>
    </row>
    <row r="2939" spans="1:1">
      <c r="A2939">
        <v>18699.579540705501</v>
      </c>
    </row>
    <row r="2940" spans="1:1">
      <c r="A2940">
        <v>18698.787915648169</v>
      </c>
    </row>
    <row r="2941" spans="1:1">
      <c r="A2941">
        <v>18694.844313433907</v>
      </c>
    </row>
    <row r="2942" spans="1:1">
      <c r="A2942">
        <v>18693.972581045782</v>
      </c>
    </row>
    <row r="2943" spans="1:1">
      <c r="A2943">
        <v>18693.084779795667</v>
      </c>
    </row>
    <row r="2944" spans="1:1">
      <c r="A2944">
        <v>18685.879104142849</v>
      </c>
    </row>
    <row r="2945" spans="1:1">
      <c r="A2945">
        <v>18683.718768832638</v>
      </c>
    </row>
    <row r="2946" spans="1:1">
      <c r="A2946">
        <v>18675.924637792392</v>
      </c>
    </row>
    <row r="2947" spans="1:1">
      <c r="A2947">
        <v>18672.229232931641</v>
      </c>
    </row>
    <row r="2948" spans="1:1">
      <c r="A2948">
        <v>18667.720564833347</v>
      </c>
    </row>
    <row r="2949" spans="1:1">
      <c r="A2949">
        <v>18665.992090911132</v>
      </c>
    </row>
    <row r="2950" spans="1:1">
      <c r="A2950">
        <v>18663.45037431355</v>
      </c>
    </row>
    <row r="2951" spans="1:1">
      <c r="A2951">
        <v>18648.451753627676</v>
      </c>
    </row>
    <row r="2952" spans="1:1">
      <c r="A2952">
        <v>18645.025940721694</v>
      </c>
    </row>
    <row r="2953" spans="1:1">
      <c r="A2953">
        <v>18637.15821570962</v>
      </c>
    </row>
    <row r="2954" spans="1:1">
      <c r="A2954">
        <v>18635.801701150067</v>
      </c>
    </row>
    <row r="2955" spans="1:1">
      <c r="A2955">
        <v>18635.703385570276</v>
      </c>
    </row>
    <row r="2956" spans="1:1">
      <c r="A2956">
        <v>18635.619815336009</v>
      </c>
    </row>
    <row r="2957" spans="1:1">
      <c r="A2957">
        <v>18628.284796565971</v>
      </c>
    </row>
    <row r="2958" spans="1:1">
      <c r="A2958">
        <v>18626.587437816081</v>
      </c>
    </row>
    <row r="2959" spans="1:1">
      <c r="A2959">
        <v>18626.497771756083</v>
      </c>
    </row>
    <row r="2960" spans="1:1">
      <c r="A2960">
        <v>18621.156644115938</v>
      </c>
    </row>
    <row r="2961" spans="1:1">
      <c r="A2961">
        <v>18618.042418093864</v>
      </c>
    </row>
    <row r="2962" spans="1:1">
      <c r="A2962">
        <v>18616.258745271938</v>
      </c>
    </row>
    <row r="2963" spans="1:1">
      <c r="A2963">
        <v>18613.94358848525</v>
      </c>
    </row>
    <row r="2964" spans="1:1">
      <c r="A2964">
        <v>18607.715136441104</v>
      </c>
    </row>
    <row r="2965" spans="1:1">
      <c r="A2965">
        <v>18605.719695754557</v>
      </c>
    </row>
    <row r="2966" spans="1:1">
      <c r="A2966">
        <v>18605.710385924991</v>
      </c>
    </row>
    <row r="2967" spans="1:1">
      <c r="A2967">
        <v>18597.387854788332</v>
      </c>
    </row>
    <row r="2968" spans="1:1">
      <c r="A2968">
        <v>18592.406616523658</v>
      </c>
    </row>
    <row r="2969" spans="1:1">
      <c r="A2969">
        <v>18584.106762375941</v>
      </c>
    </row>
    <row r="2970" spans="1:1">
      <c r="A2970">
        <v>18580.992536353868</v>
      </c>
    </row>
    <row r="2971" spans="1:1">
      <c r="A2971">
        <v>18580.992536353868</v>
      </c>
    </row>
    <row r="2972" spans="1:1">
      <c r="A2972">
        <v>18580.992536353868</v>
      </c>
    </row>
    <row r="2973" spans="1:1">
      <c r="A2973">
        <v>18577.971165216521</v>
      </c>
    </row>
    <row r="2974" spans="1:1">
      <c r="A2974">
        <v>18565.993915667997</v>
      </c>
    </row>
    <row r="2975" spans="1:1">
      <c r="A2975">
        <v>18563.452199070412</v>
      </c>
    </row>
    <row r="2976" spans="1:1">
      <c r="A2976">
        <v>18556.239143439714</v>
      </c>
    </row>
    <row r="2977" spans="1:1">
      <c r="A2977">
        <v>18554.682030428685</v>
      </c>
    </row>
    <row r="2978" spans="1:1">
      <c r="A2978">
        <v>18554.117508226533</v>
      </c>
    </row>
    <row r="2979" spans="1:1">
      <c r="A2979">
        <v>18551.544494941634</v>
      </c>
    </row>
    <row r="2980" spans="1:1">
      <c r="A2980">
        <v>18549.817562460914</v>
      </c>
    </row>
    <row r="2981" spans="1:1">
      <c r="A2981">
        <v>18547.170653477966</v>
      </c>
    </row>
    <row r="2982" spans="1:1">
      <c r="A2982">
        <v>18546.929815640193</v>
      </c>
    </row>
    <row r="2983" spans="1:1">
      <c r="A2983">
        <v>18533.813159117431</v>
      </c>
    </row>
    <row r="2984" spans="1:1">
      <c r="A2984">
        <v>18525.93609034894</v>
      </c>
    </row>
    <row r="2985" spans="1:1">
      <c r="A2985">
        <v>18525.207995252807</v>
      </c>
    </row>
    <row r="2986" spans="1:1">
      <c r="A2986">
        <v>18524.125791249651</v>
      </c>
    </row>
    <row r="2987" spans="1:1">
      <c r="A2987">
        <v>18523.507460848123</v>
      </c>
    </row>
    <row r="2988" spans="1:1">
      <c r="A2988">
        <v>18522.925210243557</v>
      </c>
    </row>
    <row r="2989" spans="1:1">
      <c r="A2989">
        <v>18521.370520330456</v>
      </c>
    </row>
    <row r="2990" spans="1:1">
      <c r="A2990">
        <v>18513.400071323253</v>
      </c>
    </row>
    <row r="2991" spans="1:1">
      <c r="A2991">
        <v>18501.061051739223</v>
      </c>
    </row>
    <row r="2992" spans="1:1">
      <c r="A2992">
        <v>18495.373387741274</v>
      </c>
    </row>
    <row r="2993" spans="1:1">
      <c r="A2993">
        <v>18494.114196990668</v>
      </c>
    </row>
    <row r="2994" spans="1:1">
      <c r="A2994">
        <v>18488.426532992711</v>
      </c>
    </row>
    <row r="2995" spans="1:1">
      <c r="A2995">
        <v>18488.399614056067</v>
      </c>
    </row>
    <row r="2996" spans="1:1">
      <c r="A2996">
        <v>18487.070822087146</v>
      </c>
    </row>
    <row r="2997" spans="1:1">
      <c r="A2997">
        <v>18487.068842521257</v>
      </c>
    </row>
    <row r="2998" spans="1:1">
      <c r="A2998">
        <v>18486.437440128142</v>
      </c>
    </row>
    <row r="2999" spans="1:1">
      <c r="A2999">
        <v>18485.385169691068</v>
      </c>
    </row>
    <row r="3000" spans="1:1">
      <c r="A3000">
        <v>18475.162418870892</v>
      </c>
    </row>
    <row r="3001" spans="1:1">
      <c r="A3001">
        <v>18468.610998115138</v>
      </c>
    </row>
    <row r="3002" spans="1:1">
      <c r="A3002">
        <v>18463.354494941341</v>
      </c>
    </row>
    <row r="3003" spans="1:1">
      <c r="A3003">
        <v>18459.615519739826</v>
      </c>
    </row>
    <row r="3004" spans="1:1">
      <c r="A3004">
        <v>18458.591925481185</v>
      </c>
    </row>
    <row r="3005" spans="1:1">
      <c r="A3005">
        <v>18457.332734730568</v>
      </c>
    </row>
    <row r="3006" spans="1:1">
      <c r="A3006">
        <v>18452.176166387097</v>
      </c>
    </row>
    <row r="3007" spans="1:1">
      <c r="A3007">
        <v>18450.767526896507</v>
      </c>
    </row>
    <row r="3008" spans="1:1">
      <c r="A3008">
        <v>18446.73187915601</v>
      </c>
    </row>
    <row r="3009" spans="1:1">
      <c r="A3009">
        <v>18446.351405617992</v>
      </c>
    </row>
    <row r="3010" spans="1:1">
      <c r="A3010">
        <v>18435.704172718237</v>
      </c>
    </row>
    <row r="3011" spans="1:1">
      <c r="A3011">
        <v>18431.965197516703</v>
      </c>
    </row>
    <row r="3012" spans="1:1">
      <c r="A3012">
        <v>18429.682412507467</v>
      </c>
    </row>
    <row r="3013" spans="1:1">
      <c r="A3013">
        <v>18423.994748509511</v>
      </c>
    </row>
    <row r="3014" spans="1:1">
      <c r="A3014">
        <v>18422.360716119048</v>
      </c>
    </row>
    <row r="3015" spans="1:1">
      <c r="A3015">
        <v>18421.716554734743</v>
      </c>
    </row>
    <row r="3016" spans="1:1">
      <c r="A3016">
        <v>18420.983868404131</v>
      </c>
    </row>
    <row r="3017" spans="1:1">
      <c r="A3017">
        <v>18419.283721914708</v>
      </c>
    </row>
    <row r="3018" spans="1:1">
      <c r="A3018">
        <v>18417.292026504085</v>
      </c>
    </row>
    <row r="3019" spans="1:1">
      <c r="A3019">
        <v>18415.788703010319</v>
      </c>
    </row>
    <row r="3020" spans="1:1">
      <c r="A3020">
        <v>18415.060607914194</v>
      </c>
    </row>
    <row r="3021" spans="1:1">
      <c r="A3021">
        <v>18412.87632262578</v>
      </c>
    </row>
    <row r="3022" spans="1:1">
      <c r="A3022">
        <v>18408.892854793379</v>
      </c>
    </row>
    <row r="3023" spans="1:1">
      <c r="A3023">
        <v>18403.449683426305</v>
      </c>
    </row>
    <row r="3024" spans="1:1">
      <c r="A3024">
        <v>18402.420057718442</v>
      </c>
    </row>
    <row r="3025" spans="1:1">
      <c r="A3025">
        <v>18398.194615361997</v>
      </c>
    </row>
    <row r="3026" spans="1:1">
      <c r="A3026">
        <v>18391.641759496757</v>
      </c>
    </row>
    <row r="3027" spans="1:1">
      <c r="A3027">
        <v>18388.144039737417</v>
      </c>
    </row>
    <row r="3028" spans="1:1">
      <c r="A3028">
        <v>18384.49790530654</v>
      </c>
    </row>
    <row r="3029" spans="1:1">
      <c r="A3029">
        <v>18383.375811327081</v>
      </c>
    </row>
    <row r="3030" spans="1:1">
      <c r="A3030">
        <v>18379.902886892087</v>
      </c>
    </row>
    <row r="3031" spans="1:1">
      <c r="A3031">
        <v>18378.377645374927</v>
      </c>
    </row>
    <row r="3032" spans="1:1">
      <c r="A3032">
        <v>18378.060928837458</v>
      </c>
    </row>
    <row r="3033" spans="1:1">
      <c r="A3033">
        <v>18375.405362319878</v>
      </c>
    </row>
    <row r="3034" spans="1:1">
      <c r="A3034">
        <v>18370.632743294747</v>
      </c>
    </row>
    <row r="3035" spans="1:1">
      <c r="A3035">
        <v>18369.285102388294</v>
      </c>
    </row>
    <row r="3036" spans="1:1">
      <c r="A3036">
        <v>18369.092723832953</v>
      </c>
    </row>
    <row r="3037" spans="1:1">
      <c r="A3037">
        <v>18363.97920285361</v>
      </c>
    </row>
    <row r="3038" spans="1:1">
      <c r="A3038">
        <v>18362.439183391823</v>
      </c>
    </row>
    <row r="3039" spans="1:1">
      <c r="A3039">
        <v>18360.159471878957</v>
      </c>
    </row>
    <row r="3040" spans="1:1">
      <c r="A3040">
        <v>18352.182325593218</v>
      </c>
    </row>
    <row r="3041" spans="1:1">
      <c r="A3041">
        <v>18346.610459748241</v>
      </c>
    </row>
    <row r="3042" spans="1:1">
      <c r="A3042">
        <v>18345.005506718193</v>
      </c>
    </row>
    <row r="3043" spans="1:1">
      <c r="A3043">
        <v>18341.925467794608</v>
      </c>
    </row>
    <row r="3044" spans="1:1">
      <c r="A3044">
        <v>18340.90872676672</v>
      </c>
    </row>
    <row r="3045" spans="1:1">
      <c r="A3045">
        <v>18337.82868784315</v>
      </c>
    </row>
    <row r="3046" spans="1:1">
      <c r="A3046">
        <v>18332.503640128187</v>
      </c>
    </row>
    <row r="3047" spans="1:1">
      <c r="A3047">
        <v>18331.668609995995</v>
      </c>
    </row>
    <row r="3048" spans="1:1">
      <c r="A3048">
        <v>18329.860152126832</v>
      </c>
    </row>
    <row r="3049" spans="1:1">
      <c r="A3049">
        <v>18327.161745492591</v>
      </c>
    </row>
    <row r="3050" spans="1:1">
      <c r="A3050">
        <v>18326.284880475756</v>
      </c>
    </row>
    <row r="3051" spans="1:1">
      <c r="A3051">
        <v>18323.475050093075</v>
      </c>
    </row>
    <row r="3052" spans="1:1">
      <c r="A3052">
        <v>18322.458309065198</v>
      </c>
    </row>
    <row r="3053" spans="1:1">
      <c r="A3053">
        <v>18312.441819166637</v>
      </c>
    </row>
    <row r="3054" spans="1:1">
      <c r="A3054">
        <v>18309.911386527714</v>
      </c>
    </row>
    <row r="3055" spans="1:1">
      <c r="A3055">
        <v>18309.121412343025</v>
      </c>
    </row>
    <row r="3056" spans="1:1">
      <c r="A3056">
        <v>18305.024632391553</v>
      </c>
    </row>
    <row r="3057" spans="1:1">
      <c r="A3057">
        <v>18301.672364475216</v>
      </c>
    </row>
    <row r="3058" spans="1:1">
      <c r="A3058">
        <v>18298.831557694313</v>
      </c>
    </row>
    <row r="3059" spans="1:1">
      <c r="A3059">
        <v>18297.375367502027</v>
      </c>
    </row>
    <row r="3060" spans="1:1">
      <c r="A3060">
        <v>18295.394949899492</v>
      </c>
    </row>
    <row r="3061" spans="1:1">
      <c r="A3061">
        <v>18290.141089527329</v>
      </c>
    </row>
    <row r="3062" spans="1:1">
      <c r="A3062">
        <v>18286.138171976832</v>
      </c>
    </row>
    <row r="3063" spans="1:1">
      <c r="A3063">
        <v>18276.216351667692</v>
      </c>
    </row>
    <row r="3064" spans="1:1">
      <c r="A3064">
        <v>18270.327945443176</v>
      </c>
    </row>
    <row r="3065" spans="1:1">
      <c r="A3065">
        <v>18270.261151142935</v>
      </c>
    </row>
    <row r="3066" spans="1:1">
      <c r="A3066">
        <v>18270.060768242172</v>
      </c>
    </row>
    <row r="3067" spans="1:1">
      <c r="A3067">
        <v>18265.307865121897</v>
      </c>
    </row>
    <row r="3068" spans="1:1">
      <c r="A3068">
        <v>18264.429157805847</v>
      </c>
    </row>
    <row r="3069" spans="1:1">
      <c r="A3069">
        <v>18260.287784800628</v>
      </c>
    </row>
    <row r="3070" spans="1:1">
      <c r="A3070">
        <v>18260.287784800628</v>
      </c>
    </row>
    <row r="3071" spans="1:1">
      <c r="A3071">
        <v>18260.220990500358</v>
      </c>
    </row>
    <row r="3072" spans="1:1">
      <c r="A3072">
        <v>18259.865810145795</v>
      </c>
    </row>
    <row r="3073" spans="1:1">
      <c r="A3073">
        <v>18259.612964068056</v>
      </c>
    </row>
    <row r="3074" spans="1:1">
      <c r="A3074">
        <v>18251.447438999057</v>
      </c>
    </row>
    <row r="3075" spans="1:1">
      <c r="A3075">
        <v>18250.353392864137</v>
      </c>
    </row>
    <row r="3076" spans="1:1">
      <c r="A3076">
        <v>18240.073874914979</v>
      </c>
    </row>
    <row r="3077" spans="1:1">
      <c r="A3077">
        <v>18240.007080614712</v>
      </c>
    </row>
    <row r="3078" spans="1:1">
      <c r="A3078">
        <v>18233.005425265401</v>
      </c>
    </row>
    <row r="3079" spans="1:1">
      <c r="A3079">
        <v>18231.169217376639</v>
      </c>
    </row>
    <row r="3080" spans="1:1">
      <c r="A3080">
        <v>18230.234097173154</v>
      </c>
    </row>
    <row r="3081" spans="1:1">
      <c r="A3081">
        <v>18226.262009789676</v>
      </c>
    </row>
    <row r="3082" spans="1:1">
      <c r="A3082">
        <v>18222.942080516492</v>
      </c>
    </row>
    <row r="3083" spans="1:1">
      <c r="A3083">
        <v>18221.143648051089</v>
      </c>
    </row>
    <row r="3084" spans="1:1">
      <c r="A3084">
        <v>18221.129056734073</v>
      </c>
    </row>
    <row r="3085" spans="1:1">
      <c r="A3085">
        <v>18220.227333680701</v>
      </c>
    </row>
    <row r="3086" spans="1:1">
      <c r="A3086">
        <v>18219.926759329584</v>
      </c>
    </row>
    <row r="3087" spans="1:1">
      <c r="A3087">
        <v>18219.166720490848</v>
      </c>
    </row>
    <row r="3088" spans="1:1">
      <c r="A3088">
        <v>18214.940076158418</v>
      </c>
    </row>
    <row r="3089" spans="1:1">
      <c r="A3089">
        <v>18213.322013043955</v>
      </c>
    </row>
    <row r="3090" spans="1:1">
      <c r="A3090">
        <v>18211.032643614253</v>
      </c>
    </row>
    <row r="3091" spans="1:1">
      <c r="A3091">
        <v>18209.886598687008</v>
      </c>
    </row>
    <row r="3092" spans="1:1">
      <c r="A3092">
        <v>18207.438690925541</v>
      </c>
    </row>
    <row r="3093" spans="1:1">
      <c r="A3093">
        <v>18193.524910096665</v>
      </c>
    </row>
    <row r="3094" spans="1:1">
      <c r="A3094">
        <v>18191.008574806354</v>
      </c>
    </row>
    <row r="3095" spans="1:1">
      <c r="A3095">
        <v>18183.366681424712</v>
      </c>
    </row>
    <row r="3096" spans="1:1">
      <c r="A3096">
        <v>18181.28223516206</v>
      </c>
    </row>
    <row r="3097" spans="1:1">
      <c r="A3097">
        <v>18172.885980684558</v>
      </c>
    </row>
    <row r="3098" spans="1:1">
      <c r="A3098">
        <v>18171.781291508043</v>
      </c>
    </row>
    <row r="3099" spans="1:1">
      <c r="A3099">
        <v>18167.501012078497</v>
      </c>
    </row>
    <row r="3100" spans="1:1">
      <c r="A3100">
        <v>18167.11608338388</v>
      </c>
    </row>
    <row r="3101" spans="1:1">
      <c r="A3101">
        <v>18163.293469910626</v>
      </c>
    </row>
    <row r="3102" spans="1:1">
      <c r="A3102">
        <v>18154.301266544087</v>
      </c>
    </row>
    <row r="3103" spans="1:1">
      <c r="A3103">
        <v>18152.568813407237</v>
      </c>
    </row>
    <row r="3104" spans="1:1">
      <c r="A3104">
        <v>18144.399247524918</v>
      </c>
    </row>
    <row r="3105" spans="1:1">
      <c r="A3105">
        <v>18143.383871682283</v>
      </c>
    </row>
    <row r="3106" spans="1:1">
      <c r="A3106">
        <v>18138.025353926707</v>
      </c>
    </row>
    <row r="3107" spans="1:1">
      <c r="A3107">
        <v>18136.493260140505</v>
      </c>
    </row>
    <row r="3108" spans="1:1">
      <c r="A3108">
        <v>18131.050561767515</v>
      </c>
    </row>
    <row r="3109" spans="1:1">
      <c r="A3109">
        <v>18126.829695072367</v>
      </c>
    </row>
    <row r="3110" spans="1:1">
      <c r="A3110">
        <v>18121.942179667738</v>
      </c>
    </row>
    <row r="3111" spans="1:1">
      <c r="A3111">
        <v>18116.671236490794</v>
      </c>
    </row>
    <row r="3112" spans="1:1">
      <c r="A3112">
        <v>18115.285619105533</v>
      </c>
    </row>
    <row r="3113" spans="1:1">
      <c r="A3113">
        <v>18102.768998500418</v>
      </c>
    </row>
    <row r="3114" spans="1:1">
      <c r="A3114">
        <v>18098.198536477797</v>
      </c>
    </row>
    <row r="3115" spans="1:1">
      <c r="A3115">
        <v>18091.387488761546</v>
      </c>
    </row>
    <row r="3116" spans="1:1">
      <c r="A3116">
        <v>18082.904272088639</v>
      </c>
    </row>
    <row r="3117" spans="1:1">
      <c r="A3117">
        <v>18082.270073962645</v>
      </c>
    </row>
    <row r="3118" spans="1:1">
      <c r="A3118">
        <v>18081.360746814087</v>
      </c>
    </row>
    <row r="3119" spans="1:1">
      <c r="A3119">
        <v>18078.296559241688</v>
      </c>
    </row>
    <row r="3120" spans="1:1">
      <c r="A3120">
        <v>18076.121719571176</v>
      </c>
    </row>
    <row r="3121" spans="1:1">
      <c r="A3121">
        <v>18073.715519867557</v>
      </c>
    </row>
    <row r="3122" spans="1:1">
      <c r="A3122">
        <v>18073.700277883094</v>
      </c>
    </row>
    <row r="3123" spans="1:1">
      <c r="A3123">
        <v>18051.552204675507</v>
      </c>
    </row>
    <row r="3124" spans="1:1">
      <c r="A3124">
        <v>18019.337621945881</v>
      </c>
    </row>
    <row r="3125" spans="1:1">
      <c r="A3125">
        <v>17997.895929931354</v>
      </c>
    </row>
    <row r="3126" spans="1:1">
      <c r="A3126">
        <v>17986.358546923278</v>
      </c>
    </row>
    <row r="3127" spans="1:1">
      <c r="A3127">
        <v>17975.839918751994</v>
      </c>
    </row>
    <row r="3128" spans="1:1">
      <c r="A3128">
        <v>17966.932006317988</v>
      </c>
    </row>
    <row r="3129" spans="1:1">
      <c r="A3129">
        <v>17954.568293703658</v>
      </c>
    </row>
    <row r="3130" spans="1:1">
      <c r="A3130">
        <v>17949.232379949324</v>
      </c>
    </row>
    <row r="3131" spans="1:1">
      <c r="A3131">
        <v>17938.719310162272</v>
      </c>
    </row>
    <row r="3132" spans="1:1">
      <c r="A3132">
        <v>17923.278086976548</v>
      </c>
    </row>
    <row r="3133" spans="1:1">
      <c r="A3133">
        <v>17917.512936079827</v>
      </c>
    </row>
    <row r="3134" spans="1:1">
      <c r="A3134">
        <v>17907.503499462484</v>
      </c>
    </row>
    <row r="3135" spans="1:1">
      <c r="A3135">
        <v>17899.050708240404</v>
      </c>
    </row>
    <row r="3136" spans="1:1">
      <c r="A3136">
        <v>17884.183927574515</v>
      </c>
    </row>
    <row r="3137" spans="1:1">
      <c r="A3137">
        <v>17880.351136895322</v>
      </c>
    </row>
    <row r="3138" spans="1:1">
      <c r="A3138">
        <v>17878.770948241508</v>
      </c>
    </row>
    <row r="3139" spans="1:1">
      <c r="A3139">
        <v>17864.196954858166</v>
      </c>
    </row>
    <row r="3140" spans="1:1">
      <c r="A3140">
        <v>17860.846465576968</v>
      </c>
    </row>
    <row r="3141" spans="1:1">
      <c r="A3141">
        <v>17834.098128679641</v>
      </c>
    </row>
    <row r="3142" spans="1:1">
      <c r="A3142">
        <v>17793.614006046497</v>
      </c>
    </row>
    <row r="3143" spans="1:1">
      <c r="A3143">
        <v>17784.532176730081</v>
      </c>
    </row>
    <row r="3144" spans="1:1">
      <c r="A3144">
        <v>17689.637157911657</v>
      </c>
    </row>
    <row r="3145" spans="1:1">
      <c r="A3145">
        <v>17675.075250451082</v>
      </c>
    </row>
    <row r="3146" spans="1:1">
      <c r="A3146">
        <v>17661.12124660653</v>
      </c>
    </row>
    <row r="3147" spans="1:1">
      <c r="A3147">
        <v>17649.257745780178</v>
      </c>
    </row>
    <row r="3148" spans="1:1">
      <c r="A3148">
        <v>17501.475652619625</v>
      </c>
    </row>
    <row r="3149" spans="1:1">
      <c r="A3149">
        <v>17479.304667775235</v>
      </c>
    </row>
    <row r="3150" spans="1:1">
      <c r="A3150">
        <v>17439.358625102337</v>
      </c>
    </row>
    <row r="3151" spans="1:1">
      <c r="A3151">
        <v>17389.772872700007</v>
      </c>
    </row>
    <row r="3152" spans="1:1">
      <c r="A3152">
        <v>0</v>
      </c>
    </row>
    <row r="3153" spans="1:1">
      <c r="A3153">
        <v>-202.96120102328581</v>
      </c>
    </row>
    <row r="3154" spans="1:1">
      <c r="A3154">
        <v>-356.42454722329381</v>
      </c>
    </row>
    <row r="3155" spans="1:1">
      <c r="A3155">
        <v>-610.79205514861758</v>
      </c>
    </row>
    <row r="3156" spans="1:1">
      <c r="A3156">
        <v>-618.73546854946176</v>
      </c>
    </row>
    <row r="3157" spans="1:1">
      <c r="A3157">
        <v>-655.22886533759652</v>
      </c>
    </row>
    <row r="3158" spans="1:1">
      <c r="A3158">
        <v>-780.69628617112812</v>
      </c>
    </row>
    <row r="3159" spans="1:1">
      <c r="A3159">
        <v>-884.04022993900969</v>
      </c>
    </row>
    <row r="3160" spans="1:1">
      <c r="A3160">
        <v>-981.74690784572078</v>
      </c>
    </row>
    <row r="3161" spans="1:1">
      <c r="A3161">
        <v>-1101.7737849761249</v>
      </c>
    </row>
    <row r="3162" spans="1:1">
      <c r="A3162">
        <v>-1123.1502457915028</v>
      </c>
    </row>
    <row r="3163" spans="1:1">
      <c r="A3163">
        <v>-1150.5810200067281</v>
      </c>
    </row>
    <row r="3164" spans="1:1">
      <c r="A3164">
        <v>-1177.7768459704039</v>
      </c>
    </row>
    <row r="3165" spans="1:1">
      <c r="A3165">
        <v>-1216.6922901199541</v>
      </c>
    </row>
    <row r="3166" spans="1:1">
      <c r="A3166">
        <v>-1268.8586756540399</v>
      </c>
    </row>
    <row r="3167" spans="1:1">
      <c r="A3167">
        <v>-1475.7588035978536</v>
      </c>
    </row>
    <row r="3168" spans="1:1">
      <c r="A3168">
        <v>-1509.769179354794</v>
      </c>
    </row>
    <row r="3169" spans="1:1">
      <c r="A3169">
        <v>-1558.9933000561498</v>
      </c>
    </row>
    <row r="3170" spans="1:1">
      <c r="A3170">
        <v>-1562.7521354286168</v>
      </c>
    </row>
    <row r="3171" spans="1:1">
      <c r="A3171">
        <v>-1591.0412146959388</v>
      </c>
    </row>
    <row r="3172" spans="1:1">
      <c r="A3172">
        <v>-1923.6079371490321</v>
      </c>
    </row>
    <row r="3173" spans="1:1">
      <c r="A3173">
        <v>-2361.3478798722658</v>
      </c>
    </row>
    <row r="3174" spans="1:1">
      <c r="A3174">
        <v>-2447.0474906629975</v>
      </c>
    </row>
    <row r="3175" spans="1:1">
      <c r="A3175">
        <v>-2570.4635129447279</v>
      </c>
    </row>
    <row r="3176" spans="1:1">
      <c r="A3176">
        <v>-2575.0656150280788</v>
      </c>
    </row>
    <row r="3177" spans="1:1">
      <c r="A3177">
        <v>-2599.9581837754404</v>
      </c>
    </row>
    <row r="3178" spans="1:1">
      <c r="A3178">
        <v>-2644.2021611031232</v>
      </c>
    </row>
    <row r="3179" spans="1:1">
      <c r="A3179">
        <v>-2649.4915048713015</v>
      </c>
    </row>
    <row r="3180" spans="1:1">
      <c r="A3180">
        <v>-2829.6501516831781</v>
      </c>
    </row>
    <row r="3181" spans="1:1">
      <c r="A3181">
        <v>-2859.5774410267659</v>
      </c>
    </row>
    <row r="3182" spans="1:1">
      <c r="A3182">
        <v>-2870.9163389247619</v>
      </c>
    </row>
    <row r="3183" spans="1:1">
      <c r="A3183">
        <v>-2899.2211529332208</v>
      </c>
    </row>
    <row r="3184" spans="1:1">
      <c r="A3184">
        <v>-2939.483032577341</v>
      </c>
    </row>
    <row r="3185" spans="1:1">
      <c r="A3185">
        <v>-2941.6456817267981</v>
      </c>
    </row>
    <row r="3186" spans="1:1">
      <c r="A3186">
        <v>-2941.7350343721719</v>
      </c>
    </row>
    <row r="3187" spans="1:1">
      <c r="A3187">
        <v>-2959.2680347421756</v>
      </c>
    </row>
    <row r="3188" spans="1:1">
      <c r="A3188">
        <v>-2959.4589779890202</v>
      </c>
    </row>
    <row r="3189" spans="1:1">
      <c r="A3189">
        <v>-3025.4438592213351</v>
      </c>
    </row>
    <row r="3190" spans="1:1">
      <c r="A3190">
        <v>-3033.8449827190389</v>
      </c>
    </row>
    <row r="3191" spans="1:1">
      <c r="A3191">
        <v>-3044.5366454394762</v>
      </c>
    </row>
    <row r="3192" spans="1:1">
      <c r="A3192">
        <v>-3056.5695294551419</v>
      </c>
    </row>
    <row r="3193" spans="1:1">
      <c r="A3193">
        <v>-3064.5655782940412</v>
      </c>
    </row>
    <row r="3194" spans="1:1">
      <c r="A3194">
        <v>-3067.7785459621682</v>
      </c>
    </row>
    <row r="3195" spans="1:1">
      <c r="A3195">
        <v>-3071.5007806614681</v>
      </c>
    </row>
    <row r="3196" spans="1:1">
      <c r="A3196">
        <v>-3141.1121119513109</v>
      </c>
    </row>
    <row r="3197" spans="1:1">
      <c r="A3197">
        <v>-3146.3639623701702</v>
      </c>
    </row>
    <row r="3198" spans="1:1">
      <c r="A3198">
        <v>-3167.077670508188</v>
      </c>
    </row>
    <row r="3199" spans="1:1">
      <c r="A3199">
        <v>-3180.4494607841398</v>
      </c>
    </row>
    <row r="3200" spans="1:1">
      <c r="A3200">
        <v>-3193.2143943117899</v>
      </c>
    </row>
    <row r="3201" spans="1:1">
      <c r="A3201">
        <v>-3205.717828893788</v>
      </c>
    </row>
    <row r="3202" spans="1:1">
      <c r="A3202">
        <v>-3266.2977303504299</v>
      </c>
    </row>
    <row r="3203" spans="1:1">
      <c r="A3203">
        <v>-3291.4500708420446</v>
      </c>
    </row>
    <row r="3204" spans="1:1">
      <c r="A3204">
        <v>-3393.4539103354027</v>
      </c>
    </row>
    <row r="3205" spans="1:1">
      <c r="A3205">
        <v>-3442.1884826259661</v>
      </c>
    </row>
    <row r="3206" spans="1:1">
      <c r="A3206">
        <v>-3467.4856555625179</v>
      </c>
    </row>
    <row r="3207" spans="1:1">
      <c r="A3207">
        <v>-3499.2495635792689</v>
      </c>
    </row>
    <row r="3208" spans="1:1">
      <c r="A3208">
        <v>-3517.0879490006791</v>
      </c>
    </row>
    <row r="3209" spans="1:1">
      <c r="A3209">
        <v>-3523.840388526557</v>
      </c>
    </row>
    <row r="3210" spans="1:1">
      <c r="A3210">
        <v>-3563.21087268357</v>
      </c>
    </row>
    <row r="3211" spans="1:1">
      <c r="A3211">
        <v>-3568.6933292345798</v>
      </c>
    </row>
    <row r="3212" spans="1:1">
      <c r="A3212">
        <v>-3587.5517457744418</v>
      </c>
    </row>
    <row r="3213" spans="1:1">
      <c r="A3213">
        <v>-3596.1574263181178</v>
      </c>
    </row>
    <row r="3214" spans="1:1">
      <c r="A3214">
        <v>-3617.9566637342668</v>
      </c>
    </row>
    <row r="3215" spans="1:1">
      <c r="A3215">
        <v>-3700.4450175160509</v>
      </c>
    </row>
    <row r="3216" spans="1:1">
      <c r="A3216">
        <v>-4127.3287115018002</v>
      </c>
    </row>
    <row r="3217" spans="1:1">
      <c r="A3217">
        <v>-4129.7890745131735</v>
      </c>
    </row>
    <row r="3218" spans="1:1">
      <c r="A3218">
        <v>-4209.7922140107567</v>
      </c>
    </row>
    <row r="3219" spans="1:1">
      <c r="A3219">
        <v>-4313.590191710231</v>
      </c>
    </row>
    <row r="3220" spans="1:1">
      <c r="A3220">
        <v>-4569.7193338528286</v>
      </c>
    </row>
    <row r="3221" spans="1:1">
      <c r="A3221">
        <v>-4579.5386647089226</v>
      </c>
    </row>
    <row r="3222" spans="1:1">
      <c r="A3222">
        <v>-4618.8743891334325</v>
      </c>
    </row>
    <row r="3223" spans="1:1">
      <c r="A3223">
        <v>-4644.3607876649185</v>
      </c>
    </row>
    <row r="3224" spans="1:1">
      <c r="A3224">
        <v>-4669.1201020749741</v>
      </c>
    </row>
    <row r="3225" spans="1:1">
      <c r="A3225">
        <v>-4826.1915956679622</v>
      </c>
    </row>
    <row r="3226" spans="1:1">
      <c r="A3226">
        <v>-4889.8856920169892</v>
      </c>
    </row>
    <row r="3227" spans="1:1">
      <c r="A3227">
        <v>-4897.9713447462909</v>
      </c>
    </row>
    <row r="3228" spans="1:1">
      <c r="A3228">
        <v>-4903.3968339968251</v>
      </c>
    </row>
    <row r="3229" spans="1:1">
      <c r="A3229">
        <v>-4947.6391586961745</v>
      </c>
    </row>
    <row r="3230" spans="1:1">
      <c r="A3230">
        <v>-5048.4456904806721</v>
      </c>
    </row>
    <row r="3231" spans="1:1">
      <c r="A3231">
        <v>-5286.298445923604</v>
      </c>
    </row>
    <row r="3232" spans="1:1">
      <c r="A3232">
        <v>-5413.7170182178988</v>
      </c>
    </row>
    <row r="3233" spans="1:1">
      <c r="A3233">
        <v>-5475.5767655242862</v>
      </c>
    </row>
    <row r="3234" spans="1:1">
      <c r="A3234">
        <v>-5591.9845949201463</v>
      </c>
    </row>
    <row r="3235" spans="1:1">
      <c r="A3235">
        <v>-5620.9029000068977</v>
      </c>
    </row>
    <row r="3236" spans="1:1">
      <c r="A3236">
        <v>-5636.3453215675308</v>
      </c>
    </row>
    <row r="3237" spans="1:1">
      <c r="A3237">
        <v>-5715.2830433356721</v>
      </c>
    </row>
    <row r="3238" spans="1:1">
      <c r="A3238">
        <v>-5777.9792017119889</v>
      </c>
    </row>
    <row r="3239" spans="1:1">
      <c r="A3239">
        <v>-5838.5791526065977</v>
      </c>
    </row>
    <row r="3240" spans="1:1">
      <c r="A3240">
        <v>-5842.0205159788347</v>
      </c>
    </row>
    <row r="3241" spans="1:1">
      <c r="A3241">
        <v>-5849.4247059599138</v>
      </c>
    </row>
    <row r="3242" spans="1:1">
      <c r="A3242">
        <v>-6034.5032785799258</v>
      </c>
    </row>
    <row r="3243" spans="1:1">
      <c r="A3243">
        <v>-6078.7513125445494</v>
      </c>
    </row>
    <row r="3244" spans="1:1">
      <c r="A3244">
        <v>-6083.9509270961771</v>
      </c>
    </row>
    <row r="3245" spans="1:1">
      <c r="A3245">
        <v>-6228.4899747205018</v>
      </c>
    </row>
    <row r="3246" spans="1:1">
      <c r="A3246">
        <v>-6263.8828869890831</v>
      </c>
    </row>
    <row r="3247" spans="1:1">
      <c r="A3247">
        <v>-6282.4509009401754</v>
      </c>
    </row>
    <row r="3248" spans="1:1">
      <c r="A3248">
        <v>-6537.630353116514</v>
      </c>
    </row>
    <row r="3249" spans="1:1">
      <c r="A3249">
        <v>-6555.559915182761</v>
      </c>
    </row>
    <row r="3250" spans="1:1">
      <c r="A3250">
        <v>-6644.3431057320231</v>
      </c>
    </row>
    <row r="3251" spans="1:1">
      <c r="A3251">
        <v>-6711.8952435113333</v>
      </c>
    </row>
    <row r="3252" spans="1:1">
      <c r="A3252">
        <v>-6745.0608838696044</v>
      </c>
    </row>
    <row r="3253" spans="1:1">
      <c r="A3253">
        <v>-6768.6871219089498</v>
      </c>
    </row>
    <row r="3254" spans="1:1">
      <c r="A3254">
        <v>-6784.4625238781828</v>
      </c>
    </row>
    <row r="3255" spans="1:1">
      <c r="A3255">
        <v>-6860.4500283463458</v>
      </c>
    </row>
    <row r="3256" spans="1:1">
      <c r="A3256">
        <v>-6978.3100785833058</v>
      </c>
    </row>
    <row r="3257" spans="1:1">
      <c r="A3257">
        <v>-6989.656869167773</v>
      </c>
    </row>
    <row r="3258" spans="1:1">
      <c r="A3258">
        <v>-6996.2448741871058</v>
      </c>
    </row>
    <row r="3259" spans="1:1">
      <c r="A3259">
        <v>-7032.9371517150339</v>
      </c>
    </row>
    <row r="3260" spans="1:1">
      <c r="A3260">
        <v>-7037.3198360309016</v>
      </c>
    </row>
    <row r="3261" spans="1:1">
      <c r="A3261">
        <v>-7148.5844950531919</v>
      </c>
    </row>
    <row r="3262" spans="1:1">
      <c r="A3262">
        <v>-7215.8413759802488</v>
      </c>
    </row>
    <row r="3263" spans="1:1">
      <c r="A3263">
        <v>-7303.7231415402975</v>
      </c>
    </row>
    <row r="3264" spans="1:1">
      <c r="A3264">
        <v>-7383.9168163070335</v>
      </c>
    </row>
    <row r="3265" spans="1:1">
      <c r="A3265">
        <v>-7430.845474333345</v>
      </c>
    </row>
    <row r="3266" spans="1:1">
      <c r="A3266">
        <v>-7495.9056157314626</v>
      </c>
    </row>
    <row r="3267" spans="1:1">
      <c r="A3267">
        <v>-7705.91381117948</v>
      </c>
    </row>
    <row r="3268" spans="1:1">
      <c r="A3268">
        <v>-7713.5750346254499</v>
      </c>
    </row>
    <row r="3269" spans="1:1">
      <c r="A3269">
        <v>-7834.943572008824</v>
      </c>
    </row>
    <row r="3270" spans="1:1">
      <c r="A3270">
        <v>-7991.8169336635856</v>
      </c>
    </row>
    <row r="3271" spans="1:1">
      <c r="A3271">
        <v>-8071.3736572850539</v>
      </c>
    </row>
    <row r="3272" spans="1:1">
      <c r="A3272">
        <v>-8980.9835978158608</v>
      </c>
    </row>
    <row r="3273" spans="1:1">
      <c r="A3273">
        <v>-9106.7560615866441</v>
      </c>
    </row>
    <row r="3274" spans="1:1">
      <c r="A3274">
        <v>-9360.7866725957392</v>
      </c>
    </row>
    <row r="3275" spans="1:1">
      <c r="A3275">
        <v>-9599.5837250321929</v>
      </c>
    </row>
    <row r="3276" spans="1:1">
      <c r="A3276">
        <v>-9659.044136924651</v>
      </c>
    </row>
    <row r="3277" spans="1:1">
      <c r="A3277">
        <v>-11470.095686438823</v>
      </c>
    </row>
    <row r="3278" spans="1:1">
      <c r="A3278">
        <v>-11508.883985266717</v>
      </c>
    </row>
    <row r="3279" spans="1:1">
      <c r="A3279">
        <v>-11721.155296268253</v>
      </c>
    </row>
    <row r="3280" spans="1:1">
      <c r="A3280">
        <v>-12527.450123582301</v>
      </c>
    </row>
    <row r="3281" spans="1:1">
      <c r="A3281">
        <v>-12642.425712000666</v>
      </c>
    </row>
    <row r="3282" spans="1:1">
      <c r="A3282">
        <v>-12685.645278300384</v>
      </c>
    </row>
    <row r="3283" spans="1:1">
      <c r="A3283">
        <v>-12726.639955231834</v>
      </c>
    </row>
    <row r="3284" spans="1:1">
      <c r="A3284">
        <v>-12924.135628103046</v>
      </c>
    </row>
    <row r="3285" spans="1:1">
      <c r="A3285">
        <v>-12967.316201241945</v>
      </c>
    </row>
    <row r="3286" spans="1:1">
      <c r="A3286">
        <v>-13107.968992142325</v>
      </c>
    </row>
    <row r="3287" spans="1:1">
      <c r="A3287">
        <v>-13691.153896188025</v>
      </c>
    </row>
    <row r="3288" spans="1:1">
      <c r="A3288">
        <v>-13735.409171365174</v>
      </c>
    </row>
    <row r="3289" spans="1:1">
      <c r="A3289">
        <v>-13932.22912166334</v>
      </c>
    </row>
    <row r="3290" spans="1:1">
      <c r="A3290">
        <v>-13975.117311067224</v>
      </c>
    </row>
    <row r="3291" spans="1:1">
      <c r="A3291">
        <v>-14042.674454290034</v>
      </c>
    </row>
    <row r="3292" spans="1:1">
      <c r="A3292">
        <v>-14048.357676102745</v>
      </c>
    </row>
    <row r="3293" spans="1:1">
      <c r="A3293">
        <v>-14062.137266767093</v>
      </c>
    </row>
    <row r="3294" spans="1:1">
      <c r="A3294">
        <v>-14073.57298626647</v>
      </c>
    </row>
    <row r="3295" spans="1:1">
      <c r="A3295">
        <v>-14105.614594746579</v>
      </c>
    </row>
    <row r="3296" spans="1:1">
      <c r="A3296">
        <v>-14112.990769038675</v>
      </c>
    </row>
    <row r="3297" spans="1:1">
      <c r="A3297">
        <v>-14241.474061216835</v>
      </c>
    </row>
    <row r="3298" spans="1:1">
      <c r="A3298">
        <v>-14428.354143571398</v>
      </c>
    </row>
    <row r="3299" spans="1:1">
      <c r="A3299">
        <v>-14447.773437580148</v>
      </c>
    </row>
    <row r="3300" spans="1:1">
      <c r="A3300">
        <v>-14494.908660052391</v>
      </c>
    </row>
    <row r="3301" spans="1:1">
      <c r="A3301">
        <v>-14557.894785913906</v>
      </c>
    </row>
    <row r="3302" spans="1:1">
      <c r="A3302">
        <v>-14587.59765361742</v>
      </c>
    </row>
    <row r="3303" spans="1:1">
      <c r="A3303">
        <v>-14606.909720933174</v>
      </c>
    </row>
    <row r="3304" spans="1:1">
      <c r="A3304">
        <v>-14611.50149599428</v>
      </c>
    </row>
    <row r="3305" spans="1:1">
      <c r="A3305">
        <v>-14804.834545935406</v>
      </c>
    </row>
    <row r="3306" spans="1:1">
      <c r="A3306">
        <v>-14892.651632986761</v>
      </c>
    </row>
    <row r="3307" spans="1:1">
      <c r="A3307">
        <v>-15002.086677815445</v>
      </c>
    </row>
    <row r="3308" spans="1:1">
      <c r="A3308">
        <v>-15149.878222677771</v>
      </c>
    </row>
    <row r="3309" spans="1:1">
      <c r="A3309">
        <v>-15324.577090699662</v>
      </c>
    </row>
    <row r="3310" spans="1:1">
      <c r="A3310">
        <v>-15400.915117904551</v>
      </c>
    </row>
    <row r="3311" spans="1:1">
      <c r="A3311">
        <v>-15418.875320133544</v>
      </c>
    </row>
    <row r="3312" spans="1:1">
      <c r="A3312">
        <v>-15424.502710807516</v>
      </c>
    </row>
    <row r="3313" spans="1:1">
      <c r="A3313">
        <v>-15430.93900115512</v>
      </c>
    </row>
    <row r="3314" spans="1:1">
      <c r="A3314">
        <v>-15447.204515614165</v>
      </c>
    </row>
    <row r="3315" spans="1:1">
      <c r="A3315">
        <v>-15449.10343406267</v>
      </c>
    </row>
    <row r="3316" spans="1:1">
      <c r="A3316">
        <v>-15457.485553967923</v>
      </c>
    </row>
    <row r="3317" spans="1:1">
      <c r="A3317">
        <v>-15520.857847092504</v>
      </c>
    </row>
    <row r="3318" spans="1:1">
      <c r="A3318">
        <v>-15564.632406030785</v>
      </c>
    </row>
    <row r="3319" spans="1:1">
      <c r="A3319">
        <v>-15624.663137766114</v>
      </c>
    </row>
    <row r="3320" spans="1:1">
      <c r="A3320">
        <v>-15699.220829567348</v>
      </c>
    </row>
    <row r="3321" spans="1:1">
      <c r="A3321">
        <v>-15706.555848337386</v>
      </c>
    </row>
    <row r="3322" spans="1:1">
      <c r="A3322">
        <v>-15741.485588000261</v>
      </c>
    </row>
    <row r="3323" spans="1:1">
      <c r="A3323">
        <v>-15794.903311859232</v>
      </c>
    </row>
    <row r="3324" spans="1:1">
      <c r="A3324">
        <v>-15932.420587184915</v>
      </c>
    </row>
    <row r="3325" spans="1:1">
      <c r="A3325">
        <v>-16024.929258375643</v>
      </c>
    </row>
    <row r="3326" spans="1:1">
      <c r="A3326">
        <v>-16049.918468798433</v>
      </c>
    </row>
    <row r="3327" spans="1:1">
      <c r="A3327">
        <v>-16146.648320705395</v>
      </c>
    </row>
    <row r="3328" spans="1:1">
      <c r="A3328">
        <v>-16178.77630011566</v>
      </c>
    </row>
    <row r="3329" spans="1:1">
      <c r="A3329">
        <v>-16179.971460654164</v>
      </c>
    </row>
    <row r="3330" spans="1:1">
      <c r="A3330">
        <v>-16375.832546115387</v>
      </c>
    </row>
    <row r="3331" spans="1:1">
      <c r="A3331">
        <v>-16464.862475721086</v>
      </c>
    </row>
    <row r="3332" spans="1:1">
      <c r="A3332">
        <v>-16526.936147613262</v>
      </c>
    </row>
    <row r="3333" spans="1:1">
      <c r="A3333">
        <v>-16662.119520948821</v>
      </c>
    </row>
    <row r="3334" spans="1:1">
      <c r="A3334">
        <v>-16768.650508161765</v>
      </c>
    </row>
    <row r="3335" spans="1:1">
      <c r="A3335">
        <v>-16846.067350627603</v>
      </c>
    </row>
    <row r="3336" spans="1:1">
      <c r="A3336">
        <v>-16855.740707845995</v>
      </c>
    </row>
    <row r="3337" spans="1:1">
      <c r="A3337">
        <v>-16858.069847513394</v>
      </c>
    </row>
    <row r="3338" spans="1:1">
      <c r="A3338">
        <v>-16891.986823309373</v>
      </c>
    </row>
    <row r="3339" spans="1:1">
      <c r="A3339">
        <v>-16932.837320479324</v>
      </c>
    </row>
    <row r="3340" spans="1:1">
      <c r="A3340">
        <v>-16980.981083064715</v>
      </c>
    </row>
    <row r="3341" spans="1:1">
      <c r="A3341">
        <v>-16994.332295915603</v>
      </c>
    </row>
    <row r="3342" spans="1:1">
      <c r="A3342">
        <v>-17122.129088239151</v>
      </c>
    </row>
    <row r="3343" spans="1:1">
      <c r="A3343">
        <v>-17427.978822224064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Energy</vt:lpstr>
      <vt:lpstr>Banks</vt:lpstr>
      <vt:lpstr>combined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Bibby</dc:creator>
  <cp:lastModifiedBy>Tom Bibby</cp:lastModifiedBy>
  <dcterms:created xsi:type="dcterms:W3CDTF">2026-08-22T17:03:57Z</dcterms:created>
  <dcterms:modified xsi:type="dcterms:W3CDTF">2026-08-31T09:24:49Z</dcterms:modified>
</cp:coreProperties>
</file>